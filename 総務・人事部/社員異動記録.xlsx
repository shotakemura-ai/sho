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126\経理課\【伊藤用】\"/>
    </mc:Choice>
  </mc:AlternateContent>
  <xr:revisionPtr revIDLastSave="0" documentId="13_ncr:1_{D5E2CBA6-9B0D-493C-B210-A6D5E4A0071E}" xr6:coauthVersionLast="47" xr6:coauthVersionMax="47" xr10:uidLastSave="{00000000-0000-0000-0000-000000000000}"/>
  <bookViews>
    <workbookView xWindow="-120" yWindow="-120" windowWidth="29040" windowHeight="15720" activeTab="1" xr2:uid="{105D805C-8E1A-4EDA-BEDF-6F236BC07781}"/>
  </bookViews>
  <sheets>
    <sheet name="三幸商事" sheetId="1" r:id="rId1"/>
    <sheet name="三幸P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4" i="4" l="1"/>
  <c r="E83" i="4"/>
  <c r="F84" i="4" s="1"/>
  <c r="E82" i="4"/>
  <c r="E81" i="4"/>
  <c r="E80" i="4"/>
  <c r="E79" i="4"/>
  <c r="E78" i="4"/>
  <c r="E77" i="4"/>
  <c r="E76" i="4"/>
  <c r="F76" i="4" s="1"/>
  <c r="E75" i="4"/>
  <c r="E74" i="4"/>
  <c r="F74" i="4" s="1"/>
  <c r="E73" i="4"/>
  <c r="J196" i="1"/>
  <c r="J195" i="1"/>
  <c r="J194" i="1"/>
  <c r="J193" i="1"/>
  <c r="J192" i="1"/>
  <c r="J191" i="1"/>
  <c r="J190" i="1"/>
  <c r="J189" i="1"/>
  <c r="J188" i="1"/>
  <c r="J187" i="1"/>
  <c r="J186" i="1"/>
  <c r="K186" i="1" s="1"/>
  <c r="J185" i="1"/>
  <c r="J182" i="1"/>
  <c r="J181" i="1"/>
  <c r="K181" i="1" s="1"/>
  <c r="J180" i="1"/>
  <c r="K180" i="1" s="1"/>
  <c r="J179" i="1"/>
  <c r="K179" i="1" s="1"/>
  <c r="J178" i="1"/>
  <c r="K178" i="1" s="1"/>
  <c r="J177" i="1"/>
  <c r="J176" i="1"/>
  <c r="K176" i="1" s="1"/>
  <c r="J175" i="1"/>
  <c r="J174" i="1"/>
  <c r="K175" i="1" s="1"/>
  <c r="J173" i="1"/>
  <c r="K173" i="1"/>
  <c r="J172" i="1"/>
  <c r="J171" i="1"/>
  <c r="K171" i="1" s="1"/>
  <c r="E70" i="4"/>
  <c r="E69" i="4"/>
  <c r="F69" i="4"/>
  <c r="E68" i="4"/>
  <c r="E67" i="4"/>
  <c r="E66" i="4"/>
  <c r="E65" i="4"/>
  <c r="F66" i="4"/>
  <c r="E64" i="4"/>
  <c r="E63" i="4"/>
  <c r="E62" i="4"/>
  <c r="F62" i="4"/>
  <c r="E61" i="4"/>
  <c r="E60" i="4"/>
  <c r="F61" i="4"/>
  <c r="E59" i="4"/>
  <c r="F59" i="4"/>
  <c r="J168" i="1"/>
  <c r="J167" i="1"/>
  <c r="K168" i="1" s="1"/>
  <c r="J166" i="1"/>
  <c r="K166" i="1" s="1"/>
  <c r="J165" i="1"/>
  <c r="J164" i="1"/>
  <c r="J163" i="1"/>
  <c r="J162" i="1"/>
  <c r="J161" i="1"/>
  <c r="K162" i="1" s="1"/>
  <c r="J160" i="1"/>
  <c r="J159" i="1"/>
  <c r="J158" i="1"/>
  <c r="J157" i="1"/>
  <c r="E56" i="4"/>
  <c r="E55" i="4"/>
  <c r="E54" i="4"/>
  <c r="E53" i="4"/>
  <c r="E52" i="4"/>
  <c r="E51" i="4"/>
  <c r="E50" i="4"/>
  <c r="E49" i="4"/>
  <c r="E48" i="4"/>
  <c r="E47" i="4"/>
  <c r="E46" i="4"/>
  <c r="E45" i="4"/>
  <c r="E42" i="4"/>
  <c r="E33" i="4"/>
  <c r="E34" i="4"/>
  <c r="F34" i="4"/>
  <c r="E35" i="4"/>
  <c r="E36" i="4"/>
  <c r="F36" i="4"/>
  <c r="E37" i="4"/>
  <c r="F37" i="4"/>
  <c r="E38" i="4"/>
  <c r="F38" i="4"/>
  <c r="E39" i="4"/>
  <c r="E40" i="4"/>
  <c r="E41" i="4"/>
  <c r="E31" i="4"/>
  <c r="F32" i="4"/>
  <c r="E32" i="4"/>
  <c r="F33" i="4"/>
  <c r="J154" i="1"/>
  <c r="J153" i="1"/>
  <c r="K153" i="1" s="1"/>
  <c r="J152" i="1"/>
  <c r="K152" i="1" s="1"/>
  <c r="J151" i="1"/>
  <c r="K151" i="1" s="1"/>
  <c r="J150" i="1"/>
  <c r="K150" i="1" s="1"/>
  <c r="J149" i="1"/>
  <c r="J148" i="1"/>
  <c r="K149" i="1" s="1"/>
  <c r="J147" i="1"/>
  <c r="K147" i="1" s="1"/>
  <c r="J146" i="1"/>
  <c r="K146" i="1" s="1"/>
  <c r="J145" i="1"/>
  <c r="J144" i="1"/>
  <c r="J143" i="1"/>
  <c r="K144" i="1" s="1"/>
  <c r="J140" i="1"/>
  <c r="K140" i="1" s="1"/>
  <c r="J139" i="1"/>
  <c r="K139" i="1" s="1"/>
  <c r="J138" i="1"/>
  <c r="K138" i="1" s="1"/>
  <c r="J137" i="1"/>
  <c r="J136" i="1"/>
  <c r="J135" i="1"/>
  <c r="J134" i="1"/>
  <c r="K135" i="1"/>
  <c r="J133" i="1"/>
  <c r="K134" i="1"/>
  <c r="J132" i="1"/>
  <c r="J131" i="1"/>
  <c r="K131" i="1" s="1"/>
  <c r="J130" i="1"/>
  <c r="J129" i="1"/>
  <c r="K129" i="1"/>
  <c r="D28" i="4"/>
  <c r="D27" i="4"/>
  <c r="D26" i="4"/>
  <c r="D25" i="4"/>
  <c r="D24" i="4"/>
  <c r="E24" i="4"/>
  <c r="D23" i="4"/>
  <c r="D22" i="4"/>
  <c r="D21" i="4"/>
  <c r="D20" i="4"/>
  <c r="D19" i="4"/>
  <c r="D18" i="4"/>
  <c r="D17" i="4"/>
  <c r="D14" i="4"/>
  <c r="D13" i="4"/>
  <c r="D12" i="4"/>
  <c r="D11" i="4"/>
  <c r="D10" i="4"/>
  <c r="D9" i="4"/>
  <c r="D8" i="4"/>
  <c r="D7" i="4"/>
  <c r="D6" i="4"/>
  <c r="D5" i="4"/>
  <c r="D4" i="4"/>
  <c r="D3" i="4"/>
  <c r="E4" i="4"/>
  <c r="J126" i="1"/>
  <c r="J125" i="1"/>
  <c r="J124" i="1"/>
  <c r="J123" i="1"/>
  <c r="K124" i="1"/>
  <c r="J122" i="1"/>
  <c r="K123" i="1" s="1"/>
  <c r="J121" i="1"/>
  <c r="K122" i="1"/>
  <c r="J120" i="1"/>
  <c r="K120" i="1" s="1"/>
  <c r="J119" i="1"/>
  <c r="J118" i="1"/>
  <c r="K118" i="1"/>
  <c r="J117" i="1"/>
  <c r="J116" i="1"/>
  <c r="K116" i="1" s="1"/>
  <c r="J115" i="1"/>
  <c r="J112" i="1"/>
  <c r="J111" i="1"/>
  <c r="K111" i="1" s="1"/>
  <c r="J110" i="1"/>
  <c r="K110" i="1"/>
  <c r="J109" i="1"/>
  <c r="K109" i="1" s="1"/>
  <c r="J108" i="1"/>
  <c r="K108" i="1" s="1"/>
  <c r="J107" i="1"/>
  <c r="J106" i="1"/>
  <c r="K106" i="1" s="1"/>
  <c r="J105" i="1"/>
  <c r="K105" i="1" s="1"/>
  <c r="J104" i="1"/>
  <c r="J103" i="1"/>
  <c r="J102" i="1"/>
  <c r="K103" i="1" s="1"/>
  <c r="J101" i="1"/>
  <c r="K102" i="1" s="1"/>
  <c r="J98" i="1"/>
  <c r="K101" i="1" s="1"/>
  <c r="J97" i="1"/>
  <c r="K97" i="1" s="1"/>
  <c r="J96" i="1"/>
  <c r="K96" i="1"/>
  <c r="J95" i="1"/>
  <c r="J94" i="1"/>
  <c r="K95" i="1" s="1"/>
  <c r="J93" i="1"/>
  <c r="K93" i="1"/>
  <c r="J92" i="1"/>
  <c r="J91" i="1"/>
  <c r="K91" i="1" s="1"/>
  <c r="K92" i="1"/>
  <c r="J90" i="1"/>
  <c r="J89" i="1"/>
  <c r="K89" i="1" s="1"/>
  <c r="J88" i="1"/>
  <c r="K88" i="1" s="1"/>
  <c r="J87" i="1"/>
  <c r="K87" i="1" s="1"/>
  <c r="J84" i="1"/>
  <c r="K84" i="1"/>
  <c r="J83" i="1"/>
  <c r="J82" i="1"/>
  <c r="K82" i="1"/>
  <c r="J81" i="1"/>
  <c r="K81" i="1"/>
  <c r="J80" i="1"/>
  <c r="J79" i="1"/>
  <c r="K80" i="1" s="1"/>
  <c r="J78" i="1"/>
  <c r="K78" i="1" s="1"/>
  <c r="J77" i="1"/>
  <c r="K77" i="1"/>
  <c r="J76" i="1"/>
  <c r="K76" i="1"/>
  <c r="J75" i="1"/>
  <c r="J74" i="1"/>
  <c r="K75" i="1" s="1"/>
  <c r="J73" i="1"/>
  <c r="J70" i="1"/>
  <c r="K73" i="1" s="1"/>
  <c r="J69" i="1"/>
  <c r="K69" i="1"/>
  <c r="J68" i="1"/>
  <c r="J67" i="1"/>
  <c r="K68" i="1" s="1"/>
  <c r="J66" i="1"/>
  <c r="J65" i="1"/>
  <c r="K66" i="1" s="1"/>
  <c r="K65" i="1"/>
  <c r="J64" i="1"/>
  <c r="K64" i="1" s="1"/>
  <c r="J63" i="1"/>
  <c r="K63" i="1" s="1"/>
  <c r="J62" i="1"/>
  <c r="J61" i="1"/>
  <c r="J60" i="1"/>
  <c r="K60" i="1"/>
  <c r="J59" i="1"/>
  <c r="K59" i="1"/>
  <c r="J56" i="1"/>
  <c r="J55" i="1"/>
  <c r="J54" i="1"/>
  <c r="K55" i="1" s="1"/>
  <c r="J53" i="1"/>
  <c r="K53" i="1" s="1"/>
  <c r="J52" i="1"/>
  <c r="K52" i="1" s="1"/>
  <c r="J51" i="1"/>
  <c r="K51" i="1" s="1"/>
  <c r="J50" i="1"/>
  <c r="K50" i="1" s="1"/>
  <c r="J49" i="1"/>
  <c r="J48" i="1"/>
  <c r="J47" i="1"/>
  <c r="J46" i="1"/>
  <c r="K46" i="1" s="1"/>
  <c r="J45" i="1"/>
  <c r="J42" i="1"/>
  <c r="K42" i="1" s="1"/>
  <c r="J41" i="1"/>
  <c r="J40" i="1"/>
  <c r="K40" i="1" s="1"/>
  <c r="J39" i="1"/>
  <c r="J38" i="1"/>
  <c r="K38" i="1" s="1"/>
  <c r="K39" i="1"/>
  <c r="J37" i="1"/>
  <c r="J36" i="1"/>
  <c r="K37" i="1"/>
  <c r="J35" i="1"/>
  <c r="K35" i="1"/>
  <c r="J34" i="1"/>
  <c r="J33" i="1"/>
  <c r="K33" i="1" s="1"/>
  <c r="J32" i="1"/>
  <c r="K32" i="1" s="1"/>
  <c r="J31" i="1"/>
  <c r="K31" i="1" s="1"/>
  <c r="J17" i="1"/>
  <c r="K17" i="1"/>
  <c r="J18" i="1"/>
  <c r="K18" i="1"/>
  <c r="J19" i="1"/>
  <c r="K20" i="1" s="1"/>
  <c r="K19" i="1"/>
  <c r="J20" i="1"/>
  <c r="J21" i="1"/>
  <c r="K21" i="1" s="1"/>
  <c r="J22" i="1"/>
  <c r="K22" i="1" s="1"/>
  <c r="J23" i="1"/>
  <c r="K23" i="1" s="1"/>
  <c r="J24" i="1"/>
  <c r="K24" i="1"/>
  <c r="J25" i="1"/>
  <c r="K25" i="1"/>
  <c r="J26" i="1"/>
  <c r="K26" i="1"/>
  <c r="J27" i="1"/>
  <c r="K27" i="1" s="1"/>
  <c r="J28" i="1"/>
  <c r="K28" i="1" s="1"/>
  <c r="J4" i="1"/>
  <c r="J5" i="1"/>
  <c r="J6" i="1"/>
  <c r="K6" i="1" s="1"/>
  <c r="J7" i="1"/>
  <c r="K7" i="1" s="1"/>
  <c r="J8" i="1"/>
  <c r="K8" i="1"/>
  <c r="J9" i="1"/>
  <c r="K9" i="1"/>
  <c r="J10" i="1"/>
  <c r="K10" i="1"/>
  <c r="J11" i="1"/>
  <c r="K12" i="1" s="1"/>
  <c r="K11" i="1"/>
  <c r="J12" i="1"/>
  <c r="J13" i="1"/>
  <c r="K13" i="1" s="1"/>
  <c r="J14" i="1"/>
  <c r="K14" i="1"/>
  <c r="J3" i="1"/>
  <c r="K4" i="1" s="1"/>
  <c r="K48" i="1"/>
  <c r="K56" i="1"/>
  <c r="K62" i="1"/>
  <c r="K61" i="1"/>
  <c r="K67" i="1"/>
  <c r="K70" i="1"/>
  <c r="K5" i="1"/>
  <c r="K83" i="1"/>
  <c r="K104" i="1"/>
  <c r="K107" i="1"/>
  <c r="K36" i="1"/>
  <c r="K74" i="1"/>
  <c r="K49" i="1"/>
  <c r="K125" i="1"/>
  <c r="K115" i="1"/>
  <c r="K117" i="1"/>
  <c r="K119" i="1"/>
  <c r="K121" i="1"/>
  <c r="K126" i="1"/>
  <c r="K130" i="1"/>
  <c r="K133" i="1"/>
  <c r="K137" i="1"/>
  <c r="K136" i="1"/>
  <c r="E7" i="4"/>
  <c r="E12" i="4"/>
  <c r="E26" i="4"/>
  <c r="E5" i="4"/>
  <c r="E9" i="4"/>
  <c r="E14" i="4"/>
  <c r="E19" i="4"/>
  <c r="E8" i="4"/>
  <c r="E11" i="4"/>
  <c r="E20" i="4"/>
  <c r="E27" i="4"/>
  <c r="E18" i="4"/>
  <c r="E22" i="4"/>
  <c r="E25" i="4"/>
  <c r="E28" i="4"/>
  <c r="E10" i="4"/>
  <c r="E13" i="4"/>
  <c r="E23" i="4"/>
  <c r="E21" i="4"/>
  <c r="E6" i="4"/>
  <c r="K145" i="1"/>
  <c r="F35" i="4"/>
  <c r="K148" i="1"/>
  <c r="F41" i="4"/>
  <c r="F42" i="4"/>
  <c r="F40" i="4"/>
  <c r="F39" i="4"/>
  <c r="K163" i="1"/>
  <c r="K159" i="1"/>
  <c r="F67" i="4"/>
  <c r="F68" i="4"/>
  <c r="F70" i="4"/>
  <c r="F46" i="4"/>
  <c r="F52" i="4"/>
  <c r="F51" i="4"/>
  <c r="F56" i="4"/>
  <c r="F54" i="4"/>
  <c r="F55" i="4"/>
  <c r="F53" i="4"/>
  <c r="F50" i="4"/>
  <c r="F49" i="4"/>
  <c r="F48" i="4"/>
  <c r="F47" i="4"/>
  <c r="K177" i="1"/>
  <c r="K165" i="1"/>
  <c r="K164" i="1"/>
  <c r="K160" i="1"/>
  <c r="K158" i="1"/>
  <c r="K157" i="1"/>
  <c r="K174" i="1"/>
  <c r="F60" i="4"/>
  <c r="F63" i="4"/>
  <c r="F64" i="4"/>
  <c r="F65" i="4"/>
  <c r="F83" i="4"/>
  <c r="K191" i="1"/>
  <c r="K192" i="1"/>
  <c r="K185" i="1"/>
  <c r="F73" i="4"/>
  <c r="K167" i="1" l="1"/>
  <c r="K194" i="1"/>
  <c r="K196" i="1"/>
  <c r="K54" i="1"/>
  <c r="K90" i="1"/>
  <c r="K79" i="1"/>
  <c r="K112" i="1"/>
  <c r="K154" i="1"/>
  <c r="K182" i="1"/>
  <c r="K41" i="1"/>
  <c r="K143" i="1"/>
  <c r="K34" i="1"/>
  <c r="K132" i="1"/>
  <c r="K172" i="1"/>
  <c r="K45" i="1"/>
  <c r="K47" i="1"/>
  <c r="K161" i="1"/>
  <c r="K94" i="1"/>
  <c r="K98" i="1"/>
  <c r="K195" i="1"/>
  <c r="F82" i="4"/>
  <c r="K193" i="1"/>
  <c r="F81" i="4"/>
  <c r="F80" i="4"/>
  <c r="K190" i="1"/>
  <c r="F79" i="4"/>
  <c r="F78" i="4"/>
  <c r="F77" i="4"/>
  <c r="K189" i="1"/>
  <c r="K188" i="1"/>
  <c r="K187" i="1"/>
  <c r="F75" i="4"/>
</calcChain>
</file>

<file path=xl/sharedStrings.xml><?xml version="1.0" encoding="utf-8"?>
<sst xmlns="http://schemas.openxmlformats.org/spreadsheetml/2006/main" count="731" uniqueCount="268">
  <si>
    <t>本部</t>
    <rPh sb="0" eb="2">
      <t>ホンブ</t>
    </rPh>
    <phoneticPr fontId="1"/>
  </si>
  <si>
    <t>営業</t>
    <rPh sb="0" eb="2">
      <t>エイギョウ</t>
    </rPh>
    <phoneticPr fontId="1"/>
  </si>
  <si>
    <t>東大阪</t>
    <rPh sb="0" eb="3">
      <t>ヒガシオオサカ</t>
    </rPh>
    <phoneticPr fontId="1"/>
  </si>
  <si>
    <t>南港事務</t>
    <rPh sb="0" eb="2">
      <t>ナンコウ</t>
    </rPh>
    <rPh sb="2" eb="4">
      <t>ジム</t>
    </rPh>
    <phoneticPr fontId="1"/>
  </si>
  <si>
    <t>南港工場</t>
    <rPh sb="0" eb="2">
      <t>ナンコウ</t>
    </rPh>
    <rPh sb="2" eb="4">
      <t>コウジョウ</t>
    </rPh>
    <phoneticPr fontId="1"/>
  </si>
  <si>
    <t>東京事務</t>
    <rPh sb="0" eb="2">
      <t>トウキョウ</t>
    </rPh>
    <rPh sb="2" eb="4">
      <t>ジム</t>
    </rPh>
    <phoneticPr fontId="1"/>
  </si>
  <si>
    <t>東京工場</t>
    <rPh sb="0" eb="2">
      <t>トウキョウ</t>
    </rPh>
    <rPh sb="2" eb="4">
      <t>コウジョウ</t>
    </rPh>
    <phoneticPr fontId="1"/>
  </si>
  <si>
    <t>合計</t>
    <rPh sb="0" eb="2">
      <t>ゴウケイ</t>
    </rPh>
    <phoneticPr fontId="1"/>
  </si>
  <si>
    <t>入社</t>
    <rPh sb="0" eb="2">
      <t>ニュウシャ</t>
    </rPh>
    <phoneticPr fontId="1"/>
  </si>
  <si>
    <t>退社</t>
    <rPh sb="0" eb="2">
      <t>タイシャ</t>
    </rPh>
    <phoneticPr fontId="1"/>
  </si>
  <si>
    <t>異動</t>
    <rPh sb="0" eb="2">
      <t>イドウ</t>
    </rPh>
    <phoneticPr fontId="1"/>
  </si>
  <si>
    <t>北井・深井</t>
    <rPh sb="0" eb="2">
      <t>キタイ</t>
    </rPh>
    <rPh sb="3" eb="5">
      <t>フカイ</t>
    </rPh>
    <phoneticPr fontId="1"/>
  </si>
  <si>
    <t>真木・溝尾</t>
    <rPh sb="0" eb="2">
      <t>マキ</t>
    </rPh>
    <rPh sb="3" eb="5">
      <t>ミゾオ</t>
    </rPh>
    <phoneticPr fontId="1"/>
  </si>
  <si>
    <t>中村</t>
    <rPh sb="0" eb="2">
      <t>ナカムラ</t>
    </rPh>
    <phoneticPr fontId="1"/>
  </si>
  <si>
    <t>藤井・木下</t>
    <rPh sb="0" eb="2">
      <t>フジイ</t>
    </rPh>
    <rPh sb="3" eb="5">
      <t>キノシタ</t>
    </rPh>
    <phoneticPr fontId="1"/>
  </si>
  <si>
    <t>小西</t>
    <rPh sb="0" eb="2">
      <t>コニシ</t>
    </rPh>
    <phoneticPr fontId="1"/>
  </si>
  <si>
    <t>豊國亜季子</t>
    <rPh sb="0" eb="1">
      <t>トヨ</t>
    </rPh>
    <rPh sb="1" eb="2">
      <t>クニ</t>
    </rPh>
    <rPh sb="2" eb="4">
      <t>アキ</t>
    </rPh>
    <rPh sb="4" eb="5">
      <t>コ</t>
    </rPh>
    <phoneticPr fontId="1"/>
  </si>
  <si>
    <t>亀尾</t>
    <rPh sb="0" eb="2">
      <t>カメオ</t>
    </rPh>
    <phoneticPr fontId="1"/>
  </si>
  <si>
    <t>７５期</t>
    <rPh sb="2" eb="3">
      <t>キ</t>
    </rPh>
    <phoneticPr fontId="1"/>
  </si>
  <si>
    <t>６月</t>
    <rPh sb="1" eb="2">
      <t>ガツ</t>
    </rPh>
    <phoneticPr fontId="1"/>
  </si>
  <si>
    <t>７月</t>
  </si>
  <si>
    <t>８月</t>
  </si>
  <si>
    <t>９月</t>
  </si>
  <si>
    <t>１０月</t>
  </si>
  <si>
    <t>１１月</t>
  </si>
  <si>
    <t>１２月</t>
  </si>
  <si>
    <t>１月</t>
  </si>
  <si>
    <t>２月</t>
  </si>
  <si>
    <t>３月</t>
  </si>
  <si>
    <t>４月</t>
  </si>
  <si>
    <t>５月</t>
  </si>
  <si>
    <t>７６期</t>
    <rPh sb="2" eb="3">
      <t>キ</t>
    </rPh>
    <phoneticPr fontId="1"/>
  </si>
  <si>
    <t>佐伯</t>
    <rPh sb="0" eb="2">
      <t>サエキ</t>
    </rPh>
    <phoneticPr fontId="1"/>
  </si>
  <si>
    <t>舟橋</t>
    <rPh sb="0" eb="2">
      <t>フナハシ</t>
    </rPh>
    <phoneticPr fontId="1"/>
  </si>
  <si>
    <t>神田</t>
    <rPh sb="0" eb="2">
      <t>カンダ</t>
    </rPh>
    <phoneticPr fontId="1"/>
  </si>
  <si>
    <t>石丸</t>
    <rPh sb="0" eb="2">
      <t>イシマル</t>
    </rPh>
    <phoneticPr fontId="1"/>
  </si>
  <si>
    <t>増減</t>
    <rPh sb="0" eb="2">
      <t>ゾウゲン</t>
    </rPh>
    <phoneticPr fontId="1"/>
  </si>
  <si>
    <t>岡崎</t>
    <rPh sb="0" eb="2">
      <t>オカザキ</t>
    </rPh>
    <phoneticPr fontId="1"/>
  </si>
  <si>
    <t>７７期</t>
    <rPh sb="2" eb="3">
      <t>キ</t>
    </rPh>
    <phoneticPr fontId="1"/>
  </si>
  <si>
    <t>信治　日向</t>
    <rPh sb="0" eb="1">
      <t>ノブ</t>
    </rPh>
    <rPh sb="1" eb="2">
      <t>チ</t>
    </rPh>
    <rPh sb="3" eb="5">
      <t>ヒュウガ</t>
    </rPh>
    <phoneticPr fontId="1"/>
  </si>
  <si>
    <t>片岡</t>
    <rPh sb="0" eb="2">
      <t>カタオカ</t>
    </rPh>
    <phoneticPr fontId="1"/>
  </si>
  <si>
    <t>中</t>
    <rPh sb="0" eb="1">
      <t>ナカ</t>
    </rPh>
    <phoneticPr fontId="1"/>
  </si>
  <si>
    <t>武田相談役</t>
    <rPh sb="0" eb="2">
      <t>タケダ</t>
    </rPh>
    <rPh sb="2" eb="5">
      <t>ソウダンヤク</t>
    </rPh>
    <phoneticPr fontId="1"/>
  </si>
  <si>
    <t>昇格</t>
    <rPh sb="0" eb="2">
      <t>ショウカク</t>
    </rPh>
    <phoneticPr fontId="1"/>
  </si>
  <si>
    <t>畠平次長、竹村係長、村上主任、池田係長、内田主任、杉浦主任</t>
    <rPh sb="0" eb="1">
      <t>ハタ</t>
    </rPh>
    <rPh sb="1" eb="2">
      <t>ヒラ</t>
    </rPh>
    <rPh sb="2" eb="4">
      <t>ジチョウ</t>
    </rPh>
    <rPh sb="5" eb="9">
      <t>タケムラカカリチョウ</t>
    </rPh>
    <rPh sb="10" eb="12">
      <t>ムラカミ</t>
    </rPh>
    <rPh sb="12" eb="14">
      <t>シュニン</t>
    </rPh>
    <rPh sb="15" eb="19">
      <t>イケダカカリチョウ</t>
    </rPh>
    <rPh sb="20" eb="22">
      <t>ウチダ</t>
    </rPh>
    <rPh sb="22" eb="24">
      <t>シュニン</t>
    </rPh>
    <rPh sb="25" eb="27">
      <t>スギウラ</t>
    </rPh>
    <rPh sb="27" eb="29">
      <t>シュニン</t>
    </rPh>
    <phoneticPr fontId="1"/>
  </si>
  <si>
    <t>小澤工場長、新木係長、豊國係長</t>
    <rPh sb="0" eb="2">
      <t>オザワ</t>
    </rPh>
    <rPh sb="2" eb="5">
      <t>コウジョウチョウ</t>
    </rPh>
    <rPh sb="6" eb="7">
      <t>シン</t>
    </rPh>
    <rPh sb="7" eb="8">
      <t>キ</t>
    </rPh>
    <rPh sb="8" eb="10">
      <t>カカリチョウ</t>
    </rPh>
    <rPh sb="11" eb="12">
      <t>トヨ</t>
    </rPh>
    <rPh sb="12" eb="15">
      <t>クニカカリチョウ</t>
    </rPh>
    <phoneticPr fontId="1"/>
  </si>
  <si>
    <t>７８期</t>
    <rPh sb="2" eb="3">
      <t>キ</t>
    </rPh>
    <phoneticPr fontId="1"/>
  </si>
  <si>
    <t>退職</t>
    <rPh sb="0" eb="2">
      <t>タイショク</t>
    </rPh>
    <phoneticPr fontId="1"/>
  </si>
  <si>
    <t>白石、山本、岡本</t>
    <rPh sb="0" eb="2">
      <t>シライシ</t>
    </rPh>
    <rPh sb="3" eb="5">
      <t>ヤマモト</t>
    </rPh>
    <rPh sb="6" eb="8">
      <t>オカモト</t>
    </rPh>
    <phoneticPr fontId="1"/>
  </si>
  <si>
    <t>山本</t>
    <rPh sb="0" eb="2">
      <t>ヤマモト</t>
    </rPh>
    <phoneticPr fontId="1"/>
  </si>
  <si>
    <t>坂本係長、松本主任</t>
    <rPh sb="0" eb="2">
      <t>サカモト</t>
    </rPh>
    <rPh sb="2" eb="4">
      <t>カカリチョウ</t>
    </rPh>
    <rPh sb="5" eb="7">
      <t>マツモト</t>
    </rPh>
    <rPh sb="7" eb="9">
      <t>シュニン</t>
    </rPh>
    <phoneticPr fontId="1"/>
  </si>
  <si>
    <t>白石（東大阪へ）</t>
    <rPh sb="0" eb="2">
      <t>シライシ</t>
    </rPh>
    <rPh sb="3" eb="6">
      <t>ヒガシオオサカ</t>
    </rPh>
    <phoneticPr fontId="1"/>
  </si>
  <si>
    <t>田中（パート）</t>
    <rPh sb="0" eb="2">
      <t>タナカ</t>
    </rPh>
    <phoneticPr fontId="1"/>
  </si>
  <si>
    <t>山本（南港へ）</t>
    <rPh sb="0" eb="2">
      <t>ヤマモト</t>
    </rPh>
    <rPh sb="3" eb="5">
      <t>ナンコウ</t>
    </rPh>
    <phoneticPr fontId="1"/>
  </si>
  <si>
    <t>信治</t>
    <rPh sb="0" eb="2">
      <t>ノブジ</t>
    </rPh>
    <phoneticPr fontId="1"/>
  </si>
  <si>
    <t>秋月</t>
    <rPh sb="0" eb="2">
      <t>アキツキ</t>
    </rPh>
    <phoneticPr fontId="1"/>
  </si>
  <si>
    <t>豊國（東大阪へ） 白石・山本（本社へ）</t>
    <rPh sb="0" eb="1">
      <t>トヨ</t>
    </rPh>
    <rPh sb="1" eb="2">
      <t>クニ</t>
    </rPh>
    <rPh sb="3" eb="6">
      <t>ヒガシオオサカ</t>
    </rPh>
    <rPh sb="9" eb="11">
      <t>シライシ</t>
    </rPh>
    <rPh sb="12" eb="14">
      <t>ヤマモト</t>
    </rPh>
    <rPh sb="15" eb="17">
      <t>ホンシャ</t>
    </rPh>
    <phoneticPr fontId="1"/>
  </si>
  <si>
    <t>小室（～３末）</t>
    <rPh sb="0" eb="2">
      <t>コムロ</t>
    </rPh>
    <rPh sb="5" eb="6">
      <t>マツ</t>
    </rPh>
    <phoneticPr fontId="1"/>
  </si>
  <si>
    <t>中（～２末）</t>
    <rPh sb="0" eb="1">
      <t>ナカ</t>
    </rPh>
    <rPh sb="4" eb="5">
      <t>マツ</t>
    </rPh>
    <phoneticPr fontId="1"/>
  </si>
  <si>
    <t>内山（～４末）</t>
    <rPh sb="0" eb="2">
      <t>ウチヤマ</t>
    </rPh>
    <rPh sb="5" eb="6">
      <t>マツ</t>
    </rPh>
    <phoneticPr fontId="1"/>
  </si>
  <si>
    <t>我妻 寺嶋
大藤</t>
    <rPh sb="0" eb="2">
      <t>アズマ</t>
    </rPh>
    <rPh sb="3" eb="5">
      <t>テラシマ</t>
    </rPh>
    <rPh sb="6" eb="8">
      <t>オオフジ</t>
    </rPh>
    <phoneticPr fontId="1"/>
  </si>
  <si>
    <t>竹村課長、小家係長、山口係長、吉田主任、山崎係長</t>
    <rPh sb="0" eb="2">
      <t>タケムラ</t>
    </rPh>
    <rPh sb="2" eb="3">
      <t>カ</t>
    </rPh>
    <rPh sb="3" eb="4">
      <t>チョウ</t>
    </rPh>
    <rPh sb="5" eb="6">
      <t>コ</t>
    </rPh>
    <rPh sb="6" eb="7">
      <t>ヤ</t>
    </rPh>
    <rPh sb="7" eb="9">
      <t>カカリチョウ</t>
    </rPh>
    <rPh sb="10" eb="12">
      <t>ヤマグチ</t>
    </rPh>
    <rPh sb="12" eb="14">
      <t>カカリチョウ</t>
    </rPh>
    <rPh sb="15" eb="17">
      <t>ヨシダ</t>
    </rPh>
    <rPh sb="17" eb="19">
      <t>シュニン</t>
    </rPh>
    <rPh sb="20" eb="24">
      <t>ヤマザキカカリチョウ</t>
    </rPh>
    <phoneticPr fontId="1"/>
  </si>
  <si>
    <t>７９期</t>
    <rPh sb="2" eb="3">
      <t>キ</t>
    </rPh>
    <phoneticPr fontId="1"/>
  </si>
  <si>
    <t>大濱（三幸Ｐへ）</t>
    <rPh sb="0" eb="2">
      <t>オオハマ</t>
    </rPh>
    <rPh sb="3" eb="5">
      <t>サンコウ</t>
    </rPh>
    <phoneticPr fontId="1"/>
  </si>
  <si>
    <t>田中（東京ﾊﾟｰﾄ～3/15）</t>
    <rPh sb="0" eb="2">
      <t>タナカ</t>
    </rPh>
    <rPh sb="3" eb="5">
      <t>トウキョウ</t>
    </rPh>
    <phoneticPr fontId="1"/>
  </si>
  <si>
    <t>原田</t>
    <rPh sb="0" eb="2">
      <t>ハラダ</t>
    </rPh>
    <phoneticPr fontId="1"/>
  </si>
  <si>
    <t>８０期</t>
    <rPh sb="2" eb="3">
      <t>キ</t>
    </rPh>
    <phoneticPr fontId="1"/>
  </si>
  <si>
    <t>早瀬</t>
    <rPh sb="0" eb="2">
      <t>ハヤセ</t>
    </rPh>
    <phoneticPr fontId="1"/>
  </si>
  <si>
    <t>畠平部長、川口係長、佐藤主任</t>
    <rPh sb="0" eb="2">
      <t>ハタヒラ</t>
    </rPh>
    <rPh sb="2" eb="4">
      <t>ブチョウ</t>
    </rPh>
    <rPh sb="5" eb="9">
      <t>カワグチカカリチョウ</t>
    </rPh>
    <rPh sb="10" eb="12">
      <t>サトウ</t>
    </rPh>
    <rPh sb="12" eb="14">
      <t>シュニン</t>
    </rPh>
    <phoneticPr fontId="1"/>
  </si>
  <si>
    <t>丸山（～5末）</t>
    <rPh sb="0" eb="2">
      <t>マルヤマ</t>
    </rPh>
    <rPh sb="5" eb="6">
      <t>マツ</t>
    </rPh>
    <phoneticPr fontId="1"/>
  </si>
  <si>
    <t>2017年（Ｈ29年）</t>
    <rPh sb="4" eb="5">
      <t>ネン</t>
    </rPh>
    <rPh sb="9" eb="10">
      <t>ネン</t>
    </rPh>
    <phoneticPr fontId="1"/>
  </si>
  <si>
    <t>2016年（Ｈ28年）</t>
    <rPh sb="4" eb="5">
      <t>ネン</t>
    </rPh>
    <phoneticPr fontId="1"/>
  </si>
  <si>
    <t>2015年（Ｈ27年）</t>
    <rPh sb="4" eb="5">
      <t>ネン</t>
    </rPh>
    <rPh sb="9" eb="10">
      <t>ネン</t>
    </rPh>
    <phoneticPr fontId="1"/>
  </si>
  <si>
    <t>片岡（本社へ）</t>
    <rPh sb="0" eb="2">
      <t>カタオカ</t>
    </rPh>
    <rPh sb="3" eb="5">
      <t>ホンシャ</t>
    </rPh>
    <phoneticPr fontId="1"/>
  </si>
  <si>
    <t>片岡（南港へ）</t>
    <rPh sb="0" eb="2">
      <t>カタオカ</t>
    </rPh>
    <rPh sb="3" eb="5">
      <t>ナンコウ</t>
    </rPh>
    <phoneticPr fontId="1"/>
  </si>
  <si>
    <t>6/22～芥川</t>
    <rPh sb="5" eb="7">
      <t>アクタガワ</t>
    </rPh>
    <phoneticPr fontId="1"/>
  </si>
  <si>
    <t>7/1音田休職</t>
    <rPh sb="3" eb="5">
      <t>オトダ</t>
    </rPh>
    <rPh sb="5" eb="7">
      <t>キュウショク</t>
    </rPh>
    <phoneticPr fontId="1"/>
  </si>
  <si>
    <t>音田（～７末）</t>
    <rPh sb="0" eb="2">
      <t>オトダ</t>
    </rPh>
    <rPh sb="5" eb="6">
      <t>マツ</t>
    </rPh>
    <phoneticPr fontId="1"/>
  </si>
  <si>
    <t>大藤（～６末）
芥川（～7/5）</t>
    <rPh sb="0" eb="2">
      <t>オオフジ</t>
    </rPh>
    <rPh sb="5" eb="6">
      <t>マツ</t>
    </rPh>
    <rPh sb="8" eb="10">
      <t>アクタガワ</t>
    </rPh>
    <phoneticPr fontId="1"/>
  </si>
  <si>
    <t>山本（8/1～南港工場）</t>
    <rPh sb="0" eb="2">
      <t>ヤマモト</t>
    </rPh>
    <rPh sb="7" eb="9">
      <t>ナンコウ</t>
    </rPh>
    <rPh sb="9" eb="11">
      <t>コウジョウ</t>
    </rPh>
    <phoneticPr fontId="1"/>
  </si>
  <si>
    <t>亀尾（～９末）</t>
    <rPh sb="0" eb="2">
      <t>カメオ</t>
    </rPh>
    <rPh sb="5" eb="6">
      <t>マツ</t>
    </rPh>
    <phoneticPr fontId="1"/>
  </si>
  <si>
    <t>寺島（～11/14）</t>
    <rPh sb="0" eb="2">
      <t>テラシマ</t>
    </rPh>
    <phoneticPr fontId="1"/>
  </si>
  <si>
    <t>10/16～柴田
10/30～小林</t>
    <rPh sb="6" eb="8">
      <t>シバタ</t>
    </rPh>
    <rPh sb="15" eb="17">
      <t>コバヤシ</t>
    </rPh>
    <phoneticPr fontId="1"/>
  </si>
  <si>
    <t>12/15原田</t>
    <rPh sb="5" eb="7">
      <t>ハラダ</t>
    </rPh>
    <phoneticPr fontId="1"/>
  </si>
  <si>
    <t>12/18鶴田・小山内</t>
    <rPh sb="5" eb="7">
      <t>ツルタ</t>
    </rPh>
    <rPh sb="8" eb="11">
      <t>オサナイ</t>
    </rPh>
    <phoneticPr fontId="1"/>
  </si>
  <si>
    <t>1/16小林</t>
    <rPh sb="4" eb="6">
      <t>コバヤシ</t>
    </rPh>
    <phoneticPr fontId="1"/>
  </si>
  <si>
    <t>山本（～3末）</t>
    <rPh sb="0" eb="2">
      <t>ヤマモト</t>
    </rPh>
    <rPh sb="5" eb="6">
      <t>マツ</t>
    </rPh>
    <phoneticPr fontId="1"/>
  </si>
  <si>
    <t>3/9我妻</t>
    <rPh sb="3" eb="5">
      <t>アヅマ</t>
    </rPh>
    <phoneticPr fontId="1"/>
  </si>
  <si>
    <t>船井・霜鳥（4/2～）</t>
    <rPh sb="0" eb="2">
      <t>フナイ</t>
    </rPh>
    <rPh sb="3" eb="5">
      <t>シモトリ</t>
    </rPh>
    <phoneticPr fontId="1"/>
  </si>
  <si>
    <t>信治（5末）
白石（5末）</t>
    <rPh sb="0" eb="1">
      <t>ノブ</t>
    </rPh>
    <rPh sb="1" eb="2">
      <t>ナオ</t>
    </rPh>
    <rPh sb="4" eb="5">
      <t>マツ</t>
    </rPh>
    <rPh sb="7" eb="9">
      <t>シライシ</t>
    </rPh>
    <rPh sb="11" eb="12">
      <t>マツ</t>
    </rPh>
    <phoneticPr fontId="1"/>
  </si>
  <si>
    <t>錺（7/1-休職）</t>
    <rPh sb="0" eb="1">
      <t>カザリ</t>
    </rPh>
    <rPh sb="6" eb="8">
      <t>キュウショク</t>
    </rPh>
    <phoneticPr fontId="1"/>
  </si>
  <si>
    <t>野々村（有期）5/1～</t>
    <rPh sb="0" eb="3">
      <t>ノノムラ</t>
    </rPh>
    <rPh sb="4" eb="6">
      <t>ユウキ</t>
    </rPh>
    <phoneticPr fontId="1"/>
  </si>
  <si>
    <t>大浦（有期）7/1-</t>
    <rPh sb="0" eb="2">
      <t>オオウラ</t>
    </rPh>
    <rPh sb="3" eb="5">
      <t>ユウキ</t>
    </rPh>
    <phoneticPr fontId="1"/>
  </si>
  <si>
    <t>野々村8/1-正社員</t>
    <rPh sb="0" eb="3">
      <t>ノノムラ</t>
    </rPh>
    <rPh sb="7" eb="10">
      <t>セイシャイン</t>
    </rPh>
    <phoneticPr fontId="1"/>
  </si>
  <si>
    <t>錺（8/30）</t>
    <rPh sb="0" eb="1">
      <t>カザリ</t>
    </rPh>
    <phoneticPr fontId="1"/>
  </si>
  <si>
    <t>霜鳥（9/29）</t>
    <rPh sb="0" eb="2">
      <t>シモトリ</t>
    </rPh>
    <phoneticPr fontId="1"/>
  </si>
  <si>
    <t>大浦10/1～正社員</t>
    <rPh sb="0" eb="2">
      <t>オオウラ</t>
    </rPh>
    <rPh sb="7" eb="10">
      <t>セイシャイン</t>
    </rPh>
    <phoneticPr fontId="1"/>
  </si>
  <si>
    <t>奥田（3/18～産休）</t>
    <rPh sb="0" eb="2">
      <t>オクダ</t>
    </rPh>
    <rPh sb="8" eb="10">
      <t>サンキュウ</t>
    </rPh>
    <phoneticPr fontId="1"/>
  </si>
  <si>
    <t>深井（4/1～パート→正社員）</t>
    <rPh sb="0" eb="2">
      <t>フカイ</t>
    </rPh>
    <rPh sb="11" eb="14">
      <t>セイシャイン</t>
    </rPh>
    <phoneticPr fontId="1"/>
  </si>
  <si>
    <t>北野（10/1本社営業→南港事務へ）</t>
    <rPh sb="7" eb="11">
      <t>ホンシャエイギョウ</t>
    </rPh>
    <rPh sb="12" eb="14">
      <t>ナンコウ</t>
    </rPh>
    <rPh sb="14" eb="16">
      <t>ジム</t>
    </rPh>
    <phoneticPr fontId="1"/>
  </si>
  <si>
    <t>2018年（Ｈ30年）</t>
    <rPh sb="4" eb="5">
      <t>ネン</t>
    </rPh>
    <rPh sb="9" eb="10">
      <t>ネン</t>
    </rPh>
    <phoneticPr fontId="1"/>
  </si>
  <si>
    <t>2019年（Ｈ31年・R1年）</t>
    <rPh sb="4" eb="5">
      <t>ネン</t>
    </rPh>
    <rPh sb="9" eb="10">
      <t>ネン</t>
    </rPh>
    <rPh sb="13" eb="14">
      <t>ネン</t>
    </rPh>
    <phoneticPr fontId="1"/>
  </si>
  <si>
    <t>野々村（5月末）</t>
    <rPh sb="0" eb="3">
      <t>ノノムラ</t>
    </rPh>
    <rPh sb="5" eb="7">
      <t>ガツマツ</t>
    </rPh>
    <phoneticPr fontId="1"/>
  </si>
  <si>
    <t>～4/19小山内
4/25武田輝子死去</t>
    <rPh sb="5" eb="8">
      <t>オサナイ</t>
    </rPh>
    <rPh sb="13" eb="17">
      <t>タケダテルコ</t>
    </rPh>
    <rPh sb="17" eb="19">
      <t>シキョ</t>
    </rPh>
    <phoneticPr fontId="1"/>
  </si>
  <si>
    <t>竹村次長、坂本課長、村上係長、三幸P吉田係長</t>
    <rPh sb="0" eb="4">
      <t>タケムラジチョウ</t>
    </rPh>
    <rPh sb="5" eb="9">
      <t>サカモトカチョウ</t>
    </rPh>
    <rPh sb="10" eb="14">
      <t>ムラカミカカリチョウ</t>
    </rPh>
    <rPh sb="15" eb="17">
      <t>サンコウ</t>
    </rPh>
    <rPh sb="18" eb="20">
      <t>ヨシダ</t>
    </rPh>
    <rPh sb="20" eb="22">
      <t>カカリチョウ</t>
    </rPh>
    <phoneticPr fontId="1"/>
  </si>
  <si>
    <t>倉元（東大阪へ）
竹原（南港へ）</t>
    <rPh sb="0" eb="2">
      <t>クラモト</t>
    </rPh>
    <rPh sb="3" eb="6">
      <t>ヒガシオオサカ</t>
    </rPh>
    <rPh sb="9" eb="11">
      <t>タケハラ</t>
    </rPh>
    <rPh sb="12" eb="14">
      <t>ナンコウ</t>
    </rPh>
    <phoneticPr fontId="1"/>
  </si>
  <si>
    <t>早瀬（6月末）</t>
    <rPh sb="0" eb="2">
      <t>ハヤセ</t>
    </rPh>
    <rPh sb="4" eb="6">
      <t>ガツマツ</t>
    </rPh>
    <phoneticPr fontId="1"/>
  </si>
  <si>
    <t>佐藤正夫（南港工場）7/1～
小太刀（東京工場）7/16～</t>
    <rPh sb="0" eb="2">
      <t>サトウ</t>
    </rPh>
    <rPh sb="2" eb="4">
      <t>マサオ</t>
    </rPh>
    <rPh sb="5" eb="7">
      <t>ナンコウ</t>
    </rPh>
    <rPh sb="7" eb="9">
      <t>コウジョウ</t>
    </rPh>
    <rPh sb="15" eb="18">
      <t>コダチ</t>
    </rPh>
    <rPh sb="19" eb="21">
      <t>トウキョウ</t>
    </rPh>
    <rPh sb="21" eb="23">
      <t>コウジョウ</t>
    </rPh>
    <phoneticPr fontId="1"/>
  </si>
  <si>
    <t>倉元・竹原（営業へ）</t>
    <rPh sb="6" eb="8">
      <t>エイギョウ</t>
    </rPh>
    <phoneticPr fontId="1"/>
  </si>
  <si>
    <t>８1期</t>
    <rPh sb="2" eb="3">
      <t>キ</t>
    </rPh>
    <phoneticPr fontId="1"/>
  </si>
  <si>
    <t>82期</t>
    <rPh sb="2" eb="3">
      <t>キ</t>
    </rPh>
    <phoneticPr fontId="1"/>
  </si>
  <si>
    <t>～8/28小太刀</t>
    <rPh sb="5" eb="8">
      <t>コダチ</t>
    </rPh>
    <phoneticPr fontId="1"/>
  </si>
  <si>
    <t>9/1～畠山</t>
    <rPh sb="4" eb="6">
      <t>ハタケヤマ</t>
    </rPh>
    <phoneticPr fontId="1"/>
  </si>
  <si>
    <t>～9/11畠山</t>
    <phoneticPr fontId="1"/>
  </si>
  <si>
    <t>11/25～小関（パート）</t>
    <rPh sb="6" eb="8">
      <t>コセキ</t>
    </rPh>
    <phoneticPr fontId="1"/>
  </si>
  <si>
    <t>12/4～藤本</t>
    <rPh sb="5" eb="7">
      <t>フジモト</t>
    </rPh>
    <phoneticPr fontId="1"/>
  </si>
  <si>
    <t>～3/11藤本
～3/19飯塚桜</t>
    <rPh sb="5" eb="7">
      <t>フジモト</t>
    </rPh>
    <rPh sb="13" eb="15">
      <t>イイヅカ</t>
    </rPh>
    <rPh sb="15" eb="16">
      <t>サクラ</t>
    </rPh>
    <phoneticPr fontId="1"/>
  </si>
  <si>
    <t>4/1～池ヶ谷
4/1～飯塚理彩</t>
    <rPh sb="4" eb="7">
      <t>イケガヤ</t>
    </rPh>
    <rPh sb="12" eb="14">
      <t>イイヅカ</t>
    </rPh>
    <rPh sb="14" eb="16">
      <t>リサ</t>
    </rPh>
    <phoneticPr fontId="1"/>
  </si>
  <si>
    <t>4/1～安藤パート</t>
    <rPh sb="4" eb="6">
      <t>アンドウ</t>
    </rPh>
    <phoneticPr fontId="1"/>
  </si>
  <si>
    <t>2020年（R2年）</t>
    <rPh sb="4" eb="5">
      <t>ネン</t>
    </rPh>
    <rPh sb="8" eb="9">
      <t>ネン</t>
    </rPh>
    <phoneticPr fontId="1"/>
  </si>
  <si>
    <t>6/1～河内パート</t>
    <rPh sb="4" eb="6">
      <t>カワチ</t>
    </rPh>
    <phoneticPr fontId="1"/>
  </si>
  <si>
    <t>徳本部長、竹村部長、伊藤係長、山崎課長</t>
    <rPh sb="0" eb="2">
      <t>トクモト</t>
    </rPh>
    <rPh sb="2" eb="4">
      <t>ブチョウ</t>
    </rPh>
    <rPh sb="5" eb="7">
      <t>タケムラ</t>
    </rPh>
    <rPh sb="7" eb="9">
      <t>ブチョウ</t>
    </rPh>
    <rPh sb="10" eb="12">
      <t>イトウ</t>
    </rPh>
    <rPh sb="12" eb="14">
      <t>カカリチョウ</t>
    </rPh>
    <rPh sb="15" eb="17">
      <t>ヤマザキ</t>
    </rPh>
    <rPh sb="17" eb="19">
      <t>カチョウ</t>
    </rPh>
    <phoneticPr fontId="1"/>
  </si>
  <si>
    <t>～7/31 岡本</t>
    <phoneticPr fontId="1"/>
  </si>
  <si>
    <t>～9/30　岡</t>
    <phoneticPr fontId="1"/>
  </si>
  <si>
    <t>36期</t>
    <rPh sb="2" eb="3">
      <t>キ</t>
    </rPh>
    <phoneticPr fontId="1"/>
  </si>
  <si>
    <t>三幸プロダクツ</t>
    <rPh sb="0" eb="2">
      <t>サンコウ</t>
    </rPh>
    <phoneticPr fontId="1"/>
  </si>
  <si>
    <t>37期</t>
    <rPh sb="2" eb="3">
      <t>キ</t>
    </rPh>
    <phoneticPr fontId="1"/>
  </si>
  <si>
    <t>～1/31　市村退職</t>
    <rPh sb="6" eb="8">
      <t>イチムラ</t>
    </rPh>
    <rPh sb="8" eb="10">
      <t>タイショク</t>
    </rPh>
    <phoneticPr fontId="2"/>
  </si>
  <si>
    <t>※武田社長・山下取締役含む</t>
    <phoneticPr fontId="2"/>
  </si>
  <si>
    <t>派遣</t>
    <rPh sb="0" eb="2">
      <t>ハケン</t>
    </rPh>
    <phoneticPr fontId="2"/>
  </si>
  <si>
    <t>黒田・遊見</t>
    <rPh sb="3" eb="5">
      <t>スサミ</t>
    </rPh>
    <phoneticPr fontId="2"/>
  </si>
  <si>
    <t>5/13～福田
5/20～？田中マユミ</t>
    <rPh sb="14" eb="16">
      <t>タナカ</t>
    </rPh>
    <phoneticPr fontId="1"/>
  </si>
  <si>
    <t>倉元（南港研修）・竹原（東大阪研修）・菅・船吉・飯塚桜4/1～
武田雅美（監査役）</t>
    <rPh sb="0" eb="2">
      <t>クラモト</t>
    </rPh>
    <rPh sb="3" eb="5">
      <t>ナンコウ</t>
    </rPh>
    <rPh sb="5" eb="7">
      <t>ケンシュウ</t>
    </rPh>
    <rPh sb="9" eb="11">
      <t>タケハラ</t>
    </rPh>
    <rPh sb="12" eb="13">
      <t>ヒガシ</t>
    </rPh>
    <rPh sb="13" eb="15">
      <t>オオサカ</t>
    </rPh>
    <rPh sb="15" eb="17">
      <t>ケンシュウ</t>
    </rPh>
    <rPh sb="19" eb="20">
      <t>カン</t>
    </rPh>
    <rPh sb="21" eb="23">
      <t>フナヨシ</t>
    </rPh>
    <rPh sb="24" eb="26">
      <t>イイヅカ</t>
    </rPh>
    <rPh sb="26" eb="27">
      <t>サクラ</t>
    </rPh>
    <rPh sb="32" eb="34">
      <t>タケダ</t>
    </rPh>
    <rPh sb="34" eb="36">
      <t>マサミ</t>
    </rPh>
    <rPh sb="37" eb="40">
      <t>カンサヤク</t>
    </rPh>
    <phoneticPr fontId="1"/>
  </si>
  <si>
    <t>4/1～　齋藤　課長（遠藤製作所　工場長）</t>
    <phoneticPr fontId="2"/>
  </si>
  <si>
    <t>5/10～　鈴木祐介</t>
    <rPh sb="6" eb="8">
      <t>スズキ</t>
    </rPh>
    <rPh sb="8" eb="9">
      <t>ユウ</t>
    </rPh>
    <rPh sb="9" eb="10">
      <t>スケ</t>
    </rPh>
    <phoneticPr fontId="1"/>
  </si>
  <si>
    <t>83期</t>
    <rPh sb="2" eb="3">
      <t>キ</t>
    </rPh>
    <phoneticPr fontId="1"/>
  </si>
  <si>
    <t>84期</t>
    <rPh sb="2" eb="3">
      <t>キ</t>
    </rPh>
    <phoneticPr fontId="1"/>
  </si>
  <si>
    <t>2021年（R3年）</t>
    <phoneticPr fontId="1"/>
  </si>
  <si>
    <t>片岡係長、大野課長、杉浦係長（旧：主任）、吉田係長（旧：主任）</t>
    <rPh sb="0" eb="2">
      <t>カタオカ</t>
    </rPh>
    <rPh sb="2" eb="4">
      <t>カカリチョウ</t>
    </rPh>
    <rPh sb="5" eb="7">
      <t>オオノ</t>
    </rPh>
    <rPh sb="7" eb="9">
      <t>カチョウ</t>
    </rPh>
    <phoneticPr fontId="1"/>
  </si>
  <si>
    <t>新羽（6月末）</t>
    <rPh sb="0" eb="2">
      <t>ニワ</t>
    </rPh>
    <rPh sb="4" eb="6">
      <t>ガツマツ</t>
    </rPh>
    <phoneticPr fontId="2"/>
  </si>
  <si>
    <t>大野さん山下さん9月で2年</t>
    <rPh sb="0" eb="2">
      <t>オオノ</t>
    </rPh>
    <rPh sb="4" eb="6">
      <t>ヤマシタ</t>
    </rPh>
    <rPh sb="9" eb="10">
      <t>ガツ</t>
    </rPh>
    <rPh sb="12" eb="13">
      <t>ネン</t>
    </rPh>
    <phoneticPr fontId="2"/>
  </si>
  <si>
    <t>明松</t>
    <rPh sb="0" eb="2">
      <t>アケマツ</t>
    </rPh>
    <phoneticPr fontId="2"/>
  </si>
  <si>
    <t>吉村</t>
    <rPh sb="0" eb="2">
      <t>ヨシムラ</t>
    </rPh>
    <phoneticPr fontId="2"/>
  </si>
  <si>
    <t>9/21～　派遣　小園貴志</t>
    <rPh sb="6" eb="8">
      <t>ハケン</t>
    </rPh>
    <rPh sb="9" eb="11">
      <t>コゾノ</t>
    </rPh>
    <rPh sb="11" eb="12">
      <t>タカシ</t>
    </rPh>
    <rPh sb="12" eb="13">
      <t>シ</t>
    </rPh>
    <phoneticPr fontId="1"/>
  </si>
  <si>
    <t>10/25～　古跡</t>
    <rPh sb="7" eb="9">
      <t>コセキ</t>
    </rPh>
    <phoneticPr fontId="1"/>
  </si>
  <si>
    <t>～9/30　船井</t>
    <phoneticPr fontId="1"/>
  </si>
  <si>
    <t>～9/29　鶴田</t>
    <rPh sb="6" eb="8">
      <t>ツルタ</t>
    </rPh>
    <phoneticPr fontId="1"/>
  </si>
  <si>
    <t>～10/20　派遣　小園貴志</t>
    <phoneticPr fontId="1"/>
  </si>
  <si>
    <t>11/1～　長島</t>
    <rPh sb="6" eb="8">
      <t>ナガシマ</t>
    </rPh>
    <phoneticPr fontId="1"/>
  </si>
  <si>
    <t>～1/31佐藤正夫</t>
    <rPh sb="5" eb="7">
      <t>サトウ</t>
    </rPh>
    <rPh sb="7" eb="9">
      <t>マサオ</t>
    </rPh>
    <phoneticPr fontId="1"/>
  </si>
  <si>
    <t>～3/31　川口朋之</t>
    <rPh sb="6" eb="8">
      <t>カワグチ</t>
    </rPh>
    <rPh sb="8" eb="10">
      <t>トモユキ</t>
    </rPh>
    <phoneticPr fontId="1"/>
  </si>
  <si>
    <t>～3/31　鈴木</t>
    <rPh sb="6" eb="8">
      <t>スズキ</t>
    </rPh>
    <phoneticPr fontId="2"/>
  </si>
  <si>
    <t>2/16～18　山﨑心翔アルバイト</t>
    <rPh sb="8" eb="10">
      <t>ヤマサキ</t>
    </rPh>
    <rPh sb="10" eb="11">
      <t>ココロ</t>
    </rPh>
    <rPh sb="11" eb="12">
      <t>ト</t>
    </rPh>
    <phoneticPr fontId="1"/>
  </si>
  <si>
    <t>三幸P吉田課長（工場長）</t>
    <rPh sb="5" eb="7">
      <t>カチョウ</t>
    </rPh>
    <rPh sb="8" eb="11">
      <t>コウジョウチョウ</t>
    </rPh>
    <phoneticPr fontId="1"/>
  </si>
  <si>
    <t>4/1～　吉田工場長（課長）</t>
    <rPh sb="5" eb="7">
      <t>ヨシダ</t>
    </rPh>
    <rPh sb="7" eb="10">
      <t>コウジョウチョウ</t>
    </rPh>
    <rPh sb="11" eb="13">
      <t>カチョウ</t>
    </rPh>
    <phoneticPr fontId="2"/>
  </si>
  <si>
    <t>4/1～　永田</t>
    <rPh sb="5" eb="7">
      <t>ナガタ</t>
    </rPh>
    <phoneticPr fontId="2"/>
  </si>
  <si>
    <t>4/1　石井、大﨑、片岡隼人、川村将大</t>
    <rPh sb="4" eb="6">
      <t>イシイ</t>
    </rPh>
    <rPh sb="7" eb="8">
      <t>オオ</t>
    </rPh>
    <rPh sb="8" eb="9">
      <t>サキ</t>
    </rPh>
    <rPh sb="10" eb="12">
      <t>カタオカ</t>
    </rPh>
    <rPh sb="12" eb="14">
      <t>ハヤト</t>
    </rPh>
    <rPh sb="15" eb="17">
      <t>カワムラ</t>
    </rPh>
    <rPh sb="17" eb="19">
      <t>マサヒロ</t>
    </rPh>
    <phoneticPr fontId="1"/>
  </si>
  <si>
    <t>2022年（R4年）</t>
    <phoneticPr fontId="1"/>
  </si>
  <si>
    <t>～5/31　小関（パート）</t>
    <rPh sb="6" eb="8">
      <t>コセキ</t>
    </rPh>
    <phoneticPr fontId="1"/>
  </si>
  <si>
    <t>～5/20　大西</t>
    <rPh sb="6" eb="8">
      <t>オオニシ</t>
    </rPh>
    <phoneticPr fontId="2"/>
  </si>
  <si>
    <t>新木課長、小家課長、豊国課長、秋月主任、木下主任、武田圭司主任、三幸P岡島主任</t>
    <rPh sb="0" eb="2">
      <t>シンキ</t>
    </rPh>
    <rPh sb="2" eb="4">
      <t>カチョウ</t>
    </rPh>
    <rPh sb="5" eb="6">
      <t>コ</t>
    </rPh>
    <rPh sb="6" eb="7">
      <t>ヤ</t>
    </rPh>
    <rPh sb="7" eb="9">
      <t>カチョウ</t>
    </rPh>
    <rPh sb="10" eb="12">
      <t>トヨクニ</t>
    </rPh>
    <rPh sb="12" eb="14">
      <t>カチョウ</t>
    </rPh>
    <rPh sb="15" eb="17">
      <t>アキヅキ</t>
    </rPh>
    <rPh sb="17" eb="19">
      <t>シュニン</t>
    </rPh>
    <rPh sb="20" eb="22">
      <t>キノシタ</t>
    </rPh>
    <rPh sb="22" eb="24">
      <t>シュニン</t>
    </rPh>
    <rPh sb="25" eb="27">
      <t>タケダ</t>
    </rPh>
    <rPh sb="27" eb="29">
      <t>ケイジ</t>
    </rPh>
    <rPh sb="29" eb="31">
      <t>シュニン</t>
    </rPh>
    <rPh sb="32" eb="34">
      <t>サンコウ</t>
    </rPh>
    <rPh sb="35" eb="37">
      <t>オカジマ</t>
    </rPh>
    <rPh sb="37" eb="39">
      <t>シュニン</t>
    </rPh>
    <phoneticPr fontId="1"/>
  </si>
  <si>
    <t>38期</t>
    <rPh sb="2" eb="3">
      <t>キ</t>
    </rPh>
    <phoneticPr fontId="1"/>
  </si>
  <si>
    <t>5/10～　神野</t>
    <phoneticPr fontId="2"/>
  </si>
  <si>
    <t>三幸P岡島主任</t>
    <phoneticPr fontId="2"/>
  </si>
  <si>
    <t>東大阪工場</t>
    <rPh sb="0" eb="3">
      <t>ヒガシオオサカ</t>
    </rPh>
    <rPh sb="3" eb="5">
      <t>コウジョウ</t>
    </rPh>
    <phoneticPr fontId="1"/>
  </si>
  <si>
    <t>守口工場</t>
    <rPh sb="0" eb="2">
      <t>モリグチ</t>
    </rPh>
    <rPh sb="2" eb="4">
      <t>コウジョウ</t>
    </rPh>
    <phoneticPr fontId="2"/>
  </si>
  <si>
    <t>～6/30　中村（守口）</t>
    <rPh sb="6" eb="8">
      <t>ナカムラ</t>
    </rPh>
    <rPh sb="9" eb="11">
      <t>モリグチ</t>
    </rPh>
    <phoneticPr fontId="2"/>
  </si>
  <si>
    <t>ハン、フー</t>
    <phoneticPr fontId="2"/>
  </si>
  <si>
    <t>6/27～　豊嶋（東京パート）</t>
    <rPh sb="6" eb="8">
      <t>トヨシマ</t>
    </rPh>
    <rPh sb="9" eb="11">
      <t>トウキョウ</t>
    </rPh>
    <phoneticPr fontId="1"/>
  </si>
  <si>
    <t>出向
石丸直樹（継続）、豊國光成、柴田　航、石隈千里、河野美香</t>
    <rPh sb="0" eb="2">
      <t>シュッコウ</t>
    </rPh>
    <phoneticPr fontId="1"/>
  </si>
  <si>
    <t>～7/13？　遊見</t>
    <rPh sb="7" eb="9">
      <t>スサミ</t>
    </rPh>
    <phoneticPr fontId="2"/>
  </si>
  <si>
    <t>武田、山下、田渕</t>
    <rPh sb="0" eb="2">
      <t>タケダ</t>
    </rPh>
    <rPh sb="3" eb="5">
      <t>ヤマシタ</t>
    </rPh>
    <rPh sb="6" eb="8">
      <t>タブチ</t>
    </rPh>
    <phoneticPr fontId="2"/>
  </si>
  <si>
    <t>～8/31　豊嶋</t>
    <rPh sb="6" eb="8">
      <t>トヨシマ</t>
    </rPh>
    <phoneticPr fontId="1"/>
  </si>
  <si>
    <t>9/1～　（パート）ベトナム人3人</t>
    <rPh sb="14" eb="15">
      <t>ジン</t>
    </rPh>
    <rPh sb="16" eb="17">
      <t>ニン</t>
    </rPh>
    <phoneticPr fontId="1"/>
  </si>
  <si>
    <t>～10/31　阪田</t>
    <rPh sb="7" eb="9">
      <t>サカタ</t>
    </rPh>
    <phoneticPr fontId="2"/>
  </si>
  <si>
    <t>11/1～　山本</t>
    <rPh sb="6" eb="8">
      <t>ヤマモト</t>
    </rPh>
    <phoneticPr fontId="2"/>
  </si>
  <si>
    <t>11/2～　和田（東京パート）</t>
    <rPh sb="6" eb="8">
      <t>ワダ</t>
    </rPh>
    <rPh sb="9" eb="11">
      <t>トウキョウ</t>
    </rPh>
    <phoneticPr fontId="1"/>
  </si>
  <si>
    <t>8/1～　山田怜</t>
    <phoneticPr fontId="2"/>
  </si>
  <si>
    <t>12/8～　大根田</t>
    <rPh sb="6" eb="9">
      <t>オオネダ</t>
    </rPh>
    <phoneticPr fontId="1"/>
  </si>
  <si>
    <t>～12/31　川村将大</t>
    <rPh sb="7" eb="9">
      <t>カワムラ</t>
    </rPh>
    <rPh sb="9" eb="11">
      <t>マサヒロ</t>
    </rPh>
    <phoneticPr fontId="1"/>
  </si>
  <si>
    <t>～1/13　和田（東京パート）</t>
    <phoneticPr fontId="1"/>
  </si>
  <si>
    <t>～1/31　古跡</t>
    <rPh sb="6" eb="8">
      <t>コセキ</t>
    </rPh>
    <phoneticPr fontId="1"/>
  </si>
  <si>
    <t>3/6～　齋藤由美（東京パート）</t>
    <rPh sb="5" eb="7">
      <t>サイトウ</t>
    </rPh>
    <rPh sb="7" eb="9">
      <t>ユミ</t>
    </rPh>
    <rPh sb="10" eb="12">
      <t>トウキョウ</t>
    </rPh>
    <phoneticPr fontId="1"/>
  </si>
  <si>
    <t>今村（東大阪研修）</t>
    <rPh sb="3" eb="6">
      <t>ヒガシオオサカ</t>
    </rPh>
    <phoneticPr fontId="1"/>
  </si>
  <si>
    <t>～3/8　田中マユミ</t>
    <rPh sb="5" eb="7">
      <t>タナカ</t>
    </rPh>
    <phoneticPr fontId="1"/>
  </si>
  <si>
    <t>黒田・吉村</t>
    <phoneticPr fontId="2"/>
  </si>
  <si>
    <t>4/1～　大橋このみ</t>
    <rPh sb="5" eb="7">
      <t>オオハシ</t>
    </rPh>
    <phoneticPr fontId="2"/>
  </si>
  <si>
    <t>今村（南港研修）、角野、橋本（東京パート）</t>
    <rPh sb="0" eb="2">
      <t>イマムラ</t>
    </rPh>
    <rPh sb="3" eb="5">
      <t>ナンコウ</t>
    </rPh>
    <rPh sb="5" eb="7">
      <t>ケンシュウ</t>
    </rPh>
    <rPh sb="9" eb="11">
      <t>カドノ</t>
    </rPh>
    <rPh sb="12" eb="14">
      <t>ハシモト</t>
    </rPh>
    <rPh sb="15" eb="17">
      <t>トウキョウ</t>
    </rPh>
    <phoneticPr fontId="1"/>
  </si>
  <si>
    <t>39期</t>
    <rPh sb="2" eb="3">
      <t>キ</t>
    </rPh>
    <phoneticPr fontId="1"/>
  </si>
  <si>
    <t>85期</t>
    <rPh sb="2" eb="3">
      <t>キ</t>
    </rPh>
    <phoneticPr fontId="1"/>
  </si>
  <si>
    <t>2023年（R5年）</t>
    <phoneticPr fontId="1"/>
  </si>
  <si>
    <t>村上（係長→課長）</t>
    <rPh sb="0" eb="2">
      <t>ムラカミ</t>
    </rPh>
    <rPh sb="3" eb="5">
      <t>カカリチョウ</t>
    </rPh>
    <rPh sb="6" eb="8">
      <t>カチョウ</t>
    </rPh>
    <phoneticPr fontId="1"/>
  </si>
  <si>
    <t>野澤（主任）</t>
    <rPh sb="0" eb="2">
      <t>ノザワ</t>
    </rPh>
    <rPh sb="3" eb="5">
      <t>シュニン</t>
    </rPh>
    <phoneticPr fontId="2"/>
  </si>
  <si>
    <t>今村（本社）
大﨑（事務→営業）</t>
    <rPh sb="3" eb="5">
      <t>ホンシャ</t>
    </rPh>
    <rPh sb="7" eb="8">
      <t>オオ</t>
    </rPh>
    <rPh sb="8" eb="9">
      <t>サキ</t>
    </rPh>
    <rPh sb="10" eb="12">
      <t>ジム</t>
    </rPh>
    <rPh sb="13" eb="15">
      <t>エイギョウ</t>
    </rPh>
    <phoneticPr fontId="1"/>
  </si>
  <si>
    <t>～5/31橋本（東京パート）</t>
    <rPh sb="5" eb="7">
      <t>ハシモト</t>
    </rPh>
    <rPh sb="8" eb="10">
      <t>トウキョウ</t>
    </rPh>
    <phoneticPr fontId="1"/>
  </si>
  <si>
    <t>6/5～勝野（東京パート）</t>
    <rPh sb="4" eb="6">
      <t>カツノ</t>
    </rPh>
    <rPh sb="7" eb="9">
      <t>トウキョウ</t>
    </rPh>
    <phoneticPr fontId="1"/>
  </si>
  <si>
    <t>黒田</t>
    <phoneticPr fontId="2"/>
  </si>
  <si>
    <t>7/5～　野澤（守口→東大阪）</t>
    <rPh sb="5" eb="7">
      <t>ノザワ</t>
    </rPh>
    <rPh sb="8" eb="10">
      <t>モリグチ</t>
    </rPh>
    <rPh sb="11" eb="14">
      <t>ヒガシオオサカ</t>
    </rPh>
    <phoneticPr fontId="2"/>
  </si>
  <si>
    <t>出向
石丸直樹（継続）、豊國光成、柴田　航、石隈千里、河野美香、片岡隼人</t>
    <rPh sb="0" eb="2">
      <t>シュッコウ</t>
    </rPh>
    <rPh sb="32" eb="34">
      <t>カタオカ</t>
    </rPh>
    <rPh sb="34" eb="36">
      <t>ハヤト</t>
    </rPh>
    <phoneticPr fontId="1"/>
  </si>
  <si>
    <t>～7/14勝野（東京パート）</t>
    <rPh sb="5" eb="7">
      <t>カツノ</t>
    </rPh>
    <rPh sb="8" eb="10">
      <t>トウキョウ</t>
    </rPh>
    <phoneticPr fontId="1"/>
  </si>
  <si>
    <t>8/1～吉田　、8/16～見滝（東京パート）</t>
    <rPh sb="4" eb="6">
      <t>ヨシダ</t>
    </rPh>
    <rPh sb="13" eb="15">
      <t>ミタキ</t>
    </rPh>
    <rPh sb="16" eb="18">
      <t>トウキョウ</t>
    </rPh>
    <phoneticPr fontId="1"/>
  </si>
  <si>
    <t>～8/15齋藤（東京パート）</t>
    <rPh sb="5" eb="7">
      <t>サイトウ</t>
    </rPh>
    <rPh sb="8" eb="10">
      <t>トウキョウ</t>
    </rPh>
    <phoneticPr fontId="1"/>
  </si>
  <si>
    <t>8/23～松本真奈美</t>
    <rPh sb="5" eb="10">
      <t>マツモトマナ</t>
    </rPh>
    <phoneticPr fontId="2"/>
  </si>
  <si>
    <t>9/1～常深</t>
    <rPh sb="4" eb="6">
      <t>ツネミ</t>
    </rPh>
    <phoneticPr fontId="2"/>
  </si>
  <si>
    <t>10/1～諸正、遠近</t>
    <rPh sb="5" eb="7">
      <t>モロマサ</t>
    </rPh>
    <rPh sb="8" eb="10">
      <t>トオチカ</t>
    </rPh>
    <phoneticPr fontId="2"/>
  </si>
  <si>
    <t>～9月末　山下
～10/30　山本</t>
    <rPh sb="2" eb="4">
      <t>ガツマツ</t>
    </rPh>
    <rPh sb="5" eb="7">
      <t>ヤマシタ</t>
    </rPh>
    <rPh sb="15" eb="17">
      <t>ヤマモト</t>
    </rPh>
    <phoneticPr fontId="2"/>
  </si>
  <si>
    <t>松原工場</t>
    <rPh sb="0" eb="2">
      <t>マツバラ</t>
    </rPh>
    <rPh sb="2" eb="4">
      <t>コウジョウ</t>
    </rPh>
    <phoneticPr fontId="2"/>
  </si>
  <si>
    <t>～10/31　竹山</t>
    <phoneticPr fontId="2"/>
  </si>
  <si>
    <t>10/24～　久保田（東京パート）</t>
    <rPh sb="7" eb="10">
      <t>クボタ</t>
    </rPh>
    <rPh sb="11" eb="13">
      <t>トウキョウ</t>
    </rPh>
    <phoneticPr fontId="1"/>
  </si>
  <si>
    <t>12/4～齋藤太一</t>
    <rPh sb="5" eb="9">
      <t>サイ</t>
    </rPh>
    <phoneticPr fontId="2"/>
  </si>
  <si>
    <t>～11/30久保田（東京パート）</t>
    <phoneticPr fontId="1"/>
  </si>
  <si>
    <t>86期</t>
    <rPh sb="2" eb="3">
      <t>キ</t>
    </rPh>
    <phoneticPr fontId="1"/>
  </si>
  <si>
    <t>畠平取締役（兼 部長）、竹村取締役（兼 部長）</t>
    <rPh sb="6" eb="7">
      <t>ケン</t>
    </rPh>
    <rPh sb="8" eb="10">
      <t>ブチョウ</t>
    </rPh>
    <rPh sb="18" eb="19">
      <t>ケン</t>
    </rPh>
    <phoneticPr fontId="1"/>
  </si>
  <si>
    <t>黒田、平倉</t>
    <rPh sb="3" eb="5">
      <t>ヒラクラ</t>
    </rPh>
    <phoneticPr fontId="2"/>
  </si>
  <si>
    <t>2/13～　パート有田
2/26～パート杉本・海野</t>
    <phoneticPr fontId="2"/>
  </si>
  <si>
    <t>4/1～　吉岡</t>
    <rPh sb="5" eb="7">
      <t>ヨシオカ</t>
    </rPh>
    <phoneticPr fontId="1"/>
  </si>
  <si>
    <t>～3/15　山根</t>
    <rPh sb="6" eb="8">
      <t>ヤマネ</t>
    </rPh>
    <phoneticPr fontId="2"/>
  </si>
  <si>
    <t>3/1～　山根
3月～　パート藤井・木村・岩永・田代・片倉・藤岡・佐々木</t>
    <rPh sb="5" eb="7">
      <t>ヤマネ</t>
    </rPh>
    <rPh sb="27" eb="29">
      <t>カタクラ</t>
    </rPh>
    <rPh sb="30" eb="32">
      <t>フジオカ</t>
    </rPh>
    <rPh sb="33" eb="36">
      <t>ササキ</t>
    </rPh>
    <phoneticPr fontId="2"/>
  </si>
  <si>
    <t>40期</t>
    <rPh sb="2" eb="3">
      <t>キ</t>
    </rPh>
    <phoneticPr fontId="1"/>
  </si>
  <si>
    <t>4/1～　西村
4/16～パート小田島、4/17～坂田</t>
    <rPh sb="5" eb="7">
      <t>ニシムラ</t>
    </rPh>
    <rPh sb="16" eb="19">
      <t>オダジマ</t>
    </rPh>
    <rPh sb="25" eb="27">
      <t>サカタ</t>
    </rPh>
    <phoneticPr fontId="2"/>
  </si>
  <si>
    <t>～4/16　田代</t>
    <rPh sb="6" eb="8">
      <t>タシロ</t>
    </rPh>
    <phoneticPr fontId="2"/>
  </si>
  <si>
    <t>出向
石丸直樹、豊國光成、柴田　航、石隈千里、河野美香、片岡隼人</t>
    <rPh sb="0" eb="2">
      <t>シュッコウ</t>
    </rPh>
    <rPh sb="28" eb="30">
      <t>カタオカ</t>
    </rPh>
    <rPh sb="30" eb="32">
      <t>ハヤト</t>
    </rPh>
    <phoneticPr fontId="1"/>
  </si>
  <si>
    <t>87期</t>
    <rPh sb="2" eb="3">
      <t>キ</t>
    </rPh>
    <phoneticPr fontId="1"/>
  </si>
  <si>
    <t>2024年（R6年）</t>
    <phoneticPr fontId="1"/>
  </si>
  <si>
    <t>5/21～　パート恵我</t>
    <rPh sb="9" eb="11">
      <t>エガ</t>
    </rPh>
    <phoneticPr fontId="2"/>
  </si>
  <si>
    <t>平倉、小池</t>
    <rPh sb="3" eb="5">
      <t>コイケ</t>
    </rPh>
    <phoneticPr fontId="2"/>
  </si>
  <si>
    <t>吉田工場長（次長）・齊藤工場長（次長）、山田（主任）</t>
    <rPh sb="0" eb="2">
      <t>ヨシダ</t>
    </rPh>
    <rPh sb="2" eb="5">
      <t>コウジョウチョウ</t>
    </rPh>
    <rPh sb="6" eb="8">
      <t>ジチョウ</t>
    </rPh>
    <rPh sb="10" eb="12">
      <t>サイトウ</t>
    </rPh>
    <rPh sb="12" eb="15">
      <t>コウジョウチョウ</t>
    </rPh>
    <rPh sb="16" eb="18">
      <t>ジチョウ</t>
    </rPh>
    <rPh sb="20" eb="22">
      <t>ヤマダ</t>
    </rPh>
    <rPh sb="23" eb="25">
      <t>シュニン</t>
    </rPh>
    <phoneticPr fontId="2"/>
  </si>
  <si>
    <t>7/1～　畠中</t>
    <rPh sb="5" eb="7">
      <t>ハタナカ</t>
    </rPh>
    <phoneticPr fontId="1"/>
  </si>
  <si>
    <t>～6/10　渡辺</t>
    <rPh sb="6" eb="8">
      <t>ワタナベ</t>
    </rPh>
    <phoneticPr fontId="2"/>
  </si>
  <si>
    <t>6/1～　渡辺、山本、パート石丸、金森、市田、井戸根</t>
    <rPh sb="5" eb="7">
      <t>ワタナベ</t>
    </rPh>
    <rPh sb="8" eb="10">
      <t>ヤマモト</t>
    </rPh>
    <rPh sb="14" eb="16">
      <t>イシマル</t>
    </rPh>
    <rPh sb="17" eb="19">
      <t>カナモリ</t>
    </rPh>
    <rPh sb="20" eb="22">
      <t>イチダ</t>
    </rPh>
    <rPh sb="23" eb="25">
      <t>イド</t>
    </rPh>
    <rPh sb="25" eb="26">
      <t>ネ</t>
    </rPh>
    <phoneticPr fontId="2"/>
  </si>
  <si>
    <t>～7/31　フー</t>
    <phoneticPr fontId="2"/>
  </si>
  <si>
    <t>～6/26　片倉</t>
    <rPh sb="6" eb="8">
      <t>カタクラ</t>
    </rPh>
    <phoneticPr fontId="2"/>
  </si>
  <si>
    <t>小池</t>
    <rPh sb="0" eb="2">
      <t>コイケ</t>
    </rPh>
    <phoneticPr fontId="2"/>
  </si>
  <si>
    <t>8/1～　濵本、灰塚
8/5～　竹中</t>
    <rPh sb="8" eb="10">
      <t>ハイヅカ</t>
    </rPh>
    <rPh sb="16" eb="18">
      <t>タケナカ</t>
    </rPh>
    <phoneticPr fontId="2"/>
  </si>
  <si>
    <t>小池、後藤</t>
    <rPh sb="0" eb="2">
      <t>コイケ</t>
    </rPh>
    <rPh sb="3" eb="5">
      <t>ゴトウ</t>
    </rPh>
    <phoneticPr fontId="2"/>
  </si>
  <si>
    <t>10/1～　南港実習生2名</t>
    <rPh sb="6" eb="8">
      <t>ナンコウ</t>
    </rPh>
    <rPh sb="8" eb="11">
      <t>ジッシュウセイ</t>
    </rPh>
    <rPh sb="12" eb="13">
      <t>メイ</t>
    </rPh>
    <phoneticPr fontId="1"/>
  </si>
  <si>
    <t>10/2～　パート阿部
10/15～　赤井</t>
    <rPh sb="9" eb="11">
      <t>アベ</t>
    </rPh>
    <rPh sb="19" eb="21">
      <t>アカイ</t>
    </rPh>
    <phoneticPr fontId="2"/>
  </si>
  <si>
    <t>～10/21西村侑也</t>
    <phoneticPr fontId="2"/>
  </si>
  <si>
    <t>9/1～西村侑也
パート　奥谷、西田、山下、境川、近藤</t>
    <rPh sb="4" eb="6">
      <t>ニシムラ</t>
    </rPh>
    <rPh sb="6" eb="7">
      <t>ユウ</t>
    </rPh>
    <rPh sb="7" eb="8">
      <t>ヤ</t>
    </rPh>
    <rPh sb="13" eb="15">
      <t>オクタニ</t>
    </rPh>
    <rPh sb="16" eb="18">
      <t>ニシダ</t>
    </rPh>
    <rPh sb="19" eb="21">
      <t>ヤマシタ</t>
    </rPh>
    <rPh sb="22" eb="24">
      <t>サカイガワ</t>
    </rPh>
    <rPh sb="25" eb="27">
      <t>コンドウ</t>
    </rPh>
    <phoneticPr fontId="2"/>
  </si>
  <si>
    <t>～12/27　石井</t>
    <rPh sb="7" eb="9">
      <t>イシイ</t>
    </rPh>
    <phoneticPr fontId="1"/>
  </si>
  <si>
    <t>～12月末　石丸</t>
    <rPh sb="3" eb="4">
      <t>ガツ</t>
    </rPh>
    <rPh sb="4" eb="5">
      <t>マツ</t>
    </rPh>
    <rPh sb="6" eb="8">
      <t>イシマル</t>
    </rPh>
    <phoneticPr fontId="1"/>
  </si>
  <si>
    <t>11/1～　川西
11/15～　藤田</t>
    <rPh sb="6" eb="8">
      <t>カワニシ</t>
    </rPh>
    <rPh sb="16" eb="18">
      <t>フジタ</t>
    </rPh>
    <phoneticPr fontId="2"/>
  </si>
  <si>
    <t>出向
豊國光成、柴田　航、石隈千里、河野美香、片岡隼人</t>
    <phoneticPr fontId="1"/>
  </si>
  <si>
    <t>2/1～　谷口</t>
    <rPh sb="5" eb="7">
      <t>タニグチ</t>
    </rPh>
    <phoneticPr fontId="1"/>
  </si>
  <si>
    <t>～3末　奥田・池ヶ谷</t>
    <rPh sb="2" eb="3">
      <t>マツ</t>
    </rPh>
    <rPh sb="4" eb="6">
      <t>オクダ</t>
    </rPh>
    <rPh sb="7" eb="10">
      <t>イケガヤ</t>
    </rPh>
    <phoneticPr fontId="1"/>
  </si>
  <si>
    <t>船吉（事務→営業）</t>
    <phoneticPr fontId="1"/>
  </si>
  <si>
    <t>若槻（係長）、深井（主任）</t>
    <rPh sb="0" eb="2">
      <t>ワカツキ</t>
    </rPh>
    <rPh sb="3" eb="5">
      <t>カカリチョウ</t>
    </rPh>
    <rPh sb="7" eb="9">
      <t>フカイ</t>
    </rPh>
    <rPh sb="10" eb="12">
      <t>シュニン</t>
    </rPh>
    <phoneticPr fontId="1"/>
  </si>
  <si>
    <t>～2/28　山下取締役、パート山下</t>
    <rPh sb="6" eb="11">
      <t>ヤマシタt</t>
    </rPh>
    <rPh sb="15" eb="17">
      <t>ヤマシタ</t>
    </rPh>
    <phoneticPr fontId="2"/>
  </si>
  <si>
    <t>4/1～　山根、清遠、村山、浦野
4/7～　馬場</t>
    <rPh sb="5" eb="7">
      <t>ヤマネ</t>
    </rPh>
    <rPh sb="8" eb="10">
      <t>キヨトオ</t>
    </rPh>
    <rPh sb="11" eb="13">
      <t>ムラヤマ</t>
    </rPh>
    <rPh sb="14" eb="16">
      <t>ウラノ</t>
    </rPh>
    <rPh sb="22" eb="24">
      <t>ババ</t>
    </rPh>
    <phoneticPr fontId="1"/>
  </si>
  <si>
    <t>2025年（R7年）</t>
    <phoneticPr fontId="1"/>
  </si>
  <si>
    <t>88期</t>
    <rPh sb="2" eb="3">
      <t>キ</t>
    </rPh>
    <phoneticPr fontId="1"/>
  </si>
  <si>
    <t>41期</t>
    <rPh sb="2" eb="3">
      <t>キ</t>
    </rPh>
    <phoneticPr fontId="1"/>
  </si>
  <si>
    <t>5/12～　光用</t>
    <phoneticPr fontId="1"/>
  </si>
  <si>
    <t>竹原（係長）・船吉（主任）・松谷（次長）</t>
    <phoneticPr fontId="1"/>
  </si>
  <si>
    <t>～5/31　今村</t>
    <rPh sb="6" eb="8">
      <t>イマムラ</t>
    </rPh>
    <phoneticPr fontId="1"/>
  </si>
  <si>
    <t>～5/31　濱本、パート杉本
～6/15　パート坂田</t>
    <rPh sb="6" eb="8">
      <t>ハマモト</t>
    </rPh>
    <rPh sb="12" eb="14">
      <t>スギモト</t>
    </rPh>
    <rPh sb="24" eb="26">
      <t>サカタ</t>
    </rPh>
    <phoneticPr fontId="2"/>
  </si>
  <si>
    <t>～6/30　大橋、パート小田島、金森、井戸根、竹中、阿部、藤岡
～7/6　パート西田</t>
    <rPh sb="6" eb="8">
      <t>オオハシ</t>
    </rPh>
    <rPh sb="12" eb="15">
      <t>オダジマ</t>
    </rPh>
    <rPh sb="16" eb="18">
      <t>カナモリ</t>
    </rPh>
    <rPh sb="19" eb="21">
      <t>イド</t>
    </rPh>
    <rPh sb="21" eb="22">
      <t>ネ</t>
    </rPh>
    <rPh sb="23" eb="25">
      <t>タケナカ</t>
    </rPh>
    <rPh sb="26" eb="28">
      <t>アベ</t>
    </rPh>
    <rPh sb="29" eb="31">
      <t>フジオカ</t>
    </rPh>
    <rPh sb="40" eb="42">
      <t>ニシダ</t>
    </rPh>
    <phoneticPr fontId="2"/>
  </si>
  <si>
    <t>松谷（東京支店長）、岡田顧問（役員退任）</t>
    <rPh sb="0" eb="2">
      <t>マツタニ</t>
    </rPh>
    <rPh sb="3" eb="5">
      <t>トウキョウ</t>
    </rPh>
    <rPh sb="5" eb="8">
      <t>シテンチョウ</t>
    </rPh>
    <rPh sb="10" eb="12">
      <t>オカダ</t>
    </rPh>
    <rPh sb="12" eb="14">
      <t>コモン</t>
    </rPh>
    <rPh sb="15" eb="17">
      <t>ヤクイン</t>
    </rPh>
    <rPh sb="17" eb="19">
      <t>タイニン</t>
    </rPh>
    <phoneticPr fontId="1"/>
  </si>
  <si>
    <t>～8/29　光用</t>
    <rPh sb="6" eb="8">
      <t>ミツモチ</t>
    </rPh>
    <phoneticPr fontId="1"/>
  </si>
  <si>
    <t>～9/30　パート恵我</t>
    <rPh sb="9" eb="11">
      <t>エガ</t>
    </rPh>
    <phoneticPr fontId="2"/>
  </si>
  <si>
    <t>～10/31パート木村</t>
    <rPh sb="9" eb="11">
      <t>キムラ</t>
    </rPh>
    <phoneticPr fontId="2"/>
  </si>
  <si>
    <t>～12/31　吉岡</t>
    <rPh sb="7" eb="9">
      <t>ヨシオカ</t>
    </rPh>
    <phoneticPr fontId="1"/>
  </si>
  <si>
    <t>～11/30パート海野</t>
    <rPh sb="9" eb="11">
      <t>ウンノ</t>
    </rPh>
    <phoneticPr fontId="2"/>
  </si>
  <si>
    <t>～1/31パート藤井</t>
    <rPh sb="8" eb="10">
      <t>フジイ</t>
    </rPh>
    <phoneticPr fontId="2"/>
  </si>
  <si>
    <t>～1/31　長島</t>
    <rPh sb="6" eb="8">
      <t>ナガシマ</t>
    </rPh>
    <phoneticPr fontId="1"/>
  </si>
  <si>
    <t>2/10～　パート島田
2/19～　パート國重</t>
    <rPh sb="9" eb="11">
      <t>シマダ</t>
    </rPh>
    <rPh sb="21" eb="23">
      <t>クニシゲ</t>
    </rPh>
    <phoneticPr fontId="2"/>
  </si>
  <si>
    <t>4/1～　和久（南港研修）、早草（東大阪研修）</t>
    <rPh sb="5" eb="7">
      <t>ワク</t>
    </rPh>
    <rPh sb="8" eb="10">
      <t>ナンコウ</t>
    </rPh>
    <rPh sb="10" eb="12">
      <t>ケンシュウ</t>
    </rPh>
    <rPh sb="14" eb="16">
      <t>ハヤクサ</t>
    </rPh>
    <rPh sb="17" eb="20">
      <t>ヒガシオオサカ</t>
    </rPh>
    <rPh sb="20" eb="22">
      <t>ケンシュウ</t>
    </rPh>
    <phoneticPr fontId="1"/>
  </si>
  <si>
    <t>～3/31　藤田、パート近藤</t>
    <rPh sb="6" eb="8">
      <t>フジタ</t>
    </rPh>
    <rPh sb="12" eb="14">
      <t>コンドウ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</si>
</sst>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;[Red]\-#,###"/>
    <numFmt numFmtId="177" formatCode="##,##0&quot;人&quot;;[Red]\-#,###&quot;人&quot;"/>
    <numFmt numFmtId="178" formatCode="#,##0&quot;人&quot;;[Red]\-#,##0&quot;人&quot;;"/>
  </numFmts>
  <fonts count="5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0" fillId="0" borderId="0" xfId="0" applyNumberFormat="1">
      <alignment vertical="center"/>
    </xf>
    <xf numFmtId="0" fontId="4" fillId="3" borderId="5" xfId="0" applyFont="1" applyFill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3" borderId="7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4" fillId="3" borderId="9" xfId="0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0" borderId="11" xfId="0" applyNumberFormat="1" applyBorder="1" applyAlignment="1">
      <alignment horizontal="right" vertical="center"/>
    </xf>
    <xf numFmtId="178" fontId="0" fillId="0" borderId="12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 vertical="center"/>
    </xf>
    <xf numFmtId="5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56" fontId="0" fillId="0" borderId="1" xfId="0" applyNumberFormat="1" applyBorder="1" applyAlignment="1">
      <alignment horizontal="center" vertical="center" wrapText="1"/>
    </xf>
    <xf numFmtId="176" fontId="0" fillId="0" borderId="13" xfId="0" applyNumberFormat="1" applyBorder="1">
      <alignment vertical="center"/>
    </xf>
    <xf numFmtId="177" fontId="0" fillId="0" borderId="14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15" xfId="0" applyNumberFormat="1" applyBorder="1">
      <alignment vertical="center"/>
    </xf>
    <xf numFmtId="0" fontId="3" fillId="0" borderId="0" xfId="1" applyFill="1">
      <alignment vertical="center"/>
    </xf>
    <xf numFmtId="0" fontId="0" fillId="0" borderId="0" xfId="0" applyAlignment="1">
      <alignment vertical="center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56" fontId="0" fillId="0" borderId="1" xfId="0" applyNumberFormat="1" applyBorder="1" applyAlignment="1">
      <alignment horizontal="left" vertical="center"/>
    </xf>
    <xf numFmtId="56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center" vertical="center" textRotation="255"/>
    </xf>
    <xf numFmtId="0" fontId="4" fillId="0" borderId="0" xfId="0" applyFont="1" applyAlignment="1">
      <alignment horizontal="left" vertical="center"/>
    </xf>
  </cellXfs>
  <cellStyles count="2">
    <cellStyle name="どちらでもない" xfId="1" builtinId="2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FB0D9-ECA0-4907-8A81-26C275506492}">
  <dimension ref="A1:Q196"/>
  <sheetViews>
    <sheetView topLeftCell="A171" workbookViewId="0">
      <selection activeCell="M204" sqref="M204"/>
    </sheetView>
  </sheetViews>
  <sheetFormatPr defaultRowHeight="13.5" x14ac:dyDescent="0.15"/>
  <cols>
    <col min="1" max="1" width="3.25" customWidth="1"/>
    <col min="2" max="2" width="9" style="13"/>
    <col min="10" max="10" width="6.75" style="13" customWidth="1"/>
    <col min="11" max="11" width="6.125" style="19" customWidth="1"/>
    <col min="12" max="12" width="1.5" style="1" customWidth="1"/>
    <col min="13" max="13" width="22.5" style="24" customWidth="1"/>
    <col min="14" max="14" width="18.875" style="24" customWidth="1"/>
    <col min="15" max="15" width="14.5" style="12" customWidth="1"/>
    <col min="16" max="16" width="28" customWidth="1"/>
    <col min="17" max="17" width="29.375" customWidth="1"/>
  </cols>
  <sheetData>
    <row r="1" spans="2:16" ht="14.25" thickBot="1" x14ac:dyDescent="0.2"/>
    <row r="2" spans="2:16" x14ac:dyDescent="0.15">
      <c r="B2" s="5" t="s">
        <v>18</v>
      </c>
      <c r="C2" s="6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  <c r="J2" s="10" t="s">
        <v>7</v>
      </c>
      <c r="K2" s="11" t="s">
        <v>36</v>
      </c>
      <c r="M2" s="37" t="s">
        <v>8</v>
      </c>
      <c r="N2" s="37" t="s">
        <v>9</v>
      </c>
      <c r="O2" s="7" t="s">
        <v>10</v>
      </c>
    </row>
    <row r="3" spans="2:16" x14ac:dyDescent="0.15">
      <c r="B3" s="16" t="s">
        <v>19</v>
      </c>
      <c r="C3" s="2">
        <v>7</v>
      </c>
      <c r="D3" s="2">
        <v>14</v>
      </c>
      <c r="E3" s="2">
        <v>14</v>
      </c>
      <c r="F3" s="2">
        <v>7</v>
      </c>
      <c r="G3" s="2">
        <v>16</v>
      </c>
      <c r="H3" s="2">
        <v>7</v>
      </c>
      <c r="I3" s="2">
        <v>9</v>
      </c>
      <c r="J3" s="14">
        <f t="shared" ref="J3:J14" si="0">SUM(C3:I3)</f>
        <v>74</v>
      </c>
      <c r="K3" s="20"/>
      <c r="M3" s="26"/>
      <c r="N3" s="26" t="s">
        <v>11</v>
      </c>
      <c r="O3" s="4"/>
    </row>
    <row r="4" spans="2:16" x14ac:dyDescent="0.15">
      <c r="B4" s="16" t="s">
        <v>20</v>
      </c>
      <c r="C4" s="2">
        <v>7</v>
      </c>
      <c r="D4" s="2">
        <v>13</v>
      </c>
      <c r="E4" s="2">
        <v>14</v>
      </c>
      <c r="F4" s="2">
        <v>7</v>
      </c>
      <c r="G4" s="2">
        <v>16</v>
      </c>
      <c r="H4" s="2">
        <v>7</v>
      </c>
      <c r="I4" s="2">
        <v>8</v>
      </c>
      <c r="J4" s="14">
        <f t="shared" si="0"/>
        <v>72</v>
      </c>
      <c r="K4" s="20">
        <f>J4-J3</f>
        <v>-2</v>
      </c>
      <c r="M4" s="26"/>
      <c r="N4" s="26" t="s">
        <v>12</v>
      </c>
      <c r="O4" s="4"/>
    </row>
    <row r="5" spans="2:16" x14ac:dyDescent="0.15">
      <c r="B5" s="16" t="s">
        <v>21</v>
      </c>
      <c r="C5" s="2">
        <v>7</v>
      </c>
      <c r="D5" s="2">
        <v>13</v>
      </c>
      <c r="E5" s="2">
        <v>14</v>
      </c>
      <c r="F5" s="2">
        <v>7</v>
      </c>
      <c r="G5" s="2">
        <v>16</v>
      </c>
      <c r="H5" s="2">
        <v>7</v>
      </c>
      <c r="I5" s="2">
        <v>8</v>
      </c>
      <c r="J5" s="14">
        <f t="shared" si="0"/>
        <v>72</v>
      </c>
      <c r="K5" s="20">
        <f t="shared" ref="K5:K13" si="1">J5-J4</f>
        <v>0</v>
      </c>
      <c r="M5" s="26"/>
      <c r="N5" s="26"/>
      <c r="O5" s="4"/>
    </row>
    <row r="6" spans="2:16" x14ac:dyDescent="0.15">
      <c r="B6" s="16" t="s">
        <v>22</v>
      </c>
      <c r="C6" s="2">
        <v>7</v>
      </c>
      <c r="D6" s="2">
        <v>13</v>
      </c>
      <c r="E6" s="2">
        <v>14</v>
      </c>
      <c r="F6" s="2">
        <v>7</v>
      </c>
      <c r="G6" s="2">
        <v>16</v>
      </c>
      <c r="H6" s="2">
        <v>7</v>
      </c>
      <c r="I6" s="2">
        <v>9</v>
      </c>
      <c r="J6" s="14">
        <f t="shared" si="0"/>
        <v>73</v>
      </c>
      <c r="K6" s="20">
        <f t="shared" si="1"/>
        <v>1</v>
      </c>
      <c r="M6" s="26" t="s">
        <v>52</v>
      </c>
      <c r="N6" s="26"/>
      <c r="O6" s="4"/>
    </row>
    <row r="7" spans="2:16" x14ac:dyDescent="0.15">
      <c r="B7" s="16" t="s">
        <v>23</v>
      </c>
      <c r="C7" s="2">
        <v>7</v>
      </c>
      <c r="D7" s="2">
        <v>13</v>
      </c>
      <c r="E7" s="2">
        <v>12</v>
      </c>
      <c r="F7" s="2">
        <v>7</v>
      </c>
      <c r="G7" s="2">
        <v>17</v>
      </c>
      <c r="H7" s="2">
        <v>7</v>
      </c>
      <c r="I7" s="2">
        <v>9</v>
      </c>
      <c r="J7" s="14">
        <f t="shared" si="0"/>
        <v>72</v>
      </c>
      <c r="K7" s="20">
        <f t="shared" si="1"/>
        <v>-1</v>
      </c>
      <c r="M7" s="26"/>
      <c r="N7" s="26" t="s">
        <v>13</v>
      </c>
      <c r="O7" s="4" t="s">
        <v>14</v>
      </c>
    </row>
    <row r="8" spans="2:16" x14ac:dyDescent="0.15">
      <c r="B8" s="16" t="s">
        <v>24</v>
      </c>
      <c r="C8" s="2">
        <v>7</v>
      </c>
      <c r="D8" s="2">
        <v>13</v>
      </c>
      <c r="E8" s="2">
        <v>12</v>
      </c>
      <c r="F8" s="2">
        <v>7</v>
      </c>
      <c r="G8" s="2">
        <v>17</v>
      </c>
      <c r="H8" s="2">
        <v>7</v>
      </c>
      <c r="I8" s="2">
        <v>9</v>
      </c>
      <c r="J8" s="14">
        <f t="shared" si="0"/>
        <v>72</v>
      </c>
      <c r="K8" s="20">
        <f t="shared" si="1"/>
        <v>0</v>
      </c>
      <c r="M8" s="26"/>
      <c r="N8" s="26"/>
      <c r="O8" s="4"/>
    </row>
    <row r="9" spans="2:16" x14ac:dyDescent="0.15">
      <c r="B9" s="16" t="s">
        <v>25</v>
      </c>
      <c r="C9" s="2">
        <v>7</v>
      </c>
      <c r="D9" s="2">
        <v>13</v>
      </c>
      <c r="E9" s="2">
        <v>12</v>
      </c>
      <c r="F9" s="2">
        <v>7</v>
      </c>
      <c r="G9" s="2">
        <v>17</v>
      </c>
      <c r="H9" s="2">
        <v>7</v>
      </c>
      <c r="I9" s="2">
        <v>9</v>
      </c>
      <c r="J9" s="14">
        <f t="shared" si="0"/>
        <v>72</v>
      </c>
      <c r="K9" s="20">
        <f t="shared" si="1"/>
        <v>0</v>
      </c>
      <c r="M9" s="26"/>
      <c r="N9" s="26"/>
      <c r="O9" s="4"/>
    </row>
    <row r="10" spans="2:16" x14ac:dyDescent="0.15">
      <c r="B10" s="16" t="s">
        <v>26</v>
      </c>
      <c r="C10" s="2">
        <v>7</v>
      </c>
      <c r="D10" s="2">
        <v>13</v>
      </c>
      <c r="E10" s="2">
        <v>12</v>
      </c>
      <c r="F10" s="2">
        <v>6</v>
      </c>
      <c r="G10" s="2">
        <v>17</v>
      </c>
      <c r="H10" s="2">
        <v>7</v>
      </c>
      <c r="I10" s="2">
        <v>9</v>
      </c>
      <c r="J10" s="14">
        <f t="shared" si="0"/>
        <v>71</v>
      </c>
      <c r="K10" s="20">
        <f t="shared" si="1"/>
        <v>-1</v>
      </c>
      <c r="M10" s="26"/>
      <c r="N10" s="26" t="s">
        <v>15</v>
      </c>
      <c r="O10" s="4"/>
    </row>
    <row r="11" spans="2:16" x14ac:dyDescent="0.15">
      <c r="B11" s="16" t="s">
        <v>27</v>
      </c>
      <c r="C11" s="2">
        <v>7</v>
      </c>
      <c r="D11" s="2">
        <v>13</v>
      </c>
      <c r="E11" s="2">
        <v>12</v>
      </c>
      <c r="F11" s="2">
        <v>6</v>
      </c>
      <c r="G11" s="2">
        <v>17</v>
      </c>
      <c r="H11" s="2">
        <v>7</v>
      </c>
      <c r="I11" s="2">
        <v>9</v>
      </c>
      <c r="J11" s="14">
        <f t="shared" si="0"/>
        <v>71</v>
      </c>
      <c r="K11" s="20">
        <f t="shared" si="1"/>
        <v>0</v>
      </c>
      <c r="M11" s="26"/>
      <c r="N11" s="26"/>
      <c r="O11" s="4"/>
    </row>
    <row r="12" spans="2:16" x14ac:dyDescent="0.15">
      <c r="B12" s="16" t="s">
        <v>28</v>
      </c>
      <c r="C12" s="2">
        <v>7</v>
      </c>
      <c r="D12" s="2">
        <v>13</v>
      </c>
      <c r="E12" s="2">
        <v>11</v>
      </c>
      <c r="F12" s="2">
        <v>6</v>
      </c>
      <c r="G12" s="2">
        <v>17</v>
      </c>
      <c r="H12" s="2">
        <v>7</v>
      </c>
      <c r="I12" s="2">
        <v>9</v>
      </c>
      <c r="J12" s="14">
        <f t="shared" si="0"/>
        <v>70</v>
      </c>
      <c r="K12" s="20">
        <f t="shared" si="1"/>
        <v>-1</v>
      </c>
      <c r="M12" s="26"/>
      <c r="N12" s="26" t="s">
        <v>16</v>
      </c>
      <c r="O12" s="4"/>
    </row>
    <row r="13" spans="2:16" x14ac:dyDescent="0.15">
      <c r="B13" s="16" t="s">
        <v>29</v>
      </c>
      <c r="C13" s="2">
        <v>7</v>
      </c>
      <c r="D13" s="2">
        <v>14</v>
      </c>
      <c r="E13" s="2">
        <v>11</v>
      </c>
      <c r="F13" s="2">
        <v>6</v>
      </c>
      <c r="G13" s="2">
        <v>17</v>
      </c>
      <c r="H13" s="2">
        <v>7</v>
      </c>
      <c r="I13" s="2">
        <v>9</v>
      </c>
      <c r="J13" s="14">
        <f t="shared" si="0"/>
        <v>71</v>
      </c>
      <c r="K13" s="20">
        <f t="shared" si="1"/>
        <v>1</v>
      </c>
      <c r="M13" s="26" t="s">
        <v>17</v>
      </c>
      <c r="N13" s="26"/>
      <c r="O13" s="4"/>
    </row>
    <row r="14" spans="2:16" ht="14.25" thickBot="1" x14ac:dyDescent="0.2">
      <c r="B14" s="17" t="s">
        <v>30</v>
      </c>
      <c r="C14" s="3">
        <v>7</v>
      </c>
      <c r="D14" s="3">
        <v>14</v>
      </c>
      <c r="E14" s="3">
        <v>11</v>
      </c>
      <c r="F14" s="3">
        <v>6</v>
      </c>
      <c r="G14" s="3">
        <v>17</v>
      </c>
      <c r="H14" s="3">
        <v>7</v>
      </c>
      <c r="I14" s="3">
        <v>9</v>
      </c>
      <c r="J14" s="15">
        <f t="shared" si="0"/>
        <v>71</v>
      </c>
      <c r="K14" s="21">
        <f>J14-J13</f>
        <v>0</v>
      </c>
      <c r="M14" s="26"/>
      <c r="N14" s="26"/>
      <c r="O14" s="4"/>
    </row>
    <row r="15" spans="2:16" ht="14.25" thickBot="1" x14ac:dyDescent="0.2">
      <c r="B15" s="18"/>
    </row>
    <row r="16" spans="2:16" x14ac:dyDescent="0.15">
      <c r="B16" s="5" t="s">
        <v>31</v>
      </c>
      <c r="C16" s="6" t="s">
        <v>0</v>
      </c>
      <c r="D16" s="6" t="s">
        <v>1</v>
      </c>
      <c r="E16" s="6" t="s">
        <v>2</v>
      </c>
      <c r="F16" s="6" t="s">
        <v>3</v>
      </c>
      <c r="G16" s="6" t="s">
        <v>4</v>
      </c>
      <c r="H16" s="6" t="s">
        <v>5</v>
      </c>
      <c r="I16" s="6" t="s">
        <v>6</v>
      </c>
      <c r="J16" s="10" t="s">
        <v>7</v>
      </c>
      <c r="K16" s="11" t="s">
        <v>36</v>
      </c>
      <c r="M16" s="38" t="s">
        <v>8</v>
      </c>
      <c r="N16" s="38" t="s">
        <v>9</v>
      </c>
      <c r="O16" s="8" t="s">
        <v>10</v>
      </c>
      <c r="P16" s="8" t="s">
        <v>43</v>
      </c>
    </row>
    <row r="17" spans="2:16" ht="15" customHeight="1" x14ac:dyDescent="0.15">
      <c r="B17" s="16" t="s">
        <v>19</v>
      </c>
      <c r="C17" s="2">
        <v>7</v>
      </c>
      <c r="D17" s="2">
        <v>14</v>
      </c>
      <c r="E17" s="2">
        <v>11</v>
      </c>
      <c r="F17" s="2">
        <v>6</v>
      </c>
      <c r="G17" s="2">
        <v>17</v>
      </c>
      <c r="H17" s="2">
        <v>8</v>
      </c>
      <c r="I17" s="2">
        <v>9</v>
      </c>
      <c r="J17" s="14">
        <f>SUM(C17:I17)</f>
        <v>72</v>
      </c>
      <c r="K17" s="20">
        <f>J17-J14</f>
        <v>1</v>
      </c>
      <c r="L17" s="9"/>
      <c r="M17" s="26" t="s">
        <v>32</v>
      </c>
      <c r="N17" s="26"/>
      <c r="O17" s="4"/>
      <c r="P17" s="2" t="s">
        <v>45</v>
      </c>
    </row>
    <row r="18" spans="2:16" x14ac:dyDescent="0.15">
      <c r="B18" s="16" t="s">
        <v>20</v>
      </c>
      <c r="C18" s="2">
        <v>7</v>
      </c>
      <c r="D18" s="2">
        <v>13</v>
      </c>
      <c r="E18" s="2">
        <v>11</v>
      </c>
      <c r="F18" s="2">
        <v>6</v>
      </c>
      <c r="G18" s="2">
        <v>17</v>
      </c>
      <c r="H18" s="2">
        <v>8</v>
      </c>
      <c r="I18" s="2">
        <v>9</v>
      </c>
      <c r="J18" s="14">
        <f t="shared" ref="J18:J28" si="2">SUM(C18:I18)</f>
        <v>71</v>
      </c>
      <c r="K18" s="20">
        <f t="shared" ref="K18:K28" si="3">J18-J17</f>
        <v>-1</v>
      </c>
      <c r="M18" s="26"/>
      <c r="N18" s="26" t="s">
        <v>33</v>
      </c>
      <c r="O18" s="4" t="s">
        <v>35</v>
      </c>
      <c r="P18" s="2"/>
    </row>
    <row r="19" spans="2:16" x14ac:dyDescent="0.15">
      <c r="B19" s="16" t="s">
        <v>21</v>
      </c>
      <c r="C19" s="2">
        <v>7</v>
      </c>
      <c r="D19" s="2">
        <v>13</v>
      </c>
      <c r="E19" s="2">
        <v>11</v>
      </c>
      <c r="F19" s="2">
        <v>6</v>
      </c>
      <c r="G19" s="2">
        <v>17</v>
      </c>
      <c r="H19" s="2">
        <v>8</v>
      </c>
      <c r="I19" s="2">
        <v>9</v>
      </c>
      <c r="J19" s="14">
        <f t="shared" si="2"/>
        <v>71</v>
      </c>
      <c r="K19" s="20">
        <f t="shared" si="3"/>
        <v>0</v>
      </c>
      <c r="M19" s="26"/>
      <c r="N19" s="26"/>
      <c r="O19" s="4"/>
      <c r="P19" s="2"/>
    </row>
    <row r="20" spans="2:16" x14ac:dyDescent="0.15">
      <c r="B20" s="16" t="s">
        <v>22</v>
      </c>
      <c r="C20" s="2">
        <v>7</v>
      </c>
      <c r="D20" s="2">
        <v>13</v>
      </c>
      <c r="E20" s="2">
        <v>11</v>
      </c>
      <c r="F20" s="2">
        <v>6</v>
      </c>
      <c r="G20" s="2">
        <v>17</v>
      </c>
      <c r="H20" s="2">
        <v>8</v>
      </c>
      <c r="I20" s="2">
        <v>9</v>
      </c>
      <c r="J20" s="14">
        <f t="shared" si="2"/>
        <v>71</v>
      </c>
      <c r="K20" s="20">
        <f t="shared" si="3"/>
        <v>0</v>
      </c>
      <c r="M20" s="26"/>
      <c r="N20" s="26"/>
      <c r="O20" s="4"/>
      <c r="P20" s="2"/>
    </row>
    <row r="21" spans="2:16" x14ac:dyDescent="0.15">
      <c r="B21" s="16" t="s">
        <v>23</v>
      </c>
      <c r="C21" s="2">
        <v>7</v>
      </c>
      <c r="D21" s="2">
        <v>13</v>
      </c>
      <c r="E21" s="2">
        <v>11</v>
      </c>
      <c r="F21" s="2">
        <v>6</v>
      </c>
      <c r="G21" s="2">
        <v>17</v>
      </c>
      <c r="H21" s="2">
        <v>7</v>
      </c>
      <c r="I21" s="2">
        <v>9</v>
      </c>
      <c r="J21" s="14">
        <f t="shared" si="2"/>
        <v>70</v>
      </c>
      <c r="K21" s="20">
        <f t="shared" si="3"/>
        <v>-1</v>
      </c>
      <c r="M21" s="26"/>
      <c r="N21" s="26" t="s">
        <v>34</v>
      </c>
      <c r="O21" s="4"/>
      <c r="P21" s="2"/>
    </row>
    <row r="22" spans="2:16" x14ac:dyDescent="0.15">
      <c r="B22" s="16" t="s">
        <v>24</v>
      </c>
      <c r="C22" s="2">
        <v>7</v>
      </c>
      <c r="D22" s="2">
        <v>13</v>
      </c>
      <c r="E22" s="2">
        <v>11</v>
      </c>
      <c r="F22" s="2">
        <v>6</v>
      </c>
      <c r="G22" s="2">
        <v>17</v>
      </c>
      <c r="H22" s="2">
        <v>7</v>
      </c>
      <c r="I22" s="2">
        <v>9</v>
      </c>
      <c r="J22" s="14">
        <f t="shared" si="2"/>
        <v>70</v>
      </c>
      <c r="K22" s="20">
        <f t="shared" si="3"/>
        <v>0</v>
      </c>
      <c r="M22" s="26"/>
      <c r="N22" s="26"/>
      <c r="O22" s="4"/>
      <c r="P22" s="2"/>
    </row>
    <row r="23" spans="2:16" x14ac:dyDescent="0.15">
      <c r="B23" s="16" t="s">
        <v>25</v>
      </c>
      <c r="C23" s="2">
        <v>7</v>
      </c>
      <c r="D23" s="2">
        <v>13</v>
      </c>
      <c r="E23" s="2">
        <v>11</v>
      </c>
      <c r="F23" s="2">
        <v>6</v>
      </c>
      <c r="G23" s="2">
        <v>17</v>
      </c>
      <c r="H23" s="2">
        <v>7</v>
      </c>
      <c r="I23" s="2">
        <v>9</v>
      </c>
      <c r="J23" s="14">
        <f t="shared" si="2"/>
        <v>70</v>
      </c>
      <c r="K23" s="20">
        <f t="shared" si="3"/>
        <v>0</v>
      </c>
      <c r="M23" s="26"/>
      <c r="N23" s="26"/>
      <c r="O23" s="4"/>
      <c r="P23" s="2"/>
    </row>
    <row r="24" spans="2:16" x14ac:dyDescent="0.15">
      <c r="B24" s="16" t="s">
        <v>26</v>
      </c>
      <c r="C24" s="2">
        <v>7</v>
      </c>
      <c r="D24" s="2">
        <v>13</v>
      </c>
      <c r="E24" s="2">
        <v>11</v>
      </c>
      <c r="F24" s="2">
        <v>6</v>
      </c>
      <c r="G24" s="2">
        <v>17</v>
      </c>
      <c r="H24" s="2">
        <v>7</v>
      </c>
      <c r="I24" s="2">
        <v>9</v>
      </c>
      <c r="J24" s="14">
        <f t="shared" si="2"/>
        <v>70</v>
      </c>
      <c r="K24" s="20">
        <f t="shared" si="3"/>
        <v>0</v>
      </c>
      <c r="M24" s="26"/>
      <c r="N24" s="26"/>
      <c r="O24" s="4"/>
      <c r="P24" s="2"/>
    </row>
    <row r="25" spans="2:16" x14ac:dyDescent="0.15">
      <c r="B25" s="16" t="s">
        <v>27</v>
      </c>
      <c r="C25" s="2">
        <v>7</v>
      </c>
      <c r="D25" s="2">
        <v>13</v>
      </c>
      <c r="E25" s="2">
        <v>11</v>
      </c>
      <c r="F25" s="2">
        <v>6</v>
      </c>
      <c r="G25" s="2">
        <v>17</v>
      </c>
      <c r="H25" s="2">
        <v>7</v>
      </c>
      <c r="I25" s="2">
        <v>9</v>
      </c>
      <c r="J25" s="14">
        <f t="shared" si="2"/>
        <v>70</v>
      </c>
      <c r="K25" s="20">
        <f t="shared" si="3"/>
        <v>0</v>
      </c>
      <c r="M25" s="26"/>
      <c r="N25" s="26"/>
      <c r="O25" s="4"/>
      <c r="P25" s="2"/>
    </row>
    <row r="26" spans="2:16" x14ac:dyDescent="0.15">
      <c r="B26" s="16" t="s">
        <v>28</v>
      </c>
      <c r="C26" s="2">
        <v>7</v>
      </c>
      <c r="D26" s="2">
        <v>13</v>
      </c>
      <c r="E26" s="2">
        <v>11</v>
      </c>
      <c r="F26" s="2">
        <v>6</v>
      </c>
      <c r="G26" s="2">
        <v>16</v>
      </c>
      <c r="H26" s="2">
        <v>7</v>
      </c>
      <c r="I26" s="2">
        <v>9</v>
      </c>
      <c r="J26" s="14">
        <f t="shared" si="2"/>
        <v>69</v>
      </c>
      <c r="K26" s="20">
        <f t="shared" si="3"/>
        <v>-1</v>
      </c>
      <c r="M26" s="26"/>
      <c r="N26" s="26" t="s">
        <v>37</v>
      </c>
      <c r="O26" s="4"/>
      <c r="P26" s="2"/>
    </row>
    <row r="27" spans="2:16" x14ac:dyDescent="0.15">
      <c r="B27" s="16" t="s">
        <v>29</v>
      </c>
      <c r="C27" s="2">
        <v>7</v>
      </c>
      <c r="D27" s="2">
        <v>13</v>
      </c>
      <c r="E27" s="2">
        <v>11</v>
      </c>
      <c r="F27" s="2">
        <v>6</v>
      </c>
      <c r="G27" s="2">
        <v>16</v>
      </c>
      <c r="H27" s="2">
        <v>7</v>
      </c>
      <c r="I27" s="2">
        <v>9</v>
      </c>
      <c r="J27" s="14">
        <f t="shared" si="2"/>
        <v>69</v>
      </c>
      <c r="K27" s="20">
        <f t="shared" si="3"/>
        <v>0</v>
      </c>
      <c r="M27" s="26"/>
      <c r="N27" s="26"/>
      <c r="O27" s="4"/>
      <c r="P27" s="2"/>
    </row>
    <row r="28" spans="2:16" ht="14.25" thickBot="1" x14ac:dyDescent="0.2">
      <c r="B28" s="17" t="s">
        <v>30</v>
      </c>
      <c r="C28" s="3">
        <v>7</v>
      </c>
      <c r="D28" s="3">
        <v>13</v>
      </c>
      <c r="E28" s="3">
        <v>11</v>
      </c>
      <c r="F28" s="3">
        <v>6</v>
      </c>
      <c r="G28" s="3">
        <v>16</v>
      </c>
      <c r="H28" s="3">
        <v>7</v>
      </c>
      <c r="I28" s="3">
        <v>9</v>
      </c>
      <c r="J28" s="15">
        <f t="shared" si="2"/>
        <v>69</v>
      </c>
      <c r="K28" s="21">
        <f t="shared" si="3"/>
        <v>0</v>
      </c>
      <c r="M28" s="26"/>
      <c r="N28" s="26"/>
      <c r="O28" s="4"/>
      <c r="P28" s="2"/>
    </row>
    <row r="29" spans="2:16" ht="14.25" thickBot="1" x14ac:dyDescent="0.2"/>
    <row r="30" spans="2:16" x14ac:dyDescent="0.15">
      <c r="B30" s="5" t="s">
        <v>38</v>
      </c>
      <c r="C30" s="6" t="s">
        <v>0</v>
      </c>
      <c r="D30" s="6" t="s">
        <v>1</v>
      </c>
      <c r="E30" s="6" t="s">
        <v>2</v>
      </c>
      <c r="F30" s="6" t="s">
        <v>3</v>
      </c>
      <c r="G30" s="6" t="s">
        <v>4</v>
      </c>
      <c r="H30" s="6" t="s">
        <v>5</v>
      </c>
      <c r="I30" s="6" t="s">
        <v>6</v>
      </c>
      <c r="J30" s="10" t="s">
        <v>7</v>
      </c>
      <c r="K30" s="11" t="s">
        <v>36</v>
      </c>
      <c r="M30" s="38" t="s">
        <v>8</v>
      </c>
      <c r="N30" s="38" t="s">
        <v>47</v>
      </c>
      <c r="O30" s="8" t="s">
        <v>10</v>
      </c>
      <c r="P30" s="8" t="s">
        <v>43</v>
      </c>
    </row>
    <row r="31" spans="2:16" x14ac:dyDescent="0.15">
      <c r="B31" s="16" t="s">
        <v>19</v>
      </c>
      <c r="C31" s="2">
        <v>7</v>
      </c>
      <c r="D31" s="2">
        <v>13</v>
      </c>
      <c r="E31" s="2">
        <v>11</v>
      </c>
      <c r="F31" s="2">
        <v>6</v>
      </c>
      <c r="G31" s="2">
        <v>16</v>
      </c>
      <c r="H31" s="2">
        <v>7</v>
      </c>
      <c r="I31" s="2">
        <v>9</v>
      </c>
      <c r="J31" s="14">
        <f>SUM(C31:I31)</f>
        <v>69</v>
      </c>
      <c r="K31" s="20">
        <f>J31-J28</f>
        <v>0</v>
      </c>
      <c r="L31" s="9"/>
      <c r="M31" s="26"/>
      <c r="N31" s="26"/>
      <c r="O31" s="4"/>
      <c r="P31" s="2" t="s">
        <v>44</v>
      </c>
    </row>
    <row r="32" spans="2:16" x14ac:dyDescent="0.15">
      <c r="B32" s="16" t="s">
        <v>20</v>
      </c>
      <c r="C32" s="2">
        <v>7</v>
      </c>
      <c r="D32" s="2">
        <v>13</v>
      </c>
      <c r="E32" s="2">
        <v>11</v>
      </c>
      <c r="F32" s="2">
        <v>6</v>
      </c>
      <c r="G32" s="2">
        <v>16</v>
      </c>
      <c r="H32" s="2">
        <v>7</v>
      </c>
      <c r="I32" s="2">
        <v>9</v>
      </c>
      <c r="J32" s="14">
        <f t="shared" ref="J32:J42" si="4">SUM(C32:I32)</f>
        <v>69</v>
      </c>
      <c r="K32" s="20">
        <f t="shared" ref="K32:K42" si="5">J32-J31</f>
        <v>0</v>
      </c>
      <c r="M32" s="26"/>
      <c r="N32" s="26"/>
      <c r="O32" s="4"/>
      <c r="P32" s="2"/>
    </row>
    <row r="33" spans="1:16" x14ac:dyDescent="0.15">
      <c r="B33" s="16" t="s">
        <v>21</v>
      </c>
      <c r="C33" s="2">
        <v>7</v>
      </c>
      <c r="D33" s="2">
        <v>13</v>
      </c>
      <c r="E33" s="2">
        <v>10</v>
      </c>
      <c r="F33" s="2">
        <v>6</v>
      </c>
      <c r="G33" s="2">
        <v>15</v>
      </c>
      <c r="H33" s="2">
        <v>7</v>
      </c>
      <c r="I33" s="2">
        <v>9</v>
      </c>
      <c r="J33" s="14">
        <f t="shared" si="4"/>
        <v>67</v>
      </c>
      <c r="K33" s="20">
        <f t="shared" si="5"/>
        <v>-2</v>
      </c>
      <c r="M33" s="26"/>
      <c r="N33" s="26" t="s">
        <v>39</v>
      </c>
      <c r="O33" s="4"/>
      <c r="P33" s="2"/>
    </row>
    <row r="34" spans="1:16" x14ac:dyDescent="0.15">
      <c r="B34" s="16" t="s">
        <v>22</v>
      </c>
      <c r="C34" s="2">
        <v>6</v>
      </c>
      <c r="D34" s="2">
        <v>13</v>
      </c>
      <c r="E34" s="2">
        <v>11</v>
      </c>
      <c r="F34" s="2">
        <v>6</v>
      </c>
      <c r="G34" s="2">
        <v>15</v>
      </c>
      <c r="H34" s="2">
        <v>7</v>
      </c>
      <c r="I34" s="2">
        <v>9</v>
      </c>
      <c r="J34" s="14">
        <f t="shared" si="4"/>
        <v>67</v>
      </c>
      <c r="K34" s="20">
        <f t="shared" si="5"/>
        <v>0</v>
      </c>
      <c r="M34" s="26" t="s">
        <v>40</v>
      </c>
      <c r="N34" s="26" t="s">
        <v>42</v>
      </c>
      <c r="O34" s="4"/>
      <c r="P34" s="2"/>
    </row>
    <row r="35" spans="1:16" x14ac:dyDescent="0.15">
      <c r="B35" s="16" t="s">
        <v>23</v>
      </c>
      <c r="C35" s="2">
        <v>6</v>
      </c>
      <c r="D35" s="2">
        <v>13</v>
      </c>
      <c r="E35" s="2">
        <v>11</v>
      </c>
      <c r="F35" s="2">
        <v>6</v>
      </c>
      <c r="G35" s="2">
        <v>15</v>
      </c>
      <c r="H35" s="2">
        <v>7</v>
      </c>
      <c r="I35" s="2">
        <v>9</v>
      </c>
      <c r="J35" s="14">
        <f t="shared" si="4"/>
        <v>67</v>
      </c>
      <c r="K35" s="20">
        <f t="shared" si="5"/>
        <v>0</v>
      </c>
      <c r="M35" s="26"/>
      <c r="N35" s="26"/>
      <c r="O35" s="4"/>
      <c r="P35" s="2"/>
    </row>
    <row r="36" spans="1:16" x14ac:dyDescent="0.15">
      <c r="B36" s="16" t="s">
        <v>24</v>
      </c>
      <c r="C36" s="2">
        <v>6</v>
      </c>
      <c r="D36" s="2">
        <v>13</v>
      </c>
      <c r="E36" s="2">
        <v>11</v>
      </c>
      <c r="F36" s="2">
        <v>6</v>
      </c>
      <c r="G36" s="2">
        <v>16</v>
      </c>
      <c r="H36" s="2">
        <v>7</v>
      </c>
      <c r="I36" s="2">
        <v>9</v>
      </c>
      <c r="J36" s="14">
        <f t="shared" si="4"/>
        <v>68</v>
      </c>
      <c r="K36" s="20">
        <f t="shared" si="5"/>
        <v>1</v>
      </c>
      <c r="M36" s="39" t="s">
        <v>41</v>
      </c>
      <c r="N36" s="26"/>
      <c r="O36" s="4"/>
      <c r="P36" s="2"/>
    </row>
    <row r="37" spans="1:16" x14ac:dyDescent="0.15">
      <c r="B37" s="16" t="s">
        <v>25</v>
      </c>
      <c r="C37" s="2">
        <v>6</v>
      </c>
      <c r="D37" s="2">
        <v>13</v>
      </c>
      <c r="E37" s="2">
        <v>11</v>
      </c>
      <c r="F37" s="2">
        <v>6</v>
      </c>
      <c r="G37" s="2">
        <v>16</v>
      </c>
      <c r="H37" s="2">
        <v>7</v>
      </c>
      <c r="I37" s="2">
        <v>9</v>
      </c>
      <c r="J37" s="14">
        <f t="shared" si="4"/>
        <v>68</v>
      </c>
      <c r="K37" s="20">
        <f>J37-J36</f>
        <v>0</v>
      </c>
      <c r="M37" s="26"/>
      <c r="N37" s="26"/>
      <c r="O37" s="4"/>
      <c r="P37" s="2"/>
    </row>
    <row r="38" spans="1:16" x14ac:dyDescent="0.15">
      <c r="A38" s="42" t="s">
        <v>72</v>
      </c>
      <c r="B38" s="16" t="s">
        <v>26</v>
      </c>
      <c r="C38" s="2">
        <v>6</v>
      </c>
      <c r="D38" s="2">
        <v>13</v>
      </c>
      <c r="E38" s="2">
        <v>11</v>
      </c>
      <c r="F38" s="2">
        <v>6</v>
      </c>
      <c r="G38" s="2">
        <v>16</v>
      </c>
      <c r="H38" s="2">
        <v>7</v>
      </c>
      <c r="I38" s="2">
        <v>9</v>
      </c>
      <c r="J38" s="14">
        <f t="shared" si="4"/>
        <v>68</v>
      </c>
      <c r="K38" s="20">
        <f t="shared" si="5"/>
        <v>0</v>
      </c>
      <c r="M38" s="26"/>
      <c r="N38" s="26"/>
      <c r="O38" s="4"/>
      <c r="P38" s="2"/>
    </row>
    <row r="39" spans="1:16" x14ac:dyDescent="0.15">
      <c r="A39" s="42"/>
      <c r="B39" s="16" t="s">
        <v>27</v>
      </c>
      <c r="C39" s="2">
        <v>6</v>
      </c>
      <c r="D39" s="2">
        <v>13</v>
      </c>
      <c r="E39" s="2">
        <v>10</v>
      </c>
      <c r="F39" s="2">
        <v>6</v>
      </c>
      <c r="G39" s="2">
        <v>17</v>
      </c>
      <c r="H39" s="2">
        <v>7</v>
      </c>
      <c r="I39" s="2">
        <v>9</v>
      </c>
      <c r="J39" s="14">
        <f t="shared" si="4"/>
        <v>68</v>
      </c>
      <c r="K39" s="20">
        <f t="shared" si="5"/>
        <v>0</v>
      </c>
      <c r="M39" s="26"/>
      <c r="N39" s="26"/>
      <c r="O39" s="4" t="s">
        <v>74</v>
      </c>
      <c r="P39" s="2"/>
    </row>
    <row r="40" spans="1:16" x14ac:dyDescent="0.15">
      <c r="A40" s="42"/>
      <c r="B40" s="16" t="s">
        <v>28</v>
      </c>
      <c r="C40" s="2">
        <v>6</v>
      </c>
      <c r="D40" s="2">
        <v>13</v>
      </c>
      <c r="E40" s="2">
        <v>10</v>
      </c>
      <c r="F40" s="2">
        <v>6</v>
      </c>
      <c r="G40" s="2">
        <v>17</v>
      </c>
      <c r="H40" s="2">
        <v>7</v>
      </c>
      <c r="I40" s="2">
        <v>9</v>
      </c>
      <c r="J40" s="14">
        <f t="shared" si="4"/>
        <v>68</v>
      </c>
      <c r="K40" s="20">
        <f t="shared" si="5"/>
        <v>0</v>
      </c>
      <c r="M40" s="26"/>
      <c r="O40" s="4"/>
      <c r="P40" s="2"/>
    </row>
    <row r="41" spans="1:16" x14ac:dyDescent="0.15">
      <c r="A41" s="42"/>
      <c r="B41" s="16" t="s">
        <v>29</v>
      </c>
      <c r="C41" s="2">
        <v>6</v>
      </c>
      <c r="D41" s="2">
        <v>14</v>
      </c>
      <c r="E41" s="2">
        <v>10</v>
      </c>
      <c r="F41" s="2">
        <v>6</v>
      </c>
      <c r="G41" s="2">
        <v>18</v>
      </c>
      <c r="H41" s="2">
        <v>7</v>
      </c>
      <c r="I41" s="2">
        <v>9</v>
      </c>
      <c r="J41" s="14">
        <f t="shared" si="4"/>
        <v>70</v>
      </c>
      <c r="K41" s="20">
        <f t="shared" si="5"/>
        <v>2</v>
      </c>
      <c r="M41" s="36" t="s">
        <v>48</v>
      </c>
      <c r="N41" s="26" t="s">
        <v>49</v>
      </c>
      <c r="O41" s="4" t="s">
        <v>73</v>
      </c>
      <c r="P41" s="2"/>
    </row>
    <row r="42" spans="1:16" ht="14.25" thickBot="1" x14ac:dyDescent="0.2">
      <c r="A42" s="42"/>
      <c r="B42" s="17" t="s">
        <v>30</v>
      </c>
      <c r="C42" s="3">
        <v>6</v>
      </c>
      <c r="D42" s="3">
        <v>14</v>
      </c>
      <c r="E42" s="3">
        <v>10</v>
      </c>
      <c r="F42" s="3">
        <v>6</v>
      </c>
      <c r="G42" s="3">
        <v>18</v>
      </c>
      <c r="H42" s="3">
        <v>7</v>
      </c>
      <c r="I42" s="3">
        <v>9</v>
      </c>
      <c r="J42" s="15">
        <f t="shared" si="4"/>
        <v>70</v>
      </c>
      <c r="K42" s="20">
        <f t="shared" si="5"/>
        <v>0</v>
      </c>
      <c r="M42" s="26"/>
      <c r="N42" s="26"/>
      <c r="O42" s="4"/>
      <c r="P42" s="2"/>
    </row>
    <row r="43" spans="1:16" ht="14.25" thickBot="1" x14ac:dyDescent="0.2">
      <c r="A43" s="42"/>
    </row>
    <row r="44" spans="1:16" x14ac:dyDescent="0.15">
      <c r="A44" s="42"/>
      <c r="B44" s="5" t="s">
        <v>46</v>
      </c>
      <c r="C44" s="6" t="s">
        <v>0</v>
      </c>
      <c r="D44" s="6" t="s">
        <v>1</v>
      </c>
      <c r="E44" s="6" t="s">
        <v>2</v>
      </c>
      <c r="F44" s="6" t="s">
        <v>3</v>
      </c>
      <c r="G44" s="6" t="s">
        <v>4</v>
      </c>
      <c r="H44" s="6" t="s">
        <v>5</v>
      </c>
      <c r="I44" s="6" t="s">
        <v>6</v>
      </c>
      <c r="J44" s="10" t="s">
        <v>7</v>
      </c>
      <c r="K44" s="11" t="s">
        <v>36</v>
      </c>
      <c r="M44" s="38" t="s">
        <v>8</v>
      </c>
      <c r="N44" s="38" t="s">
        <v>9</v>
      </c>
      <c r="O44" s="8" t="s">
        <v>10</v>
      </c>
      <c r="P44" s="8" t="s">
        <v>43</v>
      </c>
    </row>
    <row r="45" spans="1:16" x14ac:dyDescent="0.15">
      <c r="A45" s="42"/>
      <c r="B45" s="16" t="s">
        <v>19</v>
      </c>
      <c r="C45" s="2">
        <v>6</v>
      </c>
      <c r="D45" s="2">
        <v>14</v>
      </c>
      <c r="E45" s="2">
        <v>10</v>
      </c>
      <c r="F45" s="2">
        <v>6</v>
      </c>
      <c r="G45" s="2">
        <v>18</v>
      </c>
      <c r="H45" s="2">
        <v>7</v>
      </c>
      <c r="I45" s="2">
        <v>9</v>
      </c>
      <c r="J45" s="14">
        <f>SUM(C45:I45)</f>
        <v>70</v>
      </c>
      <c r="K45" s="20">
        <f>J45-J42</f>
        <v>0</v>
      </c>
      <c r="L45" s="9"/>
      <c r="M45" s="26"/>
      <c r="N45" s="26"/>
      <c r="O45" s="4"/>
      <c r="P45" s="2" t="s">
        <v>50</v>
      </c>
    </row>
    <row r="46" spans="1:16" x14ac:dyDescent="0.15">
      <c r="A46" s="42"/>
      <c r="B46" s="16" t="s">
        <v>20</v>
      </c>
      <c r="C46" s="2">
        <v>6</v>
      </c>
      <c r="D46" s="2">
        <v>14</v>
      </c>
      <c r="E46" s="2">
        <v>11</v>
      </c>
      <c r="F46" s="2">
        <v>6</v>
      </c>
      <c r="G46" s="2">
        <v>17</v>
      </c>
      <c r="H46" s="2">
        <v>7</v>
      </c>
      <c r="I46" s="2">
        <v>9</v>
      </c>
      <c r="J46" s="14">
        <f t="shared" ref="J46:J56" si="6">SUM(C46:I46)</f>
        <v>70</v>
      </c>
      <c r="K46" s="20">
        <f>J46-J45</f>
        <v>0</v>
      </c>
      <c r="M46" s="26"/>
      <c r="N46" s="26"/>
      <c r="O46" s="4" t="s">
        <v>51</v>
      </c>
      <c r="P46" s="2"/>
    </row>
    <row r="47" spans="1:16" x14ac:dyDescent="0.15">
      <c r="A47" s="42"/>
      <c r="B47" s="16" t="s">
        <v>21</v>
      </c>
      <c r="C47" s="2">
        <v>6</v>
      </c>
      <c r="D47" s="2">
        <v>14</v>
      </c>
      <c r="E47" s="2">
        <v>10</v>
      </c>
      <c r="F47" s="2">
        <v>6</v>
      </c>
      <c r="G47" s="2">
        <v>18</v>
      </c>
      <c r="H47" s="2">
        <v>7</v>
      </c>
      <c r="I47" s="2">
        <v>9</v>
      </c>
      <c r="J47" s="14">
        <f t="shared" si="6"/>
        <v>70</v>
      </c>
      <c r="K47" s="20">
        <f>J47-J46</f>
        <v>0</v>
      </c>
      <c r="M47" s="26"/>
      <c r="N47" s="26"/>
      <c r="O47" s="4" t="s">
        <v>53</v>
      </c>
      <c r="P47" s="2"/>
    </row>
    <row r="48" spans="1:16" x14ac:dyDescent="0.15">
      <c r="A48" s="42"/>
      <c r="B48" s="16" t="s">
        <v>22</v>
      </c>
      <c r="C48" s="2">
        <v>6</v>
      </c>
      <c r="D48" s="2">
        <v>14</v>
      </c>
      <c r="E48" s="2">
        <v>11</v>
      </c>
      <c r="F48" s="2">
        <v>6</v>
      </c>
      <c r="G48" s="2">
        <v>18</v>
      </c>
      <c r="H48" s="2">
        <v>7</v>
      </c>
      <c r="I48" s="2">
        <v>9</v>
      </c>
      <c r="J48" s="14">
        <f t="shared" si="6"/>
        <v>71</v>
      </c>
      <c r="K48" s="20">
        <f>J48-J47</f>
        <v>1</v>
      </c>
      <c r="M48" s="26" t="s">
        <v>54</v>
      </c>
      <c r="N48" s="26"/>
      <c r="O48" s="4"/>
      <c r="P48" s="2"/>
    </row>
    <row r="49" spans="1:16" x14ac:dyDescent="0.15">
      <c r="A49" s="42"/>
      <c r="B49" s="16" t="s">
        <v>23</v>
      </c>
      <c r="C49" s="2">
        <v>6</v>
      </c>
      <c r="D49" s="2">
        <v>15</v>
      </c>
      <c r="E49" s="2">
        <v>12</v>
      </c>
      <c r="F49" s="2">
        <v>6</v>
      </c>
      <c r="G49" s="2">
        <v>17</v>
      </c>
      <c r="H49" s="2">
        <v>7</v>
      </c>
      <c r="I49" s="2">
        <v>9</v>
      </c>
      <c r="J49" s="14">
        <f t="shared" si="6"/>
        <v>72</v>
      </c>
      <c r="K49" s="20">
        <f>J49-J48</f>
        <v>1</v>
      </c>
      <c r="M49" s="26" t="s">
        <v>55</v>
      </c>
      <c r="N49" s="26"/>
      <c r="O49" s="2" t="s">
        <v>56</v>
      </c>
      <c r="P49" s="2"/>
    </row>
    <row r="50" spans="1:16" x14ac:dyDescent="0.15">
      <c r="A50" s="42"/>
      <c r="B50" s="16" t="s">
        <v>24</v>
      </c>
      <c r="C50" s="2">
        <v>6</v>
      </c>
      <c r="D50" s="2">
        <v>15</v>
      </c>
      <c r="E50" s="2">
        <v>12</v>
      </c>
      <c r="F50" s="2">
        <v>6</v>
      </c>
      <c r="G50" s="2">
        <v>17</v>
      </c>
      <c r="H50" s="2">
        <v>7</v>
      </c>
      <c r="I50" s="2">
        <v>9</v>
      </c>
      <c r="J50" s="14">
        <f t="shared" si="6"/>
        <v>72</v>
      </c>
      <c r="K50" s="20">
        <f>J50-J49</f>
        <v>0</v>
      </c>
      <c r="M50" s="26"/>
      <c r="N50" s="26"/>
      <c r="O50" s="4"/>
      <c r="P50" s="2"/>
    </row>
    <row r="51" spans="1:16" x14ac:dyDescent="0.15">
      <c r="A51" s="42"/>
      <c r="B51" s="16" t="s">
        <v>25</v>
      </c>
      <c r="C51" s="2">
        <v>6</v>
      </c>
      <c r="D51" s="2">
        <v>15</v>
      </c>
      <c r="E51" s="2">
        <v>12</v>
      </c>
      <c r="F51" s="2">
        <v>6</v>
      </c>
      <c r="G51" s="2">
        <v>17</v>
      </c>
      <c r="H51" s="2">
        <v>7</v>
      </c>
      <c r="I51" s="2">
        <v>9</v>
      </c>
      <c r="J51" s="14">
        <f t="shared" si="6"/>
        <v>72</v>
      </c>
      <c r="K51" s="20">
        <f t="shared" ref="K51:K56" si="7">J51-J50</f>
        <v>0</v>
      </c>
      <c r="M51" s="26"/>
      <c r="N51" s="26"/>
      <c r="O51" s="4"/>
      <c r="P51" s="2"/>
    </row>
    <row r="52" spans="1:16" x14ac:dyDescent="0.15">
      <c r="A52" s="42" t="s">
        <v>71</v>
      </c>
      <c r="B52" s="16" t="s">
        <v>26</v>
      </c>
      <c r="C52" s="2">
        <v>6</v>
      </c>
      <c r="D52" s="2">
        <v>15</v>
      </c>
      <c r="E52" s="2">
        <v>12</v>
      </c>
      <c r="F52" s="2">
        <v>6</v>
      </c>
      <c r="G52" s="2">
        <v>17</v>
      </c>
      <c r="H52" s="2">
        <v>7</v>
      </c>
      <c r="I52" s="2">
        <v>9</v>
      </c>
      <c r="J52" s="14">
        <f t="shared" si="6"/>
        <v>72</v>
      </c>
      <c r="K52" s="20">
        <f t="shared" si="7"/>
        <v>0</v>
      </c>
      <c r="M52" s="26"/>
      <c r="N52" s="26"/>
      <c r="O52" s="4"/>
      <c r="P52" s="2"/>
    </row>
    <row r="53" spans="1:16" x14ac:dyDescent="0.15">
      <c r="A53" s="42"/>
      <c r="B53" s="16" t="s">
        <v>27</v>
      </c>
      <c r="C53" s="2">
        <v>6</v>
      </c>
      <c r="D53" s="2">
        <v>15</v>
      </c>
      <c r="E53" s="2">
        <v>12</v>
      </c>
      <c r="F53" s="2">
        <v>6</v>
      </c>
      <c r="G53" s="2">
        <v>17</v>
      </c>
      <c r="H53" s="2">
        <v>7</v>
      </c>
      <c r="I53" s="2">
        <v>9</v>
      </c>
      <c r="J53" s="14">
        <f t="shared" si="6"/>
        <v>72</v>
      </c>
      <c r="K53" s="20">
        <f t="shared" si="7"/>
        <v>0</v>
      </c>
      <c r="M53" s="26"/>
      <c r="N53" s="26"/>
      <c r="O53" s="4"/>
      <c r="P53" s="2"/>
    </row>
    <row r="54" spans="1:16" x14ac:dyDescent="0.15">
      <c r="A54" s="42"/>
      <c r="B54" s="16" t="s">
        <v>28</v>
      </c>
      <c r="C54" s="2">
        <v>6</v>
      </c>
      <c r="D54" s="2">
        <v>15</v>
      </c>
      <c r="E54" s="2">
        <v>12</v>
      </c>
      <c r="F54" s="2">
        <v>6</v>
      </c>
      <c r="G54" s="2">
        <v>16</v>
      </c>
      <c r="H54" s="2">
        <v>7</v>
      </c>
      <c r="I54" s="2">
        <v>9</v>
      </c>
      <c r="J54" s="14">
        <f t="shared" si="6"/>
        <v>71</v>
      </c>
      <c r="K54" s="20">
        <f t="shared" si="7"/>
        <v>-1</v>
      </c>
      <c r="M54" s="26"/>
      <c r="N54" s="39" t="s">
        <v>58</v>
      </c>
      <c r="O54" s="4"/>
      <c r="P54" s="2"/>
    </row>
    <row r="55" spans="1:16" ht="27" x14ac:dyDescent="0.15">
      <c r="A55" s="42"/>
      <c r="B55" s="16" t="s">
        <v>29</v>
      </c>
      <c r="C55" s="2">
        <v>6</v>
      </c>
      <c r="D55" s="2">
        <v>15</v>
      </c>
      <c r="E55" s="2">
        <v>13</v>
      </c>
      <c r="F55" s="2">
        <v>6</v>
      </c>
      <c r="G55" s="2">
        <v>16</v>
      </c>
      <c r="H55" s="2">
        <v>8</v>
      </c>
      <c r="I55" s="2">
        <v>9</v>
      </c>
      <c r="J55" s="14">
        <f t="shared" si="6"/>
        <v>73</v>
      </c>
      <c r="K55" s="20">
        <f t="shared" si="7"/>
        <v>2</v>
      </c>
      <c r="M55" s="36" t="s">
        <v>60</v>
      </c>
      <c r="N55" s="26" t="s">
        <v>57</v>
      </c>
      <c r="O55" s="4"/>
      <c r="P55" s="2"/>
    </row>
    <row r="56" spans="1:16" ht="14.25" thickBot="1" x14ac:dyDescent="0.2">
      <c r="A56" s="42"/>
      <c r="B56" s="17" t="s">
        <v>30</v>
      </c>
      <c r="C56" s="3">
        <v>6</v>
      </c>
      <c r="D56" s="3">
        <v>15</v>
      </c>
      <c r="E56" s="3">
        <v>13</v>
      </c>
      <c r="F56" s="3">
        <v>6</v>
      </c>
      <c r="G56" s="3">
        <v>16</v>
      </c>
      <c r="H56" s="3">
        <v>7</v>
      </c>
      <c r="I56" s="3">
        <v>9</v>
      </c>
      <c r="J56" s="15">
        <f t="shared" si="6"/>
        <v>72</v>
      </c>
      <c r="K56" s="21">
        <f t="shared" si="7"/>
        <v>-1</v>
      </c>
      <c r="M56" s="36"/>
      <c r="N56" s="26" t="s">
        <v>59</v>
      </c>
      <c r="O56" s="4"/>
      <c r="P56" s="2"/>
    </row>
    <row r="57" spans="1:16" ht="14.25" thickBot="1" x14ac:dyDescent="0.2">
      <c r="A57" s="42"/>
    </row>
    <row r="58" spans="1:16" x14ac:dyDescent="0.15">
      <c r="A58" s="42"/>
      <c r="B58" s="5" t="s">
        <v>62</v>
      </c>
      <c r="C58" s="6" t="s">
        <v>0</v>
      </c>
      <c r="D58" s="6" t="s">
        <v>1</v>
      </c>
      <c r="E58" s="6" t="s">
        <v>2</v>
      </c>
      <c r="F58" s="6" t="s">
        <v>3</v>
      </c>
      <c r="G58" s="6" t="s">
        <v>4</v>
      </c>
      <c r="H58" s="6" t="s">
        <v>5</v>
      </c>
      <c r="I58" s="6" t="s">
        <v>6</v>
      </c>
      <c r="J58" s="10" t="s">
        <v>7</v>
      </c>
      <c r="K58" s="11" t="s">
        <v>36</v>
      </c>
      <c r="M58" s="38" t="s">
        <v>8</v>
      </c>
      <c r="N58" s="38" t="s">
        <v>9</v>
      </c>
      <c r="O58" s="8" t="s">
        <v>10</v>
      </c>
      <c r="P58" s="8" t="s">
        <v>43</v>
      </c>
    </row>
    <row r="59" spans="1:16" ht="27" x14ac:dyDescent="0.15">
      <c r="A59" s="42"/>
      <c r="B59" s="16" t="s">
        <v>19</v>
      </c>
      <c r="C59" s="2">
        <v>6</v>
      </c>
      <c r="D59" s="2">
        <v>15</v>
      </c>
      <c r="E59" s="2">
        <v>13</v>
      </c>
      <c r="F59" s="2">
        <v>6</v>
      </c>
      <c r="G59" s="2">
        <v>16</v>
      </c>
      <c r="H59" s="2">
        <v>7</v>
      </c>
      <c r="I59" s="2">
        <v>9</v>
      </c>
      <c r="J59" s="14">
        <f>SUM(C59:I59)</f>
        <v>72</v>
      </c>
      <c r="K59" s="20">
        <f>J59-J56</f>
        <v>0</v>
      </c>
      <c r="L59" s="9"/>
      <c r="M59" s="26"/>
      <c r="N59" s="26"/>
      <c r="O59" s="4"/>
      <c r="P59" s="23" t="s">
        <v>61</v>
      </c>
    </row>
    <row r="60" spans="1:16" x14ac:dyDescent="0.15">
      <c r="A60" s="42"/>
      <c r="B60" s="16" t="s">
        <v>20</v>
      </c>
      <c r="C60" s="2">
        <v>6</v>
      </c>
      <c r="D60" s="2">
        <v>15</v>
      </c>
      <c r="E60" s="2">
        <v>13</v>
      </c>
      <c r="F60" s="2">
        <v>6</v>
      </c>
      <c r="G60" s="2">
        <v>16</v>
      </c>
      <c r="H60" s="2">
        <v>7</v>
      </c>
      <c r="I60" s="2">
        <v>9</v>
      </c>
      <c r="J60" s="14">
        <f t="shared" ref="J60:J70" si="8">SUM(C60:I60)</f>
        <v>72</v>
      </c>
      <c r="K60" s="20">
        <f>J60-J59</f>
        <v>0</v>
      </c>
      <c r="M60" s="26"/>
      <c r="N60" s="26"/>
      <c r="O60" s="4"/>
      <c r="P60" s="2"/>
    </row>
    <row r="61" spans="1:16" x14ac:dyDescent="0.15">
      <c r="A61" s="42"/>
      <c r="B61" s="16" t="s">
        <v>21</v>
      </c>
      <c r="C61" s="2">
        <v>6</v>
      </c>
      <c r="D61" s="2">
        <v>15</v>
      </c>
      <c r="E61" s="2">
        <v>13</v>
      </c>
      <c r="F61" s="2">
        <v>6</v>
      </c>
      <c r="G61" s="2">
        <v>16</v>
      </c>
      <c r="H61" s="2">
        <v>7</v>
      </c>
      <c r="I61" s="2">
        <v>9</v>
      </c>
      <c r="J61" s="14">
        <f t="shared" si="8"/>
        <v>72</v>
      </c>
      <c r="K61" s="20">
        <f>J61-J60</f>
        <v>0</v>
      </c>
      <c r="M61" s="26"/>
      <c r="N61" s="26"/>
      <c r="O61" s="4"/>
      <c r="P61" s="2"/>
    </row>
    <row r="62" spans="1:16" x14ac:dyDescent="0.15">
      <c r="A62" s="42"/>
      <c r="B62" s="16" t="s">
        <v>22</v>
      </c>
      <c r="C62" s="2">
        <v>6</v>
      </c>
      <c r="D62" s="2">
        <v>15</v>
      </c>
      <c r="E62" s="2">
        <v>13</v>
      </c>
      <c r="F62" s="2">
        <v>6</v>
      </c>
      <c r="G62" s="2">
        <v>16</v>
      </c>
      <c r="H62" s="2">
        <v>7</v>
      </c>
      <c r="I62" s="2">
        <v>9</v>
      </c>
      <c r="J62" s="14">
        <f t="shared" si="8"/>
        <v>72</v>
      </c>
      <c r="K62" s="20">
        <f>J62-J61</f>
        <v>0</v>
      </c>
      <c r="M62" s="26"/>
      <c r="N62" s="26"/>
      <c r="O62" s="4"/>
      <c r="P62" s="2"/>
    </row>
    <row r="63" spans="1:16" x14ac:dyDescent="0.15">
      <c r="A63" s="42"/>
      <c r="B63" s="16" t="s">
        <v>23</v>
      </c>
      <c r="C63" s="2">
        <v>6</v>
      </c>
      <c r="D63" s="2">
        <v>15</v>
      </c>
      <c r="E63" s="2">
        <v>13</v>
      </c>
      <c r="F63" s="2">
        <v>6</v>
      </c>
      <c r="G63" s="2">
        <v>16</v>
      </c>
      <c r="H63" s="2">
        <v>7</v>
      </c>
      <c r="I63" s="2">
        <v>9</v>
      </c>
      <c r="J63" s="14">
        <f t="shared" si="8"/>
        <v>72</v>
      </c>
      <c r="K63" s="20">
        <f>J63-J62</f>
        <v>0</v>
      </c>
      <c r="M63" s="26"/>
      <c r="N63" s="26"/>
      <c r="O63" s="2"/>
      <c r="P63" s="2"/>
    </row>
    <row r="64" spans="1:16" x14ac:dyDescent="0.15">
      <c r="A64" s="42"/>
      <c r="B64" s="16" t="s">
        <v>24</v>
      </c>
      <c r="C64" s="2">
        <v>6</v>
      </c>
      <c r="D64" s="2">
        <v>15</v>
      </c>
      <c r="E64" s="2">
        <v>13</v>
      </c>
      <c r="F64" s="2">
        <v>6</v>
      </c>
      <c r="G64" s="2">
        <v>16</v>
      </c>
      <c r="H64" s="2">
        <v>7</v>
      </c>
      <c r="I64" s="2">
        <v>9</v>
      </c>
      <c r="J64" s="14">
        <f t="shared" si="8"/>
        <v>72</v>
      </c>
      <c r="K64" s="20">
        <f>J64-J63</f>
        <v>0</v>
      </c>
      <c r="M64" s="26"/>
      <c r="N64" s="26"/>
      <c r="O64" s="4"/>
      <c r="P64" s="2"/>
    </row>
    <row r="65" spans="1:16" x14ac:dyDescent="0.15">
      <c r="A65" s="42"/>
      <c r="B65" s="16" t="s">
        <v>25</v>
      </c>
      <c r="C65" s="2">
        <v>6</v>
      </c>
      <c r="D65" s="2">
        <v>15</v>
      </c>
      <c r="E65" s="2">
        <v>13</v>
      </c>
      <c r="F65" s="2">
        <v>6</v>
      </c>
      <c r="G65" s="2">
        <v>16</v>
      </c>
      <c r="H65" s="2">
        <v>7</v>
      </c>
      <c r="I65" s="2">
        <v>9</v>
      </c>
      <c r="J65" s="14">
        <f t="shared" si="8"/>
        <v>72</v>
      </c>
      <c r="K65" s="20">
        <f t="shared" ref="K65:K70" si="9">J65-J64</f>
        <v>0</v>
      </c>
      <c r="M65" s="26"/>
      <c r="N65" s="26"/>
      <c r="O65" s="4"/>
      <c r="P65" s="2"/>
    </row>
    <row r="66" spans="1:16" x14ac:dyDescent="0.15">
      <c r="A66" s="42" t="s">
        <v>70</v>
      </c>
      <c r="B66" s="16" t="s">
        <v>26</v>
      </c>
      <c r="C66" s="2">
        <v>6</v>
      </c>
      <c r="D66" s="2">
        <v>15</v>
      </c>
      <c r="E66" s="2">
        <v>12</v>
      </c>
      <c r="F66" s="2">
        <v>6</v>
      </c>
      <c r="G66" s="2">
        <v>16</v>
      </c>
      <c r="H66" s="2">
        <v>7</v>
      </c>
      <c r="I66" s="2">
        <v>9</v>
      </c>
      <c r="J66" s="14">
        <f t="shared" si="8"/>
        <v>71</v>
      </c>
      <c r="K66" s="20">
        <f t="shared" si="9"/>
        <v>-1</v>
      </c>
      <c r="M66" s="26"/>
      <c r="N66" s="26" t="s">
        <v>63</v>
      </c>
      <c r="O66" s="4"/>
      <c r="P66" s="2"/>
    </row>
    <row r="67" spans="1:16" x14ac:dyDescent="0.15">
      <c r="A67" s="42"/>
      <c r="B67" s="16" t="s">
        <v>27</v>
      </c>
      <c r="C67" s="2">
        <v>6</v>
      </c>
      <c r="D67" s="2">
        <v>15</v>
      </c>
      <c r="E67" s="2">
        <v>12</v>
      </c>
      <c r="F67" s="2">
        <v>6</v>
      </c>
      <c r="G67" s="2">
        <v>16</v>
      </c>
      <c r="H67" s="2">
        <v>7</v>
      </c>
      <c r="I67" s="2">
        <v>9</v>
      </c>
      <c r="J67" s="14">
        <f t="shared" si="8"/>
        <v>71</v>
      </c>
      <c r="K67" s="20">
        <f t="shared" si="9"/>
        <v>0</v>
      </c>
      <c r="M67" s="26"/>
      <c r="N67" s="26"/>
      <c r="O67" s="4"/>
      <c r="P67" s="2"/>
    </row>
    <row r="68" spans="1:16" x14ac:dyDescent="0.15">
      <c r="A68" s="42"/>
      <c r="B68" s="16" t="s">
        <v>28</v>
      </c>
      <c r="C68" s="2">
        <v>6</v>
      </c>
      <c r="D68" s="2">
        <v>15</v>
      </c>
      <c r="E68" s="2">
        <v>12</v>
      </c>
      <c r="F68" s="2">
        <v>6</v>
      </c>
      <c r="G68" s="2">
        <v>16</v>
      </c>
      <c r="H68" s="2">
        <v>7</v>
      </c>
      <c r="I68" s="2">
        <v>8</v>
      </c>
      <c r="J68" s="14">
        <f t="shared" si="8"/>
        <v>70</v>
      </c>
      <c r="K68" s="20">
        <f t="shared" si="9"/>
        <v>-1</v>
      </c>
      <c r="M68" s="26"/>
      <c r="N68" s="26" t="s">
        <v>64</v>
      </c>
      <c r="O68" s="4"/>
      <c r="P68" s="2"/>
    </row>
    <row r="69" spans="1:16" x14ac:dyDescent="0.15">
      <c r="A69" s="42"/>
      <c r="B69" s="16" t="s">
        <v>29</v>
      </c>
      <c r="C69" s="2">
        <v>6</v>
      </c>
      <c r="D69" s="2">
        <v>15</v>
      </c>
      <c r="E69" s="2">
        <v>12</v>
      </c>
      <c r="F69" s="2">
        <v>6</v>
      </c>
      <c r="G69" s="2">
        <v>16</v>
      </c>
      <c r="H69" s="2">
        <v>7</v>
      </c>
      <c r="I69" s="2">
        <v>9</v>
      </c>
      <c r="J69" s="14">
        <f t="shared" si="8"/>
        <v>71</v>
      </c>
      <c r="K69" s="20">
        <f t="shared" si="9"/>
        <v>1</v>
      </c>
      <c r="M69" s="36" t="s">
        <v>65</v>
      </c>
      <c r="N69" s="26"/>
      <c r="O69" s="4"/>
      <c r="P69" s="2"/>
    </row>
    <row r="70" spans="1:16" ht="14.25" thickBot="1" x14ac:dyDescent="0.2">
      <c r="A70" s="42"/>
      <c r="B70" s="17" t="s">
        <v>30</v>
      </c>
      <c r="C70" s="3">
        <v>6</v>
      </c>
      <c r="D70" s="3">
        <v>15</v>
      </c>
      <c r="E70" s="3">
        <v>12</v>
      </c>
      <c r="F70" s="3">
        <v>6</v>
      </c>
      <c r="G70" s="3">
        <v>16</v>
      </c>
      <c r="H70" s="3">
        <v>7</v>
      </c>
      <c r="I70" s="3">
        <v>10</v>
      </c>
      <c r="J70" s="15">
        <f t="shared" si="8"/>
        <v>72</v>
      </c>
      <c r="K70" s="21">
        <f t="shared" si="9"/>
        <v>1</v>
      </c>
      <c r="M70" s="36" t="s">
        <v>67</v>
      </c>
      <c r="N70" s="26"/>
      <c r="O70" s="4"/>
      <c r="P70" s="2"/>
    </row>
    <row r="71" spans="1:16" ht="14.25" thickBot="1" x14ac:dyDescent="0.2">
      <c r="A71" s="42"/>
    </row>
    <row r="72" spans="1:16" x14ac:dyDescent="0.15">
      <c r="A72" s="42"/>
      <c r="B72" s="5" t="s">
        <v>66</v>
      </c>
      <c r="C72" s="6" t="s">
        <v>0</v>
      </c>
      <c r="D72" s="6" t="s">
        <v>1</v>
      </c>
      <c r="E72" s="6" t="s">
        <v>2</v>
      </c>
      <c r="F72" s="6" t="s">
        <v>3</v>
      </c>
      <c r="G72" s="6" t="s">
        <v>4</v>
      </c>
      <c r="H72" s="6" t="s">
        <v>5</v>
      </c>
      <c r="I72" s="6" t="s">
        <v>6</v>
      </c>
      <c r="J72" s="10" t="s">
        <v>7</v>
      </c>
      <c r="K72" s="11" t="s">
        <v>36</v>
      </c>
      <c r="M72" s="38" t="s">
        <v>8</v>
      </c>
      <c r="N72" s="38" t="s">
        <v>9</v>
      </c>
      <c r="O72" s="8" t="s">
        <v>10</v>
      </c>
      <c r="P72" s="8" t="s">
        <v>43</v>
      </c>
    </row>
    <row r="73" spans="1:16" x14ac:dyDescent="0.15">
      <c r="A73" s="42"/>
      <c r="B73" s="16" t="s">
        <v>19</v>
      </c>
      <c r="C73" s="2">
        <v>6</v>
      </c>
      <c r="D73" s="2">
        <v>15</v>
      </c>
      <c r="E73" s="2">
        <v>12</v>
      </c>
      <c r="F73" s="2">
        <v>6</v>
      </c>
      <c r="G73" s="2">
        <v>16</v>
      </c>
      <c r="H73" s="2">
        <v>7</v>
      </c>
      <c r="I73" s="2">
        <v>10</v>
      </c>
      <c r="J73" s="14">
        <f>SUM(C73:I73)</f>
        <v>72</v>
      </c>
      <c r="K73" s="20">
        <f>J73-J70</f>
        <v>0</v>
      </c>
      <c r="L73" s="9"/>
      <c r="M73" s="26" t="s">
        <v>75</v>
      </c>
      <c r="N73" s="26" t="s">
        <v>69</v>
      </c>
      <c r="O73" s="4"/>
      <c r="P73" s="23" t="s">
        <v>68</v>
      </c>
    </row>
    <row r="74" spans="1:16" ht="27" x14ac:dyDescent="0.15">
      <c r="A74" s="42"/>
      <c r="B74" s="16" t="s">
        <v>20</v>
      </c>
      <c r="C74" s="2">
        <v>6</v>
      </c>
      <c r="D74" s="2">
        <v>15</v>
      </c>
      <c r="E74" s="2">
        <v>12</v>
      </c>
      <c r="F74" s="2">
        <v>6</v>
      </c>
      <c r="G74" s="2">
        <v>16</v>
      </c>
      <c r="H74" s="2">
        <v>7</v>
      </c>
      <c r="I74" s="2">
        <v>8</v>
      </c>
      <c r="J74" s="14">
        <f t="shared" ref="J74:J84" si="10">SUM(C74:I74)</f>
        <v>70</v>
      </c>
      <c r="K74" s="20">
        <f>J74-J73</f>
        <v>-2</v>
      </c>
      <c r="M74" s="26"/>
      <c r="N74" s="36" t="s">
        <v>78</v>
      </c>
      <c r="O74" s="4" t="s">
        <v>76</v>
      </c>
      <c r="P74" s="2"/>
    </row>
    <row r="75" spans="1:16" x14ac:dyDescent="0.15">
      <c r="A75" s="42"/>
      <c r="B75" s="16" t="s">
        <v>21</v>
      </c>
      <c r="C75" s="2">
        <v>6</v>
      </c>
      <c r="D75" s="2">
        <v>14</v>
      </c>
      <c r="E75" s="2">
        <v>12</v>
      </c>
      <c r="F75" s="2">
        <v>6</v>
      </c>
      <c r="G75" s="2">
        <v>16</v>
      </c>
      <c r="H75" s="2">
        <v>7</v>
      </c>
      <c r="I75" s="2">
        <v>8</v>
      </c>
      <c r="J75" s="14">
        <f t="shared" si="10"/>
        <v>69</v>
      </c>
      <c r="K75" s="20">
        <f>J75-J74</f>
        <v>-1</v>
      </c>
      <c r="M75" s="26"/>
      <c r="N75" s="26" t="s">
        <v>77</v>
      </c>
      <c r="O75" s="24" t="s">
        <v>79</v>
      </c>
      <c r="P75" s="2"/>
    </row>
    <row r="76" spans="1:16" x14ac:dyDescent="0.15">
      <c r="A76" s="42"/>
      <c r="B76" s="16" t="s">
        <v>22</v>
      </c>
      <c r="C76" s="2">
        <v>6</v>
      </c>
      <c r="D76" s="2">
        <v>14</v>
      </c>
      <c r="E76" s="2">
        <v>12</v>
      </c>
      <c r="F76" s="2">
        <v>6</v>
      </c>
      <c r="G76" s="2">
        <v>16</v>
      </c>
      <c r="H76" s="2">
        <v>7</v>
      </c>
      <c r="I76" s="2">
        <v>8</v>
      </c>
      <c r="J76" s="14">
        <f t="shared" si="10"/>
        <v>69</v>
      </c>
      <c r="K76" s="20">
        <f>J76-J75</f>
        <v>0</v>
      </c>
      <c r="M76" s="26"/>
      <c r="N76" s="26"/>
      <c r="O76" s="4"/>
      <c r="P76" s="2"/>
    </row>
    <row r="77" spans="1:16" ht="30" customHeight="1" x14ac:dyDescent="0.15">
      <c r="A77" s="42"/>
      <c r="B77" s="16" t="s">
        <v>23</v>
      </c>
      <c r="C77" s="2">
        <v>6</v>
      </c>
      <c r="D77" s="2">
        <v>13</v>
      </c>
      <c r="E77" s="2">
        <v>13</v>
      </c>
      <c r="F77" s="2">
        <v>6</v>
      </c>
      <c r="G77" s="2">
        <v>16</v>
      </c>
      <c r="H77" s="2">
        <v>7</v>
      </c>
      <c r="I77" s="2">
        <v>9</v>
      </c>
      <c r="J77" s="14">
        <f t="shared" si="10"/>
        <v>70</v>
      </c>
      <c r="K77" s="20">
        <f>J77-J76</f>
        <v>1</v>
      </c>
      <c r="M77" s="36" t="s">
        <v>82</v>
      </c>
      <c r="N77" s="26" t="s">
        <v>80</v>
      </c>
      <c r="O77" s="2"/>
      <c r="P77" s="2"/>
    </row>
    <row r="78" spans="1:16" x14ac:dyDescent="0.15">
      <c r="A78" s="42"/>
      <c r="B78" s="16" t="s">
        <v>24</v>
      </c>
      <c r="C78" s="2">
        <v>6</v>
      </c>
      <c r="D78" s="2">
        <v>13</v>
      </c>
      <c r="E78" s="2">
        <v>12</v>
      </c>
      <c r="F78" s="2">
        <v>6</v>
      </c>
      <c r="G78" s="2">
        <v>16</v>
      </c>
      <c r="H78" s="2">
        <v>7</v>
      </c>
      <c r="I78" s="2">
        <v>9</v>
      </c>
      <c r="J78" s="14">
        <f t="shared" si="10"/>
        <v>69</v>
      </c>
      <c r="K78" s="20">
        <f>J78-J77</f>
        <v>-1</v>
      </c>
      <c r="M78" s="26"/>
      <c r="N78" s="40" t="s">
        <v>81</v>
      </c>
      <c r="O78" s="4"/>
      <c r="P78" s="2"/>
    </row>
    <row r="79" spans="1:16" x14ac:dyDescent="0.15">
      <c r="A79" s="42"/>
      <c r="B79" s="16" t="s">
        <v>25</v>
      </c>
      <c r="C79" s="2">
        <v>6</v>
      </c>
      <c r="D79" s="2">
        <v>13</v>
      </c>
      <c r="E79" s="2">
        <v>12</v>
      </c>
      <c r="F79" s="2">
        <v>6</v>
      </c>
      <c r="G79" s="2">
        <v>16</v>
      </c>
      <c r="H79" s="2">
        <v>7</v>
      </c>
      <c r="I79" s="2">
        <v>10</v>
      </c>
      <c r="J79" s="14">
        <f t="shared" si="10"/>
        <v>70</v>
      </c>
      <c r="K79" s="20">
        <f t="shared" ref="K79:K84" si="11">J79-J78</f>
        <v>1</v>
      </c>
      <c r="M79" s="26" t="s">
        <v>84</v>
      </c>
      <c r="N79" s="26" t="s">
        <v>83</v>
      </c>
      <c r="O79" s="4"/>
      <c r="P79" s="2"/>
    </row>
    <row r="80" spans="1:16" x14ac:dyDescent="0.15">
      <c r="A80" s="42" t="s">
        <v>100</v>
      </c>
      <c r="B80" s="16" t="s">
        <v>26</v>
      </c>
      <c r="C80" s="2">
        <v>6</v>
      </c>
      <c r="D80" s="2">
        <v>13</v>
      </c>
      <c r="E80" s="2">
        <v>12</v>
      </c>
      <c r="F80" s="2">
        <v>6</v>
      </c>
      <c r="G80" s="2">
        <v>16</v>
      </c>
      <c r="H80" s="2">
        <v>7</v>
      </c>
      <c r="I80" s="2">
        <v>9</v>
      </c>
      <c r="J80" s="14">
        <f t="shared" si="10"/>
        <v>69</v>
      </c>
      <c r="K80" s="20">
        <f t="shared" si="11"/>
        <v>-1</v>
      </c>
      <c r="M80" s="26"/>
      <c r="N80" s="26" t="s">
        <v>85</v>
      </c>
      <c r="O80" s="4"/>
      <c r="P80" s="2"/>
    </row>
    <row r="81" spans="1:16" x14ac:dyDescent="0.15">
      <c r="A81" s="42"/>
      <c r="B81" s="16" t="s">
        <v>27</v>
      </c>
      <c r="C81" s="2">
        <v>6</v>
      </c>
      <c r="D81" s="2">
        <v>13</v>
      </c>
      <c r="E81" s="2">
        <v>12</v>
      </c>
      <c r="F81" s="2">
        <v>6</v>
      </c>
      <c r="G81" s="2">
        <v>16</v>
      </c>
      <c r="H81" s="2">
        <v>7</v>
      </c>
      <c r="I81" s="2">
        <v>9</v>
      </c>
      <c r="J81" s="14">
        <f t="shared" si="10"/>
        <v>69</v>
      </c>
      <c r="K81" s="20">
        <f t="shared" si="11"/>
        <v>0</v>
      </c>
      <c r="M81" s="26"/>
      <c r="N81" s="26"/>
      <c r="O81" s="4"/>
      <c r="P81" s="2"/>
    </row>
    <row r="82" spans="1:16" x14ac:dyDescent="0.15">
      <c r="A82" s="42"/>
      <c r="B82" s="16" t="s">
        <v>28</v>
      </c>
      <c r="C82" s="2">
        <v>6</v>
      </c>
      <c r="D82" s="2">
        <v>13</v>
      </c>
      <c r="E82" s="2">
        <v>12</v>
      </c>
      <c r="F82" s="2">
        <v>6</v>
      </c>
      <c r="G82" s="2">
        <v>16</v>
      </c>
      <c r="H82" s="2">
        <v>6</v>
      </c>
      <c r="I82" s="2">
        <v>9</v>
      </c>
      <c r="J82" s="14">
        <f t="shared" si="10"/>
        <v>68</v>
      </c>
      <c r="K82" s="20">
        <f t="shared" si="11"/>
        <v>-1</v>
      </c>
      <c r="M82" s="26"/>
      <c r="N82" s="40" t="s">
        <v>87</v>
      </c>
      <c r="O82" s="4"/>
      <c r="P82" s="2"/>
    </row>
    <row r="83" spans="1:16" x14ac:dyDescent="0.15">
      <c r="A83" s="42"/>
      <c r="B83" s="16" t="s">
        <v>29</v>
      </c>
      <c r="C83" s="2">
        <v>6</v>
      </c>
      <c r="D83" s="2">
        <v>14</v>
      </c>
      <c r="E83" s="2">
        <v>12</v>
      </c>
      <c r="F83" s="2">
        <v>6</v>
      </c>
      <c r="G83" s="2">
        <v>15</v>
      </c>
      <c r="H83" s="2">
        <v>7</v>
      </c>
      <c r="I83" s="2">
        <v>9</v>
      </c>
      <c r="J83" s="14">
        <f t="shared" si="10"/>
        <v>69</v>
      </c>
      <c r="K83" s="20">
        <f t="shared" si="11"/>
        <v>1</v>
      </c>
      <c r="M83" s="36" t="s">
        <v>88</v>
      </c>
      <c r="N83" s="26" t="s">
        <v>86</v>
      </c>
      <c r="O83" s="4"/>
      <c r="P83" s="2"/>
    </row>
    <row r="84" spans="1:16" ht="14.25" thickBot="1" x14ac:dyDescent="0.2">
      <c r="A84" s="42"/>
      <c r="B84" s="17" t="s">
        <v>30</v>
      </c>
      <c r="C84" s="3">
        <v>6</v>
      </c>
      <c r="D84" s="3">
        <v>14</v>
      </c>
      <c r="E84" s="3">
        <v>12</v>
      </c>
      <c r="F84" s="3">
        <v>6</v>
      </c>
      <c r="G84" s="3">
        <v>16</v>
      </c>
      <c r="H84" s="3">
        <v>7</v>
      </c>
      <c r="I84" s="3">
        <v>9</v>
      </c>
      <c r="J84" s="15">
        <f t="shared" si="10"/>
        <v>70</v>
      </c>
      <c r="K84" s="21">
        <f t="shared" si="11"/>
        <v>1</v>
      </c>
      <c r="M84" s="36" t="s">
        <v>91</v>
      </c>
      <c r="N84" s="26"/>
      <c r="O84" s="4"/>
      <c r="P84" s="2"/>
    </row>
    <row r="85" spans="1:16" ht="14.25" thickBot="1" x14ac:dyDescent="0.2">
      <c r="A85" s="42"/>
    </row>
    <row r="86" spans="1:16" x14ac:dyDescent="0.15">
      <c r="A86" s="42"/>
      <c r="B86" s="5" t="s">
        <v>109</v>
      </c>
      <c r="C86" s="6" t="s">
        <v>0</v>
      </c>
      <c r="D86" s="6" t="s">
        <v>1</v>
      </c>
      <c r="E86" s="6" t="s">
        <v>2</v>
      </c>
      <c r="F86" s="6" t="s">
        <v>3</v>
      </c>
      <c r="G86" s="6" t="s">
        <v>4</v>
      </c>
      <c r="H86" s="6" t="s">
        <v>5</v>
      </c>
      <c r="I86" s="6" t="s">
        <v>6</v>
      </c>
      <c r="J86" s="10" t="s">
        <v>7</v>
      </c>
      <c r="K86" s="11" t="s">
        <v>36</v>
      </c>
      <c r="M86" s="38" t="s">
        <v>8</v>
      </c>
      <c r="N86" s="38" t="s">
        <v>9</v>
      </c>
      <c r="O86" s="8" t="s">
        <v>10</v>
      </c>
      <c r="P86" s="8" t="s">
        <v>43</v>
      </c>
    </row>
    <row r="87" spans="1:16" ht="27" x14ac:dyDescent="0.15">
      <c r="A87" s="42"/>
      <c r="B87" s="16" t="s">
        <v>19</v>
      </c>
      <c r="C87" s="2">
        <v>6</v>
      </c>
      <c r="D87" s="2">
        <v>13</v>
      </c>
      <c r="E87" s="2">
        <v>11</v>
      </c>
      <c r="F87" s="2">
        <v>6</v>
      </c>
      <c r="G87" s="2">
        <v>16</v>
      </c>
      <c r="H87" s="2">
        <v>7</v>
      </c>
      <c r="I87" s="2">
        <v>9</v>
      </c>
      <c r="J87" s="14">
        <f>SUM(C87:I87)</f>
        <v>68</v>
      </c>
      <c r="K87" s="20">
        <f>J87-J84</f>
        <v>-2</v>
      </c>
      <c r="L87" s="9"/>
      <c r="M87" s="26"/>
      <c r="N87" s="36" t="s">
        <v>89</v>
      </c>
      <c r="O87" s="4" t="s">
        <v>90</v>
      </c>
      <c r="P87" s="23"/>
    </row>
    <row r="88" spans="1:16" x14ac:dyDescent="0.15">
      <c r="A88" s="42"/>
      <c r="B88" s="16" t="s">
        <v>20</v>
      </c>
      <c r="C88" s="2">
        <v>6</v>
      </c>
      <c r="D88" s="2">
        <v>13</v>
      </c>
      <c r="E88" s="2">
        <v>12</v>
      </c>
      <c r="F88" s="2">
        <v>6</v>
      </c>
      <c r="G88" s="2">
        <v>16</v>
      </c>
      <c r="H88" s="2">
        <v>7</v>
      </c>
      <c r="I88" s="2">
        <v>9</v>
      </c>
      <c r="J88" s="14">
        <f t="shared" ref="J88:J98" si="12">SUM(C88:I88)</f>
        <v>69</v>
      </c>
      <c r="K88" s="20">
        <f>J88-J87</f>
        <v>1</v>
      </c>
      <c r="M88" s="26" t="s">
        <v>92</v>
      </c>
      <c r="N88" s="36"/>
      <c r="O88" s="4"/>
      <c r="P88" s="2"/>
    </row>
    <row r="89" spans="1:16" x14ac:dyDescent="0.15">
      <c r="A89" s="42"/>
      <c r="B89" s="16" t="s">
        <v>21</v>
      </c>
      <c r="C89" s="2">
        <v>6</v>
      </c>
      <c r="D89" s="2">
        <v>12</v>
      </c>
      <c r="E89" s="2">
        <v>12</v>
      </c>
      <c r="F89" s="2">
        <v>6</v>
      </c>
      <c r="G89" s="2">
        <v>16</v>
      </c>
      <c r="H89" s="2">
        <v>7</v>
      </c>
      <c r="I89" s="2">
        <v>9</v>
      </c>
      <c r="J89" s="14">
        <f t="shared" si="12"/>
        <v>68</v>
      </c>
      <c r="K89" s="20">
        <f>J89-J88</f>
        <v>-1</v>
      </c>
      <c r="M89" s="26" t="s">
        <v>93</v>
      </c>
      <c r="N89" s="26" t="s">
        <v>94</v>
      </c>
      <c r="O89" s="24"/>
      <c r="P89" s="2"/>
    </row>
    <row r="90" spans="1:16" x14ac:dyDescent="0.15">
      <c r="A90" s="42"/>
      <c r="B90" s="16" t="s">
        <v>22</v>
      </c>
      <c r="C90" s="2">
        <v>6</v>
      </c>
      <c r="D90" s="2">
        <v>12</v>
      </c>
      <c r="E90" s="2">
        <v>12</v>
      </c>
      <c r="F90" s="2">
        <v>6</v>
      </c>
      <c r="G90" s="2">
        <v>16</v>
      </c>
      <c r="H90" s="2">
        <v>6</v>
      </c>
      <c r="I90" s="2">
        <v>9</v>
      </c>
      <c r="J90" s="14">
        <f t="shared" si="12"/>
        <v>67</v>
      </c>
      <c r="K90" s="20">
        <f>J90-J89</f>
        <v>-1</v>
      </c>
      <c r="M90" s="26"/>
      <c r="N90" s="26" t="s">
        <v>95</v>
      </c>
      <c r="O90" s="4"/>
      <c r="P90" s="2"/>
    </row>
    <row r="91" spans="1:16" x14ac:dyDescent="0.15">
      <c r="A91" s="42"/>
      <c r="B91" s="16" t="s">
        <v>23</v>
      </c>
      <c r="C91" s="2">
        <v>6</v>
      </c>
      <c r="D91" s="2">
        <v>11</v>
      </c>
      <c r="E91" s="2">
        <v>12</v>
      </c>
      <c r="F91" s="2">
        <v>7</v>
      </c>
      <c r="G91" s="2">
        <v>16</v>
      </c>
      <c r="H91" s="2">
        <v>6</v>
      </c>
      <c r="I91" s="2">
        <v>9</v>
      </c>
      <c r="J91" s="14">
        <f t="shared" si="12"/>
        <v>67</v>
      </c>
      <c r="K91" s="20">
        <f>J91-J90</f>
        <v>0</v>
      </c>
      <c r="M91" s="36" t="s">
        <v>96</v>
      </c>
      <c r="N91" s="26"/>
      <c r="O91" s="2" t="s">
        <v>99</v>
      </c>
      <c r="P91" s="2"/>
    </row>
    <row r="92" spans="1:16" x14ac:dyDescent="0.15">
      <c r="A92" s="42"/>
      <c r="B92" s="16" t="s">
        <v>24</v>
      </c>
      <c r="C92" s="2">
        <v>6</v>
      </c>
      <c r="D92" s="2">
        <v>11</v>
      </c>
      <c r="E92" s="2">
        <v>12</v>
      </c>
      <c r="F92" s="2">
        <v>7</v>
      </c>
      <c r="G92" s="2">
        <v>16</v>
      </c>
      <c r="H92" s="2">
        <v>6</v>
      </c>
      <c r="I92" s="2">
        <v>9</v>
      </c>
      <c r="J92" s="14">
        <f t="shared" si="12"/>
        <v>67</v>
      </c>
      <c r="K92" s="20">
        <f>J92-J91</f>
        <v>0</v>
      </c>
      <c r="M92" s="26"/>
      <c r="N92" s="40"/>
      <c r="O92" s="4"/>
      <c r="P92" s="2"/>
    </row>
    <row r="93" spans="1:16" x14ac:dyDescent="0.15">
      <c r="A93" s="42"/>
      <c r="B93" s="16" t="s">
        <v>25</v>
      </c>
      <c r="C93" s="2">
        <v>6</v>
      </c>
      <c r="D93" s="2">
        <v>11</v>
      </c>
      <c r="E93" s="2">
        <v>12</v>
      </c>
      <c r="F93" s="2">
        <v>7</v>
      </c>
      <c r="G93" s="2">
        <v>16</v>
      </c>
      <c r="H93" s="2">
        <v>6</v>
      </c>
      <c r="I93" s="2">
        <v>9</v>
      </c>
      <c r="J93" s="14">
        <f t="shared" si="12"/>
        <v>67</v>
      </c>
      <c r="K93" s="20">
        <f t="shared" ref="K93:K98" si="13">J93-J92</f>
        <v>0</v>
      </c>
      <c r="M93" s="26"/>
      <c r="N93" s="26"/>
      <c r="O93" s="4"/>
      <c r="P93" s="2"/>
    </row>
    <row r="94" spans="1:16" x14ac:dyDescent="0.15">
      <c r="A94" s="42" t="s">
        <v>101</v>
      </c>
      <c r="B94" s="16" t="s">
        <v>26</v>
      </c>
      <c r="C94" s="2">
        <v>6</v>
      </c>
      <c r="D94" s="2">
        <v>11</v>
      </c>
      <c r="E94" s="2">
        <v>12</v>
      </c>
      <c r="F94" s="2">
        <v>7</v>
      </c>
      <c r="G94" s="2">
        <v>16</v>
      </c>
      <c r="H94" s="2">
        <v>6</v>
      </c>
      <c r="I94" s="2">
        <v>9</v>
      </c>
      <c r="J94" s="14">
        <f t="shared" si="12"/>
        <v>67</v>
      </c>
      <c r="K94" s="20">
        <f t="shared" si="13"/>
        <v>0</v>
      </c>
      <c r="M94" s="26"/>
      <c r="N94" s="26"/>
      <c r="O94" s="4"/>
      <c r="P94" s="2"/>
    </row>
    <row r="95" spans="1:16" x14ac:dyDescent="0.15">
      <c r="A95" s="42"/>
      <c r="B95" s="16" t="s">
        <v>27</v>
      </c>
      <c r="C95" s="2">
        <v>6</v>
      </c>
      <c r="D95" s="2">
        <v>11</v>
      </c>
      <c r="E95" s="2">
        <v>12</v>
      </c>
      <c r="F95" s="2">
        <v>7</v>
      </c>
      <c r="G95" s="2">
        <v>16</v>
      </c>
      <c r="H95" s="2">
        <v>6</v>
      </c>
      <c r="I95" s="2">
        <v>9</v>
      </c>
      <c r="J95" s="14">
        <f t="shared" si="12"/>
        <v>67</v>
      </c>
      <c r="K95" s="20">
        <f t="shared" si="13"/>
        <v>0</v>
      </c>
      <c r="M95" s="26"/>
      <c r="N95" s="26"/>
      <c r="O95" s="4"/>
      <c r="P95" s="2"/>
    </row>
    <row r="96" spans="1:16" x14ac:dyDescent="0.15">
      <c r="A96" s="42"/>
      <c r="B96" s="16" t="s">
        <v>28</v>
      </c>
      <c r="C96" s="2">
        <v>6</v>
      </c>
      <c r="D96" s="2">
        <v>11</v>
      </c>
      <c r="E96" s="2">
        <v>12</v>
      </c>
      <c r="F96" s="2">
        <v>7</v>
      </c>
      <c r="G96" s="2">
        <v>16</v>
      </c>
      <c r="H96" s="2">
        <v>6</v>
      </c>
      <c r="I96" s="2">
        <v>9</v>
      </c>
      <c r="J96" s="14">
        <f t="shared" si="12"/>
        <v>67</v>
      </c>
      <c r="K96" s="20">
        <f t="shared" si="13"/>
        <v>0</v>
      </c>
      <c r="M96" s="26"/>
      <c r="N96" s="26"/>
      <c r="O96" s="26" t="s">
        <v>97</v>
      </c>
      <c r="P96" s="2"/>
    </row>
    <row r="97" spans="1:16" ht="54" x14ac:dyDescent="0.15">
      <c r="A97" s="42"/>
      <c r="B97" s="16" t="s">
        <v>29</v>
      </c>
      <c r="C97" s="2">
        <v>6</v>
      </c>
      <c r="D97" s="2">
        <v>13</v>
      </c>
      <c r="E97" s="2">
        <v>13</v>
      </c>
      <c r="F97" s="2">
        <v>7</v>
      </c>
      <c r="G97" s="2">
        <v>17</v>
      </c>
      <c r="H97" s="2">
        <v>7</v>
      </c>
      <c r="I97" s="2">
        <v>8</v>
      </c>
      <c r="J97" s="14">
        <f t="shared" si="12"/>
        <v>71</v>
      </c>
      <c r="K97" s="20">
        <f t="shared" si="13"/>
        <v>4</v>
      </c>
      <c r="M97" s="36" t="s">
        <v>132</v>
      </c>
      <c r="N97" s="36" t="s">
        <v>103</v>
      </c>
      <c r="O97" s="26" t="s">
        <v>98</v>
      </c>
      <c r="P97" s="2"/>
    </row>
    <row r="98" spans="1:16" ht="27.75" thickBot="1" x14ac:dyDescent="0.2">
      <c r="A98" s="42"/>
      <c r="B98" s="17" t="s">
        <v>30</v>
      </c>
      <c r="C98" s="3">
        <v>6</v>
      </c>
      <c r="D98" s="3">
        <v>13</v>
      </c>
      <c r="E98" s="3">
        <v>13</v>
      </c>
      <c r="F98" s="3">
        <v>7</v>
      </c>
      <c r="G98" s="3">
        <v>17</v>
      </c>
      <c r="H98" s="3">
        <v>7</v>
      </c>
      <c r="I98" s="3">
        <v>10</v>
      </c>
      <c r="J98" s="15">
        <f t="shared" si="12"/>
        <v>73</v>
      </c>
      <c r="K98" s="21">
        <f t="shared" si="13"/>
        <v>2</v>
      </c>
      <c r="M98" s="36" t="s">
        <v>131</v>
      </c>
      <c r="N98" s="26"/>
      <c r="O98" s="4"/>
      <c r="P98" s="2"/>
    </row>
    <row r="99" spans="1:16" ht="14.25" thickBot="1" x14ac:dyDescent="0.2">
      <c r="A99" s="42"/>
    </row>
    <row r="100" spans="1:16" x14ac:dyDescent="0.15">
      <c r="A100" s="42"/>
      <c r="B100" s="5" t="s">
        <v>110</v>
      </c>
      <c r="C100" s="6" t="s">
        <v>0</v>
      </c>
      <c r="D100" s="6" t="s">
        <v>1</v>
      </c>
      <c r="E100" s="6" t="s">
        <v>2</v>
      </c>
      <c r="F100" s="6" t="s">
        <v>3</v>
      </c>
      <c r="G100" s="6" t="s">
        <v>4</v>
      </c>
      <c r="H100" s="6" t="s">
        <v>5</v>
      </c>
      <c r="I100" s="6" t="s">
        <v>6</v>
      </c>
      <c r="J100" s="10" t="s">
        <v>7</v>
      </c>
      <c r="K100" s="11" t="s">
        <v>36</v>
      </c>
      <c r="M100" s="38" t="s">
        <v>8</v>
      </c>
      <c r="N100" s="38" t="s">
        <v>9</v>
      </c>
      <c r="O100" s="8" t="s">
        <v>10</v>
      </c>
      <c r="P100" s="8" t="s">
        <v>43</v>
      </c>
    </row>
    <row r="101" spans="1:16" ht="27" x14ac:dyDescent="0.15">
      <c r="A101" s="42"/>
      <c r="B101" s="16" t="s">
        <v>19</v>
      </c>
      <c r="C101" s="2">
        <v>6</v>
      </c>
      <c r="D101" s="2">
        <v>13</v>
      </c>
      <c r="E101" s="2">
        <v>13</v>
      </c>
      <c r="F101" s="2">
        <v>7</v>
      </c>
      <c r="G101" s="2">
        <v>16</v>
      </c>
      <c r="H101" s="2">
        <v>7</v>
      </c>
      <c r="I101" s="2">
        <v>10</v>
      </c>
      <c r="J101" s="14">
        <f>SUM(C101:I101)</f>
        <v>72</v>
      </c>
      <c r="K101" s="20">
        <f>J101-J98</f>
        <v>-1</v>
      </c>
      <c r="L101" s="9"/>
      <c r="M101" s="26"/>
      <c r="N101" s="36" t="s">
        <v>102</v>
      </c>
      <c r="O101" s="22" t="s">
        <v>105</v>
      </c>
      <c r="P101" s="23" t="s">
        <v>104</v>
      </c>
    </row>
    <row r="102" spans="1:16" ht="27" x14ac:dyDescent="0.15">
      <c r="A102" s="42"/>
      <c r="B102" s="16" t="s">
        <v>20</v>
      </c>
      <c r="C102" s="2">
        <v>6</v>
      </c>
      <c r="D102" s="2">
        <v>13</v>
      </c>
      <c r="E102" s="2">
        <v>13</v>
      </c>
      <c r="F102" s="2">
        <v>7</v>
      </c>
      <c r="G102" s="2">
        <v>17</v>
      </c>
      <c r="H102" s="2">
        <v>7</v>
      </c>
      <c r="I102" s="2">
        <v>10</v>
      </c>
      <c r="J102" s="14">
        <f t="shared" ref="J102:J112" si="14">SUM(C102:I102)</f>
        <v>73</v>
      </c>
      <c r="K102" s="20">
        <f>J102-J101</f>
        <v>1</v>
      </c>
      <c r="M102" s="36" t="s">
        <v>107</v>
      </c>
      <c r="N102" s="36" t="s">
        <v>106</v>
      </c>
      <c r="O102" s="4"/>
      <c r="P102" s="2"/>
    </row>
    <row r="103" spans="1:16" x14ac:dyDescent="0.15">
      <c r="A103" s="42"/>
      <c r="B103" s="16" t="s">
        <v>21</v>
      </c>
      <c r="C103" s="2">
        <v>6</v>
      </c>
      <c r="D103" s="2">
        <v>15</v>
      </c>
      <c r="E103" s="2">
        <v>12</v>
      </c>
      <c r="F103" s="2">
        <v>7</v>
      </c>
      <c r="G103" s="2">
        <v>16</v>
      </c>
      <c r="H103" s="2">
        <v>7</v>
      </c>
      <c r="I103" s="2">
        <v>9</v>
      </c>
      <c r="J103" s="14">
        <f t="shared" si="14"/>
        <v>72</v>
      </c>
      <c r="K103" s="20">
        <f>J103-J102</f>
        <v>-1</v>
      </c>
      <c r="M103" s="26"/>
      <c r="N103" s="40" t="s">
        <v>111</v>
      </c>
      <c r="O103" s="24" t="s">
        <v>108</v>
      </c>
      <c r="P103" s="2"/>
    </row>
    <row r="104" spans="1:16" x14ac:dyDescent="0.15">
      <c r="A104" s="42"/>
      <c r="B104" s="16" t="s">
        <v>22</v>
      </c>
      <c r="C104" s="2">
        <v>6</v>
      </c>
      <c r="D104" s="2">
        <v>15</v>
      </c>
      <c r="E104" s="2">
        <v>12</v>
      </c>
      <c r="F104" s="2">
        <v>7</v>
      </c>
      <c r="G104" s="2">
        <v>16</v>
      </c>
      <c r="H104" s="2">
        <v>7</v>
      </c>
      <c r="I104" s="2">
        <v>9</v>
      </c>
      <c r="J104" s="14">
        <f t="shared" si="14"/>
        <v>72</v>
      </c>
      <c r="K104" s="20">
        <f>J104-J103</f>
        <v>0</v>
      </c>
      <c r="M104" s="26" t="s">
        <v>112</v>
      </c>
      <c r="N104" s="26" t="s">
        <v>113</v>
      </c>
      <c r="O104" s="4"/>
      <c r="P104" s="2"/>
    </row>
    <row r="105" spans="1:16" x14ac:dyDescent="0.15">
      <c r="A105" s="42"/>
      <c r="B105" s="16" t="s">
        <v>23</v>
      </c>
      <c r="C105" s="2">
        <v>6</v>
      </c>
      <c r="D105" s="2">
        <v>15</v>
      </c>
      <c r="E105" s="2">
        <v>12</v>
      </c>
      <c r="F105" s="2">
        <v>7</v>
      </c>
      <c r="G105" s="2">
        <v>16</v>
      </c>
      <c r="H105" s="2">
        <v>7</v>
      </c>
      <c r="I105" s="2">
        <v>9</v>
      </c>
      <c r="J105" s="14">
        <f t="shared" si="14"/>
        <v>72</v>
      </c>
      <c r="K105" s="20">
        <f>J105-J104</f>
        <v>0</v>
      </c>
      <c r="M105" s="36"/>
      <c r="N105" s="26"/>
      <c r="O105" s="2"/>
      <c r="P105" s="2"/>
    </row>
    <row r="106" spans="1:16" x14ac:dyDescent="0.15">
      <c r="A106" s="42"/>
      <c r="B106" s="16" t="s">
        <v>24</v>
      </c>
      <c r="C106" s="2">
        <v>6</v>
      </c>
      <c r="D106" s="2">
        <v>15</v>
      </c>
      <c r="E106" s="2">
        <v>12</v>
      </c>
      <c r="F106" s="2">
        <v>7</v>
      </c>
      <c r="G106" s="2">
        <v>16</v>
      </c>
      <c r="H106" s="2">
        <v>7</v>
      </c>
      <c r="I106" s="2">
        <v>10</v>
      </c>
      <c r="J106" s="14">
        <f t="shared" si="14"/>
        <v>73</v>
      </c>
      <c r="K106" s="20">
        <f>J106-J105</f>
        <v>1</v>
      </c>
      <c r="M106" s="40" t="s">
        <v>114</v>
      </c>
      <c r="N106" s="40"/>
      <c r="O106" s="4"/>
      <c r="P106" s="2"/>
    </row>
    <row r="107" spans="1:16" x14ac:dyDescent="0.15">
      <c r="A107" s="42"/>
      <c r="B107" s="16" t="s">
        <v>25</v>
      </c>
      <c r="C107" s="2">
        <v>6</v>
      </c>
      <c r="D107" s="2">
        <v>15</v>
      </c>
      <c r="E107" s="2">
        <v>12</v>
      </c>
      <c r="F107" s="2">
        <v>7</v>
      </c>
      <c r="G107" s="2">
        <v>16</v>
      </c>
      <c r="H107" s="2">
        <v>7</v>
      </c>
      <c r="I107" s="2">
        <v>11</v>
      </c>
      <c r="J107" s="14">
        <f t="shared" si="14"/>
        <v>74</v>
      </c>
      <c r="K107" s="20">
        <f t="shared" ref="K107:K112" si="15">J107-J106</f>
        <v>1</v>
      </c>
      <c r="M107" s="26" t="s">
        <v>115</v>
      </c>
      <c r="N107" s="26"/>
      <c r="O107" s="4"/>
      <c r="P107" s="2"/>
    </row>
    <row r="108" spans="1:16" x14ac:dyDescent="0.15">
      <c r="A108" s="42" t="s">
        <v>119</v>
      </c>
      <c r="B108" s="16" t="s">
        <v>26</v>
      </c>
      <c r="C108" s="2">
        <v>6</v>
      </c>
      <c r="D108" s="2">
        <v>15</v>
      </c>
      <c r="E108" s="2">
        <v>12</v>
      </c>
      <c r="F108" s="2">
        <v>7</v>
      </c>
      <c r="G108" s="2">
        <v>16</v>
      </c>
      <c r="H108" s="2">
        <v>7</v>
      </c>
      <c r="I108" s="2">
        <v>11</v>
      </c>
      <c r="J108" s="14">
        <f t="shared" si="14"/>
        <v>74</v>
      </c>
      <c r="K108" s="20">
        <f t="shared" si="15"/>
        <v>0</v>
      </c>
      <c r="M108" s="26"/>
      <c r="N108" s="26"/>
      <c r="O108" s="4"/>
      <c r="P108" s="2"/>
    </row>
    <row r="109" spans="1:16" x14ac:dyDescent="0.15">
      <c r="A109" s="42"/>
      <c r="B109" s="16" t="s">
        <v>27</v>
      </c>
      <c r="C109" s="2">
        <v>6</v>
      </c>
      <c r="D109" s="2">
        <v>15</v>
      </c>
      <c r="E109" s="2">
        <v>12</v>
      </c>
      <c r="F109" s="2">
        <v>7</v>
      </c>
      <c r="G109" s="2">
        <v>16</v>
      </c>
      <c r="H109" s="2">
        <v>7</v>
      </c>
      <c r="I109" s="2">
        <v>11</v>
      </c>
      <c r="J109" s="14">
        <f t="shared" si="14"/>
        <v>74</v>
      </c>
      <c r="K109" s="20">
        <f t="shared" si="15"/>
        <v>0</v>
      </c>
      <c r="M109" s="26"/>
      <c r="N109" s="26"/>
      <c r="O109" s="4"/>
      <c r="P109" s="2"/>
    </row>
    <row r="110" spans="1:16" ht="27" x14ac:dyDescent="0.15">
      <c r="A110" s="42"/>
      <c r="B110" s="16" t="s">
        <v>28</v>
      </c>
      <c r="C110" s="2">
        <v>6</v>
      </c>
      <c r="D110" s="2">
        <v>15</v>
      </c>
      <c r="E110" s="2">
        <v>12</v>
      </c>
      <c r="F110" s="2">
        <v>7</v>
      </c>
      <c r="G110" s="2">
        <v>16</v>
      </c>
      <c r="H110" s="2">
        <v>6</v>
      </c>
      <c r="I110" s="2">
        <v>10</v>
      </c>
      <c r="J110" s="14">
        <f t="shared" si="14"/>
        <v>72</v>
      </c>
      <c r="K110" s="20">
        <f t="shared" si="15"/>
        <v>-2</v>
      </c>
      <c r="M110" s="26"/>
      <c r="N110" s="41" t="s">
        <v>116</v>
      </c>
      <c r="O110" s="26"/>
      <c r="P110" s="2"/>
    </row>
    <row r="111" spans="1:16" ht="27" x14ac:dyDescent="0.15">
      <c r="A111" s="42"/>
      <c r="B111" s="16" t="s">
        <v>29</v>
      </c>
      <c r="C111" s="2">
        <v>6</v>
      </c>
      <c r="D111" s="2">
        <v>15</v>
      </c>
      <c r="E111" s="2">
        <v>12</v>
      </c>
      <c r="F111" s="2">
        <v>7</v>
      </c>
      <c r="G111" s="2">
        <v>17</v>
      </c>
      <c r="H111" s="2">
        <v>7</v>
      </c>
      <c r="I111" s="2">
        <v>10</v>
      </c>
      <c r="J111" s="14">
        <f t="shared" si="14"/>
        <v>74</v>
      </c>
      <c r="K111" s="20">
        <f t="shared" si="15"/>
        <v>2</v>
      </c>
      <c r="M111" s="36" t="s">
        <v>117</v>
      </c>
      <c r="N111" s="26"/>
      <c r="O111" s="26" t="s">
        <v>118</v>
      </c>
      <c r="P111" s="2"/>
    </row>
    <row r="112" spans="1:16" ht="14.25" thickBot="1" x14ac:dyDescent="0.2">
      <c r="A112" s="42"/>
      <c r="B112" s="17" t="s">
        <v>30</v>
      </c>
      <c r="C112" s="3">
        <v>6</v>
      </c>
      <c r="D112" s="3">
        <v>15</v>
      </c>
      <c r="E112" s="3">
        <v>12</v>
      </c>
      <c r="F112" s="3">
        <v>7</v>
      </c>
      <c r="G112" s="3">
        <v>17</v>
      </c>
      <c r="H112" s="3">
        <v>7</v>
      </c>
      <c r="I112" s="3">
        <v>10</v>
      </c>
      <c r="J112" s="15">
        <f t="shared" si="14"/>
        <v>74</v>
      </c>
      <c r="K112" s="21">
        <f t="shared" si="15"/>
        <v>0</v>
      </c>
      <c r="M112" s="36"/>
      <c r="N112" s="26"/>
      <c r="O112" s="4"/>
      <c r="P112" s="2"/>
    </row>
    <row r="113" spans="1:16" ht="14.25" thickBot="1" x14ac:dyDescent="0.2">
      <c r="A113" s="42"/>
    </row>
    <row r="114" spans="1:16" x14ac:dyDescent="0.15">
      <c r="A114" s="42"/>
      <c r="B114" s="5" t="s">
        <v>135</v>
      </c>
      <c r="C114" s="6" t="s">
        <v>0</v>
      </c>
      <c r="D114" s="6" t="s">
        <v>1</v>
      </c>
      <c r="E114" s="6" t="s">
        <v>2</v>
      </c>
      <c r="F114" s="6" t="s">
        <v>3</v>
      </c>
      <c r="G114" s="6" t="s">
        <v>4</v>
      </c>
      <c r="H114" s="6" t="s">
        <v>5</v>
      </c>
      <c r="I114" s="6" t="s">
        <v>6</v>
      </c>
      <c r="J114" s="10" t="s">
        <v>7</v>
      </c>
      <c r="K114" s="11" t="s">
        <v>36</v>
      </c>
      <c r="M114" s="38" t="s">
        <v>8</v>
      </c>
      <c r="N114" s="38" t="s">
        <v>9</v>
      </c>
      <c r="O114" s="8" t="s">
        <v>10</v>
      </c>
      <c r="P114" s="8" t="s">
        <v>43</v>
      </c>
    </row>
    <row r="115" spans="1:16" ht="27" x14ac:dyDescent="0.15">
      <c r="A115" s="42"/>
      <c r="B115" s="16" t="s">
        <v>19</v>
      </c>
      <c r="C115" s="2">
        <v>6</v>
      </c>
      <c r="D115" s="2">
        <v>15</v>
      </c>
      <c r="E115" s="2">
        <v>12</v>
      </c>
      <c r="F115" s="2">
        <v>7</v>
      </c>
      <c r="G115" s="2">
        <v>17</v>
      </c>
      <c r="H115" s="2">
        <v>7</v>
      </c>
      <c r="I115" s="2">
        <v>10</v>
      </c>
      <c r="J115" s="14">
        <f>SUM(C115:I115)</f>
        <v>74</v>
      </c>
      <c r="K115" s="20">
        <f>J115-J112</f>
        <v>0</v>
      </c>
      <c r="L115" s="9"/>
      <c r="M115" s="26"/>
      <c r="N115" s="36"/>
      <c r="O115" s="22" t="s">
        <v>120</v>
      </c>
      <c r="P115" s="23" t="s">
        <v>121</v>
      </c>
    </row>
    <row r="116" spans="1:16" x14ac:dyDescent="0.15">
      <c r="A116" s="42"/>
      <c r="B116" s="16" t="s">
        <v>20</v>
      </c>
      <c r="C116" s="2">
        <v>6</v>
      </c>
      <c r="D116" s="2">
        <v>15</v>
      </c>
      <c r="E116" s="2">
        <v>12</v>
      </c>
      <c r="F116" s="2">
        <v>7</v>
      </c>
      <c r="G116" s="2">
        <v>17</v>
      </c>
      <c r="H116" s="2">
        <v>7</v>
      </c>
      <c r="I116" s="2">
        <v>10</v>
      </c>
      <c r="J116" s="14">
        <f t="shared" ref="J116:J126" si="16">SUM(C116:I116)</f>
        <v>74</v>
      </c>
      <c r="K116" s="20">
        <f>J116-J115</f>
        <v>0</v>
      </c>
      <c r="M116" s="36"/>
      <c r="N116" s="36"/>
      <c r="O116" s="4"/>
      <c r="P116" s="2"/>
    </row>
    <row r="117" spans="1:16" x14ac:dyDescent="0.15">
      <c r="A117" s="42"/>
      <c r="B117" s="16" t="s">
        <v>21</v>
      </c>
      <c r="C117" s="2">
        <v>6</v>
      </c>
      <c r="D117" s="2">
        <v>15</v>
      </c>
      <c r="E117" s="2">
        <v>12</v>
      </c>
      <c r="F117" s="2">
        <v>7</v>
      </c>
      <c r="G117" s="2">
        <v>16</v>
      </c>
      <c r="H117" s="2">
        <v>7</v>
      </c>
      <c r="I117" s="2">
        <v>10</v>
      </c>
      <c r="J117" s="14">
        <f t="shared" si="16"/>
        <v>73</v>
      </c>
      <c r="K117" s="20">
        <f>J117-J116</f>
        <v>-1</v>
      </c>
      <c r="M117" s="26"/>
      <c r="N117" s="40" t="s">
        <v>122</v>
      </c>
      <c r="O117" s="24"/>
      <c r="P117" s="2"/>
    </row>
    <row r="118" spans="1:16" x14ac:dyDescent="0.15">
      <c r="A118" s="42"/>
      <c r="B118" s="16" t="s">
        <v>22</v>
      </c>
      <c r="C118" s="2">
        <v>6</v>
      </c>
      <c r="D118" s="2">
        <v>15</v>
      </c>
      <c r="E118" s="2">
        <v>12</v>
      </c>
      <c r="F118" s="2">
        <v>7</v>
      </c>
      <c r="G118" s="2">
        <v>16</v>
      </c>
      <c r="H118" s="2">
        <v>7</v>
      </c>
      <c r="I118" s="2">
        <v>10</v>
      </c>
      <c r="J118" s="14">
        <f t="shared" si="16"/>
        <v>73</v>
      </c>
      <c r="K118" s="20">
        <f>J118-J117</f>
        <v>0</v>
      </c>
      <c r="M118" s="26"/>
      <c r="N118" s="26"/>
      <c r="O118" s="4"/>
      <c r="P118" s="2"/>
    </row>
    <row r="119" spans="1:16" x14ac:dyDescent="0.15">
      <c r="A119" s="42"/>
      <c r="B119" s="16" t="s">
        <v>23</v>
      </c>
      <c r="C119" s="2">
        <v>6</v>
      </c>
      <c r="D119" s="2">
        <v>15</v>
      </c>
      <c r="E119" s="2">
        <v>12</v>
      </c>
      <c r="F119" s="2">
        <v>7</v>
      </c>
      <c r="G119" s="2">
        <v>15</v>
      </c>
      <c r="H119" s="2">
        <v>7</v>
      </c>
      <c r="I119" s="2">
        <v>10</v>
      </c>
      <c r="J119" s="14">
        <f t="shared" si="16"/>
        <v>72</v>
      </c>
      <c r="K119" s="20">
        <f>J119-J118</f>
        <v>-1</v>
      </c>
      <c r="M119" s="36"/>
      <c r="N119" s="26" t="s">
        <v>123</v>
      </c>
      <c r="O119" s="2"/>
      <c r="P119" s="2"/>
    </row>
    <row r="120" spans="1:16" x14ac:dyDescent="0.15">
      <c r="A120" s="42"/>
      <c r="B120" s="16" t="s">
        <v>24</v>
      </c>
      <c r="C120" s="2">
        <v>6</v>
      </c>
      <c r="D120" s="2">
        <v>15</v>
      </c>
      <c r="E120" s="2">
        <v>12</v>
      </c>
      <c r="F120" s="2">
        <v>7</v>
      </c>
      <c r="G120" s="2">
        <v>15</v>
      </c>
      <c r="H120" s="2">
        <v>7</v>
      </c>
      <c r="I120" s="2">
        <v>10</v>
      </c>
      <c r="J120" s="14">
        <f t="shared" si="16"/>
        <v>72</v>
      </c>
      <c r="K120" s="20">
        <f>J120-J119</f>
        <v>0</v>
      </c>
      <c r="M120" s="40"/>
      <c r="N120" s="40"/>
      <c r="O120" s="4"/>
      <c r="P120" s="2"/>
    </row>
    <row r="121" spans="1:16" x14ac:dyDescent="0.15">
      <c r="A121" s="42"/>
      <c r="B121" s="16" t="s">
        <v>25</v>
      </c>
      <c r="C121" s="2">
        <v>6</v>
      </c>
      <c r="D121" s="2">
        <v>15</v>
      </c>
      <c r="E121" s="2">
        <v>12</v>
      </c>
      <c r="F121" s="2">
        <v>7</v>
      </c>
      <c r="G121" s="2">
        <v>15</v>
      </c>
      <c r="H121" s="2">
        <v>7</v>
      </c>
      <c r="I121" s="2">
        <v>10</v>
      </c>
      <c r="J121" s="14">
        <f t="shared" si="16"/>
        <v>72</v>
      </c>
      <c r="K121" s="20">
        <f t="shared" ref="K121:K126" si="17">J121-J120</f>
        <v>0</v>
      </c>
      <c r="M121" s="26"/>
      <c r="N121" s="26"/>
      <c r="O121" s="4"/>
      <c r="P121" s="2"/>
    </row>
    <row r="122" spans="1:16" x14ac:dyDescent="0.15">
      <c r="A122" s="42" t="s">
        <v>137</v>
      </c>
      <c r="B122" s="16" t="s">
        <v>26</v>
      </c>
      <c r="C122" s="2">
        <v>6</v>
      </c>
      <c r="D122" s="2">
        <v>15</v>
      </c>
      <c r="E122" s="2">
        <v>12</v>
      </c>
      <c r="F122" s="2">
        <v>7</v>
      </c>
      <c r="G122" s="2">
        <v>15</v>
      </c>
      <c r="H122" s="2">
        <v>7</v>
      </c>
      <c r="I122" s="2">
        <v>10</v>
      </c>
      <c r="J122" s="14">
        <f t="shared" si="16"/>
        <v>72</v>
      </c>
      <c r="K122" s="20">
        <f t="shared" si="17"/>
        <v>0</v>
      </c>
      <c r="M122" s="26"/>
      <c r="N122" s="26"/>
      <c r="O122" s="4"/>
      <c r="P122" s="2"/>
    </row>
    <row r="123" spans="1:16" x14ac:dyDescent="0.15">
      <c r="A123" s="42"/>
      <c r="B123" s="16" t="s">
        <v>27</v>
      </c>
      <c r="C123" s="2">
        <v>6</v>
      </c>
      <c r="D123" s="2">
        <v>15</v>
      </c>
      <c r="E123" s="2">
        <v>12</v>
      </c>
      <c r="F123" s="2">
        <v>7</v>
      </c>
      <c r="G123" s="2">
        <v>15</v>
      </c>
      <c r="H123" s="2">
        <v>7</v>
      </c>
      <c r="I123" s="2">
        <v>10</v>
      </c>
      <c r="J123" s="14">
        <f t="shared" si="16"/>
        <v>72</v>
      </c>
      <c r="K123" s="20">
        <f t="shared" si="17"/>
        <v>0</v>
      </c>
      <c r="M123" s="26"/>
      <c r="N123" s="26"/>
      <c r="O123" s="4"/>
      <c r="P123" s="2"/>
    </row>
    <row r="124" spans="1:16" x14ac:dyDescent="0.15">
      <c r="A124" s="42"/>
      <c r="B124" s="16" t="s">
        <v>28</v>
      </c>
      <c r="C124" s="2">
        <v>6</v>
      </c>
      <c r="D124" s="2">
        <v>15</v>
      </c>
      <c r="E124" s="2">
        <v>12</v>
      </c>
      <c r="F124" s="2">
        <v>7</v>
      </c>
      <c r="G124" s="2">
        <v>15</v>
      </c>
      <c r="H124" s="2">
        <v>7</v>
      </c>
      <c r="I124" s="2">
        <v>10</v>
      </c>
      <c r="J124" s="14">
        <f t="shared" si="16"/>
        <v>72</v>
      </c>
      <c r="K124" s="20">
        <f t="shared" si="17"/>
        <v>0</v>
      </c>
      <c r="M124" s="26"/>
      <c r="N124" s="41"/>
      <c r="O124" s="26"/>
      <c r="P124" s="2"/>
    </row>
    <row r="125" spans="1:16" x14ac:dyDescent="0.15">
      <c r="A125" s="42"/>
      <c r="B125" s="16" t="s">
        <v>29</v>
      </c>
      <c r="C125" s="2">
        <v>6</v>
      </c>
      <c r="D125" s="2">
        <v>15</v>
      </c>
      <c r="E125" s="2">
        <v>12</v>
      </c>
      <c r="F125" s="2">
        <v>7</v>
      </c>
      <c r="G125" s="2">
        <v>15</v>
      </c>
      <c r="H125" s="2">
        <v>7</v>
      </c>
      <c r="I125" s="2">
        <v>10</v>
      </c>
      <c r="J125" s="14">
        <f t="shared" si="16"/>
        <v>72</v>
      </c>
      <c r="K125" s="20">
        <f t="shared" si="17"/>
        <v>0</v>
      </c>
      <c r="M125" s="36"/>
      <c r="N125" s="26"/>
      <c r="O125" s="26"/>
      <c r="P125" s="2"/>
    </row>
    <row r="126" spans="1:16" ht="14.25" thickBot="1" x14ac:dyDescent="0.2">
      <c r="A126" s="42"/>
      <c r="B126" s="17" t="s">
        <v>30</v>
      </c>
      <c r="C126" s="3">
        <v>6</v>
      </c>
      <c r="D126" s="3">
        <v>15</v>
      </c>
      <c r="E126" s="3">
        <v>12</v>
      </c>
      <c r="F126" s="3">
        <v>7</v>
      </c>
      <c r="G126" s="3">
        <v>15</v>
      </c>
      <c r="H126" s="3">
        <v>7</v>
      </c>
      <c r="I126" s="3">
        <v>11</v>
      </c>
      <c r="J126" s="15">
        <f t="shared" si="16"/>
        <v>73</v>
      </c>
      <c r="K126" s="21">
        <f t="shared" si="17"/>
        <v>1</v>
      </c>
      <c r="M126" s="36" t="s">
        <v>134</v>
      </c>
      <c r="N126" s="26"/>
      <c r="O126" s="4"/>
      <c r="P126" s="2"/>
    </row>
    <row r="127" spans="1:16" ht="14.25" thickBot="1" x14ac:dyDescent="0.2">
      <c r="A127" s="42"/>
    </row>
    <row r="128" spans="1:16" x14ac:dyDescent="0.15">
      <c r="A128" s="42"/>
      <c r="B128" s="5" t="s">
        <v>136</v>
      </c>
      <c r="C128" s="6" t="s">
        <v>0</v>
      </c>
      <c r="D128" s="6" t="s">
        <v>1</v>
      </c>
      <c r="E128" s="6" t="s">
        <v>2</v>
      </c>
      <c r="F128" s="6" t="s">
        <v>3</v>
      </c>
      <c r="G128" s="6" t="s">
        <v>4</v>
      </c>
      <c r="H128" s="6" t="s">
        <v>5</v>
      </c>
      <c r="I128" s="6" t="s">
        <v>6</v>
      </c>
      <c r="J128" s="10" t="s">
        <v>7</v>
      </c>
      <c r="K128" s="11" t="s">
        <v>36</v>
      </c>
      <c r="M128" s="38" t="s">
        <v>8</v>
      </c>
      <c r="N128" s="38" t="s">
        <v>9</v>
      </c>
      <c r="O128" s="8" t="s">
        <v>10</v>
      </c>
      <c r="P128" s="8" t="s">
        <v>43</v>
      </c>
    </row>
    <row r="129" spans="1:17" ht="27" x14ac:dyDescent="0.15">
      <c r="A129" s="42"/>
      <c r="B129" s="16" t="s">
        <v>19</v>
      </c>
      <c r="C129" s="2">
        <v>6</v>
      </c>
      <c r="D129" s="2">
        <v>15</v>
      </c>
      <c r="E129" s="2">
        <v>12</v>
      </c>
      <c r="F129" s="2">
        <v>7</v>
      </c>
      <c r="G129" s="2">
        <v>15</v>
      </c>
      <c r="H129" s="2">
        <v>7</v>
      </c>
      <c r="I129" s="2">
        <v>11</v>
      </c>
      <c r="J129" s="14">
        <f>SUM(C129:I129)</f>
        <v>73</v>
      </c>
      <c r="K129" s="20">
        <f>J129-J126</f>
        <v>0</v>
      </c>
      <c r="M129" s="26"/>
      <c r="N129" s="36"/>
      <c r="O129" s="22"/>
      <c r="P129" s="23" t="s">
        <v>138</v>
      </c>
    </row>
    <row r="130" spans="1:17" x14ac:dyDescent="0.15">
      <c r="A130" s="42"/>
      <c r="B130" s="16" t="s">
        <v>20</v>
      </c>
      <c r="C130" s="2">
        <v>6</v>
      </c>
      <c r="D130" s="2">
        <v>15</v>
      </c>
      <c r="E130" s="2">
        <v>12</v>
      </c>
      <c r="F130" s="2">
        <v>7</v>
      </c>
      <c r="G130" s="2">
        <v>15</v>
      </c>
      <c r="H130" s="2">
        <v>7</v>
      </c>
      <c r="I130" s="2">
        <v>11</v>
      </c>
      <c r="J130" s="14">
        <f t="shared" ref="J130:J140" si="18">SUM(C130:I130)</f>
        <v>73</v>
      </c>
      <c r="K130" s="20">
        <f>J130-J129</f>
        <v>0</v>
      </c>
      <c r="M130" s="36"/>
      <c r="N130" s="36"/>
      <c r="O130" s="4"/>
      <c r="P130" s="2"/>
    </row>
    <row r="131" spans="1:17" x14ac:dyDescent="0.15">
      <c r="A131" s="42"/>
      <c r="B131" s="16" t="s">
        <v>21</v>
      </c>
      <c r="C131" s="2">
        <v>6</v>
      </c>
      <c r="D131" s="2">
        <v>15</v>
      </c>
      <c r="E131" s="2">
        <v>12</v>
      </c>
      <c r="F131" s="2">
        <v>7</v>
      </c>
      <c r="G131" s="2">
        <v>15</v>
      </c>
      <c r="H131" s="2">
        <v>7</v>
      </c>
      <c r="I131" s="2">
        <v>11</v>
      </c>
      <c r="J131" s="14">
        <f t="shared" si="18"/>
        <v>73</v>
      </c>
      <c r="K131" s="20">
        <f>J131-J130</f>
        <v>0</v>
      </c>
      <c r="M131" s="26"/>
      <c r="N131" s="40"/>
      <c r="O131" s="24"/>
      <c r="P131" s="2"/>
    </row>
    <row r="132" spans="1:17" x14ac:dyDescent="0.15">
      <c r="A132" s="42"/>
      <c r="B132" s="16" t="s">
        <v>22</v>
      </c>
      <c r="C132" s="2">
        <v>6</v>
      </c>
      <c r="D132" s="2">
        <v>15</v>
      </c>
      <c r="E132" s="2">
        <v>12</v>
      </c>
      <c r="F132" s="2">
        <v>7</v>
      </c>
      <c r="G132" s="2">
        <v>15</v>
      </c>
      <c r="H132" s="2">
        <v>7</v>
      </c>
      <c r="I132" s="2">
        <v>10</v>
      </c>
      <c r="J132" s="14">
        <f t="shared" si="18"/>
        <v>72</v>
      </c>
      <c r="K132" s="20">
        <f>J132-J131</f>
        <v>-1</v>
      </c>
      <c r="M132" s="26"/>
      <c r="N132" s="36" t="s">
        <v>146</v>
      </c>
      <c r="O132" s="4"/>
      <c r="P132" s="2"/>
      <c r="Q132" t="s">
        <v>143</v>
      </c>
    </row>
    <row r="133" spans="1:17" x14ac:dyDescent="0.15">
      <c r="A133" s="42"/>
      <c r="B133" s="16" t="s">
        <v>23</v>
      </c>
      <c r="C133" s="2">
        <v>6</v>
      </c>
      <c r="D133" s="2">
        <v>14</v>
      </c>
      <c r="E133" s="2">
        <v>12</v>
      </c>
      <c r="F133" s="2">
        <v>7</v>
      </c>
      <c r="G133" s="2">
        <v>15</v>
      </c>
      <c r="H133" s="2">
        <v>7</v>
      </c>
      <c r="I133" s="2">
        <v>11</v>
      </c>
      <c r="J133" s="14">
        <f t="shared" si="18"/>
        <v>72</v>
      </c>
      <c r="K133" s="20">
        <f>J133-J132</f>
        <v>0</v>
      </c>
      <c r="M133" s="36" t="s">
        <v>144</v>
      </c>
      <c r="N133" s="26" t="s">
        <v>145</v>
      </c>
      <c r="O133" s="2"/>
      <c r="P133" s="2"/>
      <c r="Q133" t="s">
        <v>147</v>
      </c>
    </row>
    <row r="134" spans="1:17" x14ac:dyDescent="0.15">
      <c r="A134" s="42"/>
      <c r="B134" s="16" t="s">
        <v>24</v>
      </c>
      <c r="C134" s="2">
        <v>6</v>
      </c>
      <c r="D134" s="2">
        <v>14</v>
      </c>
      <c r="E134" s="2">
        <v>12</v>
      </c>
      <c r="F134" s="2">
        <v>7</v>
      </c>
      <c r="G134" s="2">
        <v>16</v>
      </c>
      <c r="H134" s="2">
        <v>7</v>
      </c>
      <c r="I134" s="2">
        <v>11</v>
      </c>
      <c r="J134" s="14">
        <f t="shared" si="18"/>
        <v>73</v>
      </c>
      <c r="K134" s="20">
        <f>J134-J133</f>
        <v>1</v>
      </c>
      <c r="M134" s="40" t="s">
        <v>148</v>
      </c>
      <c r="N134" s="40"/>
      <c r="O134" s="4"/>
      <c r="P134" s="2"/>
    </row>
    <row r="135" spans="1:17" x14ac:dyDescent="0.15">
      <c r="A135" s="42"/>
      <c r="B135" s="16" t="s">
        <v>25</v>
      </c>
      <c r="C135" s="2">
        <v>6</v>
      </c>
      <c r="D135" s="2">
        <v>14</v>
      </c>
      <c r="E135" s="2">
        <v>12</v>
      </c>
      <c r="F135" s="2">
        <v>7</v>
      </c>
      <c r="G135" s="2">
        <v>16</v>
      </c>
      <c r="H135" s="2">
        <v>7</v>
      </c>
      <c r="I135" s="2">
        <v>11</v>
      </c>
      <c r="J135" s="14">
        <f t="shared" si="18"/>
        <v>73</v>
      </c>
      <c r="K135" s="20">
        <f t="shared" ref="K135:K140" si="19">J135-J134</f>
        <v>0</v>
      </c>
      <c r="M135" s="26"/>
      <c r="N135" s="26"/>
      <c r="O135" s="4"/>
      <c r="P135" s="2"/>
    </row>
    <row r="136" spans="1:17" x14ac:dyDescent="0.15">
      <c r="A136" s="42" t="s">
        <v>157</v>
      </c>
      <c r="B136" s="16" t="s">
        <v>26</v>
      </c>
      <c r="C136" s="2">
        <v>6</v>
      </c>
      <c r="D136" s="2">
        <v>14</v>
      </c>
      <c r="E136" s="2">
        <v>12</v>
      </c>
      <c r="F136" s="2">
        <v>7</v>
      </c>
      <c r="G136" s="2">
        <v>16</v>
      </c>
      <c r="H136" s="2">
        <v>7</v>
      </c>
      <c r="I136" s="2">
        <v>11</v>
      </c>
      <c r="J136" s="14">
        <f t="shared" si="18"/>
        <v>73</v>
      </c>
      <c r="K136" s="20">
        <f t="shared" si="19"/>
        <v>0</v>
      </c>
      <c r="M136" s="26"/>
      <c r="N136" s="26"/>
      <c r="O136" s="4"/>
      <c r="P136" s="2"/>
    </row>
    <row r="137" spans="1:17" ht="27" x14ac:dyDescent="0.15">
      <c r="A137" s="42"/>
      <c r="B137" s="16" t="s">
        <v>27</v>
      </c>
      <c r="C137" s="2">
        <v>6</v>
      </c>
      <c r="D137" s="2">
        <v>14</v>
      </c>
      <c r="E137" s="2">
        <v>12</v>
      </c>
      <c r="F137" s="2">
        <v>7</v>
      </c>
      <c r="G137" s="2">
        <v>15</v>
      </c>
      <c r="H137" s="2">
        <v>7</v>
      </c>
      <c r="I137" s="2">
        <v>11</v>
      </c>
      <c r="J137" s="14">
        <f t="shared" si="18"/>
        <v>72</v>
      </c>
      <c r="K137" s="20">
        <f t="shared" si="19"/>
        <v>-1</v>
      </c>
      <c r="M137" s="36" t="s">
        <v>152</v>
      </c>
      <c r="N137" s="26" t="s">
        <v>149</v>
      </c>
      <c r="O137" s="4"/>
      <c r="P137" s="2"/>
    </row>
    <row r="138" spans="1:17" x14ac:dyDescent="0.15">
      <c r="A138" s="42"/>
      <c r="B138" s="16" t="s">
        <v>28</v>
      </c>
      <c r="C138" s="2">
        <v>6</v>
      </c>
      <c r="D138" s="2">
        <v>14</v>
      </c>
      <c r="E138" s="2">
        <v>12</v>
      </c>
      <c r="F138" s="2">
        <v>7</v>
      </c>
      <c r="G138" s="2">
        <v>15</v>
      </c>
      <c r="H138" s="2">
        <v>7</v>
      </c>
      <c r="I138" s="2">
        <v>11</v>
      </c>
      <c r="J138" s="14">
        <f t="shared" si="18"/>
        <v>72</v>
      </c>
      <c r="K138" s="20">
        <f t="shared" si="19"/>
        <v>0</v>
      </c>
      <c r="M138" s="26"/>
      <c r="N138" s="41"/>
      <c r="O138" s="26"/>
      <c r="P138" s="2"/>
    </row>
    <row r="139" spans="1:17" ht="27" x14ac:dyDescent="0.15">
      <c r="A139" s="42"/>
      <c r="B139" s="16" t="s">
        <v>29</v>
      </c>
      <c r="C139" s="2">
        <v>6</v>
      </c>
      <c r="D139" s="2">
        <v>16</v>
      </c>
      <c r="E139" s="2">
        <v>12</v>
      </c>
      <c r="F139" s="2">
        <v>7</v>
      </c>
      <c r="G139" s="2">
        <v>16</v>
      </c>
      <c r="H139" s="2">
        <v>7</v>
      </c>
      <c r="I139" s="2">
        <v>11</v>
      </c>
      <c r="J139" s="14">
        <f t="shared" si="18"/>
        <v>75</v>
      </c>
      <c r="K139" s="20">
        <f t="shared" si="19"/>
        <v>3</v>
      </c>
      <c r="M139" s="36" t="s">
        <v>156</v>
      </c>
      <c r="N139" s="26" t="s">
        <v>150</v>
      </c>
      <c r="O139" s="26"/>
      <c r="P139" s="2" t="s">
        <v>153</v>
      </c>
    </row>
    <row r="140" spans="1:17" ht="14.25" thickBot="1" x14ac:dyDescent="0.2">
      <c r="A140" s="42"/>
      <c r="B140" s="17" t="s">
        <v>30</v>
      </c>
      <c r="C140" s="3">
        <v>6</v>
      </c>
      <c r="D140" s="3">
        <v>16</v>
      </c>
      <c r="E140" s="3">
        <v>12</v>
      </c>
      <c r="F140" s="3">
        <v>7</v>
      </c>
      <c r="G140" s="3">
        <v>16</v>
      </c>
      <c r="H140" s="3">
        <v>7</v>
      </c>
      <c r="I140" s="3">
        <v>11</v>
      </c>
      <c r="J140" s="15">
        <f t="shared" si="18"/>
        <v>75</v>
      </c>
      <c r="K140" s="21">
        <f t="shared" si="19"/>
        <v>0</v>
      </c>
      <c r="M140" s="36"/>
      <c r="N140" s="26" t="s">
        <v>158</v>
      </c>
      <c r="O140" s="4"/>
      <c r="P140" s="2"/>
    </row>
    <row r="141" spans="1:17" ht="14.25" thickBot="1" x14ac:dyDescent="0.2">
      <c r="A141" s="42"/>
    </row>
    <row r="142" spans="1:17" x14ac:dyDescent="0.15">
      <c r="A142" s="42"/>
      <c r="B142" s="5" t="s">
        <v>189</v>
      </c>
      <c r="C142" s="6" t="s">
        <v>0</v>
      </c>
      <c r="D142" s="6" t="s">
        <v>1</v>
      </c>
      <c r="E142" s="6" t="s">
        <v>2</v>
      </c>
      <c r="F142" s="6" t="s">
        <v>3</v>
      </c>
      <c r="G142" s="6" t="s">
        <v>4</v>
      </c>
      <c r="H142" s="6" t="s">
        <v>5</v>
      </c>
      <c r="I142" s="6" t="s">
        <v>6</v>
      </c>
      <c r="J142" s="10" t="s">
        <v>7</v>
      </c>
      <c r="K142" s="11" t="s">
        <v>36</v>
      </c>
      <c r="M142" s="38" t="s">
        <v>8</v>
      </c>
      <c r="N142" s="38" t="s">
        <v>9</v>
      </c>
      <c r="O142" s="8" t="s">
        <v>10</v>
      </c>
      <c r="P142" s="8" t="s">
        <v>43</v>
      </c>
    </row>
    <row r="143" spans="1:17" ht="40.5" x14ac:dyDescent="0.15">
      <c r="A143" s="42"/>
      <c r="B143" s="16" t="s">
        <v>19</v>
      </c>
      <c r="C143" s="2">
        <v>6</v>
      </c>
      <c r="D143" s="2">
        <v>16</v>
      </c>
      <c r="E143" s="2">
        <v>12</v>
      </c>
      <c r="F143" s="2">
        <v>7</v>
      </c>
      <c r="G143" s="2">
        <v>16</v>
      </c>
      <c r="H143" s="2">
        <v>7</v>
      </c>
      <c r="I143" s="2">
        <v>11</v>
      </c>
      <c r="J143" s="14">
        <f>SUM(C143:I143)</f>
        <v>75</v>
      </c>
      <c r="K143" s="20">
        <f>J143-J140</f>
        <v>0</v>
      </c>
      <c r="M143" s="26" t="s">
        <v>168</v>
      </c>
      <c r="N143" s="36"/>
      <c r="O143" s="22"/>
      <c r="P143" s="23" t="s">
        <v>160</v>
      </c>
      <c r="Q143" s="33" t="s">
        <v>169</v>
      </c>
    </row>
    <row r="144" spans="1:17" x14ac:dyDescent="0.15">
      <c r="A144" s="42"/>
      <c r="B144" s="16" t="s">
        <v>20</v>
      </c>
      <c r="C144" s="2">
        <v>6</v>
      </c>
      <c r="D144" s="2">
        <v>16</v>
      </c>
      <c r="E144" s="2">
        <v>12</v>
      </c>
      <c r="F144" s="2">
        <v>7</v>
      </c>
      <c r="G144" s="2">
        <v>16</v>
      </c>
      <c r="H144" s="2">
        <v>7</v>
      </c>
      <c r="I144" s="2">
        <v>11</v>
      </c>
      <c r="J144" s="14">
        <f t="shared" ref="J144:J154" si="20">SUM(C144:I144)</f>
        <v>75</v>
      </c>
      <c r="K144" s="20">
        <f>J144-J143</f>
        <v>0</v>
      </c>
      <c r="M144" s="36"/>
      <c r="N144" s="36"/>
      <c r="O144" s="4"/>
      <c r="P144" s="2"/>
    </row>
    <row r="145" spans="1:17" x14ac:dyDescent="0.15">
      <c r="A145" s="42"/>
      <c r="B145" s="16" t="s">
        <v>21</v>
      </c>
      <c r="C145" s="2">
        <v>6</v>
      </c>
      <c r="D145" s="2">
        <v>16</v>
      </c>
      <c r="E145" s="2">
        <v>12</v>
      </c>
      <c r="F145" s="2">
        <v>7</v>
      </c>
      <c r="G145" s="2">
        <v>16</v>
      </c>
      <c r="H145" s="2">
        <v>7</v>
      </c>
      <c r="I145" s="2">
        <v>11</v>
      </c>
      <c r="J145" s="14">
        <f t="shared" si="20"/>
        <v>75</v>
      </c>
      <c r="K145" s="20">
        <f>J145-J144</f>
        <v>0</v>
      </c>
      <c r="M145" s="26"/>
      <c r="N145" s="40"/>
      <c r="O145" s="24"/>
      <c r="P145" s="2" t="s">
        <v>212</v>
      </c>
    </row>
    <row r="146" spans="1:17" ht="27" x14ac:dyDescent="0.15">
      <c r="A146" s="42"/>
      <c r="B146" s="16" t="s">
        <v>22</v>
      </c>
      <c r="C146" s="2">
        <v>6</v>
      </c>
      <c r="D146" s="2">
        <v>16</v>
      </c>
      <c r="E146" s="2">
        <v>15</v>
      </c>
      <c r="F146" s="2">
        <v>7</v>
      </c>
      <c r="G146" s="2">
        <v>16</v>
      </c>
      <c r="H146" s="2">
        <v>7</v>
      </c>
      <c r="I146" s="2">
        <v>10</v>
      </c>
      <c r="J146" s="14">
        <f t="shared" si="20"/>
        <v>77</v>
      </c>
      <c r="K146" s="20">
        <f>J146-J145</f>
        <v>2</v>
      </c>
      <c r="M146" s="36" t="s">
        <v>173</v>
      </c>
      <c r="N146" s="41" t="s">
        <v>172</v>
      </c>
      <c r="O146" s="4"/>
      <c r="P146" s="2"/>
    </row>
    <row r="147" spans="1:17" x14ac:dyDescent="0.15">
      <c r="A147" s="42"/>
      <c r="B147" s="16" t="s">
        <v>23</v>
      </c>
      <c r="C147" s="2">
        <v>6</v>
      </c>
      <c r="D147" s="2">
        <v>16</v>
      </c>
      <c r="E147" s="2">
        <v>15</v>
      </c>
      <c r="F147" s="2">
        <v>7</v>
      </c>
      <c r="G147" s="2">
        <v>16</v>
      </c>
      <c r="H147" s="2">
        <v>7</v>
      </c>
      <c r="I147" s="2">
        <v>10</v>
      </c>
      <c r="J147" s="14">
        <f t="shared" si="20"/>
        <v>77</v>
      </c>
      <c r="K147" s="20">
        <f>J147-J146</f>
        <v>0</v>
      </c>
      <c r="M147" s="36"/>
      <c r="N147" s="26"/>
      <c r="O147" s="2"/>
      <c r="P147" s="2"/>
    </row>
    <row r="148" spans="1:17" x14ac:dyDescent="0.15">
      <c r="A148" s="42"/>
      <c r="B148" s="16" t="s">
        <v>24</v>
      </c>
      <c r="C148" s="2">
        <v>6</v>
      </c>
      <c r="D148" s="2">
        <v>16</v>
      </c>
      <c r="E148" s="2">
        <v>15</v>
      </c>
      <c r="F148" s="2">
        <v>7</v>
      </c>
      <c r="G148" s="2">
        <v>16</v>
      </c>
      <c r="H148" s="2">
        <v>7</v>
      </c>
      <c r="I148" s="2">
        <v>11</v>
      </c>
      <c r="J148" s="14">
        <f t="shared" si="20"/>
        <v>78</v>
      </c>
      <c r="K148" s="20">
        <f>J148-J147</f>
        <v>1</v>
      </c>
      <c r="M148" s="40" t="s">
        <v>176</v>
      </c>
      <c r="N148" s="40"/>
      <c r="O148" s="4"/>
      <c r="P148" s="2"/>
    </row>
    <row r="149" spans="1:17" x14ac:dyDescent="0.15">
      <c r="A149" s="42"/>
      <c r="B149" s="16" t="s">
        <v>25</v>
      </c>
      <c r="C149" s="2">
        <v>6</v>
      </c>
      <c r="D149" s="2">
        <v>16</v>
      </c>
      <c r="E149" s="2">
        <v>15</v>
      </c>
      <c r="F149" s="2">
        <v>7</v>
      </c>
      <c r="G149" s="2">
        <v>16</v>
      </c>
      <c r="H149" s="2">
        <v>7</v>
      </c>
      <c r="I149" s="2">
        <v>12</v>
      </c>
      <c r="J149" s="14">
        <f t="shared" si="20"/>
        <v>79</v>
      </c>
      <c r="K149" s="20">
        <f t="shared" ref="K149:K154" si="21">J149-J148</f>
        <v>1</v>
      </c>
      <c r="M149" s="26" t="s">
        <v>178</v>
      </c>
      <c r="N149" s="40" t="s">
        <v>179</v>
      </c>
      <c r="O149" s="4"/>
      <c r="P149" s="2"/>
    </row>
    <row r="150" spans="1:17" x14ac:dyDescent="0.15">
      <c r="A150" s="42" t="s">
        <v>190</v>
      </c>
      <c r="B150" s="16" t="s">
        <v>26</v>
      </c>
      <c r="C150" s="2">
        <v>6</v>
      </c>
      <c r="D150" s="2">
        <v>16</v>
      </c>
      <c r="E150" s="2">
        <v>15</v>
      </c>
      <c r="F150" s="2">
        <v>7</v>
      </c>
      <c r="G150" s="2">
        <v>15</v>
      </c>
      <c r="H150" s="2">
        <v>7</v>
      </c>
      <c r="I150" s="2">
        <v>11</v>
      </c>
      <c r="J150" s="14">
        <f t="shared" si="20"/>
        <v>77</v>
      </c>
      <c r="K150" s="20">
        <f t="shared" si="21"/>
        <v>-2</v>
      </c>
      <c r="M150" s="26"/>
      <c r="N150" s="26" t="s">
        <v>180</v>
      </c>
      <c r="O150" s="4"/>
      <c r="P150" s="2"/>
    </row>
    <row r="151" spans="1:17" x14ac:dyDescent="0.15">
      <c r="A151" s="42"/>
      <c r="B151" s="16" t="s">
        <v>27</v>
      </c>
      <c r="C151" s="2">
        <v>6</v>
      </c>
      <c r="D151" s="2">
        <v>16</v>
      </c>
      <c r="E151" s="2">
        <v>15</v>
      </c>
      <c r="F151" s="2">
        <v>7</v>
      </c>
      <c r="G151" s="2">
        <v>15</v>
      </c>
      <c r="H151" s="2">
        <v>7</v>
      </c>
      <c r="I151" s="2">
        <v>10</v>
      </c>
      <c r="J151" s="14">
        <f t="shared" si="20"/>
        <v>76</v>
      </c>
      <c r="K151" s="20">
        <f t="shared" si="21"/>
        <v>-1</v>
      </c>
      <c r="M151" s="36"/>
      <c r="N151" s="26" t="s">
        <v>181</v>
      </c>
      <c r="O151" s="4"/>
      <c r="P151" s="2"/>
    </row>
    <row r="152" spans="1:17" x14ac:dyDescent="0.15">
      <c r="A152" s="42"/>
      <c r="B152" s="16" t="s">
        <v>28</v>
      </c>
      <c r="C152" s="2">
        <v>6</v>
      </c>
      <c r="D152" s="2">
        <v>16</v>
      </c>
      <c r="E152" s="2">
        <v>15</v>
      </c>
      <c r="F152" s="2">
        <v>7</v>
      </c>
      <c r="G152" s="2">
        <v>15</v>
      </c>
      <c r="H152" s="2">
        <v>7</v>
      </c>
      <c r="I152" s="2">
        <v>10</v>
      </c>
      <c r="J152" s="14">
        <f t="shared" si="20"/>
        <v>76</v>
      </c>
      <c r="K152" s="20">
        <f t="shared" si="21"/>
        <v>0</v>
      </c>
      <c r="M152" s="26" t="s">
        <v>182</v>
      </c>
      <c r="N152" s="41" t="s">
        <v>184</v>
      </c>
      <c r="O152" s="26"/>
      <c r="P152" s="2"/>
    </row>
    <row r="153" spans="1:17" ht="27" x14ac:dyDescent="0.15">
      <c r="A153" s="42"/>
      <c r="B153" s="16" t="s">
        <v>29</v>
      </c>
      <c r="C153" s="2">
        <v>7</v>
      </c>
      <c r="D153" s="2">
        <v>16</v>
      </c>
      <c r="E153" s="2">
        <v>15</v>
      </c>
      <c r="F153" s="2">
        <v>7</v>
      </c>
      <c r="G153" s="2">
        <v>16</v>
      </c>
      <c r="H153" s="2">
        <v>7</v>
      </c>
      <c r="I153" s="2">
        <v>11</v>
      </c>
      <c r="J153" s="14">
        <f t="shared" si="20"/>
        <v>79</v>
      </c>
      <c r="K153" s="20">
        <f t="shared" si="21"/>
        <v>3</v>
      </c>
      <c r="M153" s="36" t="s">
        <v>187</v>
      </c>
      <c r="N153" s="26"/>
      <c r="O153" s="26"/>
      <c r="P153" s="2"/>
    </row>
    <row r="154" spans="1:17" ht="14.25" thickBot="1" x14ac:dyDescent="0.2">
      <c r="A154" s="42"/>
      <c r="B154" s="17" t="s">
        <v>30</v>
      </c>
      <c r="C154" s="3">
        <v>7</v>
      </c>
      <c r="D154" s="3">
        <v>16</v>
      </c>
      <c r="E154" s="3">
        <v>16</v>
      </c>
      <c r="F154" s="3">
        <v>7</v>
      </c>
      <c r="G154" s="3">
        <v>15</v>
      </c>
      <c r="H154" s="3">
        <v>7</v>
      </c>
      <c r="I154" s="3">
        <v>11</v>
      </c>
      <c r="J154" s="15">
        <f t="shared" si="20"/>
        <v>79</v>
      </c>
      <c r="K154" s="21">
        <f t="shared" si="21"/>
        <v>0</v>
      </c>
      <c r="M154" s="36"/>
      <c r="N154" s="26" t="s">
        <v>194</v>
      </c>
      <c r="O154" s="26" t="s">
        <v>183</v>
      </c>
      <c r="P154" s="2"/>
    </row>
    <row r="155" spans="1:17" ht="14.25" thickBot="1" x14ac:dyDescent="0.2">
      <c r="A155" s="42"/>
    </row>
    <row r="156" spans="1:17" x14ac:dyDescent="0.15">
      <c r="A156" s="42"/>
      <c r="B156" s="5" t="s">
        <v>211</v>
      </c>
      <c r="C156" s="6" t="s">
        <v>0</v>
      </c>
      <c r="D156" s="6" t="s">
        <v>1</v>
      </c>
      <c r="E156" s="6" t="s">
        <v>2</v>
      </c>
      <c r="F156" s="6" t="s">
        <v>3</v>
      </c>
      <c r="G156" s="6" t="s">
        <v>4</v>
      </c>
      <c r="H156" s="6" t="s">
        <v>5</v>
      </c>
      <c r="I156" s="6" t="s">
        <v>6</v>
      </c>
      <c r="J156" s="10" t="s">
        <v>7</v>
      </c>
      <c r="K156" s="11" t="s">
        <v>36</v>
      </c>
      <c r="M156" s="38" t="s">
        <v>8</v>
      </c>
      <c r="N156" s="38" t="s">
        <v>9</v>
      </c>
      <c r="O156" s="8" t="s">
        <v>10</v>
      </c>
      <c r="P156" s="8" t="s">
        <v>43</v>
      </c>
    </row>
    <row r="157" spans="1:17" ht="40.5" x14ac:dyDescent="0.15">
      <c r="A157" s="42"/>
      <c r="B157" s="16" t="s">
        <v>19</v>
      </c>
      <c r="C157" s="2">
        <v>7</v>
      </c>
      <c r="D157" s="2">
        <v>16</v>
      </c>
      <c r="E157" s="2">
        <v>15</v>
      </c>
      <c r="F157" s="2">
        <v>7</v>
      </c>
      <c r="G157" s="2">
        <v>15</v>
      </c>
      <c r="H157" s="2">
        <v>7</v>
      </c>
      <c r="I157" s="2">
        <v>12</v>
      </c>
      <c r="J157" s="14">
        <f>SUM(C157:I157)</f>
        <v>79</v>
      </c>
      <c r="K157" s="20">
        <f>J157-J154</f>
        <v>0</v>
      </c>
      <c r="M157" s="26" t="s">
        <v>195</v>
      </c>
      <c r="N157" s="36"/>
      <c r="O157" s="36" t="s">
        <v>193</v>
      </c>
      <c r="P157" s="23" t="s">
        <v>191</v>
      </c>
      <c r="Q157" s="33" t="s">
        <v>169</v>
      </c>
    </row>
    <row r="158" spans="1:17" ht="40.5" x14ac:dyDescent="0.15">
      <c r="A158" s="42"/>
      <c r="B158" s="16" t="s">
        <v>20</v>
      </c>
      <c r="C158" s="2">
        <v>7</v>
      </c>
      <c r="D158" s="2">
        <v>16</v>
      </c>
      <c r="E158" s="2">
        <v>15</v>
      </c>
      <c r="F158" s="2">
        <v>7</v>
      </c>
      <c r="G158" s="2">
        <v>15</v>
      </c>
      <c r="H158" s="2">
        <v>7</v>
      </c>
      <c r="I158" s="2">
        <v>11</v>
      </c>
      <c r="J158" s="14">
        <f t="shared" ref="J158:J168" si="22">SUM(C158:I158)</f>
        <v>78</v>
      </c>
      <c r="K158" s="20">
        <f>J158-J157</f>
        <v>-1</v>
      </c>
      <c r="M158" s="36"/>
      <c r="N158" s="26" t="s">
        <v>199</v>
      </c>
      <c r="O158" s="4"/>
      <c r="P158" s="2"/>
      <c r="Q158" s="33" t="s">
        <v>198</v>
      </c>
    </row>
    <row r="159" spans="1:17" ht="27" x14ac:dyDescent="0.15">
      <c r="A159" s="42"/>
      <c r="B159" s="16" t="s">
        <v>21</v>
      </c>
      <c r="C159" s="2">
        <v>7</v>
      </c>
      <c r="D159" s="2">
        <v>16</v>
      </c>
      <c r="E159" s="2">
        <v>15</v>
      </c>
      <c r="F159" s="2">
        <v>7</v>
      </c>
      <c r="G159" s="2">
        <v>15</v>
      </c>
      <c r="H159" s="2">
        <v>7</v>
      </c>
      <c r="I159" s="2">
        <v>12</v>
      </c>
      <c r="J159" s="14">
        <f t="shared" si="22"/>
        <v>79</v>
      </c>
      <c r="K159" s="20">
        <f>J159-J158</f>
        <v>1</v>
      </c>
      <c r="M159" s="36" t="s">
        <v>200</v>
      </c>
      <c r="N159" s="40" t="s">
        <v>201</v>
      </c>
      <c r="O159" s="24"/>
      <c r="P159" s="2"/>
    </row>
    <row r="160" spans="1:17" x14ac:dyDescent="0.15">
      <c r="A160" s="42"/>
      <c r="B160" s="16" t="s">
        <v>22</v>
      </c>
      <c r="C160" s="2">
        <v>7</v>
      </c>
      <c r="D160" s="2">
        <v>16</v>
      </c>
      <c r="E160" s="2">
        <v>15</v>
      </c>
      <c r="F160" s="2">
        <v>7</v>
      </c>
      <c r="G160" s="2">
        <v>15</v>
      </c>
      <c r="H160" s="2">
        <v>7</v>
      </c>
      <c r="I160" s="2">
        <v>12</v>
      </c>
      <c r="J160" s="14">
        <f t="shared" si="22"/>
        <v>79</v>
      </c>
      <c r="K160" s="20">
        <f>J160-J159</f>
        <v>0</v>
      </c>
      <c r="M160" s="36"/>
      <c r="N160" s="41"/>
      <c r="O160" s="4"/>
      <c r="P160" s="2"/>
    </row>
    <row r="161" spans="1:17" ht="27" x14ac:dyDescent="0.15">
      <c r="A161" s="42"/>
      <c r="B161" s="16" t="s">
        <v>23</v>
      </c>
      <c r="C161" s="2">
        <v>7</v>
      </c>
      <c r="D161" s="2">
        <v>16</v>
      </c>
      <c r="E161" s="2">
        <v>15</v>
      </c>
      <c r="F161" s="2">
        <v>7</v>
      </c>
      <c r="G161" s="2">
        <v>15</v>
      </c>
      <c r="H161" s="2">
        <v>7</v>
      </c>
      <c r="I161" s="2">
        <v>13</v>
      </c>
      <c r="J161" s="14">
        <f t="shared" si="22"/>
        <v>80</v>
      </c>
      <c r="K161" s="20">
        <f>J161-J160</f>
        <v>1</v>
      </c>
      <c r="M161" s="36" t="s">
        <v>208</v>
      </c>
      <c r="N161" s="26"/>
      <c r="O161" s="2"/>
      <c r="P161" s="2"/>
    </row>
    <row r="162" spans="1:17" x14ac:dyDescent="0.15">
      <c r="A162" s="42"/>
      <c r="B162" s="16" t="s">
        <v>24</v>
      </c>
      <c r="C162" s="2">
        <v>7</v>
      </c>
      <c r="D162" s="2">
        <v>16</v>
      </c>
      <c r="E162" s="2">
        <v>15</v>
      </c>
      <c r="F162" s="2">
        <v>7</v>
      </c>
      <c r="G162" s="2">
        <v>15</v>
      </c>
      <c r="H162" s="2">
        <v>7</v>
      </c>
      <c r="I162" s="2">
        <v>13</v>
      </c>
      <c r="J162" s="14">
        <f t="shared" si="22"/>
        <v>80</v>
      </c>
      <c r="K162" s="20">
        <f>J162-J161</f>
        <v>0</v>
      </c>
      <c r="M162" s="40"/>
      <c r="N162" s="40"/>
      <c r="O162" s="4"/>
      <c r="P162" s="2"/>
    </row>
    <row r="163" spans="1:17" x14ac:dyDescent="0.15">
      <c r="A163" s="42"/>
      <c r="B163" s="16" t="s">
        <v>25</v>
      </c>
      <c r="C163" s="2">
        <v>7</v>
      </c>
      <c r="D163" s="2">
        <v>16</v>
      </c>
      <c r="E163" s="2">
        <v>15</v>
      </c>
      <c r="F163" s="2">
        <v>7</v>
      </c>
      <c r="G163" s="2">
        <v>15</v>
      </c>
      <c r="H163" s="2">
        <v>7</v>
      </c>
      <c r="I163" s="2">
        <v>12</v>
      </c>
      <c r="J163" s="14">
        <f t="shared" si="22"/>
        <v>79</v>
      </c>
      <c r="K163" s="20">
        <f t="shared" ref="K163:K168" si="23">J163-J162</f>
        <v>-1</v>
      </c>
      <c r="M163" s="26"/>
      <c r="N163" s="40" t="s">
        <v>210</v>
      </c>
      <c r="O163" s="4"/>
      <c r="P163" s="2"/>
    </row>
    <row r="164" spans="1:17" x14ac:dyDescent="0.15">
      <c r="A164" s="42" t="s">
        <v>223</v>
      </c>
      <c r="B164" s="16" t="s">
        <v>26</v>
      </c>
      <c r="C164" s="2">
        <v>7</v>
      </c>
      <c r="D164" s="2">
        <v>16</v>
      </c>
      <c r="E164" s="2">
        <v>15</v>
      </c>
      <c r="F164" s="2">
        <v>7</v>
      </c>
      <c r="G164" s="2">
        <v>15</v>
      </c>
      <c r="H164" s="2">
        <v>7</v>
      </c>
      <c r="I164" s="2">
        <v>12</v>
      </c>
      <c r="J164" s="14">
        <f t="shared" si="22"/>
        <v>79</v>
      </c>
      <c r="K164" s="20">
        <f t="shared" si="23"/>
        <v>0</v>
      </c>
      <c r="M164" s="26"/>
      <c r="N164" s="26"/>
      <c r="O164" s="4"/>
      <c r="P164" s="2"/>
    </row>
    <row r="165" spans="1:17" x14ac:dyDescent="0.15">
      <c r="A165" s="42"/>
      <c r="B165" s="16" t="s">
        <v>27</v>
      </c>
      <c r="C165" s="2">
        <v>7</v>
      </c>
      <c r="D165" s="2">
        <v>16</v>
      </c>
      <c r="E165" s="2">
        <v>15</v>
      </c>
      <c r="F165" s="2">
        <v>7</v>
      </c>
      <c r="G165" s="2">
        <v>15</v>
      </c>
      <c r="H165" s="2">
        <v>7</v>
      </c>
      <c r="I165" s="2">
        <v>12</v>
      </c>
      <c r="J165" s="14">
        <f t="shared" si="22"/>
        <v>79</v>
      </c>
      <c r="K165" s="20">
        <f t="shared" si="23"/>
        <v>0</v>
      </c>
      <c r="M165" s="36"/>
      <c r="N165" s="26"/>
      <c r="O165" s="4"/>
      <c r="P165" s="2"/>
    </row>
    <row r="166" spans="1:17" x14ac:dyDescent="0.15">
      <c r="A166" s="42"/>
      <c r="B166" s="16" t="s">
        <v>28</v>
      </c>
      <c r="C166" s="2">
        <v>7</v>
      </c>
      <c r="D166" s="2">
        <v>16</v>
      </c>
      <c r="E166" s="2">
        <v>15</v>
      </c>
      <c r="F166" s="2">
        <v>7</v>
      </c>
      <c r="G166" s="2">
        <v>15</v>
      </c>
      <c r="H166" s="2">
        <v>7</v>
      </c>
      <c r="I166" s="2">
        <v>12</v>
      </c>
      <c r="J166" s="14">
        <f t="shared" si="22"/>
        <v>79</v>
      </c>
      <c r="K166" s="20">
        <f t="shared" si="23"/>
        <v>0</v>
      </c>
      <c r="M166" s="26"/>
      <c r="N166" s="41"/>
      <c r="O166" s="26"/>
      <c r="P166" s="2"/>
    </row>
    <row r="167" spans="1:17" x14ac:dyDescent="0.15">
      <c r="A167" s="42"/>
      <c r="B167" s="16" t="s">
        <v>29</v>
      </c>
      <c r="C167" s="2">
        <v>7</v>
      </c>
      <c r="D167" s="2">
        <v>17</v>
      </c>
      <c r="E167" s="2">
        <v>15</v>
      </c>
      <c r="F167" s="2">
        <v>7</v>
      </c>
      <c r="G167" s="2">
        <v>15</v>
      </c>
      <c r="H167" s="2">
        <v>7</v>
      </c>
      <c r="I167" s="2">
        <v>12</v>
      </c>
      <c r="J167" s="14">
        <f t="shared" si="22"/>
        <v>80</v>
      </c>
      <c r="K167" s="20">
        <f t="shared" si="23"/>
        <v>1</v>
      </c>
      <c r="M167" s="36" t="s">
        <v>215</v>
      </c>
      <c r="N167" s="26"/>
      <c r="O167" s="26"/>
      <c r="P167" s="2"/>
    </row>
    <row r="168" spans="1:17" ht="14.25" thickBot="1" x14ac:dyDescent="0.2">
      <c r="A168" s="42"/>
      <c r="B168" s="17" t="s">
        <v>30</v>
      </c>
      <c r="C168" s="3">
        <v>7</v>
      </c>
      <c r="D168" s="3">
        <v>17</v>
      </c>
      <c r="E168" s="3">
        <v>15</v>
      </c>
      <c r="F168" s="3">
        <v>7</v>
      </c>
      <c r="G168" s="3">
        <v>15</v>
      </c>
      <c r="H168" s="3">
        <v>7</v>
      </c>
      <c r="I168" s="3">
        <v>12</v>
      </c>
      <c r="J168" s="15">
        <f t="shared" si="22"/>
        <v>80</v>
      </c>
      <c r="K168" s="21">
        <f t="shared" si="23"/>
        <v>0</v>
      </c>
      <c r="M168" s="36"/>
      <c r="N168" s="26"/>
      <c r="O168" s="26"/>
      <c r="P168" s="2"/>
    </row>
    <row r="169" spans="1:17" ht="14.25" thickBot="1" x14ac:dyDescent="0.2">
      <c r="A169" s="42"/>
    </row>
    <row r="170" spans="1:17" x14ac:dyDescent="0.15">
      <c r="A170" s="42"/>
      <c r="B170" s="5" t="s">
        <v>222</v>
      </c>
      <c r="C170" s="6" t="s">
        <v>0</v>
      </c>
      <c r="D170" s="6" t="s">
        <v>1</v>
      </c>
      <c r="E170" s="6" t="s">
        <v>2</v>
      </c>
      <c r="F170" s="6" t="s">
        <v>3</v>
      </c>
      <c r="G170" s="6" t="s">
        <v>4</v>
      </c>
      <c r="H170" s="6" t="s">
        <v>5</v>
      </c>
      <c r="I170" s="6" t="s">
        <v>6</v>
      </c>
      <c r="J170" s="10" t="s">
        <v>7</v>
      </c>
      <c r="K170" s="11" t="s">
        <v>36</v>
      </c>
      <c r="M170" s="38" t="s">
        <v>8</v>
      </c>
      <c r="N170" s="38" t="s">
        <v>9</v>
      </c>
      <c r="O170" s="8" t="s">
        <v>10</v>
      </c>
      <c r="P170" s="8" t="s">
        <v>43</v>
      </c>
    </row>
    <row r="171" spans="1:17" ht="40.5" x14ac:dyDescent="0.15">
      <c r="A171" s="42"/>
      <c r="B171" s="16" t="s">
        <v>19</v>
      </c>
      <c r="C171" s="2">
        <v>7</v>
      </c>
      <c r="D171" s="2">
        <v>17</v>
      </c>
      <c r="E171" s="2">
        <v>15</v>
      </c>
      <c r="F171" s="2">
        <v>7</v>
      </c>
      <c r="G171" s="2">
        <v>15</v>
      </c>
      <c r="H171" s="2">
        <v>7</v>
      </c>
      <c r="I171" s="2">
        <v>11</v>
      </c>
      <c r="J171" s="14">
        <f>SUM(C171:I171)</f>
        <v>79</v>
      </c>
      <c r="K171" s="20">
        <f>J171-J168</f>
        <v>-1</v>
      </c>
      <c r="M171" s="26"/>
      <c r="N171" s="36"/>
      <c r="O171" s="36" t="s">
        <v>245</v>
      </c>
      <c r="P171" s="23" t="s">
        <v>246</v>
      </c>
      <c r="Q171" s="33" t="s">
        <v>221</v>
      </c>
    </row>
    <row r="172" spans="1:17" x14ac:dyDescent="0.15">
      <c r="A172" s="42"/>
      <c r="B172" s="16" t="s">
        <v>20</v>
      </c>
      <c r="C172" s="2">
        <v>7</v>
      </c>
      <c r="D172" s="2">
        <v>18</v>
      </c>
      <c r="E172" s="2">
        <v>15</v>
      </c>
      <c r="F172" s="2">
        <v>7</v>
      </c>
      <c r="G172" s="2">
        <v>15</v>
      </c>
      <c r="H172" s="2">
        <v>7</v>
      </c>
      <c r="I172" s="2">
        <v>11</v>
      </c>
      <c r="J172" s="14">
        <f t="shared" ref="J172:J182" si="24">SUM(C172:I172)</f>
        <v>80</v>
      </c>
      <c r="K172" s="20">
        <f>J172-J171</f>
        <v>1</v>
      </c>
      <c r="M172" s="41" t="s">
        <v>227</v>
      </c>
      <c r="N172" s="26"/>
      <c r="O172" s="4"/>
      <c r="P172" s="2"/>
      <c r="Q172" s="33"/>
    </row>
    <row r="173" spans="1:17" x14ac:dyDescent="0.15">
      <c r="A173" s="42"/>
      <c r="B173" s="16" t="s">
        <v>21</v>
      </c>
      <c r="C173" s="2">
        <v>7</v>
      </c>
      <c r="D173" s="2">
        <v>18</v>
      </c>
      <c r="E173" s="2">
        <v>15</v>
      </c>
      <c r="F173" s="2">
        <v>7</v>
      </c>
      <c r="G173" s="2">
        <v>15</v>
      </c>
      <c r="H173" s="2">
        <v>7</v>
      </c>
      <c r="I173" s="2">
        <v>11</v>
      </c>
      <c r="J173" s="14">
        <f t="shared" si="24"/>
        <v>80</v>
      </c>
      <c r="K173" s="20">
        <f>J173-J172</f>
        <v>0</v>
      </c>
      <c r="M173" s="26"/>
      <c r="N173" s="40"/>
      <c r="O173" s="24"/>
      <c r="P173" s="2"/>
    </row>
    <row r="174" spans="1:17" x14ac:dyDescent="0.15">
      <c r="A174" s="42"/>
      <c r="B174" s="16" t="s">
        <v>22</v>
      </c>
      <c r="C174" s="2">
        <v>7</v>
      </c>
      <c r="D174" s="2">
        <v>18</v>
      </c>
      <c r="E174" s="2">
        <v>15</v>
      </c>
      <c r="F174" s="2">
        <v>7</v>
      </c>
      <c r="G174" s="2">
        <v>15</v>
      </c>
      <c r="H174" s="2">
        <v>7</v>
      </c>
      <c r="I174" s="2">
        <v>11</v>
      </c>
      <c r="J174" s="14">
        <f t="shared" si="24"/>
        <v>80</v>
      </c>
      <c r="K174" s="20">
        <f>J174-J173</f>
        <v>0</v>
      </c>
      <c r="M174" s="36"/>
      <c r="N174" s="41"/>
      <c r="O174" s="4"/>
      <c r="P174" s="2"/>
    </row>
    <row r="175" spans="1:17" x14ac:dyDescent="0.15">
      <c r="A175" s="42"/>
      <c r="B175" s="16" t="s">
        <v>23</v>
      </c>
      <c r="C175" s="2">
        <v>7</v>
      </c>
      <c r="D175" s="2">
        <v>18</v>
      </c>
      <c r="E175" s="2">
        <v>15</v>
      </c>
      <c r="F175" s="2">
        <v>7</v>
      </c>
      <c r="G175" s="2">
        <v>17</v>
      </c>
      <c r="H175" s="2">
        <v>7</v>
      </c>
      <c r="I175" s="2">
        <v>11</v>
      </c>
      <c r="J175" s="14">
        <f t="shared" si="24"/>
        <v>82</v>
      </c>
      <c r="K175" s="20">
        <f>J175-J174</f>
        <v>2</v>
      </c>
      <c r="M175" s="36" t="s">
        <v>235</v>
      </c>
      <c r="N175" s="26"/>
      <c r="O175" s="2"/>
      <c r="P175" s="2"/>
    </row>
    <row r="176" spans="1:17" x14ac:dyDescent="0.15">
      <c r="A176" s="42"/>
      <c r="B176" s="16" t="s">
        <v>24</v>
      </c>
      <c r="C176" s="2">
        <v>7</v>
      </c>
      <c r="D176" s="2">
        <v>18</v>
      </c>
      <c r="E176" s="2">
        <v>15</v>
      </c>
      <c r="F176" s="2">
        <v>7</v>
      </c>
      <c r="G176" s="2">
        <v>17</v>
      </c>
      <c r="H176" s="2">
        <v>7</v>
      </c>
      <c r="I176" s="2">
        <v>11</v>
      </c>
      <c r="J176" s="14">
        <f t="shared" si="24"/>
        <v>82</v>
      </c>
      <c r="K176" s="20">
        <f>J176-J175</f>
        <v>0</v>
      </c>
      <c r="M176" s="40"/>
      <c r="N176" s="40"/>
      <c r="O176" s="4"/>
      <c r="P176" s="2"/>
    </row>
    <row r="177" spans="1:17" x14ac:dyDescent="0.15">
      <c r="A177" s="42"/>
      <c r="B177" s="16" t="s">
        <v>25</v>
      </c>
      <c r="C177" s="2">
        <v>7</v>
      </c>
      <c r="D177" s="2">
        <v>17</v>
      </c>
      <c r="E177" s="2">
        <v>15</v>
      </c>
      <c r="F177" s="2">
        <v>7</v>
      </c>
      <c r="G177" s="2">
        <v>17</v>
      </c>
      <c r="H177" s="2">
        <v>7</v>
      </c>
      <c r="I177" s="2">
        <v>11</v>
      </c>
      <c r="J177" s="14">
        <f t="shared" si="24"/>
        <v>81</v>
      </c>
      <c r="K177" s="20">
        <f t="shared" ref="K177:K182" si="25">J177-J176</f>
        <v>-1</v>
      </c>
      <c r="M177" s="26"/>
      <c r="N177" s="40" t="s">
        <v>239</v>
      </c>
      <c r="O177" s="4"/>
      <c r="P177" s="2"/>
    </row>
    <row r="178" spans="1:17" x14ac:dyDescent="0.15">
      <c r="A178" s="42" t="s">
        <v>249</v>
      </c>
      <c r="B178" s="16" t="s">
        <v>26</v>
      </c>
      <c r="C178" s="2">
        <v>7</v>
      </c>
      <c r="D178" s="2">
        <v>17</v>
      </c>
      <c r="E178" s="2">
        <v>14</v>
      </c>
      <c r="F178" s="2">
        <v>7</v>
      </c>
      <c r="G178" s="2">
        <v>17</v>
      </c>
      <c r="H178" s="2">
        <v>7</v>
      </c>
      <c r="I178" s="2">
        <v>11</v>
      </c>
      <c r="J178" s="14">
        <f t="shared" si="24"/>
        <v>80</v>
      </c>
      <c r="K178" s="20">
        <f t="shared" si="25"/>
        <v>-1</v>
      </c>
      <c r="M178" s="26"/>
      <c r="N178" s="40" t="s">
        <v>240</v>
      </c>
      <c r="O178" s="4"/>
      <c r="P178" s="2"/>
    </row>
    <row r="179" spans="1:17" ht="40.5" x14ac:dyDescent="0.15">
      <c r="A179" s="42"/>
      <c r="B179" s="16" t="s">
        <v>27</v>
      </c>
      <c r="C179" s="2">
        <v>7</v>
      </c>
      <c r="D179" s="2">
        <v>18</v>
      </c>
      <c r="E179" s="2">
        <v>14</v>
      </c>
      <c r="F179" s="2">
        <v>7</v>
      </c>
      <c r="G179" s="2">
        <v>17</v>
      </c>
      <c r="H179" s="2">
        <v>7</v>
      </c>
      <c r="I179" s="2">
        <v>11</v>
      </c>
      <c r="J179" s="14">
        <f t="shared" si="24"/>
        <v>81</v>
      </c>
      <c r="K179" s="20">
        <f t="shared" si="25"/>
        <v>1</v>
      </c>
      <c r="M179" s="36" t="s">
        <v>243</v>
      </c>
      <c r="N179" s="26"/>
      <c r="O179" s="4"/>
      <c r="P179" s="2"/>
      <c r="Q179" s="33" t="s">
        <v>242</v>
      </c>
    </row>
    <row r="180" spans="1:17" x14ac:dyDescent="0.15">
      <c r="A180" s="42"/>
      <c r="B180" s="16" t="s">
        <v>28</v>
      </c>
      <c r="C180" s="2">
        <v>7</v>
      </c>
      <c r="D180" s="2">
        <v>18</v>
      </c>
      <c r="E180" s="2">
        <v>14</v>
      </c>
      <c r="F180" s="2">
        <v>7</v>
      </c>
      <c r="G180" s="2">
        <v>17</v>
      </c>
      <c r="H180" s="2">
        <v>7</v>
      </c>
      <c r="I180" s="2">
        <v>11</v>
      </c>
      <c r="J180" s="14">
        <f t="shared" si="24"/>
        <v>81</v>
      </c>
      <c r="K180" s="20">
        <f t="shared" si="25"/>
        <v>0</v>
      </c>
      <c r="M180" s="26"/>
      <c r="N180" s="41"/>
      <c r="O180" s="26"/>
      <c r="P180" s="2"/>
    </row>
    <row r="181" spans="1:17" ht="40.5" x14ac:dyDescent="0.15">
      <c r="A181" s="42"/>
      <c r="B181" s="16" t="s">
        <v>29</v>
      </c>
      <c r="C181" s="2">
        <v>7</v>
      </c>
      <c r="D181" s="2">
        <v>20</v>
      </c>
      <c r="E181" s="2">
        <v>15</v>
      </c>
      <c r="F181" s="2">
        <v>6</v>
      </c>
      <c r="G181" s="2">
        <v>17</v>
      </c>
      <c r="H181" s="2">
        <v>8</v>
      </c>
      <c r="I181" s="2">
        <v>11</v>
      </c>
      <c r="J181" s="14">
        <f t="shared" si="24"/>
        <v>84</v>
      </c>
      <c r="K181" s="20">
        <f t="shared" si="25"/>
        <v>3</v>
      </c>
      <c r="M181" s="36" t="s">
        <v>248</v>
      </c>
      <c r="N181" s="26" t="s">
        <v>244</v>
      </c>
      <c r="O181" s="26"/>
      <c r="P181" s="2"/>
    </row>
    <row r="182" spans="1:17" ht="14.25" thickBot="1" x14ac:dyDescent="0.2">
      <c r="A182" s="42"/>
      <c r="B182" s="17" t="s">
        <v>30</v>
      </c>
      <c r="C182" s="3">
        <v>7</v>
      </c>
      <c r="D182" s="3">
        <v>20</v>
      </c>
      <c r="E182" s="3">
        <v>15</v>
      </c>
      <c r="F182" s="3">
        <v>6</v>
      </c>
      <c r="G182" s="3">
        <v>17</v>
      </c>
      <c r="H182" s="3">
        <v>8</v>
      </c>
      <c r="I182" s="3">
        <v>12</v>
      </c>
      <c r="J182" s="15">
        <f t="shared" si="24"/>
        <v>85</v>
      </c>
      <c r="K182" s="21">
        <f t="shared" si="25"/>
        <v>1</v>
      </c>
      <c r="M182" s="36" t="s">
        <v>252</v>
      </c>
      <c r="N182" s="26"/>
      <c r="O182" s="26"/>
      <c r="P182" s="2"/>
    </row>
    <row r="183" spans="1:17" ht="14.25" thickBot="1" x14ac:dyDescent="0.2">
      <c r="A183" s="42"/>
    </row>
    <row r="184" spans="1:17" x14ac:dyDescent="0.15">
      <c r="A184" s="42"/>
      <c r="B184" s="5" t="s">
        <v>250</v>
      </c>
      <c r="C184" s="6" t="s">
        <v>0</v>
      </c>
      <c r="D184" s="6" t="s">
        <v>1</v>
      </c>
      <c r="E184" s="6" t="s">
        <v>2</v>
      </c>
      <c r="F184" s="6" t="s">
        <v>3</v>
      </c>
      <c r="G184" s="6" t="s">
        <v>4</v>
      </c>
      <c r="H184" s="6" t="s">
        <v>5</v>
      </c>
      <c r="I184" s="6" t="s">
        <v>6</v>
      </c>
      <c r="J184" s="10" t="s">
        <v>7</v>
      </c>
      <c r="K184" s="11" t="s">
        <v>36</v>
      </c>
      <c r="M184" s="38" t="s">
        <v>8</v>
      </c>
      <c r="N184" s="38" t="s">
        <v>9</v>
      </c>
      <c r="O184" s="8" t="s">
        <v>10</v>
      </c>
      <c r="P184" s="8" t="s">
        <v>43</v>
      </c>
    </row>
    <row r="185" spans="1:17" ht="27" x14ac:dyDescent="0.15">
      <c r="A185" s="42"/>
      <c r="B185" s="16" t="s">
        <v>19</v>
      </c>
      <c r="C185" s="2">
        <v>7</v>
      </c>
      <c r="D185" s="2">
        <v>19</v>
      </c>
      <c r="E185" s="2">
        <v>15</v>
      </c>
      <c r="F185" s="2">
        <v>6</v>
      </c>
      <c r="G185" s="2">
        <v>17</v>
      </c>
      <c r="H185" s="2">
        <v>8</v>
      </c>
      <c r="I185" s="2">
        <v>12</v>
      </c>
      <c r="J185" s="14">
        <f>SUM(C185:I185)</f>
        <v>84</v>
      </c>
      <c r="K185" s="20">
        <f>J185-J182</f>
        <v>-1</v>
      </c>
      <c r="M185" s="26"/>
      <c r="N185" s="36" t="s">
        <v>254</v>
      </c>
      <c r="O185" s="36"/>
      <c r="P185" s="23" t="s">
        <v>253</v>
      </c>
      <c r="Q185" s="33"/>
    </row>
    <row r="186" spans="1:17" x14ac:dyDescent="0.15">
      <c r="A186" s="42"/>
      <c r="B186" s="16" t="s">
        <v>20</v>
      </c>
      <c r="C186" s="2">
        <v>7</v>
      </c>
      <c r="D186" s="2">
        <v>19</v>
      </c>
      <c r="E186" s="2">
        <v>15</v>
      </c>
      <c r="F186" s="2">
        <v>6</v>
      </c>
      <c r="G186" s="2">
        <v>17</v>
      </c>
      <c r="H186" s="2">
        <v>8</v>
      </c>
      <c r="I186" s="2">
        <v>12</v>
      </c>
      <c r="J186" s="14">
        <f t="shared" ref="J186:J196" si="26">SUM(C186:I186)</f>
        <v>84</v>
      </c>
      <c r="K186" s="20">
        <f>J186-J185</f>
        <v>0</v>
      </c>
      <c r="M186" s="41"/>
      <c r="N186" s="26"/>
      <c r="O186" s="4"/>
      <c r="P186" s="2"/>
      <c r="Q186" s="33"/>
    </row>
    <row r="187" spans="1:17" x14ac:dyDescent="0.15">
      <c r="A187" s="42"/>
      <c r="B187" s="16" t="s">
        <v>21</v>
      </c>
      <c r="C187" s="2">
        <v>7</v>
      </c>
      <c r="D187" s="2">
        <v>19</v>
      </c>
      <c r="E187" s="2">
        <v>15</v>
      </c>
      <c r="F187" s="2">
        <v>6</v>
      </c>
      <c r="G187" s="2">
        <v>17</v>
      </c>
      <c r="H187" s="2">
        <v>8</v>
      </c>
      <c r="I187" s="2">
        <v>11</v>
      </c>
      <c r="J187" s="14">
        <f t="shared" si="26"/>
        <v>83</v>
      </c>
      <c r="K187" s="20">
        <f>J187-J186</f>
        <v>-1</v>
      </c>
      <c r="M187" s="26"/>
      <c r="N187" s="40" t="s">
        <v>258</v>
      </c>
      <c r="O187" s="24"/>
      <c r="P187" s="2" t="s">
        <v>257</v>
      </c>
    </row>
    <row r="188" spans="1:17" x14ac:dyDescent="0.15">
      <c r="A188" s="42"/>
      <c r="B188" s="16" t="s">
        <v>22</v>
      </c>
      <c r="C188" s="2">
        <v>7</v>
      </c>
      <c r="D188" s="2">
        <v>19</v>
      </c>
      <c r="E188" s="2">
        <v>15</v>
      </c>
      <c r="F188" s="2">
        <v>6</v>
      </c>
      <c r="G188" s="2">
        <v>17</v>
      </c>
      <c r="H188" s="2">
        <v>8</v>
      </c>
      <c r="I188" s="2">
        <v>11</v>
      </c>
      <c r="J188" s="14">
        <f t="shared" si="26"/>
        <v>83</v>
      </c>
      <c r="K188" s="20">
        <f>J188-J187</f>
        <v>0</v>
      </c>
      <c r="M188" s="36"/>
      <c r="N188" s="41"/>
      <c r="O188" s="4"/>
      <c r="P188" s="2"/>
    </row>
    <row r="189" spans="1:17" x14ac:dyDescent="0.15">
      <c r="A189" s="42"/>
      <c r="B189" s="16" t="s">
        <v>23</v>
      </c>
      <c r="C189" s="2">
        <v>7</v>
      </c>
      <c r="D189" s="2">
        <v>19</v>
      </c>
      <c r="E189" s="2">
        <v>15</v>
      </c>
      <c r="F189" s="2">
        <v>6</v>
      </c>
      <c r="G189" s="2">
        <v>17</v>
      </c>
      <c r="H189" s="2">
        <v>8</v>
      </c>
      <c r="I189" s="2">
        <v>11</v>
      </c>
      <c r="J189" s="14">
        <f t="shared" si="26"/>
        <v>83</v>
      </c>
      <c r="K189" s="20">
        <f>J189-J188</f>
        <v>0</v>
      </c>
      <c r="M189" s="36"/>
      <c r="N189" s="26"/>
      <c r="O189" s="2"/>
      <c r="P189" s="2"/>
    </row>
    <row r="190" spans="1:17" x14ac:dyDescent="0.15">
      <c r="A190" s="42"/>
      <c r="B190" s="16" t="s">
        <v>24</v>
      </c>
      <c r="C190" s="2">
        <v>7</v>
      </c>
      <c r="D190" s="2">
        <v>19</v>
      </c>
      <c r="E190" s="2">
        <v>15</v>
      </c>
      <c r="F190" s="2">
        <v>6</v>
      </c>
      <c r="G190" s="2">
        <v>17</v>
      </c>
      <c r="H190" s="2">
        <v>8</v>
      </c>
      <c r="I190" s="2">
        <v>11</v>
      </c>
      <c r="J190" s="14">
        <f t="shared" si="26"/>
        <v>83</v>
      </c>
      <c r="K190" s="20">
        <f>J190-J189</f>
        <v>0</v>
      </c>
      <c r="M190" s="40"/>
      <c r="N190" s="40"/>
      <c r="O190" s="4"/>
      <c r="P190" s="2"/>
    </row>
    <row r="191" spans="1:17" x14ac:dyDescent="0.15">
      <c r="A191" s="42"/>
      <c r="B191" s="16" t="s">
        <v>25</v>
      </c>
      <c r="C191" s="2">
        <v>7</v>
      </c>
      <c r="D191" s="2">
        <v>19</v>
      </c>
      <c r="E191" s="2">
        <v>15</v>
      </c>
      <c r="F191" s="2">
        <v>6</v>
      </c>
      <c r="G191" s="2">
        <v>17</v>
      </c>
      <c r="H191" s="2">
        <v>8</v>
      </c>
      <c r="I191" s="2">
        <v>11</v>
      </c>
      <c r="J191" s="14">
        <f t="shared" si="26"/>
        <v>83</v>
      </c>
      <c r="K191" s="20">
        <f t="shared" ref="K191:K196" si="27">J191-J190</f>
        <v>0</v>
      </c>
      <c r="M191" s="26"/>
      <c r="N191" s="40"/>
      <c r="O191" s="4"/>
      <c r="P191" s="2"/>
    </row>
    <row r="192" spans="1:17" x14ac:dyDescent="0.15">
      <c r="B192" s="16" t="s">
        <v>26</v>
      </c>
      <c r="C192" s="2">
        <v>7</v>
      </c>
      <c r="D192" s="2">
        <v>18</v>
      </c>
      <c r="E192" s="2">
        <v>15</v>
      </c>
      <c r="F192" s="2">
        <v>6</v>
      </c>
      <c r="G192" s="2">
        <v>17</v>
      </c>
      <c r="H192" s="2">
        <v>8</v>
      </c>
      <c r="I192" s="2">
        <v>11</v>
      </c>
      <c r="J192" s="14">
        <f t="shared" si="26"/>
        <v>82</v>
      </c>
      <c r="K192" s="20">
        <f t="shared" si="27"/>
        <v>-1</v>
      </c>
      <c r="M192" s="26"/>
      <c r="N192" s="40" t="s">
        <v>261</v>
      </c>
      <c r="O192" s="4"/>
      <c r="P192" s="2"/>
    </row>
    <row r="193" spans="2:17" x14ac:dyDescent="0.15">
      <c r="B193" s="16" t="s">
        <v>27</v>
      </c>
      <c r="C193" s="2">
        <v>7</v>
      </c>
      <c r="D193" s="2">
        <v>18</v>
      </c>
      <c r="E193" s="2">
        <v>15</v>
      </c>
      <c r="F193" s="2">
        <v>6</v>
      </c>
      <c r="G193" s="2">
        <v>16</v>
      </c>
      <c r="H193" s="2">
        <v>8</v>
      </c>
      <c r="I193" s="2">
        <v>11</v>
      </c>
      <c r="J193" s="14">
        <f t="shared" si="26"/>
        <v>81</v>
      </c>
      <c r="K193" s="20">
        <f t="shared" si="27"/>
        <v>-1</v>
      </c>
      <c r="M193" s="36"/>
      <c r="N193" s="40" t="s">
        <v>264</v>
      </c>
      <c r="O193" s="4"/>
      <c r="P193" s="2"/>
      <c r="Q193" s="33"/>
    </row>
    <row r="194" spans="2:17" x14ac:dyDescent="0.15">
      <c r="B194" s="16" t="s">
        <v>28</v>
      </c>
      <c r="C194" s="2">
        <v>7</v>
      </c>
      <c r="D194" s="2">
        <v>18</v>
      </c>
      <c r="E194" s="2">
        <v>15</v>
      </c>
      <c r="F194" s="2">
        <v>6</v>
      </c>
      <c r="G194" s="2">
        <v>16</v>
      </c>
      <c r="H194" s="2">
        <v>8</v>
      </c>
      <c r="I194" s="2">
        <v>11</v>
      </c>
      <c r="J194" s="14">
        <f t="shared" si="26"/>
        <v>81</v>
      </c>
      <c r="K194" s="20">
        <f t="shared" si="27"/>
        <v>0</v>
      </c>
      <c r="M194" s="26"/>
      <c r="N194" s="41"/>
      <c r="O194" s="26"/>
      <c r="P194" s="2"/>
    </row>
    <row r="195" spans="2:17" ht="27" x14ac:dyDescent="0.15">
      <c r="B195" s="16" t="s">
        <v>29</v>
      </c>
      <c r="C195" s="2">
        <v>7</v>
      </c>
      <c r="D195" s="2">
        <v>18</v>
      </c>
      <c r="E195" s="2">
        <v>16</v>
      </c>
      <c r="F195" s="2">
        <v>6</v>
      </c>
      <c r="G195" s="2">
        <v>17</v>
      </c>
      <c r="H195" s="2">
        <v>8</v>
      </c>
      <c r="I195" s="2">
        <v>11</v>
      </c>
      <c r="J195" s="14">
        <f t="shared" si="26"/>
        <v>83</v>
      </c>
      <c r="K195" s="20">
        <f t="shared" si="27"/>
        <v>2</v>
      </c>
      <c r="M195" s="36" t="s">
        <v>266</v>
      </c>
      <c r="N195" s="26"/>
      <c r="O195" s="26"/>
      <c r="P195" s="2"/>
    </row>
    <row r="196" spans="2:17" ht="14.25" thickBot="1" x14ac:dyDescent="0.2">
      <c r="B196" s="17" t="s">
        <v>30</v>
      </c>
      <c r="C196" s="3"/>
      <c r="D196" s="3"/>
      <c r="E196" s="3"/>
      <c r="F196" s="3"/>
      <c r="G196" s="3"/>
      <c r="H196" s="3"/>
      <c r="I196" s="3"/>
      <c r="J196" s="15">
        <f t="shared" si="26"/>
        <v>0</v>
      </c>
      <c r="K196" s="21">
        <f t="shared" si="27"/>
        <v>-83</v>
      </c>
      <c r="M196" s="36"/>
      <c r="N196" s="26"/>
      <c r="O196" s="26"/>
      <c r="P196" s="2"/>
    </row>
  </sheetData>
  <mergeCells count="11">
    <mergeCell ref="A178:A191"/>
    <mergeCell ref="A38:A51"/>
    <mergeCell ref="A80:A93"/>
    <mergeCell ref="A94:A107"/>
    <mergeCell ref="A108:A121"/>
    <mergeCell ref="A164:A177"/>
    <mergeCell ref="A150:A163"/>
    <mergeCell ref="A136:A149"/>
    <mergeCell ref="A122:A135"/>
    <mergeCell ref="A66:A79"/>
    <mergeCell ref="A52:A65"/>
  </mergeCells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BDDF-3146-48C8-BB32-B08B83C7D432}">
  <dimension ref="A1:P84"/>
  <sheetViews>
    <sheetView tabSelected="1" workbookViewId="0">
      <pane xSplit="1" ySplit="1" topLeftCell="B66" activePane="bottomRight" state="frozen"/>
      <selection pane="topRight" activeCell="B1" sqref="B1"/>
      <selection pane="bottomLeft" activeCell="A2" sqref="A2"/>
      <selection pane="bottomRight" activeCell="G87" sqref="G87"/>
    </sheetView>
  </sheetViews>
  <sheetFormatPr defaultRowHeight="13.5" x14ac:dyDescent="0.15"/>
  <cols>
    <col min="1" max="1" width="3.25" customWidth="1"/>
    <col min="2" max="2" width="9" style="13"/>
    <col min="3" max="3" width="14.5" customWidth="1"/>
    <col min="4" max="4" width="12.875" style="13" customWidth="1"/>
    <col min="5" max="5" width="6.125" style="19" customWidth="1"/>
    <col min="6" max="6" width="6.375" style="1" customWidth="1"/>
    <col min="7" max="7" width="10.625" style="1" customWidth="1"/>
    <col min="8" max="8" width="18.25" style="12" customWidth="1"/>
    <col min="9" max="9" width="17.625" style="12" customWidth="1"/>
    <col min="10" max="10" width="13.5" style="12" customWidth="1"/>
    <col min="11" max="11" width="28" customWidth="1"/>
  </cols>
  <sheetData>
    <row r="1" spans="1:11" ht="14.25" thickBot="1" x14ac:dyDescent="0.2">
      <c r="A1" s="42">
        <v>2020</v>
      </c>
      <c r="B1" s="43" t="s">
        <v>128</v>
      </c>
      <c r="C1" s="43"/>
      <c r="D1" s="43"/>
      <c r="E1" s="43"/>
      <c r="F1" s="43"/>
      <c r="G1" s="43"/>
      <c r="H1" s="43"/>
      <c r="I1" s="43"/>
      <c r="J1" s="43"/>
      <c r="K1" s="43"/>
    </row>
    <row r="2" spans="1:11" x14ac:dyDescent="0.15">
      <c r="A2" s="42"/>
      <c r="B2" s="5" t="s">
        <v>124</v>
      </c>
      <c r="C2" s="6" t="s">
        <v>125</v>
      </c>
      <c r="D2" s="10" t="s">
        <v>7</v>
      </c>
      <c r="E2" s="11" t="s">
        <v>36</v>
      </c>
      <c r="F2" s="28"/>
      <c r="G2" s="1" t="s">
        <v>129</v>
      </c>
      <c r="H2" s="8" t="s">
        <v>8</v>
      </c>
      <c r="I2" s="8" t="s">
        <v>9</v>
      </c>
      <c r="J2" s="8" t="s">
        <v>10</v>
      </c>
      <c r="K2" s="8" t="s">
        <v>43</v>
      </c>
    </row>
    <row r="3" spans="1:11" x14ac:dyDescent="0.15">
      <c r="A3" s="42"/>
      <c r="B3" s="16" t="s">
        <v>19</v>
      </c>
      <c r="C3" s="2">
        <v>12</v>
      </c>
      <c r="D3" s="14">
        <f t="shared" ref="D3:D14" si="0">SUM(C3:C3)</f>
        <v>12</v>
      </c>
      <c r="E3" s="20"/>
      <c r="F3" s="29"/>
      <c r="G3" s="9"/>
      <c r="H3" s="4"/>
      <c r="I3" s="22"/>
      <c r="J3" s="22"/>
      <c r="K3" s="23"/>
    </row>
    <row r="4" spans="1:11" x14ac:dyDescent="0.15">
      <c r="A4" s="42"/>
      <c r="B4" s="16" t="s">
        <v>20</v>
      </c>
      <c r="C4" s="2">
        <v>12</v>
      </c>
      <c r="D4" s="14">
        <f t="shared" si="0"/>
        <v>12</v>
      </c>
      <c r="E4" s="20">
        <f>D4-D3</f>
        <v>0</v>
      </c>
      <c r="F4" s="30"/>
      <c r="H4" s="22"/>
      <c r="I4" s="22"/>
      <c r="J4" s="4"/>
      <c r="K4" s="2"/>
    </row>
    <row r="5" spans="1:11" x14ac:dyDescent="0.15">
      <c r="A5" s="42"/>
      <c r="B5" s="16" t="s">
        <v>21</v>
      </c>
      <c r="C5" s="2">
        <v>12</v>
      </c>
      <c r="D5" s="14">
        <f t="shared" si="0"/>
        <v>12</v>
      </c>
      <c r="E5" s="20">
        <f>D5-D4</f>
        <v>0</v>
      </c>
      <c r="F5" s="30"/>
      <c r="H5" s="4"/>
      <c r="I5" s="25"/>
      <c r="J5" s="24"/>
      <c r="K5" s="2"/>
    </row>
    <row r="6" spans="1:11" x14ac:dyDescent="0.15">
      <c r="A6" s="42"/>
      <c r="B6" s="16" t="s">
        <v>22</v>
      </c>
      <c r="C6" s="2">
        <v>12</v>
      </c>
      <c r="D6" s="14">
        <f t="shared" si="0"/>
        <v>12</v>
      </c>
      <c r="E6" s="20">
        <f>D6-D5</f>
        <v>0</v>
      </c>
      <c r="F6" s="30"/>
      <c r="H6" s="4"/>
      <c r="I6" s="4"/>
      <c r="J6" s="4"/>
      <c r="K6" s="2"/>
    </row>
    <row r="7" spans="1:11" x14ac:dyDescent="0.15">
      <c r="A7" s="42"/>
      <c r="B7" s="16" t="s">
        <v>23</v>
      </c>
      <c r="C7" s="2">
        <v>12</v>
      </c>
      <c r="D7" s="14">
        <f t="shared" si="0"/>
        <v>12</v>
      </c>
      <c r="E7" s="20">
        <f>D7-D6</f>
        <v>0</v>
      </c>
      <c r="F7" s="30"/>
      <c r="H7" s="22"/>
      <c r="I7" s="4"/>
      <c r="J7" s="2"/>
      <c r="K7" s="2"/>
    </row>
    <row r="8" spans="1:11" x14ac:dyDescent="0.15">
      <c r="A8" s="42"/>
      <c r="B8" s="16" t="s">
        <v>24</v>
      </c>
      <c r="C8" s="2">
        <v>12</v>
      </c>
      <c r="D8" s="14">
        <f t="shared" si="0"/>
        <v>12</v>
      </c>
      <c r="E8" s="20">
        <f>D8-D7</f>
        <v>0</v>
      </c>
      <c r="F8" s="30"/>
      <c r="H8" s="25"/>
      <c r="I8" s="25"/>
      <c r="J8" s="4"/>
      <c r="K8" s="2"/>
    </row>
    <row r="9" spans="1:11" x14ac:dyDescent="0.15">
      <c r="A9" s="42"/>
      <c r="B9" s="16" t="s">
        <v>25</v>
      </c>
      <c r="C9" s="2">
        <v>12</v>
      </c>
      <c r="D9" s="14">
        <f t="shared" si="0"/>
        <v>12</v>
      </c>
      <c r="E9" s="20">
        <f t="shared" ref="E9:E14" si="1">D9-D8</f>
        <v>0</v>
      </c>
      <c r="F9" s="30"/>
      <c r="H9" s="4"/>
      <c r="I9" s="4"/>
      <c r="J9" s="4"/>
      <c r="K9" s="2"/>
    </row>
    <row r="10" spans="1:11" ht="13.5" customHeight="1" x14ac:dyDescent="0.15">
      <c r="A10" s="42">
        <v>2021</v>
      </c>
      <c r="B10" s="16" t="s">
        <v>26</v>
      </c>
      <c r="C10" s="2">
        <v>12</v>
      </c>
      <c r="D10" s="14">
        <f t="shared" si="0"/>
        <v>12</v>
      </c>
      <c r="E10" s="20">
        <f t="shared" si="1"/>
        <v>0</v>
      </c>
      <c r="F10" s="30"/>
      <c r="G10" s="1" t="s">
        <v>130</v>
      </c>
      <c r="H10" s="4"/>
      <c r="I10" s="4"/>
      <c r="J10" s="4"/>
      <c r="K10" s="2"/>
    </row>
    <row r="11" spans="1:11" x14ac:dyDescent="0.15">
      <c r="A11" s="42"/>
      <c r="B11" s="16" t="s">
        <v>27</v>
      </c>
      <c r="C11" s="2">
        <v>11</v>
      </c>
      <c r="D11" s="14">
        <f t="shared" si="0"/>
        <v>11</v>
      </c>
      <c r="E11" s="20">
        <f t="shared" si="1"/>
        <v>-1</v>
      </c>
      <c r="F11" s="30"/>
      <c r="H11" s="4"/>
      <c r="I11" s="25" t="s">
        <v>127</v>
      </c>
      <c r="J11" s="4"/>
      <c r="K11" s="2"/>
    </row>
    <row r="12" spans="1:11" x14ac:dyDescent="0.15">
      <c r="A12" s="42"/>
      <c r="B12" s="16" t="s">
        <v>28</v>
      </c>
      <c r="C12" s="2">
        <v>11</v>
      </c>
      <c r="D12" s="14">
        <f t="shared" si="0"/>
        <v>11</v>
      </c>
      <c r="E12" s="20">
        <f t="shared" si="1"/>
        <v>0</v>
      </c>
      <c r="F12" s="30"/>
      <c r="H12" s="4"/>
      <c r="I12" s="27"/>
      <c r="J12" s="26"/>
      <c r="K12" s="2"/>
    </row>
    <row r="13" spans="1:11" x14ac:dyDescent="0.15">
      <c r="A13" s="42"/>
      <c r="B13" s="16" t="s">
        <v>29</v>
      </c>
      <c r="C13" s="2">
        <v>11</v>
      </c>
      <c r="D13" s="14">
        <f t="shared" si="0"/>
        <v>11</v>
      </c>
      <c r="E13" s="20">
        <f t="shared" si="1"/>
        <v>0</v>
      </c>
      <c r="F13" s="30"/>
      <c r="G13" s="1" t="s">
        <v>141</v>
      </c>
      <c r="H13" s="22"/>
      <c r="I13" s="4"/>
      <c r="J13" s="26"/>
      <c r="K13" s="2" t="s">
        <v>133</v>
      </c>
    </row>
    <row r="14" spans="1:11" ht="14.25" thickBot="1" x14ac:dyDescent="0.2">
      <c r="A14" s="42"/>
      <c r="B14" s="17" t="s">
        <v>30</v>
      </c>
      <c r="C14" s="3">
        <v>11</v>
      </c>
      <c r="D14" s="15">
        <f t="shared" si="0"/>
        <v>11</v>
      </c>
      <c r="E14" s="21">
        <f t="shared" si="1"/>
        <v>0</v>
      </c>
      <c r="F14" s="31"/>
      <c r="G14" s="1" t="s">
        <v>142</v>
      </c>
      <c r="H14" s="22"/>
      <c r="I14" s="4"/>
      <c r="J14" s="4"/>
      <c r="K14" s="2"/>
    </row>
    <row r="15" spans="1:11" ht="14.25" thickBot="1" x14ac:dyDescent="0.2">
      <c r="A15" s="42"/>
    </row>
    <row r="16" spans="1:11" x14ac:dyDescent="0.15">
      <c r="A16" s="42"/>
      <c r="B16" s="5" t="s">
        <v>126</v>
      </c>
      <c r="C16" s="6" t="s">
        <v>125</v>
      </c>
      <c r="D16" s="10" t="s">
        <v>7</v>
      </c>
      <c r="E16" s="11" t="s">
        <v>36</v>
      </c>
      <c r="H16" s="8" t="s">
        <v>8</v>
      </c>
      <c r="I16" s="8" t="s">
        <v>9</v>
      </c>
      <c r="J16" s="8" t="s">
        <v>10</v>
      </c>
      <c r="K16" s="8" t="s">
        <v>43</v>
      </c>
    </row>
    <row r="17" spans="1:12" x14ac:dyDescent="0.15">
      <c r="A17" s="42"/>
      <c r="B17" s="16" t="s">
        <v>19</v>
      </c>
      <c r="C17" s="2">
        <v>11</v>
      </c>
      <c r="D17" s="14">
        <f t="shared" ref="D17:D28" si="2">SUM(C17:C17)</f>
        <v>11</v>
      </c>
      <c r="E17" s="20"/>
      <c r="F17" s="9"/>
      <c r="G17" s="9"/>
      <c r="H17" s="4"/>
      <c r="I17" s="22"/>
      <c r="J17" s="22"/>
      <c r="K17" s="23"/>
    </row>
    <row r="18" spans="1:12" x14ac:dyDescent="0.15">
      <c r="A18" s="42"/>
      <c r="B18" s="16" t="s">
        <v>20</v>
      </c>
      <c r="C18" s="2">
        <v>10</v>
      </c>
      <c r="D18" s="14">
        <f t="shared" si="2"/>
        <v>10</v>
      </c>
      <c r="E18" s="20">
        <f>D18-D17</f>
        <v>-1</v>
      </c>
      <c r="H18" s="22"/>
      <c r="I18" s="22" t="s">
        <v>139</v>
      </c>
      <c r="J18" s="4"/>
      <c r="K18" s="2"/>
    </row>
    <row r="19" spans="1:12" x14ac:dyDescent="0.15">
      <c r="A19" s="42"/>
      <c r="B19" s="16" t="s">
        <v>21</v>
      </c>
      <c r="C19" s="2">
        <v>10</v>
      </c>
      <c r="D19" s="14">
        <f t="shared" si="2"/>
        <v>10</v>
      </c>
      <c r="E19" s="20">
        <f>D19-D18</f>
        <v>0</v>
      </c>
      <c r="H19" s="4"/>
      <c r="I19" s="25"/>
      <c r="J19" s="24"/>
      <c r="K19" s="2"/>
    </row>
    <row r="20" spans="1:12" x14ac:dyDescent="0.15">
      <c r="A20" s="42"/>
      <c r="B20" s="16" t="s">
        <v>22</v>
      </c>
      <c r="C20" s="2">
        <v>10</v>
      </c>
      <c r="D20" s="14">
        <f t="shared" si="2"/>
        <v>10</v>
      </c>
      <c r="E20" s="20">
        <f>D20-D19</f>
        <v>0</v>
      </c>
      <c r="G20" s="1" t="s">
        <v>140</v>
      </c>
      <c r="H20" s="4"/>
      <c r="I20" s="4"/>
      <c r="J20" s="4"/>
      <c r="K20" s="2"/>
    </row>
    <row r="21" spans="1:12" x14ac:dyDescent="0.15">
      <c r="A21" s="42"/>
      <c r="B21" s="16" t="s">
        <v>23</v>
      </c>
      <c r="C21" s="2">
        <v>10</v>
      </c>
      <c r="D21" s="14">
        <f t="shared" si="2"/>
        <v>10</v>
      </c>
      <c r="E21" s="20">
        <f>D21-D20</f>
        <v>0</v>
      </c>
      <c r="H21" s="22"/>
      <c r="I21" s="4"/>
      <c r="J21" s="2"/>
      <c r="K21" s="2"/>
    </row>
    <row r="22" spans="1:12" x14ac:dyDescent="0.15">
      <c r="A22" s="42"/>
      <c r="B22" s="16" t="s">
        <v>24</v>
      </c>
      <c r="C22" s="2">
        <v>10</v>
      </c>
      <c r="D22" s="14">
        <f t="shared" si="2"/>
        <v>10</v>
      </c>
      <c r="E22" s="20">
        <f>D22-D21</f>
        <v>0</v>
      </c>
      <c r="H22" s="25"/>
      <c r="I22" s="25"/>
      <c r="J22" s="4"/>
      <c r="K22" s="2"/>
    </row>
    <row r="23" spans="1:12" x14ac:dyDescent="0.15">
      <c r="A23" s="42"/>
      <c r="B23" s="16" t="s">
        <v>25</v>
      </c>
      <c r="C23" s="2">
        <v>10</v>
      </c>
      <c r="D23" s="14">
        <f t="shared" si="2"/>
        <v>10</v>
      </c>
      <c r="E23" s="20">
        <f t="shared" ref="E23:E28" si="3">D23-D22</f>
        <v>0</v>
      </c>
      <c r="H23" s="4"/>
      <c r="I23" s="4"/>
      <c r="J23" s="4"/>
      <c r="K23" s="2"/>
    </row>
    <row r="24" spans="1:12" x14ac:dyDescent="0.15">
      <c r="A24" s="42">
        <v>2022</v>
      </c>
      <c r="B24" s="16" t="s">
        <v>26</v>
      </c>
      <c r="C24" s="2">
        <v>10</v>
      </c>
      <c r="D24" s="14">
        <f t="shared" si="2"/>
        <v>10</v>
      </c>
      <c r="E24" s="20">
        <f t="shared" si="3"/>
        <v>0</v>
      </c>
      <c r="H24" s="4"/>
      <c r="I24" s="4"/>
      <c r="J24" s="4"/>
      <c r="K24" s="2"/>
    </row>
    <row r="25" spans="1:12" x14ac:dyDescent="0.15">
      <c r="A25" s="42"/>
      <c r="B25" s="16" t="s">
        <v>27</v>
      </c>
      <c r="C25" s="2">
        <v>10</v>
      </c>
      <c r="D25" s="14">
        <f t="shared" si="2"/>
        <v>10</v>
      </c>
      <c r="E25" s="20">
        <f t="shared" si="3"/>
        <v>0</v>
      </c>
      <c r="H25" s="4"/>
      <c r="I25" s="4"/>
      <c r="J25" s="4"/>
      <c r="K25" s="2"/>
    </row>
    <row r="26" spans="1:12" x14ac:dyDescent="0.15">
      <c r="A26" s="42"/>
      <c r="B26" s="16" t="s">
        <v>28</v>
      </c>
      <c r="C26" s="2">
        <v>10</v>
      </c>
      <c r="D26" s="14">
        <f t="shared" si="2"/>
        <v>10</v>
      </c>
      <c r="E26" s="20">
        <f t="shared" si="3"/>
        <v>0</v>
      </c>
      <c r="H26" s="4"/>
      <c r="I26" s="27"/>
      <c r="J26" s="26"/>
      <c r="K26" s="2"/>
    </row>
    <row r="27" spans="1:12" x14ac:dyDescent="0.15">
      <c r="A27" s="42"/>
      <c r="B27" s="16" t="s">
        <v>29</v>
      </c>
      <c r="C27" s="2">
        <v>10</v>
      </c>
      <c r="D27" s="14">
        <f t="shared" si="2"/>
        <v>10</v>
      </c>
      <c r="E27" s="20">
        <f t="shared" si="3"/>
        <v>0</v>
      </c>
      <c r="H27" s="22" t="s">
        <v>155</v>
      </c>
      <c r="I27" s="4" t="s">
        <v>151</v>
      </c>
      <c r="J27" s="26"/>
      <c r="K27" s="2" t="s">
        <v>154</v>
      </c>
    </row>
    <row r="28" spans="1:12" ht="14.25" thickBot="1" x14ac:dyDescent="0.2">
      <c r="A28" s="42"/>
      <c r="B28" s="17" t="s">
        <v>30</v>
      </c>
      <c r="C28" s="3">
        <v>10</v>
      </c>
      <c r="D28" s="15">
        <f t="shared" si="2"/>
        <v>10</v>
      </c>
      <c r="E28" s="21">
        <f t="shared" si="3"/>
        <v>0</v>
      </c>
      <c r="H28" s="22" t="s">
        <v>162</v>
      </c>
      <c r="I28" s="4" t="s">
        <v>159</v>
      </c>
      <c r="J28" s="4"/>
      <c r="K28" s="2"/>
    </row>
    <row r="29" spans="1:12" ht="14.25" thickBot="1" x14ac:dyDescent="0.2">
      <c r="A29" s="42"/>
      <c r="J29"/>
    </row>
    <row r="30" spans="1:12" x14ac:dyDescent="0.15">
      <c r="A30" s="42"/>
      <c r="B30" s="5" t="s">
        <v>161</v>
      </c>
      <c r="C30" s="6" t="s">
        <v>164</v>
      </c>
      <c r="D30" s="10" t="s">
        <v>165</v>
      </c>
      <c r="E30" s="10" t="s">
        <v>7</v>
      </c>
      <c r="F30" s="11" t="s">
        <v>36</v>
      </c>
      <c r="H30" s="8" t="s">
        <v>8</v>
      </c>
      <c r="I30" s="8" t="s">
        <v>9</v>
      </c>
      <c r="J30" s="8" t="s">
        <v>10</v>
      </c>
      <c r="K30" s="8" t="s">
        <v>43</v>
      </c>
    </row>
    <row r="31" spans="1:12" x14ac:dyDescent="0.15">
      <c r="A31" s="42"/>
      <c r="B31" s="16" t="s">
        <v>19</v>
      </c>
      <c r="C31" s="2">
        <v>9</v>
      </c>
      <c r="D31" s="34">
        <v>8</v>
      </c>
      <c r="E31" s="14">
        <f>SUM(C31:D31)</f>
        <v>17</v>
      </c>
      <c r="F31" s="20"/>
      <c r="G31" s="1" t="s">
        <v>167</v>
      </c>
      <c r="H31" s="4"/>
      <c r="I31" s="22"/>
      <c r="J31" s="22"/>
      <c r="K31" s="23" t="s">
        <v>163</v>
      </c>
      <c r="L31" t="s">
        <v>171</v>
      </c>
    </row>
    <row r="32" spans="1:12" x14ac:dyDescent="0.15">
      <c r="A32" s="42"/>
      <c r="B32" s="16" t="s">
        <v>20</v>
      </c>
      <c r="C32" s="2">
        <v>9</v>
      </c>
      <c r="D32" s="34">
        <v>7</v>
      </c>
      <c r="E32" s="14">
        <f>SUM(C32:D32)</f>
        <v>16</v>
      </c>
      <c r="F32" s="20">
        <f>E32-E31</f>
        <v>-1</v>
      </c>
      <c r="G32" s="1" t="s">
        <v>170</v>
      </c>
      <c r="H32" s="22"/>
      <c r="I32" s="22" t="s">
        <v>166</v>
      </c>
      <c r="J32" s="4"/>
      <c r="K32" s="2"/>
    </row>
    <row r="33" spans="1:16" x14ac:dyDescent="0.15">
      <c r="A33" s="42"/>
      <c r="B33" s="16" t="s">
        <v>21</v>
      </c>
      <c r="C33" s="2">
        <v>10</v>
      </c>
      <c r="D33" s="34">
        <v>7</v>
      </c>
      <c r="E33" s="14">
        <f t="shared" ref="E33:E41" si="4">SUM(C33:D33)</f>
        <v>17</v>
      </c>
      <c r="F33" s="20">
        <f>E33-E32</f>
        <v>1</v>
      </c>
      <c r="G33" s="1" t="s">
        <v>185</v>
      </c>
      <c r="H33" s="4" t="s">
        <v>177</v>
      </c>
      <c r="I33" s="25"/>
      <c r="J33" s="24"/>
      <c r="K33" s="2"/>
      <c r="P33" s="32"/>
    </row>
    <row r="34" spans="1:16" x14ac:dyDescent="0.15">
      <c r="A34" s="42"/>
      <c r="B34" s="16" t="s">
        <v>22</v>
      </c>
      <c r="C34" s="2">
        <v>10</v>
      </c>
      <c r="D34" s="34">
        <v>7</v>
      </c>
      <c r="E34" s="14">
        <f t="shared" si="4"/>
        <v>17</v>
      </c>
      <c r="F34" s="20">
        <f t="shared" ref="F34:F41" si="5">E34-E33</f>
        <v>0</v>
      </c>
      <c r="G34" s="1" t="s">
        <v>185</v>
      </c>
      <c r="H34" s="4"/>
      <c r="I34" s="4"/>
      <c r="J34" s="4"/>
      <c r="K34" s="2"/>
    </row>
    <row r="35" spans="1:16" x14ac:dyDescent="0.15">
      <c r="A35" s="42"/>
      <c r="B35" s="16" t="s">
        <v>23</v>
      </c>
      <c r="C35" s="2">
        <v>10</v>
      </c>
      <c r="D35" s="34">
        <v>7</v>
      </c>
      <c r="E35" s="14">
        <f t="shared" si="4"/>
        <v>17</v>
      </c>
      <c r="F35" s="20">
        <f t="shared" si="5"/>
        <v>0</v>
      </c>
      <c r="G35" s="1" t="s">
        <v>185</v>
      </c>
      <c r="H35" s="22"/>
      <c r="I35" s="4"/>
      <c r="J35" s="2"/>
      <c r="K35" s="2"/>
    </row>
    <row r="36" spans="1:16" x14ac:dyDescent="0.15">
      <c r="A36" s="42"/>
      <c r="B36" s="16" t="s">
        <v>24</v>
      </c>
      <c r="C36" s="2">
        <v>10</v>
      </c>
      <c r="D36" s="34">
        <v>7</v>
      </c>
      <c r="E36" s="14">
        <f t="shared" si="4"/>
        <v>17</v>
      </c>
      <c r="F36" s="20">
        <f t="shared" si="5"/>
        <v>0</v>
      </c>
      <c r="G36" s="1" t="s">
        <v>185</v>
      </c>
      <c r="H36" s="25" t="s">
        <v>175</v>
      </c>
      <c r="I36" s="25" t="s">
        <v>174</v>
      </c>
      <c r="J36" s="4"/>
      <c r="K36" s="2"/>
    </row>
    <row r="37" spans="1:16" x14ac:dyDescent="0.15">
      <c r="A37" s="42"/>
      <c r="B37" s="16" t="s">
        <v>25</v>
      </c>
      <c r="C37" s="2">
        <v>10</v>
      </c>
      <c r="D37" s="34">
        <v>7</v>
      </c>
      <c r="E37" s="14">
        <f t="shared" si="4"/>
        <v>17</v>
      </c>
      <c r="F37" s="20">
        <f t="shared" si="5"/>
        <v>0</v>
      </c>
      <c r="G37" s="1" t="s">
        <v>185</v>
      </c>
      <c r="H37" s="4"/>
      <c r="I37" s="4"/>
      <c r="J37" s="4"/>
      <c r="K37" s="2"/>
    </row>
    <row r="38" spans="1:16" x14ac:dyDescent="0.15">
      <c r="A38" s="42">
        <v>2023</v>
      </c>
      <c r="B38" s="16" t="s">
        <v>26</v>
      </c>
      <c r="C38" s="2">
        <v>10</v>
      </c>
      <c r="D38" s="34">
        <v>7</v>
      </c>
      <c r="E38" s="14">
        <f t="shared" si="4"/>
        <v>17</v>
      </c>
      <c r="F38" s="20">
        <f t="shared" si="5"/>
        <v>0</v>
      </c>
      <c r="G38" s="1" t="s">
        <v>185</v>
      </c>
      <c r="H38" s="4"/>
      <c r="I38" s="4"/>
      <c r="J38" s="4"/>
      <c r="K38" s="2"/>
    </row>
    <row r="39" spans="1:16" x14ac:dyDescent="0.15">
      <c r="A39" s="42"/>
      <c r="B39" s="16" t="s">
        <v>27</v>
      </c>
      <c r="C39" s="2">
        <v>10</v>
      </c>
      <c r="D39" s="34">
        <v>7</v>
      </c>
      <c r="E39" s="14">
        <f t="shared" si="4"/>
        <v>17</v>
      </c>
      <c r="F39" s="20">
        <f t="shared" si="5"/>
        <v>0</v>
      </c>
      <c r="G39" s="1" t="s">
        <v>185</v>
      </c>
      <c r="H39" s="4"/>
      <c r="I39" s="4"/>
      <c r="J39" s="4"/>
      <c r="K39" s="2"/>
    </row>
    <row r="40" spans="1:16" x14ac:dyDescent="0.15">
      <c r="A40" s="42"/>
      <c r="B40" s="16" t="s">
        <v>28</v>
      </c>
      <c r="C40" s="2">
        <v>10</v>
      </c>
      <c r="D40" s="34">
        <v>7</v>
      </c>
      <c r="E40" s="14">
        <f t="shared" si="4"/>
        <v>17</v>
      </c>
      <c r="F40" s="20">
        <f t="shared" si="5"/>
        <v>0</v>
      </c>
      <c r="G40" s="1" t="s">
        <v>185</v>
      </c>
      <c r="H40" s="4"/>
      <c r="I40" s="27"/>
      <c r="J40" s="26"/>
      <c r="K40" s="2"/>
    </row>
    <row r="41" spans="1:16" x14ac:dyDescent="0.15">
      <c r="A41" s="42"/>
      <c r="B41" s="16" t="s">
        <v>29</v>
      </c>
      <c r="C41" s="2">
        <v>10</v>
      </c>
      <c r="D41" s="34">
        <v>8</v>
      </c>
      <c r="E41" s="14">
        <f t="shared" si="4"/>
        <v>18</v>
      </c>
      <c r="F41" s="20">
        <f t="shared" si="5"/>
        <v>1</v>
      </c>
      <c r="G41" s="1" t="s">
        <v>185</v>
      </c>
      <c r="H41" s="22" t="s">
        <v>186</v>
      </c>
      <c r="I41" s="4"/>
      <c r="J41" s="26"/>
      <c r="K41" s="2"/>
    </row>
    <row r="42" spans="1:16" ht="14.25" thickBot="1" x14ac:dyDescent="0.2">
      <c r="A42" s="42"/>
      <c r="B42" s="17" t="s">
        <v>30</v>
      </c>
      <c r="C42" s="3">
        <v>10</v>
      </c>
      <c r="D42" s="35">
        <v>8</v>
      </c>
      <c r="E42" s="15">
        <f>SUM(C42:D42)</f>
        <v>18</v>
      </c>
      <c r="F42" s="21">
        <f>E42-E41</f>
        <v>0</v>
      </c>
      <c r="G42" s="1" t="s">
        <v>185</v>
      </c>
      <c r="H42" s="22"/>
      <c r="I42" s="4"/>
      <c r="J42" s="4"/>
      <c r="K42" s="2"/>
    </row>
    <row r="43" spans="1:16" ht="14.25" thickBot="1" x14ac:dyDescent="0.2">
      <c r="A43" s="42"/>
    </row>
    <row r="44" spans="1:16" x14ac:dyDescent="0.15">
      <c r="A44" s="42"/>
      <c r="B44" s="5" t="s">
        <v>188</v>
      </c>
      <c r="C44" s="6" t="s">
        <v>164</v>
      </c>
      <c r="D44" s="10" t="s">
        <v>206</v>
      </c>
      <c r="E44" s="10" t="s">
        <v>7</v>
      </c>
      <c r="F44" s="11" t="s">
        <v>36</v>
      </c>
      <c r="H44" s="8" t="s">
        <v>8</v>
      </c>
      <c r="I44" s="8" t="s">
        <v>9</v>
      </c>
      <c r="J44" s="8" t="s">
        <v>10</v>
      </c>
      <c r="K44" s="8" t="s">
        <v>43</v>
      </c>
    </row>
    <row r="45" spans="1:16" x14ac:dyDescent="0.15">
      <c r="A45" s="42"/>
      <c r="B45" s="16" t="s">
        <v>19</v>
      </c>
      <c r="C45" s="2">
        <v>9</v>
      </c>
      <c r="D45" s="34">
        <v>8</v>
      </c>
      <c r="E45" s="14">
        <f>SUM(C45:D45)</f>
        <v>17</v>
      </c>
      <c r="F45" s="20"/>
      <c r="G45" s="1" t="s">
        <v>185</v>
      </c>
      <c r="H45" s="4"/>
      <c r="I45" s="22"/>
      <c r="J45" s="22"/>
      <c r="K45" s="23" t="s">
        <v>192</v>
      </c>
    </row>
    <row r="46" spans="1:16" x14ac:dyDescent="0.15">
      <c r="A46" s="42"/>
      <c r="B46" s="16" t="s">
        <v>20</v>
      </c>
      <c r="C46" s="2">
        <v>10</v>
      </c>
      <c r="D46" s="34">
        <v>7</v>
      </c>
      <c r="E46" s="14">
        <f>SUM(C46:D46)</f>
        <v>17</v>
      </c>
      <c r="F46" s="20">
        <f>E46-E45</f>
        <v>0</v>
      </c>
      <c r="G46" s="1" t="s">
        <v>196</v>
      </c>
      <c r="H46" s="22"/>
      <c r="I46" s="22"/>
      <c r="J46" s="26" t="s">
        <v>197</v>
      </c>
      <c r="K46" s="2"/>
    </row>
    <row r="47" spans="1:16" x14ac:dyDescent="0.15">
      <c r="A47" s="42"/>
      <c r="B47" s="16" t="s">
        <v>21</v>
      </c>
      <c r="C47" s="2">
        <v>10</v>
      </c>
      <c r="D47" s="34">
        <v>8</v>
      </c>
      <c r="E47" s="14">
        <f t="shared" ref="E47:E55" si="6">SUM(C47:D47)</f>
        <v>18</v>
      </c>
      <c r="F47" s="20">
        <f>E47-E46</f>
        <v>1</v>
      </c>
      <c r="G47" s="1" t="s">
        <v>196</v>
      </c>
      <c r="H47" s="4" t="s">
        <v>202</v>
      </c>
      <c r="I47" s="25"/>
      <c r="J47" s="24"/>
      <c r="K47" s="2"/>
    </row>
    <row r="48" spans="1:16" x14ac:dyDescent="0.15">
      <c r="A48" s="42"/>
      <c r="B48" s="16" t="s">
        <v>22</v>
      </c>
      <c r="C48" s="2">
        <v>11</v>
      </c>
      <c r="D48" s="34">
        <v>8</v>
      </c>
      <c r="E48" s="14">
        <f t="shared" si="6"/>
        <v>19</v>
      </c>
      <c r="F48" s="20">
        <f t="shared" ref="F48:F55" si="7">E48-E47</f>
        <v>1</v>
      </c>
      <c r="G48" s="1" t="s">
        <v>196</v>
      </c>
      <c r="H48" s="4" t="s">
        <v>203</v>
      </c>
      <c r="I48" s="4"/>
      <c r="J48" s="4"/>
      <c r="K48" s="2"/>
    </row>
    <row r="49" spans="1:11" ht="27" x14ac:dyDescent="0.15">
      <c r="A49" s="42"/>
      <c r="B49" s="16" t="s">
        <v>23</v>
      </c>
      <c r="C49" s="2">
        <v>13</v>
      </c>
      <c r="D49" s="34">
        <v>6</v>
      </c>
      <c r="E49" s="14">
        <f t="shared" si="6"/>
        <v>19</v>
      </c>
      <c r="F49" s="20">
        <f t="shared" si="7"/>
        <v>0</v>
      </c>
      <c r="G49" s="1" t="s">
        <v>196</v>
      </c>
      <c r="H49" s="22" t="s">
        <v>204</v>
      </c>
      <c r="I49" s="22" t="s">
        <v>205</v>
      </c>
      <c r="J49" s="2"/>
      <c r="K49" s="2"/>
    </row>
    <row r="50" spans="1:11" x14ac:dyDescent="0.15">
      <c r="A50" s="42"/>
      <c r="B50" s="16" t="s">
        <v>24</v>
      </c>
      <c r="C50" s="2">
        <v>13</v>
      </c>
      <c r="D50" s="34">
        <v>5</v>
      </c>
      <c r="E50" s="14">
        <f t="shared" si="6"/>
        <v>18</v>
      </c>
      <c r="F50" s="20">
        <f t="shared" si="7"/>
        <v>-1</v>
      </c>
      <c r="G50" s="1" t="s">
        <v>196</v>
      </c>
      <c r="H50" s="25"/>
      <c r="I50" s="25" t="s">
        <v>207</v>
      </c>
      <c r="J50" s="4"/>
      <c r="K50" s="2"/>
    </row>
    <row r="51" spans="1:11" x14ac:dyDescent="0.15">
      <c r="A51" s="42"/>
      <c r="B51" s="16" t="s">
        <v>25</v>
      </c>
      <c r="C51" s="2">
        <v>13</v>
      </c>
      <c r="D51" s="34">
        <v>6</v>
      </c>
      <c r="E51" s="14">
        <f t="shared" si="6"/>
        <v>19</v>
      </c>
      <c r="F51" s="20">
        <f t="shared" si="7"/>
        <v>1</v>
      </c>
      <c r="G51" s="1" t="s">
        <v>196</v>
      </c>
      <c r="H51" s="4" t="s">
        <v>209</v>
      </c>
      <c r="I51" s="4"/>
      <c r="J51" s="4"/>
      <c r="K51" s="2"/>
    </row>
    <row r="52" spans="1:11" x14ac:dyDescent="0.15">
      <c r="A52" s="42">
        <v>2024</v>
      </c>
      <c r="B52" s="16" t="s">
        <v>26</v>
      </c>
      <c r="C52" s="2">
        <v>13</v>
      </c>
      <c r="D52" s="34">
        <v>6</v>
      </c>
      <c r="E52" s="14">
        <f t="shared" si="6"/>
        <v>19</v>
      </c>
      <c r="F52" s="20">
        <f t="shared" si="7"/>
        <v>0</v>
      </c>
      <c r="G52" s="1" t="s">
        <v>213</v>
      </c>
      <c r="H52" s="4"/>
      <c r="I52" s="4"/>
      <c r="J52" s="4"/>
      <c r="K52" s="2"/>
    </row>
    <row r="53" spans="1:11" ht="40.5" x14ac:dyDescent="0.15">
      <c r="A53" s="42"/>
      <c r="B53" s="16" t="s">
        <v>27</v>
      </c>
      <c r="C53" s="2">
        <v>13</v>
      </c>
      <c r="D53" s="34">
        <v>9</v>
      </c>
      <c r="E53" s="14">
        <f t="shared" si="6"/>
        <v>22</v>
      </c>
      <c r="F53" s="20">
        <f t="shared" si="7"/>
        <v>3</v>
      </c>
      <c r="G53" s="1" t="s">
        <v>213</v>
      </c>
      <c r="H53" s="22" t="s">
        <v>214</v>
      </c>
      <c r="I53" s="27"/>
      <c r="J53" s="4"/>
      <c r="K53" s="2"/>
    </row>
    <row r="54" spans="1:11" ht="54" x14ac:dyDescent="0.15">
      <c r="A54" s="42"/>
      <c r="B54" s="16" t="s">
        <v>28</v>
      </c>
      <c r="C54" s="2">
        <v>13</v>
      </c>
      <c r="D54" s="34">
        <v>16</v>
      </c>
      <c r="E54" s="14">
        <f t="shared" si="6"/>
        <v>29</v>
      </c>
      <c r="F54" s="20">
        <f t="shared" si="7"/>
        <v>7</v>
      </c>
      <c r="G54" s="1" t="s">
        <v>213</v>
      </c>
      <c r="H54" s="27" t="s">
        <v>217</v>
      </c>
      <c r="I54" s="27" t="s">
        <v>216</v>
      </c>
      <c r="J54" s="26"/>
      <c r="K54" s="2"/>
    </row>
    <row r="55" spans="1:11" ht="40.5" x14ac:dyDescent="0.15">
      <c r="A55" s="42"/>
      <c r="B55" s="16" t="s">
        <v>29</v>
      </c>
      <c r="C55" s="2">
        <v>14</v>
      </c>
      <c r="D55" s="34">
        <v>17</v>
      </c>
      <c r="E55" s="14">
        <f t="shared" si="6"/>
        <v>31</v>
      </c>
      <c r="F55" s="20">
        <f t="shared" si="7"/>
        <v>2</v>
      </c>
      <c r="G55" s="1" t="s">
        <v>213</v>
      </c>
      <c r="H55" s="22" t="s">
        <v>219</v>
      </c>
      <c r="I55" s="4" t="s">
        <v>220</v>
      </c>
      <c r="J55" s="26"/>
      <c r="K55" s="2"/>
    </row>
    <row r="56" spans="1:11" ht="14.25" thickBot="1" x14ac:dyDescent="0.2">
      <c r="A56" s="42"/>
      <c r="B56" s="17" t="s">
        <v>30</v>
      </c>
      <c r="C56" s="3">
        <v>13</v>
      </c>
      <c r="D56" s="35">
        <v>19</v>
      </c>
      <c r="E56" s="15">
        <f>SUM(C56:D56)</f>
        <v>32</v>
      </c>
      <c r="F56" s="21">
        <f>E56-E55</f>
        <v>1</v>
      </c>
      <c r="G56" s="1" t="s">
        <v>213</v>
      </c>
      <c r="H56" s="22" t="s">
        <v>224</v>
      </c>
      <c r="I56" s="4"/>
      <c r="J56" s="4"/>
      <c r="K56" s="2"/>
    </row>
    <row r="57" spans="1:11" ht="14.25" thickBot="1" x14ac:dyDescent="0.2">
      <c r="A57" s="42"/>
    </row>
    <row r="58" spans="1:11" x14ac:dyDescent="0.15">
      <c r="A58" s="42"/>
      <c r="B58" s="5" t="s">
        <v>218</v>
      </c>
      <c r="C58" s="6" t="s">
        <v>164</v>
      </c>
      <c r="D58" s="10" t="s">
        <v>206</v>
      </c>
      <c r="E58" s="10" t="s">
        <v>7</v>
      </c>
      <c r="F58" s="11" t="s">
        <v>36</v>
      </c>
      <c r="H58" s="8" t="s">
        <v>8</v>
      </c>
      <c r="I58" s="8" t="s">
        <v>9</v>
      </c>
      <c r="J58" s="8" t="s">
        <v>10</v>
      </c>
      <c r="K58" s="8" t="s">
        <v>43</v>
      </c>
    </row>
    <row r="59" spans="1:11" ht="40.5" x14ac:dyDescent="0.15">
      <c r="A59" s="42"/>
      <c r="B59" s="16" t="s">
        <v>19</v>
      </c>
      <c r="C59" s="2">
        <v>13</v>
      </c>
      <c r="D59" s="34">
        <v>25</v>
      </c>
      <c r="E59" s="14">
        <f>SUM(C59:D59)</f>
        <v>38</v>
      </c>
      <c r="F59" s="20">
        <f>E59-E56</f>
        <v>6</v>
      </c>
      <c r="G59" s="1" t="s">
        <v>225</v>
      </c>
      <c r="H59" s="36" t="s">
        <v>229</v>
      </c>
      <c r="I59" s="22" t="s">
        <v>228</v>
      </c>
      <c r="J59" s="22"/>
      <c r="K59" s="23" t="s">
        <v>226</v>
      </c>
    </row>
    <row r="60" spans="1:11" x14ac:dyDescent="0.15">
      <c r="A60" s="42"/>
      <c r="B60" s="16" t="s">
        <v>20</v>
      </c>
      <c r="C60" s="2">
        <v>13</v>
      </c>
      <c r="D60" s="34">
        <v>24</v>
      </c>
      <c r="E60" s="14">
        <f>SUM(C60:D60)</f>
        <v>37</v>
      </c>
      <c r="F60" s="20">
        <f>E60-E59</f>
        <v>-1</v>
      </c>
      <c r="G60" s="1" t="s">
        <v>232</v>
      </c>
      <c r="H60" s="22"/>
      <c r="I60" s="22" t="s">
        <v>231</v>
      </c>
      <c r="J60" s="26"/>
      <c r="K60" s="2"/>
    </row>
    <row r="61" spans="1:11" ht="27" x14ac:dyDescent="0.15">
      <c r="A61" s="42"/>
      <c r="B61" s="16" t="s">
        <v>21</v>
      </c>
      <c r="C61" s="2">
        <v>14</v>
      </c>
      <c r="D61" s="34">
        <v>25</v>
      </c>
      <c r="E61" s="14">
        <f t="shared" ref="E61:E69" si="8">SUM(C61:D61)</f>
        <v>39</v>
      </c>
      <c r="F61" s="20">
        <f>E61-E60</f>
        <v>2</v>
      </c>
      <c r="G61" s="1" t="s">
        <v>234</v>
      </c>
      <c r="H61" s="22" t="s">
        <v>233</v>
      </c>
      <c r="I61" s="25" t="s">
        <v>230</v>
      </c>
      <c r="J61" s="24"/>
      <c r="K61" s="2"/>
    </row>
    <row r="62" spans="1:11" ht="40.5" x14ac:dyDescent="0.15">
      <c r="A62" s="42"/>
      <c r="B62" s="16" t="s">
        <v>22</v>
      </c>
      <c r="C62" s="2">
        <v>15</v>
      </c>
      <c r="D62" s="34">
        <v>30</v>
      </c>
      <c r="E62" s="14">
        <f t="shared" si="8"/>
        <v>45</v>
      </c>
      <c r="F62" s="20">
        <f t="shared" ref="F62:F69" si="9">E62-E61</f>
        <v>6</v>
      </c>
      <c r="G62" s="1" t="s">
        <v>232</v>
      </c>
      <c r="H62" s="22" t="s">
        <v>238</v>
      </c>
      <c r="I62" s="4"/>
      <c r="J62" s="4"/>
      <c r="K62" s="2"/>
    </row>
    <row r="63" spans="1:11" ht="27" x14ac:dyDescent="0.15">
      <c r="A63" s="42"/>
      <c r="B63" s="16" t="s">
        <v>23</v>
      </c>
      <c r="C63" s="2">
        <v>14</v>
      </c>
      <c r="D63" s="34">
        <v>32</v>
      </c>
      <c r="E63" s="14">
        <f t="shared" si="8"/>
        <v>46</v>
      </c>
      <c r="F63" s="20">
        <f t="shared" si="9"/>
        <v>1</v>
      </c>
      <c r="G63" s="1" t="s">
        <v>232</v>
      </c>
      <c r="H63" s="22" t="s">
        <v>236</v>
      </c>
      <c r="I63" s="22" t="s">
        <v>237</v>
      </c>
      <c r="J63" s="2"/>
      <c r="K63" s="2"/>
    </row>
    <row r="64" spans="1:11" ht="27" x14ac:dyDescent="0.15">
      <c r="A64" s="42"/>
      <c r="B64" s="16" t="s">
        <v>24</v>
      </c>
      <c r="C64" s="2">
        <v>14</v>
      </c>
      <c r="D64" s="34">
        <v>34</v>
      </c>
      <c r="E64" s="14">
        <f t="shared" si="8"/>
        <v>48</v>
      </c>
      <c r="F64" s="20">
        <f t="shared" si="9"/>
        <v>2</v>
      </c>
      <c r="G64" s="1" t="s">
        <v>232</v>
      </c>
      <c r="H64" s="27" t="s">
        <v>241</v>
      </c>
      <c r="I64" s="25"/>
      <c r="J64" s="4"/>
      <c r="K64" s="2"/>
    </row>
    <row r="65" spans="1:11" x14ac:dyDescent="0.15">
      <c r="A65" s="42"/>
      <c r="B65" s="16" t="s">
        <v>25</v>
      </c>
      <c r="C65" s="2">
        <v>14</v>
      </c>
      <c r="D65" s="34">
        <v>34</v>
      </c>
      <c r="E65" s="14">
        <f t="shared" si="8"/>
        <v>48</v>
      </c>
      <c r="F65" s="20">
        <f t="shared" si="9"/>
        <v>0</v>
      </c>
      <c r="G65" s="1" t="s">
        <v>232</v>
      </c>
      <c r="H65" s="4"/>
      <c r="I65" s="4"/>
      <c r="J65" s="4"/>
      <c r="K65" s="2"/>
    </row>
    <row r="66" spans="1:11" x14ac:dyDescent="0.15">
      <c r="A66" s="42">
        <v>2025</v>
      </c>
      <c r="B66" s="16" t="s">
        <v>26</v>
      </c>
      <c r="C66" s="2">
        <v>14</v>
      </c>
      <c r="D66" s="34">
        <v>34</v>
      </c>
      <c r="E66" s="14">
        <f t="shared" si="8"/>
        <v>48</v>
      </c>
      <c r="F66" s="20">
        <f t="shared" si="9"/>
        <v>0</v>
      </c>
      <c r="G66" s="1" t="s">
        <v>232</v>
      </c>
      <c r="H66" s="4"/>
      <c r="I66" s="4"/>
      <c r="J66" s="4"/>
      <c r="K66" s="2"/>
    </row>
    <row r="67" spans="1:11" x14ac:dyDescent="0.15">
      <c r="A67" s="42"/>
      <c r="B67" s="16" t="s">
        <v>27</v>
      </c>
      <c r="C67" s="2">
        <v>14</v>
      </c>
      <c r="D67" s="34">
        <v>34</v>
      </c>
      <c r="E67" s="14">
        <f t="shared" si="8"/>
        <v>48</v>
      </c>
      <c r="F67" s="20">
        <f t="shared" si="9"/>
        <v>0</v>
      </c>
      <c r="G67" s="1" t="s">
        <v>232</v>
      </c>
      <c r="H67" s="22"/>
      <c r="I67" s="27"/>
      <c r="J67" s="4"/>
      <c r="K67" s="2"/>
    </row>
    <row r="68" spans="1:11" ht="27" x14ac:dyDescent="0.15">
      <c r="A68" s="42"/>
      <c r="B68" s="16" t="s">
        <v>28</v>
      </c>
      <c r="C68" s="2">
        <v>13</v>
      </c>
      <c r="D68" s="34">
        <v>33</v>
      </c>
      <c r="E68" s="14">
        <f t="shared" si="8"/>
        <v>46</v>
      </c>
      <c r="F68" s="20">
        <f t="shared" si="9"/>
        <v>-2</v>
      </c>
      <c r="H68" s="27"/>
      <c r="I68" s="27" t="s">
        <v>247</v>
      </c>
      <c r="J68" s="26"/>
      <c r="K68" s="2"/>
    </row>
    <row r="69" spans="1:11" x14ac:dyDescent="0.15">
      <c r="A69" s="42"/>
      <c r="B69" s="16" t="s">
        <v>29</v>
      </c>
      <c r="C69" s="2">
        <v>13</v>
      </c>
      <c r="D69" s="34">
        <v>33</v>
      </c>
      <c r="E69" s="14">
        <f t="shared" si="8"/>
        <v>46</v>
      </c>
      <c r="F69" s="20">
        <f t="shared" si="9"/>
        <v>0</v>
      </c>
      <c r="H69" s="22"/>
      <c r="I69" s="4"/>
      <c r="J69" s="26"/>
      <c r="K69" s="2"/>
    </row>
    <row r="70" spans="1:11" ht="14.25" thickBot="1" x14ac:dyDescent="0.2">
      <c r="A70" s="42"/>
      <c r="B70" s="17" t="s">
        <v>30</v>
      </c>
      <c r="C70" s="3">
        <v>13</v>
      </c>
      <c r="D70" s="35">
        <v>33</v>
      </c>
      <c r="E70" s="15">
        <f>SUM(C70:D70)</f>
        <v>46</v>
      </c>
      <c r="F70" s="21">
        <f>E70-E69</f>
        <v>0</v>
      </c>
      <c r="H70" s="22"/>
      <c r="I70" s="4"/>
      <c r="J70" s="4"/>
      <c r="K70" s="2"/>
    </row>
    <row r="71" spans="1:11" ht="14.25" thickBot="1" x14ac:dyDescent="0.2">
      <c r="A71" s="42"/>
    </row>
    <row r="72" spans="1:11" x14ac:dyDescent="0.15">
      <c r="A72" s="42"/>
      <c r="B72" s="5" t="s">
        <v>251</v>
      </c>
      <c r="C72" s="6" t="s">
        <v>164</v>
      </c>
      <c r="D72" s="10" t="s">
        <v>206</v>
      </c>
      <c r="E72" s="10" t="s">
        <v>7</v>
      </c>
      <c r="F72" s="11" t="s">
        <v>36</v>
      </c>
      <c r="H72" s="8" t="s">
        <v>8</v>
      </c>
      <c r="I72" s="8" t="s">
        <v>9</v>
      </c>
      <c r="J72" s="8" t="s">
        <v>10</v>
      </c>
      <c r="K72" s="8" t="s">
        <v>43</v>
      </c>
    </row>
    <row r="73" spans="1:11" ht="40.5" x14ac:dyDescent="0.15">
      <c r="A73" s="42"/>
      <c r="B73" s="16" t="s">
        <v>19</v>
      </c>
      <c r="C73" s="2">
        <v>13</v>
      </c>
      <c r="D73" s="34">
        <v>30</v>
      </c>
      <c r="E73" s="14">
        <f>SUM(C73:D73)</f>
        <v>43</v>
      </c>
      <c r="F73" s="20">
        <f>E73-E70</f>
        <v>-3</v>
      </c>
      <c r="H73" s="36"/>
      <c r="I73" s="22" t="s">
        <v>255</v>
      </c>
      <c r="J73" s="22"/>
      <c r="K73" s="23"/>
    </row>
    <row r="74" spans="1:11" ht="54" x14ac:dyDescent="0.15">
      <c r="A74" s="42"/>
      <c r="B74" s="16" t="s">
        <v>20</v>
      </c>
      <c r="C74" s="2">
        <v>13</v>
      </c>
      <c r="D74" s="34">
        <v>22</v>
      </c>
      <c r="E74" s="14">
        <f>SUM(C74:D74)</f>
        <v>35</v>
      </c>
      <c r="F74" s="20">
        <f>E74-E73</f>
        <v>-8</v>
      </c>
      <c r="H74" s="22"/>
      <c r="I74" s="22" t="s">
        <v>256</v>
      </c>
      <c r="J74" s="26"/>
      <c r="K74" s="2"/>
    </row>
    <row r="75" spans="1:11" x14ac:dyDescent="0.15">
      <c r="A75" s="42"/>
      <c r="B75" s="16" t="s">
        <v>21</v>
      </c>
      <c r="C75" s="2">
        <v>13</v>
      </c>
      <c r="D75" s="34">
        <v>22</v>
      </c>
      <c r="E75" s="14">
        <f t="shared" ref="E75:E83" si="10">SUM(C75:D75)</f>
        <v>35</v>
      </c>
      <c r="F75" s="20">
        <f>E75-E74</f>
        <v>0</v>
      </c>
      <c r="H75" s="22"/>
      <c r="I75" s="25"/>
      <c r="J75" s="24"/>
      <c r="K75" s="2"/>
    </row>
    <row r="76" spans="1:11" x14ac:dyDescent="0.15">
      <c r="A76" s="42"/>
      <c r="B76" s="16" t="s">
        <v>22</v>
      </c>
      <c r="C76" s="2">
        <v>13</v>
      </c>
      <c r="D76" s="34">
        <v>22</v>
      </c>
      <c r="E76" s="14">
        <f t="shared" si="10"/>
        <v>35</v>
      </c>
      <c r="F76" s="20">
        <f t="shared" ref="F76:F83" si="11">E76-E75</f>
        <v>0</v>
      </c>
      <c r="H76" s="22"/>
      <c r="I76" s="4"/>
      <c r="J76" s="4"/>
      <c r="K76" s="2"/>
    </row>
    <row r="77" spans="1:11" x14ac:dyDescent="0.15">
      <c r="A77" s="42"/>
      <c r="B77" s="16" t="s">
        <v>23</v>
      </c>
      <c r="C77" s="2">
        <v>13</v>
      </c>
      <c r="D77" s="34">
        <v>21</v>
      </c>
      <c r="E77" s="14">
        <f t="shared" si="10"/>
        <v>34</v>
      </c>
      <c r="F77" s="20">
        <f t="shared" si="11"/>
        <v>-1</v>
      </c>
      <c r="H77" s="22"/>
      <c r="I77" s="22" t="s">
        <v>259</v>
      </c>
      <c r="J77" s="2"/>
      <c r="K77" s="2"/>
    </row>
    <row r="78" spans="1:11" x14ac:dyDescent="0.15">
      <c r="A78" s="42"/>
      <c r="B78" s="16" t="s">
        <v>24</v>
      </c>
      <c r="C78" s="2">
        <v>13</v>
      </c>
      <c r="D78" s="34">
        <v>20</v>
      </c>
      <c r="E78" s="14">
        <f t="shared" si="10"/>
        <v>33</v>
      </c>
      <c r="F78" s="20">
        <f t="shared" si="11"/>
        <v>-1</v>
      </c>
      <c r="H78" s="27"/>
      <c r="I78" s="25" t="s">
        <v>260</v>
      </c>
      <c r="J78" s="4"/>
      <c r="K78" s="2"/>
    </row>
    <row r="79" spans="1:11" x14ac:dyDescent="0.15">
      <c r="A79" s="42"/>
      <c r="B79" s="16" t="s">
        <v>25</v>
      </c>
      <c r="C79" s="2">
        <v>13</v>
      </c>
      <c r="D79" s="34">
        <v>19</v>
      </c>
      <c r="E79" s="14">
        <f t="shared" si="10"/>
        <v>32</v>
      </c>
      <c r="F79" s="20">
        <f t="shared" si="11"/>
        <v>-1</v>
      </c>
      <c r="H79" s="4"/>
      <c r="I79" s="4" t="s">
        <v>262</v>
      </c>
      <c r="J79" s="4"/>
      <c r="K79" s="2"/>
    </row>
    <row r="80" spans="1:11" x14ac:dyDescent="0.15">
      <c r="B80" s="16" t="s">
        <v>26</v>
      </c>
      <c r="C80" s="2">
        <v>13</v>
      </c>
      <c r="D80" s="34">
        <v>19</v>
      </c>
      <c r="E80" s="14">
        <f t="shared" si="10"/>
        <v>32</v>
      </c>
      <c r="F80" s="20">
        <f t="shared" si="11"/>
        <v>0</v>
      </c>
      <c r="H80" s="4"/>
      <c r="I80" s="4"/>
      <c r="J80" s="4"/>
      <c r="K80" s="2"/>
    </row>
    <row r="81" spans="2:11" ht="27" x14ac:dyDescent="0.15">
      <c r="B81" s="16" t="s">
        <v>27</v>
      </c>
      <c r="C81" s="2">
        <v>13</v>
      </c>
      <c r="D81" s="34">
        <v>20</v>
      </c>
      <c r="E81" s="14">
        <f t="shared" si="10"/>
        <v>33</v>
      </c>
      <c r="F81" s="20">
        <f t="shared" si="11"/>
        <v>1</v>
      </c>
      <c r="H81" s="22" t="s">
        <v>265</v>
      </c>
      <c r="I81" s="4" t="s">
        <v>263</v>
      </c>
      <c r="J81" s="4"/>
      <c r="K81" s="2"/>
    </row>
    <row r="82" spans="2:11" x14ac:dyDescent="0.15">
      <c r="B82" s="16" t="s">
        <v>28</v>
      </c>
      <c r="C82" s="2">
        <v>13</v>
      </c>
      <c r="D82" s="34">
        <v>20</v>
      </c>
      <c r="E82" s="14">
        <f t="shared" si="10"/>
        <v>33</v>
      </c>
      <c r="F82" s="20">
        <f t="shared" si="11"/>
        <v>0</v>
      </c>
      <c r="H82" s="27"/>
      <c r="I82" s="27"/>
      <c r="J82" s="26"/>
      <c r="K82" s="2"/>
    </row>
    <row r="83" spans="2:11" x14ac:dyDescent="0.15">
      <c r="B83" s="16" t="s">
        <v>29</v>
      </c>
      <c r="C83" s="2">
        <v>13</v>
      </c>
      <c r="D83" s="34">
        <v>18</v>
      </c>
      <c r="E83" s="14">
        <f t="shared" si="10"/>
        <v>31</v>
      </c>
      <c r="F83" s="20">
        <f t="shared" si="11"/>
        <v>-2</v>
      </c>
      <c r="H83" s="22"/>
      <c r="I83" s="4" t="s">
        <v>267</v>
      </c>
      <c r="J83" s="26"/>
      <c r="K83" s="2"/>
    </row>
    <row r="84" spans="2:11" ht="14.25" thickBot="1" x14ac:dyDescent="0.2">
      <c r="B84" s="17" t="s">
        <v>30</v>
      </c>
      <c r="C84" s="3"/>
      <c r="D84" s="35"/>
      <c r="E84" s="15">
        <f>SUM(C84:D84)</f>
        <v>0</v>
      </c>
      <c r="F84" s="21">
        <f>E84-E83</f>
        <v>-31</v>
      </c>
      <c r="H84" s="22"/>
      <c r="I84" s="4"/>
      <c r="J84" s="4"/>
      <c r="K84" s="2"/>
    </row>
  </sheetData>
  <mergeCells count="7">
    <mergeCell ref="A66:A79"/>
    <mergeCell ref="A1:A9"/>
    <mergeCell ref="B1:K1"/>
    <mergeCell ref="A10:A23"/>
    <mergeCell ref="A24:A37"/>
    <mergeCell ref="A38:A51"/>
    <mergeCell ref="A52:A65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三幸商事</vt:lpstr>
      <vt:lpstr>三幸P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ws002</dc:creator>
  <cp:lastModifiedBy>伊藤 大貴</cp:lastModifiedBy>
  <dcterms:created xsi:type="dcterms:W3CDTF">2013-12-03T07:28:48Z</dcterms:created>
  <dcterms:modified xsi:type="dcterms:W3CDTF">2026-03-19T06:21:22Z</dcterms:modified>
</cp:coreProperties>
</file>