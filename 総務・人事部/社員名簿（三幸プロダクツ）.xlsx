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192.168.1.126\三幸プロダクツ\小家用\"/>
    </mc:Choice>
  </mc:AlternateContent>
  <xr:revisionPtr revIDLastSave="0" documentId="13_ncr:1_{67D16EBC-B5D5-4EFD-B24C-0C83AF0B6425}" xr6:coauthVersionLast="47" xr6:coauthVersionMax="47" xr10:uidLastSave="{00000000-0000-0000-0000-000000000000}"/>
  <bookViews>
    <workbookView xWindow="390" yWindow="390" windowWidth="14100" windowHeight="14295" xr2:uid="{00000000-000D-0000-FFFF-FFFF00000000}"/>
  </bookViews>
  <sheets>
    <sheet name="2024.04.01以降" sheetId="10" r:id="rId1"/>
    <sheet name="2023.05" sheetId="9" r:id="rId2"/>
    <sheet name="2020.7.15" sheetId="8" r:id="rId3"/>
    <sheet name="2019.10.25" sheetId="7" r:id="rId4"/>
    <sheet name="2018.10.11" sheetId="6" r:id="rId5"/>
    <sheet name="2018.4.23" sheetId="5" r:id="rId6"/>
    <sheet name="2017.11.1" sheetId="4" r:id="rId7"/>
  </sheets>
  <definedNames>
    <definedName name="_xlnm._FilterDatabase" localSheetId="1" hidden="1">'2023.05'!$A$1:$I$18</definedName>
    <definedName name="_xlnm._FilterDatabase" localSheetId="0" hidden="1">'2024.04.01以降'!$A$1:$J$15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10" l="1"/>
  <c r="G28" i="10"/>
  <c r="G27" i="10" l="1"/>
  <c r="G2" i="10"/>
  <c r="G51" i="10"/>
  <c r="G81" i="10"/>
  <c r="G22" i="10"/>
  <c r="G21" i="10"/>
  <c r="G75" i="10"/>
  <c r="G82" i="10"/>
  <c r="G62" i="10"/>
  <c r="L32" i="10"/>
  <c r="K32" i="10"/>
  <c r="B32" i="10"/>
  <c r="G64" i="10"/>
  <c r="G76" i="10"/>
  <c r="G26" i="10"/>
  <c r="G60" i="10"/>
  <c r="G61" i="10"/>
  <c r="G74" i="10"/>
  <c r="G14" i="10"/>
  <c r="B33" i="10"/>
  <c r="G65" i="10"/>
  <c r="G58" i="10"/>
  <c r="G73" i="10"/>
  <c r="C33" i="10"/>
  <c r="G72" i="10"/>
  <c r="G20" i="10"/>
  <c r="G23" i="10"/>
  <c r="G79" i="10"/>
  <c r="G70" i="10"/>
  <c r="G67" i="10"/>
  <c r="G56" i="10"/>
  <c r="G77" i="10"/>
  <c r="G25" i="10"/>
  <c r="G80" i="10"/>
  <c r="G66" i="10"/>
  <c r="G55" i="10"/>
  <c r="G24" i="10"/>
  <c r="G57" i="10"/>
  <c r="G69" i="10"/>
  <c r="G83" i="10"/>
  <c r="G78" i="10"/>
  <c r="G13" i="10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53" i="10"/>
  <c r="G52" i="10"/>
  <c r="G35" i="10"/>
  <c r="G71" i="10"/>
  <c r="G19" i="10"/>
  <c r="G18" i="10"/>
  <c r="G68" i="10"/>
  <c r="G59" i="10"/>
  <c r="G17" i="10"/>
  <c r="G16" i="10"/>
  <c r="G15" i="10"/>
  <c r="G12" i="10"/>
  <c r="G11" i="10"/>
  <c r="G10" i="10"/>
  <c r="G9" i="10"/>
  <c r="G8" i="10"/>
  <c r="G7" i="10"/>
  <c r="G5" i="10"/>
  <c r="G63" i="10"/>
  <c r="G4" i="10"/>
  <c r="G3" i="10"/>
  <c r="G6" i="10"/>
</calcChain>
</file>

<file path=xl/sharedStrings.xml><?xml version="1.0" encoding="utf-8"?>
<sst xmlns="http://schemas.openxmlformats.org/spreadsheetml/2006/main" count="886" uniqueCount="360">
  <si>
    <t>543-0015</t>
  </si>
  <si>
    <t>577-0818</t>
  </si>
  <si>
    <t>578-0947</t>
  </si>
  <si>
    <t>577-0048</t>
  </si>
  <si>
    <t>575-0013</t>
  </si>
  <si>
    <t>594-0052</t>
  </si>
  <si>
    <t>552-0011</t>
  </si>
  <si>
    <t>577-0011</t>
  </si>
  <si>
    <t>581-0056</t>
    <phoneticPr fontId="2"/>
  </si>
  <si>
    <t>593-8303</t>
  </si>
  <si>
    <t>630-8001</t>
  </si>
  <si>
    <r>
      <rPr>
        <sz val="10"/>
        <rFont val="ＭＳ Ｐゴシック"/>
        <family val="3"/>
        <charset val="128"/>
      </rPr>
      <t>新羽　達也</t>
    </r>
    <rPh sb="0" eb="1">
      <t>シン</t>
    </rPh>
    <rPh sb="1" eb="2">
      <t>ハネ</t>
    </rPh>
    <rPh sb="3" eb="5">
      <t>タツヤ</t>
    </rPh>
    <phoneticPr fontId="3"/>
  </si>
  <si>
    <r>
      <rPr>
        <sz val="9"/>
        <rFont val="ＭＳ Ｐゴシック"/>
        <family val="3"/>
        <charset val="128"/>
      </rPr>
      <t>にわ　たつや</t>
    </r>
    <phoneticPr fontId="2"/>
  </si>
  <si>
    <r>
      <rPr>
        <sz val="10"/>
        <rFont val="ＭＳ Ｐゴシック"/>
        <family val="3"/>
        <charset val="128"/>
      </rPr>
      <t>吉田　祐輔</t>
    </r>
    <rPh sb="0" eb="2">
      <t>ヨシダ</t>
    </rPh>
    <rPh sb="3" eb="5">
      <t>ユウスケ</t>
    </rPh>
    <phoneticPr fontId="3"/>
  </si>
  <si>
    <r>
      <rPr>
        <sz val="9"/>
        <rFont val="ＭＳ Ｐゴシック"/>
        <family val="3"/>
        <charset val="128"/>
      </rPr>
      <t>よしだ　ゆうすけ</t>
    </r>
    <phoneticPr fontId="2"/>
  </si>
  <si>
    <r>
      <rPr>
        <sz val="10"/>
        <rFont val="ＭＳ Ｐゴシック"/>
        <family val="3"/>
        <charset val="128"/>
      </rPr>
      <t>岡島　優</t>
    </r>
    <rPh sb="0" eb="2">
      <t>オカジマ</t>
    </rPh>
    <rPh sb="3" eb="4">
      <t>マサル</t>
    </rPh>
    <phoneticPr fontId="3"/>
  </si>
  <si>
    <r>
      <rPr>
        <sz val="9"/>
        <rFont val="ＭＳ Ｐゴシック"/>
        <family val="3"/>
        <charset val="128"/>
      </rPr>
      <t>おかじま　まさる</t>
    </r>
    <phoneticPr fontId="2"/>
  </si>
  <si>
    <r>
      <rPr>
        <sz val="10"/>
        <rFont val="ＭＳ Ｐゴシック"/>
        <family val="3"/>
        <charset val="128"/>
      </rPr>
      <t>大西　謙二</t>
    </r>
  </si>
  <si>
    <r>
      <rPr>
        <sz val="9"/>
        <rFont val="ＭＳ Ｐゴシック"/>
        <family val="3"/>
        <charset val="128"/>
      </rPr>
      <t>おおにし　けんじ</t>
    </r>
    <phoneticPr fontId="2"/>
  </si>
  <si>
    <r>
      <rPr>
        <sz val="10"/>
        <rFont val="ＭＳ Ｐゴシック"/>
        <family val="3"/>
        <charset val="128"/>
      </rPr>
      <t>市村　洋行</t>
    </r>
  </si>
  <si>
    <r>
      <rPr>
        <sz val="9"/>
        <rFont val="ＭＳ Ｐゴシック"/>
        <family val="3"/>
        <charset val="128"/>
      </rPr>
      <t>いちむら　ひろゆき</t>
    </r>
    <phoneticPr fontId="2"/>
  </si>
  <si>
    <r>
      <rPr>
        <sz val="10"/>
        <rFont val="ＭＳ Ｐゴシック"/>
        <family val="3"/>
        <charset val="128"/>
      </rPr>
      <t>宮本　康広</t>
    </r>
  </si>
  <si>
    <r>
      <rPr>
        <sz val="9"/>
        <rFont val="ＭＳ Ｐゴシック"/>
        <family val="3"/>
        <charset val="128"/>
      </rPr>
      <t>みやもと　やすひろ</t>
    </r>
    <phoneticPr fontId="2"/>
  </si>
  <si>
    <r>
      <rPr>
        <sz val="10"/>
        <rFont val="ＭＳ Ｐゴシック"/>
        <family val="3"/>
        <charset val="128"/>
      </rPr>
      <t>鈴木　ゆかり</t>
    </r>
  </si>
  <si>
    <r>
      <rPr>
        <sz val="9"/>
        <rFont val="ＭＳ Ｐゴシック"/>
        <family val="3"/>
        <charset val="128"/>
      </rPr>
      <t>すずき　ゆかり</t>
    </r>
    <phoneticPr fontId="2"/>
  </si>
  <si>
    <r>
      <rPr>
        <sz val="10"/>
        <rFont val="ＭＳ Ｐゴシック"/>
        <family val="3"/>
        <charset val="128"/>
      </rPr>
      <t>大阪市天王寺区真田山町</t>
    </r>
    <r>
      <rPr>
        <sz val="10"/>
        <rFont val="Calibri"/>
        <family val="2"/>
      </rPr>
      <t>5-36-301</t>
    </r>
    <rPh sb="0" eb="3">
      <t>オオサカシ</t>
    </rPh>
    <rPh sb="3" eb="7">
      <t>テンノウジク</t>
    </rPh>
    <rPh sb="7" eb="9">
      <t>サナダ</t>
    </rPh>
    <rPh sb="9" eb="10">
      <t>ヤマ</t>
    </rPh>
    <rPh sb="10" eb="11">
      <t>マチ</t>
    </rPh>
    <phoneticPr fontId="2"/>
  </si>
  <si>
    <r>
      <rPr>
        <sz val="10"/>
        <rFont val="ＭＳ Ｐゴシック"/>
        <family val="3"/>
        <charset val="128"/>
      </rPr>
      <t>東大阪市小若江</t>
    </r>
    <r>
      <rPr>
        <sz val="10"/>
        <rFont val="Calibri"/>
        <family val="2"/>
      </rPr>
      <t>4</t>
    </r>
    <r>
      <rPr>
        <sz val="10"/>
        <rFont val="ＭＳ Ｐゴシック"/>
        <family val="3"/>
        <charset val="128"/>
      </rPr>
      <t>丁目</t>
    </r>
    <r>
      <rPr>
        <sz val="10"/>
        <rFont val="Calibri"/>
        <family val="2"/>
      </rPr>
      <t>10-6</t>
    </r>
    <rPh sb="0" eb="4">
      <t>ヒガシオオサカシ</t>
    </rPh>
    <rPh sb="4" eb="7">
      <t>コワカエ</t>
    </rPh>
    <rPh sb="8" eb="10">
      <t>チョウメ</t>
    </rPh>
    <phoneticPr fontId="2"/>
  </si>
  <si>
    <r>
      <rPr>
        <sz val="10"/>
        <rFont val="ＭＳ Ｐゴシック"/>
        <family val="3"/>
        <charset val="128"/>
      </rPr>
      <t>東大阪市西岩田</t>
    </r>
    <r>
      <rPr>
        <sz val="10"/>
        <rFont val="Calibri"/>
        <family val="2"/>
      </rPr>
      <t>3</t>
    </r>
    <r>
      <rPr>
        <sz val="10"/>
        <rFont val="ＭＳ Ｐゴシック"/>
        <family val="3"/>
        <charset val="128"/>
      </rPr>
      <t>丁目</t>
    </r>
    <r>
      <rPr>
        <sz val="10"/>
        <rFont val="Calibri"/>
        <family val="2"/>
      </rPr>
      <t>3</t>
    </r>
    <r>
      <rPr>
        <sz val="10"/>
        <rFont val="ＭＳ Ｐゴシック"/>
        <family val="3"/>
        <charset val="128"/>
      </rPr>
      <t>番</t>
    </r>
    <r>
      <rPr>
        <sz val="10"/>
        <rFont val="Calibri"/>
        <family val="2"/>
      </rPr>
      <t>52-204</t>
    </r>
    <r>
      <rPr>
        <sz val="10"/>
        <rFont val="ＭＳ Ｐゴシック"/>
        <family val="3"/>
        <charset val="128"/>
      </rPr>
      <t>号</t>
    </r>
    <rPh sb="0" eb="4">
      <t>ヒガシオオサカシ</t>
    </rPh>
    <rPh sb="4" eb="5">
      <t>ニシ</t>
    </rPh>
    <rPh sb="5" eb="7">
      <t>イワタ</t>
    </rPh>
    <rPh sb="8" eb="10">
      <t>チョウメ</t>
    </rPh>
    <rPh sb="11" eb="12">
      <t>バン</t>
    </rPh>
    <rPh sb="18" eb="19">
      <t>ゴウ</t>
    </rPh>
    <phoneticPr fontId="2"/>
  </si>
  <si>
    <r>
      <rPr>
        <sz val="10"/>
        <rFont val="ＭＳ Ｐゴシック"/>
        <family val="3"/>
        <charset val="128"/>
      </rPr>
      <t>四條畷市田原台</t>
    </r>
    <r>
      <rPr>
        <sz val="10"/>
        <rFont val="Calibri"/>
        <family val="2"/>
      </rPr>
      <t>5</t>
    </r>
    <r>
      <rPr>
        <sz val="10"/>
        <rFont val="ＭＳ Ｐゴシック"/>
        <family val="3"/>
        <charset val="128"/>
      </rPr>
      <t>丁目</t>
    </r>
    <r>
      <rPr>
        <sz val="10"/>
        <rFont val="Calibri"/>
        <family val="2"/>
      </rPr>
      <t>7</t>
    </r>
    <r>
      <rPr>
        <sz val="10"/>
        <rFont val="ＭＳ Ｐゴシック"/>
        <family val="3"/>
        <charset val="128"/>
      </rPr>
      <t>番</t>
    </r>
    <r>
      <rPr>
        <sz val="10"/>
        <rFont val="Calibri"/>
        <family val="2"/>
      </rPr>
      <t>4-2</t>
    </r>
    <r>
      <rPr>
        <sz val="10"/>
        <rFont val="ＭＳ Ｐゴシック"/>
        <family val="3"/>
        <charset val="128"/>
      </rPr>
      <t>号</t>
    </r>
    <rPh sb="0" eb="3">
      <t>シジョウナワテ</t>
    </rPh>
    <phoneticPr fontId="2"/>
  </si>
  <si>
    <r>
      <rPr>
        <sz val="10"/>
        <rFont val="ＭＳ Ｐゴシック"/>
        <family val="3"/>
        <charset val="128"/>
      </rPr>
      <t>大阪府和泉市阪本町</t>
    </r>
    <r>
      <rPr>
        <sz val="10"/>
        <rFont val="Calibri"/>
        <family val="2"/>
      </rPr>
      <t>292-23</t>
    </r>
  </si>
  <si>
    <r>
      <rPr>
        <sz val="10"/>
        <color theme="1"/>
        <rFont val="ＭＳ Ｐゴシック"/>
        <family val="2"/>
        <charset val="128"/>
      </rPr>
      <t>社員コード</t>
    </r>
    <rPh sb="0" eb="2">
      <t>シャイン</t>
    </rPh>
    <phoneticPr fontId="3"/>
  </si>
  <si>
    <r>
      <rPr>
        <sz val="10"/>
        <color theme="1"/>
        <rFont val="ＭＳ Ｐゴシック"/>
        <family val="3"/>
        <charset val="128"/>
      </rPr>
      <t>氏名</t>
    </r>
    <rPh sb="0" eb="2">
      <t>シメイ</t>
    </rPh>
    <phoneticPr fontId="3"/>
  </si>
  <si>
    <r>
      <rPr>
        <sz val="9"/>
        <color theme="1"/>
        <rFont val="ＭＳ Ｐゴシック"/>
        <family val="3"/>
        <charset val="128"/>
      </rPr>
      <t>ふりがな</t>
    </r>
    <phoneticPr fontId="2"/>
  </si>
  <si>
    <r>
      <rPr>
        <sz val="10"/>
        <color theme="1"/>
        <rFont val="ＭＳ Ｐゴシック"/>
        <family val="3"/>
        <charset val="128"/>
      </rPr>
      <t>生年月日</t>
    </r>
    <rPh sb="0" eb="2">
      <t>セイネン</t>
    </rPh>
    <rPh sb="2" eb="4">
      <t>ガッピ</t>
    </rPh>
    <phoneticPr fontId="3"/>
  </si>
  <si>
    <r>
      <rPr>
        <sz val="10"/>
        <color theme="1"/>
        <rFont val="ＭＳ Ｐゴシック"/>
        <family val="3"/>
        <charset val="128"/>
      </rPr>
      <t>郵便番号</t>
    </r>
    <rPh sb="0" eb="4">
      <t>ユウビンバンゴウ</t>
    </rPh>
    <phoneticPr fontId="3"/>
  </si>
  <si>
    <r>
      <rPr>
        <sz val="10"/>
        <color theme="1"/>
        <rFont val="ＭＳ Ｐゴシック"/>
        <family val="3"/>
        <charset val="128"/>
      </rPr>
      <t>住所</t>
    </r>
    <rPh sb="0" eb="2">
      <t>ジュウショ</t>
    </rPh>
    <phoneticPr fontId="3"/>
  </si>
  <si>
    <r>
      <rPr>
        <sz val="10"/>
        <color theme="1"/>
        <rFont val="ＭＳ Ｐゴシック"/>
        <family val="2"/>
        <charset val="128"/>
      </rPr>
      <t>大阪市港区南市岡</t>
    </r>
    <r>
      <rPr>
        <sz val="10"/>
        <color theme="1"/>
        <rFont val="Calibri"/>
        <family val="2"/>
      </rPr>
      <t>1</t>
    </r>
    <r>
      <rPr>
        <sz val="10"/>
        <color theme="1"/>
        <rFont val="ＭＳ Ｐゴシック"/>
        <family val="2"/>
        <charset val="128"/>
      </rPr>
      <t>丁目</t>
    </r>
    <r>
      <rPr>
        <sz val="10"/>
        <color theme="1"/>
        <rFont val="Calibri"/>
        <family val="2"/>
      </rPr>
      <t>6</t>
    </r>
    <r>
      <rPr>
        <sz val="10"/>
        <color theme="1"/>
        <rFont val="ＭＳ Ｐゴシック"/>
        <family val="2"/>
        <charset val="128"/>
      </rPr>
      <t>番</t>
    </r>
    <r>
      <rPr>
        <sz val="10"/>
        <color theme="1"/>
        <rFont val="Calibri"/>
        <family val="2"/>
      </rPr>
      <t>27</t>
    </r>
    <r>
      <rPr>
        <sz val="10"/>
        <color theme="1"/>
        <rFont val="ＭＳ Ｐゴシック"/>
        <family val="2"/>
        <charset val="128"/>
      </rPr>
      <t>号</t>
    </r>
  </si>
  <si>
    <r>
      <rPr>
        <sz val="10"/>
        <color theme="1"/>
        <rFont val="ＭＳ Ｐゴシック"/>
        <family val="2"/>
        <charset val="128"/>
      </rPr>
      <t>東大阪市荒本北</t>
    </r>
    <r>
      <rPr>
        <sz val="10"/>
        <color theme="1"/>
        <rFont val="Calibri"/>
        <family val="2"/>
      </rPr>
      <t>2-1-7</t>
    </r>
    <r>
      <rPr>
        <sz val="10"/>
        <color theme="1"/>
        <rFont val="ＭＳ Ｐゴシック"/>
        <family val="2"/>
        <charset val="128"/>
      </rPr>
      <t>アルデバラン</t>
    </r>
    <r>
      <rPr>
        <sz val="10"/>
        <color theme="1"/>
        <rFont val="Calibri"/>
        <family val="2"/>
      </rPr>
      <t>705</t>
    </r>
    <r>
      <rPr>
        <sz val="10"/>
        <color theme="1"/>
        <rFont val="ＭＳ Ｐゴシック"/>
        <family val="2"/>
        <charset val="128"/>
      </rPr>
      <t>号室</t>
    </r>
  </si>
  <si>
    <r>
      <rPr>
        <sz val="10"/>
        <color theme="1"/>
        <rFont val="ＭＳ Ｐゴシック"/>
        <family val="2"/>
        <charset val="128"/>
      </rPr>
      <t>齊藤　三記夫</t>
    </r>
    <rPh sb="0" eb="2">
      <t>サイトウ</t>
    </rPh>
    <rPh sb="3" eb="4">
      <t>サン</t>
    </rPh>
    <rPh sb="4" eb="5">
      <t>キ</t>
    </rPh>
    <rPh sb="5" eb="6">
      <t>オット</t>
    </rPh>
    <phoneticPr fontId="2"/>
  </si>
  <si>
    <r>
      <rPr>
        <sz val="9"/>
        <color theme="1"/>
        <rFont val="ＭＳ Ｐゴシック"/>
        <family val="3"/>
        <charset val="128"/>
      </rPr>
      <t>さいとう　みきお</t>
    </r>
    <phoneticPr fontId="2"/>
  </si>
  <si>
    <r>
      <rPr>
        <sz val="10"/>
        <color theme="1"/>
        <rFont val="ＭＳ Ｐゴシック"/>
        <family val="3"/>
        <charset val="128"/>
      </rPr>
      <t>八尾市南太子堂</t>
    </r>
    <r>
      <rPr>
        <sz val="10"/>
        <color theme="1"/>
        <rFont val="Calibri"/>
        <family val="2"/>
      </rPr>
      <t>2-4-66</t>
    </r>
    <phoneticPr fontId="2"/>
  </si>
  <si>
    <r>
      <rPr>
        <sz val="10"/>
        <color theme="1"/>
        <rFont val="ＭＳ Ｐゴシック"/>
        <family val="2"/>
        <charset val="128"/>
      </rPr>
      <t>山下　直伸</t>
    </r>
    <rPh sb="0" eb="2">
      <t>ヤマシタ</t>
    </rPh>
    <rPh sb="3" eb="4">
      <t>ナオ</t>
    </rPh>
    <rPh sb="4" eb="5">
      <t>ノ</t>
    </rPh>
    <phoneticPr fontId="2"/>
  </si>
  <si>
    <r>
      <rPr>
        <sz val="9"/>
        <color theme="1"/>
        <rFont val="ＭＳ Ｐゴシック"/>
        <family val="3"/>
        <charset val="128"/>
      </rPr>
      <t>やました　ただのぶ</t>
    </r>
    <phoneticPr fontId="2"/>
  </si>
  <si>
    <r>
      <rPr>
        <sz val="10"/>
        <color theme="1"/>
        <rFont val="ＭＳ Ｐゴシック"/>
        <family val="3"/>
        <charset val="128"/>
      </rPr>
      <t>大阪府堺市西区上野芝向ヶ丘町</t>
    </r>
    <r>
      <rPr>
        <sz val="10"/>
        <color theme="1"/>
        <rFont val="Calibri"/>
        <family val="2"/>
      </rPr>
      <t>3</t>
    </r>
    <r>
      <rPr>
        <sz val="10"/>
        <color theme="1"/>
        <rFont val="ＭＳ Ｐゴシック"/>
        <family val="3"/>
        <charset val="128"/>
      </rPr>
      <t>丁</t>
    </r>
    <r>
      <rPr>
        <sz val="10"/>
        <color theme="1"/>
        <rFont val="Calibri"/>
        <family val="2"/>
      </rPr>
      <t>13</t>
    </r>
    <r>
      <rPr>
        <sz val="10"/>
        <color theme="1"/>
        <rFont val="ＭＳ Ｐゴシック"/>
        <family val="3"/>
        <charset val="128"/>
      </rPr>
      <t>番</t>
    </r>
    <r>
      <rPr>
        <sz val="10"/>
        <color theme="1"/>
        <rFont val="Calibri"/>
        <family val="2"/>
      </rPr>
      <t>15</t>
    </r>
    <r>
      <rPr>
        <sz val="10"/>
        <color theme="1"/>
        <rFont val="ＭＳ Ｐゴシック"/>
        <family val="3"/>
        <charset val="128"/>
      </rPr>
      <t>号</t>
    </r>
    <rPh sb="0" eb="3">
      <t>オオサカフ</t>
    </rPh>
    <rPh sb="3" eb="5">
      <t>サカイシ</t>
    </rPh>
    <rPh sb="5" eb="7">
      <t>ニシク</t>
    </rPh>
    <rPh sb="7" eb="14">
      <t>ウエノシバムコウガオカチョウ</t>
    </rPh>
    <rPh sb="15" eb="16">
      <t>チョウ</t>
    </rPh>
    <rPh sb="18" eb="19">
      <t>バン</t>
    </rPh>
    <rPh sb="21" eb="22">
      <t>ゴウ</t>
    </rPh>
    <phoneticPr fontId="2"/>
  </si>
  <si>
    <r>
      <rPr>
        <sz val="10"/>
        <color theme="1"/>
        <rFont val="ＭＳ Ｐゴシック"/>
        <family val="2"/>
        <charset val="128"/>
      </rPr>
      <t>大野　悦子</t>
    </r>
    <rPh sb="0" eb="2">
      <t>オオノ</t>
    </rPh>
    <rPh sb="3" eb="5">
      <t>エツコ</t>
    </rPh>
    <phoneticPr fontId="2"/>
  </si>
  <si>
    <r>
      <rPr>
        <sz val="9"/>
        <color theme="1"/>
        <rFont val="ＭＳ Ｐゴシック"/>
        <family val="3"/>
        <charset val="128"/>
      </rPr>
      <t>おおの　えつこ</t>
    </r>
    <phoneticPr fontId="2"/>
  </si>
  <si>
    <r>
      <rPr>
        <sz val="10"/>
        <color theme="1"/>
        <rFont val="ＭＳ Ｐゴシック"/>
        <family val="3"/>
        <charset val="128"/>
      </rPr>
      <t>奈良市法華寺町</t>
    </r>
    <r>
      <rPr>
        <sz val="10"/>
        <color theme="1"/>
        <rFont val="Calibri"/>
        <family val="2"/>
      </rPr>
      <t>314-6</t>
    </r>
    <rPh sb="0" eb="3">
      <t>ナラシ</t>
    </rPh>
    <rPh sb="3" eb="4">
      <t>ホウ</t>
    </rPh>
    <rPh sb="4" eb="5">
      <t>ハナ</t>
    </rPh>
    <rPh sb="5" eb="6">
      <t>テラ</t>
    </rPh>
    <rPh sb="6" eb="7">
      <t>マチ</t>
    </rPh>
    <phoneticPr fontId="2"/>
  </si>
  <si>
    <r>
      <rPr>
        <sz val="10"/>
        <color theme="1"/>
        <rFont val="ＭＳ Ｐゴシック"/>
        <family val="2"/>
        <charset val="128"/>
      </rPr>
      <t>山下　哲由</t>
    </r>
  </si>
  <si>
    <r>
      <rPr>
        <sz val="9"/>
        <color theme="1"/>
        <rFont val="ＭＳ Ｐゴシック"/>
        <family val="3"/>
        <charset val="128"/>
      </rPr>
      <t>やました　のりゆき</t>
    </r>
    <phoneticPr fontId="2"/>
  </si>
  <si>
    <r>
      <rPr>
        <sz val="10"/>
        <color theme="1"/>
        <rFont val="ＭＳ Ｐゴシック"/>
        <family val="3"/>
        <charset val="128"/>
      </rPr>
      <t>大阪府東大阪市荒本北</t>
    </r>
    <r>
      <rPr>
        <sz val="10"/>
        <color theme="1"/>
        <rFont val="Calibri"/>
        <family val="2"/>
      </rPr>
      <t>1-7-10</t>
    </r>
    <r>
      <rPr>
        <sz val="10"/>
        <color theme="1"/>
        <rFont val="ＭＳ Ｐゴシック"/>
        <family val="3"/>
        <charset val="128"/>
      </rPr>
      <t>　ナンソーコーポ</t>
    </r>
    <r>
      <rPr>
        <sz val="10"/>
        <color theme="1"/>
        <rFont val="Calibri"/>
        <family val="2"/>
      </rPr>
      <t>3E</t>
    </r>
    <rPh sb="0" eb="3">
      <t>オオサカフ</t>
    </rPh>
    <rPh sb="3" eb="7">
      <t>ヒガシオオサカシ</t>
    </rPh>
    <rPh sb="7" eb="9">
      <t>アラモト</t>
    </rPh>
    <rPh sb="9" eb="10">
      <t>キタ</t>
    </rPh>
    <phoneticPr fontId="2"/>
  </si>
  <si>
    <r>
      <rPr>
        <sz val="10"/>
        <color theme="1"/>
        <rFont val="ＭＳ Ｐゴシック"/>
        <family val="2"/>
        <charset val="128"/>
      </rPr>
      <t>取締役</t>
    </r>
    <rPh sb="0" eb="2">
      <t>トリシマリ</t>
    </rPh>
    <rPh sb="2" eb="3">
      <t>ヤク</t>
    </rPh>
    <phoneticPr fontId="2"/>
  </si>
  <si>
    <r>
      <rPr>
        <sz val="10"/>
        <rFont val="ＭＳ Ｐゴシック"/>
        <family val="3"/>
        <charset val="128"/>
      </rPr>
      <t>前里　一樹</t>
    </r>
  </si>
  <si>
    <r>
      <rPr>
        <sz val="9"/>
        <rFont val="ＭＳ Ｐゴシック"/>
        <family val="3"/>
        <charset val="128"/>
      </rPr>
      <t>まえさと　かずき</t>
    </r>
    <phoneticPr fontId="2"/>
  </si>
  <si>
    <r>
      <rPr>
        <sz val="10"/>
        <rFont val="ＭＳ Ｐゴシック"/>
        <family val="3"/>
        <charset val="128"/>
      </rPr>
      <t>四条畷市田原台</t>
    </r>
    <r>
      <rPr>
        <sz val="10"/>
        <rFont val="Calibri"/>
        <family val="2"/>
      </rPr>
      <t>5</t>
    </r>
    <r>
      <rPr>
        <sz val="10"/>
        <rFont val="ＭＳ Ｐゴシック"/>
        <family val="3"/>
        <charset val="128"/>
      </rPr>
      <t>丁目</t>
    </r>
    <r>
      <rPr>
        <sz val="10"/>
        <rFont val="Calibri"/>
        <family val="2"/>
      </rPr>
      <t>7</t>
    </r>
    <r>
      <rPr>
        <sz val="10"/>
        <rFont val="ＭＳ Ｐゴシック"/>
        <family val="3"/>
        <charset val="128"/>
      </rPr>
      <t>番</t>
    </r>
    <r>
      <rPr>
        <sz val="10"/>
        <rFont val="Calibri"/>
        <family val="2"/>
      </rPr>
      <t>4-2</t>
    </r>
    <r>
      <rPr>
        <sz val="10"/>
        <rFont val="ＭＳ Ｐゴシック"/>
        <family val="3"/>
        <charset val="128"/>
      </rPr>
      <t>号</t>
    </r>
  </si>
  <si>
    <r>
      <rPr>
        <sz val="9"/>
        <color theme="1"/>
        <rFont val="ＭＳ Ｐゴシック"/>
        <family val="3"/>
        <charset val="128"/>
      </rPr>
      <t>ふりがな</t>
    </r>
    <phoneticPr fontId="2"/>
  </si>
  <si>
    <r>
      <rPr>
        <sz val="9"/>
        <rFont val="ＭＳ Ｐゴシック"/>
        <family val="3"/>
        <charset val="128"/>
      </rPr>
      <t>いちむら　ひろゆき</t>
    </r>
    <phoneticPr fontId="2"/>
  </si>
  <si>
    <r>
      <rPr>
        <sz val="10"/>
        <color theme="1"/>
        <rFont val="ＭＳ Ｐゴシック"/>
        <family val="2"/>
        <charset val="128"/>
      </rPr>
      <t>大阪府東大阪市西堤西</t>
    </r>
    <r>
      <rPr>
        <sz val="10"/>
        <color theme="1"/>
        <rFont val="Calibri"/>
        <family val="2"/>
      </rPr>
      <t>3-10-303</t>
    </r>
  </si>
  <si>
    <r>
      <rPr>
        <sz val="10"/>
        <color theme="1"/>
        <rFont val="ＭＳ Ｐゴシック"/>
        <family val="2"/>
        <charset val="128"/>
      </rPr>
      <t>藤田　修平</t>
    </r>
  </si>
  <si>
    <r>
      <rPr>
        <sz val="9"/>
        <color theme="1"/>
        <rFont val="ＭＳ Ｐゴシック"/>
        <family val="3"/>
        <charset val="128"/>
      </rPr>
      <t>ふじた　しゅうへい</t>
    </r>
    <phoneticPr fontId="2"/>
  </si>
  <si>
    <r>
      <rPr>
        <sz val="10"/>
        <color theme="1"/>
        <rFont val="ＭＳ Ｐゴシック"/>
        <family val="3"/>
        <charset val="128"/>
      </rPr>
      <t>東大阪市西堤西</t>
    </r>
    <r>
      <rPr>
        <sz val="10"/>
        <color theme="1"/>
        <rFont val="Calibri"/>
        <family val="2"/>
      </rPr>
      <t>3-13-606</t>
    </r>
  </si>
  <si>
    <r>
      <rPr>
        <sz val="10"/>
        <color theme="1"/>
        <rFont val="ＭＳ Ｐゴシック"/>
        <family val="3"/>
        <charset val="128"/>
      </rPr>
      <t>大阪府八尾市南太子堂</t>
    </r>
    <r>
      <rPr>
        <sz val="10"/>
        <color theme="1"/>
        <rFont val="Calibri"/>
        <family val="2"/>
      </rPr>
      <t>2-4-66</t>
    </r>
    <phoneticPr fontId="2"/>
  </si>
  <si>
    <t>東大阪市稲葉４丁目3番38号　シャーメゾンリーフⅠ 103号</t>
    <phoneticPr fontId="2"/>
  </si>
  <si>
    <t>578-0925</t>
    <phoneticPr fontId="2"/>
  </si>
  <si>
    <r>
      <rPr>
        <strike/>
        <sz val="10"/>
        <rFont val="ＭＳ Ｐゴシック"/>
        <family val="3"/>
        <charset val="128"/>
      </rPr>
      <t>市村　洋行</t>
    </r>
  </si>
  <si>
    <r>
      <rPr>
        <strike/>
        <sz val="9"/>
        <rFont val="ＭＳ Ｐゴシック"/>
        <family val="3"/>
        <charset val="128"/>
      </rPr>
      <t>いちむら　ひろゆき</t>
    </r>
    <phoneticPr fontId="2"/>
  </si>
  <si>
    <r>
      <rPr>
        <strike/>
        <sz val="10"/>
        <rFont val="ＭＳ Ｐゴシック"/>
        <family val="3"/>
        <charset val="128"/>
      </rPr>
      <t>大阪府和泉市阪本町</t>
    </r>
    <r>
      <rPr>
        <strike/>
        <sz val="10"/>
        <rFont val="Calibri"/>
        <family val="2"/>
      </rPr>
      <t>292-23</t>
    </r>
  </si>
  <si>
    <t>退職</t>
    <rPh sb="0" eb="2">
      <t>タイショク</t>
    </rPh>
    <phoneticPr fontId="2"/>
  </si>
  <si>
    <r>
      <rPr>
        <strike/>
        <sz val="10"/>
        <rFont val="ＭＳ Ｐゴシック"/>
        <family val="3"/>
        <charset val="128"/>
      </rPr>
      <t>新羽　達也</t>
    </r>
    <rPh sb="0" eb="1">
      <t>シン</t>
    </rPh>
    <rPh sb="1" eb="2">
      <t>ハネ</t>
    </rPh>
    <rPh sb="3" eb="5">
      <t>タツヤ</t>
    </rPh>
    <phoneticPr fontId="3"/>
  </si>
  <si>
    <r>
      <rPr>
        <strike/>
        <sz val="9"/>
        <rFont val="ＭＳ Ｐゴシック"/>
        <family val="3"/>
        <charset val="128"/>
      </rPr>
      <t>にわ　たつや</t>
    </r>
    <phoneticPr fontId="2"/>
  </si>
  <si>
    <r>
      <rPr>
        <strike/>
        <sz val="10"/>
        <rFont val="ＭＳ Ｐゴシック"/>
        <family val="3"/>
        <charset val="128"/>
      </rPr>
      <t>大阪市天王寺区真田山町</t>
    </r>
    <r>
      <rPr>
        <strike/>
        <sz val="10"/>
        <rFont val="Calibri"/>
        <family val="2"/>
      </rPr>
      <t>5-36-301</t>
    </r>
    <rPh sb="0" eb="3">
      <t>オオサカシ</t>
    </rPh>
    <rPh sb="3" eb="7">
      <t>テンノウジク</t>
    </rPh>
    <rPh sb="7" eb="9">
      <t>サナダ</t>
    </rPh>
    <rPh sb="9" eb="10">
      <t>ヤマ</t>
    </rPh>
    <rPh sb="10" eb="11">
      <t>マチ</t>
    </rPh>
    <phoneticPr fontId="2"/>
  </si>
  <si>
    <r>
      <rPr>
        <strike/>
        <sz val="10"/>
        <rFont val="ＭＳ Ｐゴシック"/>
        <family val="3"/>
        <charset val="128"/>
      </rPr>
      <t>鈴木　ゆかり</t>
    </r>
  </si>
  <si>
    <r>
      <rPr>
        <strike/>
        <sz val="9"/>
        <rFont val="ＭＳ Ｐゴシック"/>
        <family val="3"/>
        <charset val="128"/>
      </rPr>
      <t>すずき　ゆかり</t>
    </r>
    <phoneticPr fontId="2"/>
  </si>
  <si>
    <t>役職</t>
    <rPh sb="0" eb="2">
      <t>ヤクショク</t>
    </rPh>
    <phoneticPr fontId="2"/>
  </si>
  <si>
    <t>取締役</t>
    <rPh sb="0" eb="3">
      <t>トリシマ</t>
    </rPh>
    <phoneticPr fontId="2"/>
  </si>
  <si>
    <t>工場長（課長）</t>
    <rPh sb="0" eb="3">
      <t>コウジョウチョウ</t>
    </rPh>
    <rPh sb="4" eb="6">
      <t>カチョウ</t>
    </rPh>
    <phoneticPr fontId="2"/>
  </si>
  <si>
    <t>大西　謙二</t>
  </si>
  <si>
    <t>おおにし　けんじ</t>
    <phoneticPr fontId="2"/>
  </si>
  <si>
    <t>四條畷市田原台5丁目7番4-2号</t>
    <rPh sb="0" eb="3">
      <t>シジョウナワテ</t>
    </rPh>
    <phoneticPr fontId="2"/>
  </si>
  <si>
    <r>
      <rPr>
        <sz val="10"/>
        <color theme="1"/>
        <rFont val="ＭＳ Ｐゴシック"/>
        <family val="2"/>
        <charset val="128"/>
      </rPr>
      <t>武田　和久</t>
    </r>
    <rPh sb="0" eb="2">
      <t>タケダ</t>
    </rPh>
    <rPh sb="3" eb="5">
      <t>カズヒサ</t>
    </rPh>
    <phoneticPr fontId="2"/>
  </si>
  <si>
    <r>
      <rPr>
        <sz val="10"/>
        <color theme="1"/>
        <rFont val="ＭＳ Ｐゴシック"/>
        <family val="2"/>
        <charset val="128"/>
      </rPr>
      <t>永田　力斗</t>
    </r>
    <rPh sb="0" eb="2">
      <t>ナガタ</t>
    </rPh>
    <rPh sb="3" eb="5">
      <t>リキト</t>
    </rPh>
    <phoneticPr fontId="2"/>
  </si>
  <si>
    <r>
      <rPr>
        <sz val="10"/>
        <color theme="1"/>
        <rFont val="ＭＳ Ｐゴシック"/>
        <family val="2"/>
        <charset val="128"/>
      </rPr>
      <t>神野　苑香</t>
    </r>
    <rPh sb="0" eb="2">
      <t>カミノ</t>
    </rPh>
    <rPh sb="3" eb="4">
      <t>ソノ</t>
    </rPh>
    <rPh sb="4" eb="5">
      <t>カオリ</t>
    </rPh>
    <phoneticPr fontId="2"/>
  </si>
  <si>
    <r>
      <rPr>
        <sz val="10"/>
        <color theme="1"/>
        <rFont val="ＭＳ Ｐゴシック"/>
        <family val="2"/>
        <charset val="128"/>
      </rPr>
      <t>竹山　昭良</t>
    </r>
    <rPh sb="0" eb="2">
      <t>タケヤマ</t>
    </rPh>
    <rPh sb="3" eb="4">
      <t>アキラ</t>
    </rPh>
    <rPh sb="4" eb="5">
      <t>リョウ</t>
    </rPh>
    <phoneticPr fontId="2"/>
  </si>
  <si>
    <t>たけだ　かずひさ</t>
    <phoneticPr fontId="2"/>
  </si>
  <si>
    <t>ながた　りきと</t>
    <phoneticPr fontId="2"/>
  </si>
  <si>
    <t>かみの　そのか</t>
    <phoneticPr fontId="2"/>
  </si>
  <si>
    <t>たけやま　あきら</t>
    <phoneticPr fontId="2"/>
  </si>
  <si>
    <t>野澤　哲央</t>
    <rPh sb="0" eb="2">
      <t>ノザワ</t>
    </rPh>
    <rPh sb="3" eb="5">
      <t>テツオ</t>
    </rPh>
    <phoneticPr fontId="2"/>
  </si>
  <si>
    <t>のざわ　てつお</t>
    <phoneticPr fontId="2"/>
  </si>
  <si>
    <t>所属</t>
    <rPh sb="0" eb="2">
      <t>ショゾク</t>
    </rPh>
    <phoneticPr fontId="2"/>
  </si>
  <si>
    <t>阪田　広昭</t>
    <rPh sb="0" eb="2">
      <t>サカタ</t>
    </rPh>
    <rPh sb="3" eb="5">
      <t>ヒロアキ</t>
    </rPh>
    <phoneticPr fontId="2"/>
  </si>
  <si>
    <t>さかた　ひろあき</t>
    <phoneticPr fontId="2"/>
  </si>
  <si>
    <t>チャン　バン　フ</t>
    <phoneticPr fontId="2"/>
  </si>
  <si>
    <t>グエン　キム　ハイン</t>
    <phoneticPr fontId="2"/>
  </si>
  <si>
    <t>中村　延枝</t>
    <rPh sb="0" eb="2">
      <t>ナカムラ</t>
    </rPh>
    <rPh sb="3" eb="5">
      <t>ノブエ</t>
    </rPh>
    <phoneticPr fontId="2"/>
  </si>
  <si>
    <t>東大阪</t>
    <rPh sb="0" eb="3">
      <t>ヒガ</t>
    </rPh>
    <phoneticPr fontId="2"/>
  </si>
  <si>
    <t>守口</t>
    <rPh sb="0" eb="2">
      <t>モリグチ</t>
    </rPh>
    <phoneticPr fontId="2"/>
  </si>
  <si>
    <t>なかむら　のぶえ</t>
    <phoneticPr fontId="2"/>
  </si>
  <si>
    <t>659-0096</t>
    <phoneticPr fontId="2"/>
  </si>
  <si>
    <r>
      <rPr>
        <sz val="10"/>
        <color theme="1"/>
        <rFont val="ＭＳ Ｐゴシック"/>
        <family val="2"/>
        <charset val="128"/>
      </rPr>
      <t>兵庫県芦屋市山手町</t>
    </r>
    <r>
      <rPr>
        <sz val="10"/>
        <color theme="1"/>
        <rFont val="Calibri"/>
        <family val="2"/>
      </rPr>
      <t>10-15</t>
    </r>
    <rPh sb="0" eb="9">
      <t>659-0096</t>
    </rPh>
    <phoneticPr fontId="2"/>
  </si>
  <si>
    <t>578-0941</t>
    <phoneticPr fontId="2"/>
  </si>
  <si>
    <r>
      <rPr>
        <sz val="10"/>
        <color theme="1"/>
        <rFont val="ＭＳ Ｐゴシック"/>
        <family val="2"/>
        <charset val="128"/>
      </rPr>
      <t>東大阪市岩田町</t>
    </r>
    <r>
      <rPr>
        <sz val="10"/>
        <color theme="1"/>
        <rFont val="Calibri"/>
        <family val="2"/>
      </rPr>
      <t>5-16-48</t>
    </r>
    <r>
      <rPr>
        <sz val="10"/>
        <color theme="1"/>
        <rFont val="ＭＳ Ｐゴシック"/>
        <family val="2"/>
        <charset val="128"/>
      </rPr>
      <t>　コーポ南野</t>
    </r>
    <r>
      <rPr>
        <sz val="10"/>
        <color theme="1"/>
        <rFont val="Calibri"/>
        <family val="2"/>
      </rPr>
      <t>105</t>
    </r>
    <r>
      <rPr>
        <sz val="10"/>
        <color theme="1"/>
        <rFont val="ＭＳ Ｐゴシック"/>
        <family val="2"/>
        <charset val="128"/>
      </rPr>
      <t>号</t>
    </r>
    <rPh sb="0" eb="3">
      <t>ヒガシオオサカ</t>
    </rPh>
    <rPh sb="3" eb="4">
      <t>シ</t>
    </rPh>
    <rPh sb="4" eb="7">
      <t>イワタマチ</t>
    </rPh>
    <rPh sb="18" eb="20">
      <t>ミナミノ</t>
    </rPh>
    <rPh sb="23" eb="24">
      <t>ゴウ</t>
    </rPh>
    <phoneticPr fontId="2"/>
  </si>
  <si>
    <t>572-0082</t>
    <phoneticPr fontId="2"/>
  </si>
  <si>
    <r>
      <rPr>
        <sz val="10"/>
        <color theme="1"/>
        <rFont val="ＭＳ Ｐゴシック"/>
        <family val="2"/>
        <charset val="128"/>
      </rPr>
      <t>寝屋川市香里本通町</t>
    </r>
    <r>
      <rPr>
        <sz val="10"/>
        <color theme="1"/>
        <rFont val="Calibri"/>
        <family val="2"/>
      </rPr>
      <t>10-18</t>
    </r>
    <r>
      <rPr>
        <sz val="10"/>
        <color theme="1"/>
        <rFont val="ＭＳ Ｐゴシック"/>
        <family val="2"/>
        <charset val="128"/>
      </rPr>
      <t>　</t>
    </r>
    <r>
      <rPr>
        <sz val="10"/>
        <color theme="1"/>
        <rFont val="Calibri"/>
        <family val="2"/>
      </rPr>
      <t>MYM401</t>
    </r>
    <r>
      <rPr>
        <sz val="10"/>
        <color theme="1"/>
        <rFont val="ＭＳ Ｐゴシック"/>
        <family val="2"/>
        <charset val="128"/>
      </rPr>
      <t>号室</t>
    </r>
    <rPh sb="0" eb="3">
      <t>ネヤガワ</t>
    </rPh>
    <rPh sb="3" eb="4">
      <t>シ</t>
    </rPh>
    <rPh sb="4" eb="9">
      <t>コオリホンドオリチョウ</t>
    </rPh>
    <rPh sb="21" eb="23">
      <t>ゴウシツ</t>
    </rPh>
    <phoneticPr fontId="2"/>
  </si>
  <si>
    <t>574-0011</t>
    <phoneticPr fontId="2"/>
  </si>
  <si>
    <r>
      <rPr>
        <sz val="10"/>
        <color theme="1"/>
        <rFont val="ＭＳ Ｐゴシック"/>
        <family val="2"/>
        <charset val="128"/>
      </rPr>
      <t>大東市北条</t>
    </r>
    <r>
      <rPr>
        <sz val="10"/>
        <color theme="1"/>
        <rFont val="Calibri"/>
        <family val="2"/>
      </rPr>
      <t>2-8-1</t>
    </r>
    <rPh sb="0" eb="2">
      <t>ダイトウ</t>
    </rPh>
    <rPh sb="2" eb="3">
      <t>シ</t>
    </rPh>
    <rPh sb="3" eb="5">
      <t>ホウジョウ</t>
    </rPh>
    <phoneticPr fontId="2"/>
  </si>
  <si>
    <t>572-0055</t>
    <phoneticPr fontId="2"/>
  </si>
  <si>
    <t>571-0046</t>
  </si>
  <si>
    <t>570-0032</t>
  </si>
  <si>
    <t>571-0078</t>
  </si>
  <si>
    <r>
      <rPr>
        <sz val="10"/>
        <color theme="1"/>
        <rFont val="ＭＳ Ｐゴシック"/>
        <family val="2"/>
        <charset val="128"/>
      </rPr>
      <t>大阪府寝屋川市御幸東町</t>
    </r>
    <r>
      <rPr>
        <sz val="10"/>
        <color theme="1"/>
        <rFont val="Calibri"/>
        <family val="2"/>
      </rPr>
      <t>30-24</t>
    </r>
    <r>
      <rPr>
        <sz val="10"/>
        <color theme="1"/>
        <rFont val="ＭＳ Ｐゴシック"/>
        <family val="2"/>
        <charset val="128"/>
      </rPr>
      <t>　ブランズ萱島</t>
    </r>
    <r>
      <rPr>
        <sz val="10"/>
        <color theme="1"/>
        <rFont val="Calibri"/>
        <family val="2"/>
      </rPr>
      <t>403</t>
    </r>
    <r>
      <rPr>
        <sz val="10"/>
        <color theme="1"/>
        <rFont val="ＭＳ Ｐゴシック"/>
        <family val="2"/>
        <charset val="128"/>
      </rPr>
      <t>号</t>
    </r>
    <rPh sb="0" eb="11">
      <t>572-0055</t>
    </rPh>
    <rPh sb="21" eb="23">
      <t>カヤシマ</t>
    </rPh>
    <rPh sb="26" eb="27">
      <t>ゴウ</t>
    </rPh>
    <phoneticPr fontId="2"/>
  </si>
  <si>
    <r>
      <rPr>
        <sz val="10"/>
        <color theme="1"/>
        <rFont val="ＭＳ ゴシック"/>
        <family val="3"/>
        <charset val="128"/>
      </rPr>
      <t>守口市菊水通</t>
    </r>
    <r>
      <rPr>
        <sz val="10"/>
        <color theme="1"/>
        <rFont val="Calibri"/>
        <family val="2"/>
      </rPr>
      <t>4-10-13-406</t>
    </r>
    <r>
      <rPr>
        <sz val="10"/>
        <color theme="1"/>
        <rFont val="ＭＳ ゴシック"/>
        <family val="3"/>
        <charset val="128"/>
      </rPr>
      <t>号</t>
    </r>
    <phoneticPr fontId="2"/>
  </si>
  <si>
    <t>東大阪</t>
    <rPh sb="0" eb="3">
      <t>ヒガシオオサカオオサカ</t>
    </rPh>
    <phoneticPr fontId="2"/>
  </si>
  <si>
    <t>社外取締役</t>
    <rPh sb="0" eb="5">
      <t>シャガイトリシマリヤク</t>
    </rPh>
    <phoneticPr fontId="2"/>
  </si>
  <si>
    <t>田渕啓司</t>
    <rPh sb="0" eb="2">
      <t>タブチ</t>
    </rPh>
    <rPh sb="2" eb="4">
      <t>ケイジ</t>
    </rPh>
    <phoneticPr fontId="2"/>
  </si>
  <si>
    <t>たぶちけいじ</t>
    <phoneticPr fontId="2"/>
  </si>
  <si>
    <t>昭和丸筒</t>
    <rPh sb="0" eb="2">
      <t>ショウワ</t>
    </rPh>
    <rPh sb="2" eb="4">
      <t>マルツツ</t>
    </rPh>
    <phoneticPr fontId="2"/>
  </si>
  <si>
    <t>山田　怜</t>
    <rPh sb="0" eb="2">
      <t>ヤマダ</t>
    </rPh>
    <rPh sb="3" eb="4">
      <t>レイ</t>
    </rPh>
    <phoneticPr fontId="2"/>
  </si>
  <si>
    <t>やまだ　れい</t>
    <phoneticPr fontId="2"/>
  </si>
  <si>
    <t>579-8058</t>
    <phoneticPr fontId="2"/>
  </si>
  <si>
    <t>大阪府東大阪市神田町18-22-512</t>
    <rPh sb="0" eb="10">
      <t>579-8058</t>
    </rPh>
    <phoneticPr fontId="2"/>
  </si>
  <si>
    <t>代表取締役</t>
    <rPh sb="0" eb="5">
      <t>ダイヒョウトリシマリヤク</t>
    </rPh>
    <phoneticPr fontId="2"/>
  </si>
  <si>
    <r>
      <rPr>
        <strike/>
        <sz val="10"/>
        <color theme="1"/>
        <rFont val="ＭＳ ゴシック"/>
        <family val="3"/>
        <charset val="128"/>
      </rPr>
      <t>門真市本町</t>
    </r>
    <r>
      <rPr>
        <strike/>
        <sz val="10"/>
        <color theme="1"/>
        <rFont val="Calibri"/>
        <family val="2"/>
      </rPr>
      <t>43-12</t>
    </r>
    <r>
      <rPr>
        <strike/>
        <sz val="10"/>
        <color theme="1"/>
        <rFont val="ＭＳ ゴシック"/>
        <family val="3"/>
        <charset val="128"/>
      </rPr>
      <t>大和マンション</t>
    </r>
    <r>
      <rPr>
        <strike/>
        <sz val="10"/>
        <color theme="1"/>
        <rFont val="Calibri"/>
        <family val="2"/>
      </rPr>
      <t>301</t>
    </r>
    <r>
      <rPr>
        <strike/>
        <sz val="10"/>
        <color theme="1"/>
        <rFont val="ＭＳ ゴシック"/>
        <family val="3"/>
        <charset val="128"/>
      </rPr>
      <t>号</t>
    </r>
    <phoneticPr fontId="2"/>
  </si>
  <si>
    <r>
      <rPr>
        <strike/>
        <sz val="10"/>
        <color theme="1"/>
        <rFont val="ＭＳ ゴシック"/>
        <family val="3"/>
        <charset val="128"/>
      </rPr>
      <t>門真市常盤町</t>
    </r>
    <r>
      <rPr>
        <strike/>
        <sz val="10"/>
        <color theme="1"/>
        <rFont val="Calibri"/>
        <family val="2"/>
      </rPr>
      <t>9-10-103</t>
    </r>
    <phoneticPr fontId="2"/>
  </si>
  <si>
    <t>山本　博之</t>
    <rPh sb="0" eb="2">
      <t>ヤマモト</t>
    </rPh>
    <rPh sb="3" eb="5">
      <t>ヒロユキ</t>
    </rPh>
    <phoneticPr fontId="2"/>
  </si>
  <si>
    <t>やまもと　ひろゆき</t>
    <phoneticPr fontId="2"/>
  </si>
  <si>
    <t>574-0074</t>
    <phoneticPr fontId="2"/>
  </si>
  <si>
    <t>大阪府大東市谷川2-7-1014号室</t>
    <rPh sb="0" eb="3">
      <t>オオサカフ</t>
    </rPh>
    <rPh sb="3" eb="5">
      <t>ダイトウ</t>
    </rPh>
    <rPh sb="5" eb="6">
      <t>シ</t>
    </rPh>
    <rPh sb="6" eb="8">
      <t>タニガワ</t>
    </rPh>
    <rPh sb="16" eb="18">
      <t>ゴウシツ</t>
    </rPh>
    <phoneticPr fontId="2"/>
  </si>
  <si>
    <t>大橋　このみ</t>
    <rPh sb="0" eb="2">
      <t>オオハシ</t>
    </rPh>
    <phoneticPr fontId="2"/>
  </si>
  <si>
    <t>おおはし　このみ</t>
    <phoneticPr fontId="2"/>
  </si>
  <si>
    <t>570-0039</t>
    <phoneticPr fontId="2"/>
  </si>
  <si>
    <t>大阪府守口市橋波西之町2-15-13-503号室</t>
    <rPh sb="0" eb="11">
      <t>570-0039</t>
    </rPh>
    <rPh sb="22" eb="24">
      <t>ゴウシツ</t>
    </rPh>
    <phoneticPr fontId="2"/>
  </si>
  <si>
    <t>主任</t>
    <rPh sb="0" eb="2">
      <t>シュニン</t>
    </rPh>
    <phoneticPr fontId="2"/>
  </si>
  <si>
    <t>現在年齢</t>
    <rPh sb="0" eb="2">
      <t>ゲンザイ</t>
    </rPh>
    <rPh sb="2" eb="4">
      <t>ネンレイ</t>
    </rPh>
    <phoneticPr fontId="2"/>
  </si>
  <si>
    <t>松原</t>
    <rPh sb="0" eb="2">
      <t>マツバラ</t>
    </rPh>
    <phoneticPr fontId="2"/>
  </si>
  <si>
    <t>540-0037</t>
    <phoneticPr fontId="2"/>
  </si>
  <si>
    <t>【退職済】</t>
    <rPh sb="1" eb="3">
      <t>タイショク</t>
    </rPh>
    <rPh sb="3" eb="4">
      <t>ズ</t>
    </rPh>
    <phoneticPr fontId="2"/>
  </si>
  <si>
    <t>まつもと　まなみ</t>
    <phoneticPr fontId="2"/>
  </si>
  <si>
    <t>580-0033</t>
    <phoneticPr fontId="2"/>
  </si>
  <si>
    <t>大阪府松原市天美南4-7-36</t>
    <rPh sb="0" eb="9">
      <t>580-0033</t>
    </rPh>
    <phoneticPr fontId="2"/>
  </si>
  <si>
    <t>547-0013</t>
    <phoneticPr fontId="2"/>
  </si>
  <si>
    <r>
      <rPr>
        <sz val="10"/>
        <color theme="1"/>
        <rFont val="ＭＳ ゴシック"/>
        <family val="3"/>
        <charset val="128"/>
      </rPr>
      <t>大阪府大阪市平野区長吉長原東</t>
    </r>
    <r>
      <rPr>
        <sz val="10"/>
        <color theme="1"/>
        <rFont val="Calibri"/>
        <family val="3"/>
      </rPr>
      <t>3-2-61</t>
    </r>
    <r>
      <rPr>
        <sz val="10"/>
        <color theme="1"/>
        <rFont val="ＭＳ Ｐゴシック"/>
        <family val="3"/>
        <charset val="128"/>
      </rPr>
      <t>　アドバンス長吉</t>
    </r>
    <r>
      <rPr>
        <sz val="10"/>
        <color theme="1"/>
        <rFont val="Calibri"/>
        <family val="3"/>
      </rPr>
      <t>306</t>
    </r>
    <r>
      <rPr>
        <sz val="10"/>
        <color theme="1"/>
        <rFont val="ＭＳ Ｐゴシック"/>
        <family val="3"/>
        <charset val="128"/>
      </rPr>
      <t>号室</t>
    </r>
    <rPh sb="0" eb="14">
      <t>547-0013</t>
    </rPh>
    <rPh sb="26" eb="28">
      <t>ナガ</t>
    </rPh>
    <rPh sb="31" eb="33">
      <t>ゴウシツ</t>
    </rPh>
    <phoneticPr fontId="2"/>
  </si>
  <si>
    <t>常深　望</t>
    <rPh sb="0" eb="1">
      <t>ツネ</t>
    </rPh>
    <rPh sb="1" eb="2">
      <t>フカシ</t>
    </rPh>
    <rPh sb="3" eb="4">
      <t>ノゾ</t>
    </rPh>
    <phoneticPr fontId="2"/>
  </si>
  <si>
    <t>松本　真奈美</t>
    <rPh sb="0" eb="2">
      <t>マツモト</t>
    </rPh>
    <rPh sb="3" eb="6">
      <t>マナミ</t>
    </rPh>
    <phoneticPr fontId="2"/>
  </si>
  <si>
    <t>つねみ　のぞむ</t>
    <phoneticPr fontId="2"/>
  </si>
  <si>
    <t>諸正　俊介</t>
    <rPh sb="0" eb="2">
      <t>モロマサ</t>
    </rPh>
    <rPh sb="3" eb="5">
      <t>シュンスケ</t>
    </rPh>
    <phoneticPr fontId="2"/>
  </si>
  <si>
    <t>もろまさ　しゅんすけ</t>
    <phoneticPr fontId="2"/>
  </si>
  <si>
    <t>遠近　秀伸</t>
    <rPh sb="0" eb="2">
      <t>トオチカ</t>
    </rPh>
    <rPh sb="3" eb="5">
      <t>ヒデノブ</t>
    </rPh>
    <phoneticPr fontId="2"/>
  </si>
  <si>
    <t>とおちか　ひでのぶ</t>
    <phoneticPr fontId="2"/>
  </si>
  <si>
    <t>東大阪所属</t>
    <rPh sb="0" eb="3">
      <t>ヒガシオオサカ</t>
    </rPh>
    <rPh sb="3" eb="5">
      <t>ショゾク</t>
    </rPh>
    <phoneticPr fontId="2"/>
  </si>
  <si>
    <t>松原阪所属</t>
    <rPh sb="0" eb="2">
      <t>マツバラ</t>
    </rPh>
    <rPh sb="2" eb="3">
      <t>サカ</t>
    </rPh>
    <rPh sb="3" eb="5">
      <t>ショゾク</t>
    </rPh>
    <phoneticPr fontId="2"/>
  </si>
  <si>
    <r>
      <rPr>
        <sz val="10"/>
        <color theme="1"/>
        <rFont val="ＭＳ ゴシック"/>
        <family val="3"/>
        <charset val="128"/>
      </rPr>
      <t>門真市本町</t>
    </r>
    <r>
      <rPr>
        <sz val="10"/>
        <color theme="1"/>
        <rFont val="Calibri"/>
        <family val="2"/>
      </rPr>
      <t>43-12</t>
    </r>
    <r>
      <rPr>
        <sz val="10"/>
        <color theme="1"/>
        <rFont val="ＭＳ ゴシック"/>
        <family val="3"/>
        <charset val="128"/>
      </rPr>
      <t>大和マンション</t>
    </r>
    <r>
      <rPr>
        <sz val="10"/>
        <color theme="1"/>
        <rFont val="Calibri"/>
        <family val="2"/>
      </rPr>
      <t>301</t>
    </r>
    <r>
      <rPr>
        <sz val="10"/>
        <color theme="1"/>
        <rFont val="ＭＳ ゴシック"/>
        <family val="3"/>
        <charset val="128"/>
      </rPr>
      <t>号</t>
    </r>
    <phoneticPr fontId="2"/>
  </si>
  <si>
    <r>
      <rPr>
        <sz val="10"/>
        <color theme="1"/>
        <rFont val="ＭＳ ゴシック"/>
        <family val="3"/>
        <charset val="128"/>
      </rPr>
      <t>門真市常盤町</t>
    </r>
    <r>
      <rPr>
        <sz val="10"/>
        <color theme="1"/>
        <rFont val="Calibri"/>
        <family val="2"/>
      </rPr>
      <t>9-10-103</t>
    </r>
    <phoneticPr fontId="2"/>
  </si>
  <si>
    <r>
      <t>2023.10.30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</si>
  <si>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r>
      <t>2023.10.31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</si>
  <si>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r>
      <t>2023.09.30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</si>
  <si>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t>574-0043</t>
    <phoneticPr fontId="2"/>
  </si>
  <si>
    <t>大阪府大東市灰塚5-2-3</t>
    <rPh sb="2" eb="3">
      <t>フ</t>
    </rPh>
    <rPh sb="3" eb="6">
      <t>ダイトウシ</t>
    </rPh>
    <rPh sb="6" eb="8">
      <t>ハイヅカ</t>
    </rPh>
    <phoneticPr fontId="2"/>
  </si>
  <si>
    <t>543-0045</t>
    <phoneticPr fontId="2"/>
  </si>
  <si>
    <t>大阪府大阪市天王寺区寺田町1-7-17-403</t>
    <rPh sb="0" eb="6">
      <t>オオサカフオオサカシ</t>
    </rPh>
    <rPh sb="6" eb="10">
      <t>テンノウジク</t>
    </rPh>
    <rPh sb="10" eb="13">
      <t>テラダチョウ</t>
    </rPh>
    <phoneticPr fontId="2"/>
  </si>
  <si>
    <t>大阪府東大阪市下六万寺町2-5-14</t>
    <rPh sb="0" eb="3">
      <t>オオサカフ</t>
    </rPh>
    <rPh sb="3" eb="6">
      <t>ヒガシオオサカ</t>
    </rPh>
    <rPh sb="6" eb="7">
      <t>シ</t>
    </rPh>
    <rPh sb="7" eb="9">
      <t>シモロク</t>
    </rPh>
    <phoneticPr fontId="2"/>
  </si>
  <si>
    <t>579-8066</t>
    <phoneticPr fontId="2"/>
  </si>
  <si>
    <r>
      <rPr>
        <sz val="10"/>
        <color theme="1"/>
        <rFont val="ＭＳ Ｐゴシック"/>
        <family val="2"/>
        <charset val="128"/>
      </rPr>
      <t>大阪府大阪市中央区内平野町</t>
    </r>
    <r>
      <rPr>
        <sz val="10"/>
        <color theme="1"/>
        <rFont val="Calibri"/>
        <family val="2"/>
      </rPr>
      <t>2-2-11</t>
    </r>
    <r>
      <rPr>
        <sz val="10"/>
        <color theme="1"/>
        <rFont val="ＭＳ Ｐゴシック"/>
        <family val="2"/>
        <charset val="128"/>
      </rPr>
      <t>　</t>
    </r>
    <r>
      <rPr>
        <sz val="10"/>
        <color theme="1"/>
        <rFont val="Calibri"/>
        <family val="2"/>
        <charset val="128"/>
      </rPr>
      <t>Fortuney</t>
    </r>
    <r>
      <rPr>
        <sz val="10"/>
        <color theme="1"/>
        <rFont val="ＭＳ Ｐゴシック"/>
        <family val="2"/>
        <charset val="128"/>
      </rPr>
      <t>大手前</t>
    </r>
    <r>
      <rPr>
        <sz val="10"/>
        <color theme="1"/>
        <rFont val="Calibri"/>
        <family val="2"/>
        <charset val="128"/>
      </rPr>
      <t>409</t>
    </r>
    <r>
      <rPr>
        <sz val="10"/>
        <color theme="1"/>
        <rFont val="ＭＳ Ｐゴシック"/>
        <family val="2"/>
        <charset val="128"/>
      </rPr>
      <t>号室</t>
    </r>
    <rPh sb="0" eb="13">
      <t>540-0037</t>
    </rPh>
    <phoneticPr fontId="2"/>
  </si>
  <si>
    <t>さいとう　たいち</t>
    <phoneticPr fontId="2"/>
  </si>
  <si>
    <t>齋藤　太一</t>
    <rPh sb="0" eb="2">
      <t>サイトウ</t>
    </rPh>
    <rPh sb="3" eb="5">
      <t>タイチ</t>
    </rPh>
    <phoneticPr fontId="2"/>
  </si>
  <si>
    <t>583-0027</t>
    <phoneticPr fontId="2"/>
  </si>
  <si>
    <t>大阪府藤井寺市岡2-1-36プリエ藤井寺駅前702号室</t>
    <rPh sb="0" eb="8">
      <t>583-0027</t>
    </rPh>
    <rPh sb="17" eb="22">
      <t>フジイデ</t>
    </rPh>
    <rPh sb="25" eb="27">
      <t>ゴウシツ</t>
    </rPh>
    <phoneticPr fontId="2"/>
  </si>
  <si>
    <r>
      <rPr>
        <sz val="10"/>
        <color theme="1"/>
        <rFont val="ＭＳ Ｐゴシック"/>
        <family val="3"/>
        <charset val="128"/>
      </rPr>
      <t>大阪府八尾市南太子堂</t>
    </r>
    <r>
      <rPr>
        <sz val="10"/>
        <color theme="1"/>
        <rFont val="Calibri"/>
        <family val="2"/>
      </rPr>
      <t>2-4-66</t>
    </r>
    <rPh sb="0" eb="3">
      <t>オオサカフ</t>
    </rPh>
    <phoneticPr fontId="2"/>
  </si>
  <si>
    <t>パート</t>
    <phoneticPr fontId="2"/>
  </si>
  <si>
    <t>有田　怜奈</t>
    <rPh sb="0" eb="2">
      <t>アリタ</t>
    </rPh>
    <rPh sb="3" eb="5">
      <t>レイナ</t>
    </rPh>
    <phoneticPr fontId="2"/>
  </si>
  <si>
    <t>ありた　れいな</t>
    <phoneticPr fontId="2"/>
  </si>
  <si>
    <t>580-0022</t>
    <phoneticPr fontId="2"/>
  </si>
  <si>
    <t>大阪府松原市河合3-45-11</t>
    <rPh sb="0" eb="8">
      <t>580-0022</t>
    </rPh>
    <phoneticPr fontId="2"/>
  </si>
  <si>
    <t>入社年月日</t>
    <rPh sb="0" eb="5">
      <t>ニュウシャネン</t>
    </rPh>
    <phoneticPr fontId="2"/>
  </si>
  <si>
    <r>
      <t>2022/10</t>
    </r>
    <r>
      <rPr>
        <sz val="10"/>
        <color theme="1"/>
        <rFont val="ＭＳ Ｐゴシック"/>
        <family val="2"/>
        <charset val="128"/>
      </rPr>
      <t>頃</t>
    </r>
    <rPh sb="7" eb="8">
      <t>コロ</t>
    </rPh>
    <phoneticPr fontId="2"/>
  </si>
  <si>
    <t>西村　健二</t>
    <rPh sb="0" eb="2">
      <t>ニシムラ</t>
    </rPh>
    <rPh sb="3" eb="5">
      <t>ケンジ</t>
    </rPh>
    <phoneticPr fontId="2"/>
  </si>
  <si>
    <t>にしむら　けんじ</t>
    <phoneticPr fontId="2"/>
  </si>
  <si>
    <t>579-8065</t>
    <phoneticPr fontId="2"/>
  </si>
  <si>
    <t>大阪府東大阪市新池島町2-18-36</t>
    <rPh sb="0" eb="11">
      <t>579-</t>
    </rPh>
    <phoneticPr fontId="2"/>
  </si>
  <si>
    <t>やまね　ゆうた</t>
    <phoneticPr fontId="2"/>
  </si>
  <si>
    <r>
      <t>2024.03.15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</si>
  <si>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t>山根　優太</t>
    <rPh sb="0" eb="2">
      <t>ヤマネ</t>
    </rPh>
    <rPh sb="3" eb="5">
      <t>ユウタ</t>
    </rPh>
    <phoneticPr fontId="2"/>
  </si>
  <si>
    <t>海野　葵</t>
    <phoneticPr fontId="2"/>
  </si>
  <si>
    <t>うんの　あおい</t>
    <phoneticPr fontId="2"/>
  </si>
  <si>
    <t>杉本 志保理</t>
    <phoneticPr fontId="2"/>
  </si>
  <si>
    <t>木村 沙織</t>
    <phoneticPr fontId="2"/>
  </si>
  <si>
    <t>藤井 舞琳</t>
    <phoneticPr fontId="2"/>
  </si>
  <si>
    <t>田代 奈津美</t>
    <phoneticPr fontId="2"/>
  </si>
  <si>
    <t>岩永 歩</t>
    <phoneticPr fontId="2"/>
  </si>
  <si>
    <t>片倉 百葉</t>
    <phoneticPr fontId="2"/>
  </si>
  <si>
    <t>藤岡 麗子</t>
    <phoneticPr fontId="2"/>
  </si>
  <si>
    <t>佐々木 雨良音</t>
    <phoneticPr fontId="2"/>
  </si>
  <si>
    <t>きむら　さおり</t>
    <phoneticPr fontId="2"/>
  </si>
  <si>
    <t>ふじい　まりん</t>
    <phoneticPr fontId="2"/>
  </si>
  <si>
    <t>たしろ　なつみ</t>
    <phoneticPr fontId="2"/>
  </si>
  <si>
    <t>いわなが　あゆみ</t>
    <phoneticPr fontId="2"/>
  </si>
  <si>
    <t>かたくら　ももは</t>
    <phoneticPr fontId="2"/>
  </si>
  <si>
    <t>ふじおか　れいこ</t>
    <phoneticPr fontId="2"/>
  </si>
  <si>
    <t>ささき　うらね</t>
    <phoneticPr fontId="2"/>
  </si>
  <si>
    <t>すぎもと　しおり</t>
    <phoneticPr fontId="2"/>
  </si>
  <si>
    <t>581-0037</t>
    <phoneticPr fontId="2"/>
  </si>
  <si>
    <t>大阪府八尾市太田6-2-6</t>
    <rPh sb="0" eb="8">
      <t>581-003</t>
    </rPh>
    <phoneticPr fontId="2"/>
  </si>
  <si>
    <t>大阪府松原市河合2-16-21</t>
    <rPh sb="0" eb="8">
      <t>580-0022</t>
    </rPh>
    <phoneticPr fontId="2"/>
  </si>
  <si>
    <t>580-0003</t>
    <phoneticPr fontId="2"/>
  </si>
  <si>
    <t>大阪府松原市一津屋5-11-23</t>
    <rPh sb="0" eb="9">
      <t>580-0003</t>
    </rPh>
    <phoneticPr fontId="2"/>
  </si>
  <si>
    <t>大阪府松原市一津屋3-4-6-303</t>
    <rPh sb="0" eb="9">
      <t>580-0003</t>
    </rPh>
    <phoneticPr fontId="2"/>
  </si>
  <si>
    <t>583-0882</t>
    <phoneticPr fontId="2"/>
  </si>
  <si>
    <t>大阪府羽曳野市高鷲3-3-2-110</t>
    <rPh sb="0" eb="18">
      <t>583-0882</t>
    </rPh>
    <phoneticPr fontId="2"/>
  </si>
  <si>
    <t>547-0015</t>
    <phoneticPr fontId="2"/>
  </si>
  <si>
    <t>大阪府大阪市平野区長吉長原西4-2-11-506</t>
    <rPh sb="0" eb="14">
      <t>547-0015</t>
    </rPh>
    <phoneticPr fontId="2"/>
  </si>
  <si>
    <t>580-0002</t>
    <phoneticPr fontId="2"/>
  </si>
  <si>
    <t>大阪府松原市一津屋2-7-12</t>
    <rPh sb="0" eb="9">
      <t>580-0003</t>
    </rPh>
    <phoneticPr fontId="2"/>
  </si>
  <si>
    <t>大阪府羽曳野市高鷲5-11-4</t>
    <rPh sb="0" eb="9">
      <t>583-0882</t>
    </rPh>
    <phoneticPr fontId="2"/>
  </si>
  <si>
    <t>小田島 雅恵</t>
    <phoneticPr fontId="2"/>
  </si>
  <si>
    <t>おだじま　まさえ</t>
    <phoneticPr fontId="2"/>
  </si>
  <si>
    <t>大阪府松原市別所7-15-9</t>
    <rPh sb="0" eb="3">
      <t>オオサカフ</t>
    </rPh>
    <phoneticPr fontId="2"/>
  </si>
  <si>
    <t>580-0005</t>
    <phoneticPr fontId="2"/>
  </si>
  <si>
    <t>さかた　かおり</t>
    <phoneticPr fontId="2"/>
  </si>
  <si>
    <t>大阪府松原市小川4-18-3</t>
    <phoneticPr fontId="2"/>
  </si>
  <si>
    <r>
      <t>2024/4/16</t>
    </r>
    <r>
      <rPr>
        <sz val="11"/>
        <color theme="1"/>
        <rFont val="ＭＳ Ｐゴシック"/>
        <family val="2"/>
        <charset val="128"/>
      </rPr>
      <t>退職</t>
    </r>
    <rPh sb="9" eb="11">
      <t>タイショク</t>
    </rPh>
    <phoneticPr fontId="2"/>
  </si>
  <si>
    <t>渡辺　鉄平</t>
    <rPh sb="0" eb="2">
      <t>ワタナベ</t>
    </rPh>
    <rPh sb="3" eb="5">
      <t>テッペイ</t>
    </rPh>
    <phoneticPr fontId="2"/>
  </si>
  <si>
    <t>わたなべ　てっぺい</t>
    <phoneticPr fontId="2"/>
  </si>
  <si>
    <t>東大阪</t>
    <rPh sb="0" eb="3">
      <t>ヒガシオオサカ</t>
    </rPh>
    <phoneticPr fontId="2"/>
  </si>
  <si>
    <t>590-0982</t>
    <phoneticPr fontId="2"/>
  </si>
  <si>
    <t>大阪府堺市堺区海山町4-173-29</t>
    <rPh sb="0" eb="10">
      <t>590-0982</t>
    </rPh>
    <phoneticPr fontId="2"/>
  </si>
  <si>
    <t>坂田　かおり</t>
    <phoneticPr fontId="2"/>
  </si>
  <si>
    <t>恵我　怜</t>
    <rPh sb="0" eb="2">
      <t>エガ</t>
    </rPh>
    <rPh sb="3" eb="4">
      <t>レイ</t>
    </rPh>
    <phoneticPr fontId="2"/>
  </si>
  <si>
    <t>えが　れい</t>
    <phoneticPr fontId="2"/>
  </si>
  <si>
    <t>大阪府松原市一津屋1-13-22</t>
    <rPh sb="6" eb="7">
      <t>イチ</t>
    </rPh>
    <rPh sb="7" eb="8">
      <t>ツ</t>
    </rPh>
    <rPh sb="8" eb="9">
      <t>ヤ</t>
    </rPh>
    <phoneticPr fontId="2"/>
  </si>
  <si>
    <t>石丸　智美</t>
    <rPh sb="0" eb="2">
      <t>イシマル</t>
    </rPh>
    <rPh sb="3" eb="5">
      <t>トモミ</t>
    </rPh>
    <phoneticPr fontId="2"/>
  </si>
  <si>
    <t>いしまる　ともみ</t>
    <phoneticPr fontId="2"/>
  </si>
  <si>
    <t>547-0016</t>
    <phoneticPr fontId="2"/>
  </si>
  <si>
    <t>大阪府大阪市平野区長吉長原4-9-29-403号室</t>
    <rPh sb="0" eb="13">
      <t>547-0016</t>
    </rPh>
    <phoneticPr fontId="2"/>
  </si>
  <si>
    <t>山本 雪乃</t>
    <rPh sb="0" eb="2">
      <t>ヤマモト</t>
    </rPh>
    <rPh sb="3" eb="4">
      <t>ユキ</t>
    </rPh>
    <rPh sb="4" eb="5">
      <t>ノ</t>
    </rPh>
    <phoneticPr fontId="2"/>
  </si>
  <si>
    <t>やまもと　ゆきの</t>
    <phoneticPr fontId="2"/>
  </si>
  <si>
    <t>大阪府松原市一津屋3-9-39</t>
    <rPh sb="0" eb="9">
      <t>580-0003</t>
    </rPh>
    <phoneticPr fontId="2"/>
  </si>
  <si>
    <r>
      <rPr>
        <sz val="10"/>
        <color theme="1"/>
        <rFont val="ＭＳ Ｐゴシック"/>
        <family val="2"/>
        <charset val="128"/>
      </rPr>
      <t>社会保険</t>
    </r>
    <rPh sb="0" eb="4">
      <t>シャカイホケン</t>
    </rPh>
    <phoneticPr fontId="2"/>
  </si>
  <si>
    <r>
      <rPr>
        <sz val="10"/>
        <color theme="1"/>
        <rFont val="ＭＳ Ｐゴシック"/>
        <family val="2"/>
        <charset val="128"/>
      </rPr>
      <t>雇用保険</t>
    </r>
    <rPh sb="0" eb="4">
      <t>コヨウホケン</t>
    </rPh>
    <phoneticPr fontId="2"/>
  </si>
  <si>
    <t>◯</t>
    <phoneticPr fontId="2"/>
  </si>
  <si>
    <t>工場長（次長）</t>
    <rPh sb="0" eb="3">
      <t>コウジョウチョウ</t>
    </rPh>
    <rPh sb="4" eb="6">
      <t>ジチョウ</t>
    </rPh>
    <phoneticPr fontId="2"/>
  </si>
  <si>
    <t>金森　真代</t>
    <rPh sb="0" eb="2">
      <t>カナモリ</t>
    </rPh>
    <rPh sb="3" eb="4">
      <t>シン</t>
    </rPh>
    <rPh sb="4" eb="5">
      <t>ヨ</t>
    </rPh>
    <phoneticPr fontId="2"/>
  </si>
  <si>
    <t>市田　潮里</t>
    <rPh sb="0" eb="2">
      <t>イチダ</t>
    </rPh>
    <rPh sb="3" eb="4">
      <t>シオ</t>
    </rPh>
    <rPh sb="4" eb="5">
      <t>サト</t>
    </rPh>
    <phoneticPr fontId="2"/>
  </si>
  <si>
    <t>かなもり　まよ</t>
    <phoneticPr fontId="2"/>
  </si>
  <si>
    <t>いちだ　しほり</t>
    <phoneticPr fontId="2"/>
  </si>
  <si>
    <t>583-0033</t>
    <phoneticPr fontId="2"/>
  </si>
  <si>
    <t>大阪府藤井寺市小山6-2-41</t>
    <rPh sb="0" eb="3">
      <t>オオサカフ</t>
    </rPh>
    <rPh sb="3" eb="7">
      <t>フジイデラシ</t>
    </rPh>
    <rPh sb="7" eb="9">
      <t>コヤマ</t>
    </rPh>
    <phoneticPr fontId="2"/>
  </si>
  <si>
    <t>583-0881</t>
    <phoneticPr fontId="2"/>
  </si>
  <si>
    <t>大阪府羽曳野市島泉6-14-12エントピア中本406</t>
    <rPh sb="0" eb="3">
      <t>オオサカフ</t>
    </rPh>
    <rPh sb="3" eb="7">
      <t>ハビキノシ</t>
    </rPh>
    <rPh sb="7" eb="9">
      <t>シマイズミ</t>
    </rPh>
    <rPh sb="21" eb="23">
      <t>ナカモト</t>
    </rPh>
    <phoneticPr fontId="2"/>
  </si>
  <si>
    <r>
      <t>2024/6/10</t>
    </r>
    <r>
      <rPr>
        <sz val="11"/>
        <color theme="1"/>
        <rFont val="ＭＳ Ｐゴシック"/>
        <family val="2"/>
        <charset val="128"/>
      </rPr>
      <t>退職</t>
    </r>
    <rPh sb="9" eb="11">
      <t>タイショク</t>
    </rPh>
    <phoneticPr fontId="2"/>
  </si>
  <si>
    <t>井戸根　瑠花</t>
    <rPh sb="0" eb="2">
      <t>イド</t>
    </rPh>
    <rPh sb="2" eb="3">
      <t>ネ</t>
    </rPh>
    <rPh sb="4" eb="5">
      <t>リュウ</t>
    </rPh>
    <rPh sb="5" eb="6">
      <t>ハナ</t>
    </rPh>
    <phoneticPr fontId="2"/>
  </si>
  <si>
    <t>いどね　るか</t>
    <phoneticPr fontId="2"/>
  </si>
  <si>
    <t>大阪府藤井寺市小山6-2-61</t>
    <rPh sb="0" eb="3">
      <t>オオサカフ</t>
    </rPh>
    <rPh sb="3" eb="6">
      <t>フジイデラ</t>
    </rPh>
    <rPh sb="6" eb="7">
      <t>シ</t>
    </rPh>
    <rPh sb="7" eb="9">
      <t>コヤマ</t>
    </rPh>
    <phoneticPr fontId="2"/>
  </si>
  <si>
    <r>
      <t>2024.06.26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</si>
  <si>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t>三原　あやめ</t>
    <rPh sb="0" eb="2">
      <t>ミハラ</t>
    </rPh>
    <phoneticPr fontId="2"/>
  </si>
  <si>
    <t>みはら　あやめ</t>
    <phoneticPr fontId="2"/>
  </si>
  <si>
    <t>580-0025</t>
    <phoneticPr fontId="2"/>
  </si>
  <si>
    <t>大阪府松原市北新町1-13-3</t>
    <rPh sb="0" eb="3">
      <t>オオサカフ</t>
    </rPh>
    <rPh sb="3" eb="6">
      <t>マツバラシ</t>
    </rPh>
    <rPh sb="6" eb="7">
      <t>キタ</t>
    </rPh>
    <rPh sb="7" eb="9">
      <t>シンマチ</t>
    </rPh>
    <phoneticPr fontId="2"/>
  </si>
  <si>
    <r>
      <t>2024/7/8</t>
    </r>
    <r>
      <rPr>
        <sz val="11"/>
        <color theme="1"/>
        <rFont val="ＭＳ Ｐゴシック"/>
        <family val="2"/>
        <charset val="128"/>
      </rPr>
      <t>退職</t>
    </r>
    <rPh sb="8" eb="10">
      <t>タイショク</t>
    </rPh>
    <phoneticPr fontId="2"/>
  </si>
  <si>
    <r>
      <t>2024/7/31</t>
    </r>
    <r>
      <rPr>
        <sz val="11"/>
        <color theme="1"/>
        <rFont val="ＭＳ Ｐゴシック"/>
        <family val="2"/>
        <charset val="128"/>
      </rPr>
      <t>退職</t>
    </r>
    <rPh sb="9" eb="11">
      <t>タイショク</t>
    </rPh>
    <phoneticPr fontId="2"/>
  </si>
  <si>
    <t>濱本　昌一</t>
    <rPh sb="0" eb="2">
      <t>ハマモト</t>
    </rPh>
    <rPh sb="3" eb="4">
      <t>マサ</t>
    </rPh>
    <rPh sb="4" eb="5">
      <t>イチ</t>
    </rPh>
    <phoneticPr fontId="2"/>
  </si>
  <si>
    <t>はまもと　まさかず</t>
    <phoneticPr fontId="2"/>
  </si>
  <si>
    <t>547-0026</t>
    <phoneticPr fontId="2"/>
  </si>
  <si>
    <t>大阪府大阪市平野区喜連西1-16-3　シャリエ平野WEST407号</t>
    <rPh sb="0" eb="3">
      <t>オオサカフ</t>
    </rPh>
    <rPh sb="3" eb="6">
      <t>オオサカシ</t>
    </rPh>
    <rPh sb="6" eb="9">
      <t>ヒラノク</t>
    </rPh>
    <rPh sb="9" eb="11">
      <t>キレ</t>
    </rPh>
    <rPh sb="11" eb="12">
      <t>ニシ</t>
    </rPh>
    <rPh sb="23" eb="25">
      <t>ヒラノ</t>
    </rPh>
    <rPh sb="32" eb="33">
      <t>ゴウ</t>
    </rPh>
    <phoneticPr fontId="2"/>
  </si>
  <si>
    <t>はいづか　なおき</t>
    <phoneticPr fontId="2"/>
  </si>
  <si>
    <t>631-0032</t>
    <phoneticPr fontId="2"/>
  </si>
  <si>
    <t>奈良県奈良市あやめ池北3丁目10-19WINLIFEあやめ池402号室</t>
    <rPh sb="0" eb="3">
      <t>ナラケン</t>
    </rPh>
    <rPh sb="3" eb="6">
      <t>ナラシ</t>
    </rPh>
    <rPh sb="9" eb="10">
      <t>イケ</t>
    </rPh>
    <rPh sb="10" eb="11">
      <t>キタ</t>
    </rPh>
    <rPh sb="12" eb="14">
      <t>チョウメ</t>
    </rPh>
    <rPh sb="29" eb="30">
      <t>イケ</t>
    </rPh>
    <rPh sb="33" eb="34">
      <t>ゴウ</t>
    </rPh>
    <rPh sb="34" eb="35">
      <t>シツ</t>
    </rPh>
    <phoneticPr fontId="2"/>
  </si>
  <si>
    <t>竹中　貴子</t>
    <rPh sb="0" eb="2">
      <t>タケナカ</t>
    </rPh>
    <rPh sb="3" eb="5">
      <t>タカコ</t>
    </rPh>
    <phoneticPr fontId="2"/>
  </si>
  <si>
    <t>たけなか　たかこ</t>
    <phoneticPr fontId="2"/>
  </si>
  <si>
    <t>大阪府松原市小川5-6-5</t>
    <rPh sb="0" eb="3">
      <t>オオサカフ</t>
    </rPh>
    <rPh sb="3" eb="6">
      <t>マツバラシ</t>
    </rPh>
    <rPh sb="6" eb="8">
      <t>オガワ</t>
    </rPh>
    <phoneticPr fontId="2"/>
  </si>
  <si>
    <t>西村　侑也</t>
    <rPh sb="0" eb="2">
      <t>ニシムラ</t>
    </rPh>
    <rPh sb="3" eb="4">
      <t>イク</t>
    </rPh>
    <rPh sb="4" eb="5">
      <t>ヤ</t>
    </rPh>
    <phoneticPr fontId="2"/>
  </si>
  <si>
    <t>にしむら　ゆうや</t>
    <phoneticPr fontId="2"/>
  </si>
  <si>
    <t>578-0975</t>
    <phoneticPr fontId="2"/>
  </si>
  <si>
    <t>大阪府東大阪市中鴻池町3-9-10-1208</t>
    <rPh sb="0" eb="3">
      <t>オオサカフ</t>
    </rPh>
    <rPh sb="3" eb="6">
      <t>ヒガシオオサカ</t>
    </rPh>
    <rPh sb="6" eb="7">
      <t>シ</t>
    </rPh>
    <rPh sb="7" eb="8">
      <t>ナカ</t>
    </rPh>
    <rPh sb="8" eb="11">
      <t>コウノイケチョウ</t>
    </rPh>
    <phoneticPr fontId="2"/>
  </si>
  <si>
    <t>灰塚　直樹</t>
    <rPh sb="0" eb="1">
      <t>ハイ</t>
    </rPh>
    <rPh sb="1" eb="2">
      <t>ヅカ</t>
    </rPh>
    <rPh sb="3" eb="5">
      <t>ナオキ</t>
    </rPh>
    <phoneticPr fontId="2"/>
  </si>
  <si>
    <t>花澤　真彩</t>
    <rPh sb="0" eb="2">
      <t>ハナザワ</t>
    </rPh>
    <rPh sb="3" eb="5">
      <t>マアヤ</t>
    </rPh>
    <phoneticPr fontId="2"/>
  </si>
  <si>
    <t>はなざわ　まあや</t>
    <phoneticPr fontId="2"/>
  </si>
  <si>
    <t>580-0046</t>
    <phoneticPr fontId="2"/>
  </si>
  <si>
    <t>大阪府松原市三宅中6-10-4</t>
    <rPh sb="0" eb="3">
      <t>オオサカフ</t>
    </rPh>
    <rPh sb="3" eb="6">
      <t>マツバラシ</t>
    </rPh>
    <rPh sb="6" eb="8">
      <t>ミヤケ</t>
    </rPh>
    <rPh sb="8" eb="9">
      <t>ナカ</t>
    </rPh>
    <phoneticPr fontId="2"/>
  </si>
  <si>
    <t>奥谷　珠里</t>
    <rPh sb="0" eb="2">
      <t>オクタニ</t>
    </rPh>
    <rPh sb="3" eb="4">
      <t>ジュ</t>
    </rPh>
    <rPh sb="4" eb="5">
      <t>サト</t>
    </rPh>
    <phoneticPr fontId="2"/>
  </si>
  <si>
    <t>おくたに　じゅり</t>
    <phoneticPr fontId="2"/>
  </si>
  <si>
    <t>580-0011</t>
    <phoneticPr fontId="2"/>
  </si>
  <si>
    <t>大阪府松原市西大塚2-954-46</t>
    <rPh sb="0" eb="3">
      <t>オオサカフ</t>
    </rPh>
    <rPh sb="3" eb="6">
      <t>マツバラシ</t>
    </rPh>
    <rPh sb="6" eb="7">
      <t>ニシ</t>
    </rPh>
    <rPh sb="7" eb="9">
      <t>オオツカ</t>
    </rPh>
    <phoneticPr fontId="2"/>
  </si>
  <si>
    <t>西田　未来</t>
    <rPh sb="0" eb="2">
      <t>ニシダ</t>
    </rPh>
    <rPh sb="3" eb="5">
      <t>ミライ</t>
    </rPh>
    <phoneticPr fontId="2"/>
  </si>
  <si>
    <t>にしだ　みくる</t>
    <phoneticPr fontId="2"/>
  </si>
  <si>
    <t>580-0044</t>
    <phoneticPr fontId="2"/>
  </si>
  <si>
    <t>大阪府松原市田井城1-225-19</t>
    <rPh sb="0" eb="3">
      <t>オオサカフ</t>
    </rPh>
    <rPh sb="3" eb="6">
      <t>マツバラシ</t>
    </rPh>
    <rPh sb="6" eb="7">
      <t>タ</t>
    </rPh>
    <phoneticPr fontId="2"/>
  </si>
  <si>
    <t>派遣</t>
    <rPh sb="0" eb="2">
      <t>ハケン</t>
    </rPh>
    <phoneticPr fontId="2"/>
  </si>
  <si>
    <t>後藤恵美</t>
    <rPh sb="0" eb="2">
      <t>ゴトウ</t>
    </rPh>
    <rPh sb="2" eb="4">
      <t>エミ</t>
    </rPh>
    <phoneticPr fontId="2"/>
  </si>
  <si>
    <t>ごとう　えみ</t>
    <phoneticPr fontId="2"/>
  </si>
  <si>
    <t>松原市河合</t>
    <rPh sb="0" eb="3">
      <t>マツバラシ</t>
    </rPh>
    <rPh sb="3" eb="5">
      <t>カワイ</t>
    </rPh>
    <phoneticPr fontId="2"/>
  </si>
  <si>
    <t>【派遣】</t>
    <rPh sb="1" eb="3">
      <t>ハケン</t>
    </rPh>
    <phoneticPr fontId="2"/>
  </si>
  <si>
    <t>小池 美幸</t>
    <rPh sb="0" eb="2">
      <t>コイケ</t>
    </rPh>
    <rPh sb="3" eb="5">
      <t>ミユキ</t>
    </rPh>
    <phoneticPr fontId="2"/>
  </si>
  <si>
    <t>こいけ　みゆき</t>
    <phoneticPr fontId="2"/>
  </si>
  <si>
    <t>山下　真紘</t>
    <rPh sb="0" eb="2">
      <t>ヤマシタ</t>
    </rPh>
    <rPh sb="3" eb="4">
      <t>マ</t>
    </rPh>
    <rPh sb="4" eb="5">
      <t>ヒロシ</t>
    </rPh>
    <phoneticPr fontId="2"/>
  </si>
  <si>
    <t>やました　まひろ</t>
    <phoneticPr fontId="2"/>
  </si>
  <si>
    <t>大阪府松原市別所7-15-11</t>
    <rPh sb="0" eb="8">
      <t>580-0005</t>
    </rPh>
    <phoneticPr fontId="2"/>
  </si>
  <si>
    <t>境川　みな</t>
    <rPh sb="0" eb="2">
      <t>サカイガワ</t>
    </rPh>
    <phoneticPr fontId="2"/>
  </si>
  <si>
    <t>さかいがわ　みな</t>
    <phoneticPr fontId="2"/>
  </si>
  <si>
    <t>583-0875</t>
    <phoneticPr fontId="2"/>
  </si>
  <si>
    <t>大阪府羽曳野市樫山240</t>
    <rPh sb="0" eb="3">
      <t>オオサカフ</t>
    </rPh>
    <rPh sb="3" eb="7">
      <t>ハビキノシ</t>
    </rPh>
    <rPh sb="7" eb="9">
      <t>カシヤマ</t>
    </rPh>
    <phoneticPr fontId="2"/>
  </si>
  <si>
    <t>入社せず</t>
    <rPh sb="0" eb="2">
      <t>ニュウシャ</t>
    </rPh>
    <phoneticPr fontId="2"/>
  </si>
  <si>
    <t>近藤　沙哉佳</t>
    <rPh sb="0" eb="2">
      <t>コンドウ</t>
    </rPh>
    <rPh sb="3" eb="4">
      <t>シャ</t>
    </rPh>
    <rPh sb="4" eb="5">
      <t>カナ</t>
    </rPh>
    <rPh sb="5" eb="6">
      <t>カ</t>
    </rPh>
    <phoneticPr fontId="2"/>
  </si>
  <si>
    <t>こんどう　さやか</t>
    <phoneticPr fontId="2"/>
  </si>
  <si>
    <r>
      <t>2024/9/4</t>
    </r>
    <r>
      <rPr>
        <sz val="11"/>
        <color theme="1"/>
        <rFont val="メイリオ"/>
        <family val="2"/>
        <charset val="128"/>
      </rPr>
      <t>終了</t>
    </r>
    <rPh sb="8" eb="10">
      <t>シュウリョウ</t>
    </rPh>
    <phoneticPr fontId="2"/>
  </si>
  <si>
    <t>阿部　喜愛</t>
    <rPh sb="0" eb="2">
      <t>アベ</t>
    </rPh>
    <rPh sb="3" eb="4">
      <t>ヨロコ</t>
    </rPh>
    <rPh sb="4" eb="5">
      <t>アイ</t>
    </rPh>
    <phoneticPr fontId="2"/>
  </si>
  <si>
    <t>あべ　かのん</t>
    <phoneticPr fontId="2"/>
  </si>
  <si>
    <t>大阪府松原市一津屋1-23-7　スカイフィールド101</t>
    <rPh sb="0" eb="3">
      <t>オオサカフ</t>
    </rPh>
    <rPh sb="3" eb="6">
      <t>マツバラシ</t>
    </rPh>
    <rPh sb="6" eb="7">
      <t>イチ</t>
    </rPh>
    <rPh sb="7" eb="8">
      <t>ツ</t>
    </rPh>
    <rPh sb="8" eb="9">
      <t>ヤ</t>
    </rPh>
    <phoneticPr fontId="2"/>
  </si>
  <si>
    <t>赤井　正</t>
    <rPh sb="0" eb="1">
      <t>アカ</t>
    </rPh>
    <rPh sb="1" eb="2">
      <t>イ</t>
    </rPh>
    <rPh sb="3" eb="4">
      <t>マサシ</t>
    </rPh>
    <phoneticPr fontId="2"/>
  </si>
  <si>
    <t>あかい　ただし</t>
    <phoneticPr fontId="2"/>
  </si>
  <si>
    <t>590-0834</t>
    <phoneticPr fontId="2"/>
  </si>
  <si>
    <t>大阪府堺市堺区出島町3-6-16</t>
    <rPh sb="0" eb="3">
      <t>オオサカフ</t>
    </rPh>
    <rPh sb="3" eb="5">
      <t>サカイシ</t>
    </rPh>
    <rPh sb="5" eb="7">
      <t>サカイク</t>
    </rPh>
    <rPh sb="7" eb="9">
      <t>デジマ</t>
    </rPh>
    <rPh sb="9" eb="10">
      <t>マチ</t>
    </rPh>
    <phoneticPr fontId="2"/>
  </si>
  <si>
    <t>大阪府羽曳野市高鷲5-1-8</t>
    <rPh sb="0" eb="3">
      <t>オオサカフ</t>
    </rPh>
    <rPh sb="3" eb="7">
      <t>ハビキノシ</t>
    </rPh>
    <rPh sb="7" eb="9">
      <t>タカワシ</t>
    </rPh>
    <phoneticPr fontId="2"/>
  </si>
  <si>
    <t>川西　美紀</t>
    <rPh sb="0" eb="2">
      <t>カワニシ</t>
    </rPh>
    <rPh sb="3" eb="5">
      <t>ミキ</t>
    </rPh>
    <phoneticPr fontId="2"/>
  </si>
  <si>
    <t>かわにし　みき</t>
    <phoneticPr fontId="2"/>
  </si>
  <si>
    <r>
      <t>2024.10.21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</si>
  <si>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t>大阪府松原市三宅中5-9-3　高橋方</t>
    <rPh sb="0" eb="3">
      <t>オオサカフ</t>
    </rPh>
    <rPh sb="3" eb="6">
      <t>マツバラシ</t>
    </rPh>
    <rPh sb="6" eb="8">
      <t>ミヤケ</t>
    </rPh>
    <rPh sb="8" eb="9">
      <t>ナカ</t>
    </rPh>
    <rPh sb="15" eb="17">
      <t>タカハシ</t>
    </rPh>
    <rPh sb="17" eb="18">
      <t>カタ</t>
    </rPh>
    <phoneticPr fontId="2"/>
  </si>
  <si>
    <t>藤田　悠華</t>
    <rPh sb="0" eb="2">
      <t>フジタ</t>
    </rPh>
    <rPh sb="3" eb="4">
      <t>ユウ</t>
    </rPh>
    <rPh sb="4" eb="5">
      <t>ハナ</t>
    </rPh>
    <phoneticPr fontId="2"/>
  </si>
  <si>
    <t>ふじた　ゆうか</t>
    <phoneticPr fontId="2"/>
  </si>
  <si>
    <t>580-0046</t>
    <phoneticPr fontId="2"/>
  </si>
  <si>
    <t>大阪府松原市三宅中6-17-3</t>
    <rPh sb="0" eb="3">
      <t>オオサカフ</t>
    </rPh>
    <rPh sb="3" eb="6">
      <t>マツバラシ</t>
    </rPh>
    <rPh sb="6" eb="8">
      <t>ミヤケ</t>
    </rPh>
    <rPh sb="8" eb="9">
      <t>ナカ</t>
    </rPh>
    <phoneticPr fontId="2"/>
  </si>
  <si>
    <r>
      <t>2024.11.30</t>
    </r>
    <r>
      <rPr>
        <sz val="11"/>
        <color theme="1"/>
        <rFont val="ＭＳ Ｐゴシック"/>
        <family val="2"/>
        <charset val="128"/>
      </rPr>
      <t>退職　</t>
    </r>
    <r>
      <rPr>
        <sz val="11"/>
        <color theme="1"/>
        <rFont val="Calibri"/>
        <family val="2"/>
      </rPr>
      <t>10</t>
    </r>
    <r>
      <rPr>
        <sz val="11"/>
        <color theme="1"/>
        <rFont val="ＭＳ Ｐゴシック"/>
        <family val="2"/>
        <charset val="128"/>
      </rPr>
      <t>月1日以降出勤なし。12月に連絡しても返事ないので、就業規則により自己都合退職とする。</t>
    </r>
    <rPh sb="10" eb="12">
      <t>タイショク</t>
    </rPh>
    <rPh sb="15" eb="16">
      <t>ガツ</t>
    </rPh>
    <rPh sb="17" eb="18">
      <t>ニチ</t>
    </rPh>
    <rPh sb="18" eb="20">
      <t>イコウ</t>
    </rPh>
    <rPh sb="20" eb="22">
      <t>シュッキン</t>
    </rPh>
    <rPh sb="27" eb="28">
      <t>ガツ</t>
    </rPh>
    <rPh sb="29" eb="31">
      <t>レンラク</t>
    </rPh>
    <rPh sb="34" eb="36">
      <t>ヘンジ</t>
    </rPh>
    <rPh sb="41" eb="45">
      <t>シュウギョウキソク</t>
    </rPh>
    <rPh sb="48" eb="52">
      <t>ジコツゴウ</t>
    </rPh>
    <rPh sb="52" eb="54">
      <t>タイショク</t>
    </rPh>
    <phoneticPr fontId="2"/>
  </si>
  <si>
    <r>
      <rPr>
        <sz val="11"/>
        <color theme="1"/>
        <rFont val="メイリオ"/>
        <family val="2"/>
        <charset val="128"/>
      </rPr>
      <t>埼玉県草加市弁天６丁目１３番５－３０６号（令</t>
    </r>
    <r>
      <rPr>
        <sz val="11"/>
        <color theme="1"/>
        <rFont val="Calibri"/>
        <family val="2"/>
      </rPr>
      <t>6.11.20</t>
    </r>
    <r>
      <rPr>
        <sz val="11"/>
        <color theme="1"/>
        <rFont val="メイリオ"/>
        <family val="2"/>
        <charset val="128"/>
      </rPr>
      <t>転出）</t>
    </r>
    <phoneticPr fontId="2"/>
  </si>
  <si>
    <r>
      <t>2025.02.28</t>
    </r>
    <r>
      <rPr>
        <sz val="11"/>
        <color theme="1"/>
        <rFont val="ＭＳ Ｐゴシック"/>
        <family val="2"/>
        <charset val="128"/>
      </rPr>
      <t>取締役辞任</t>
    </r>
    <rPh sb="10" eb="13">
      <t>トリシマリヤク</t>
    </rPh>
    <rPh sb="13" eb="15">
      <t>ジニン</t>
    </rPh>
    <phoneticPr fontId="2"/>
  </si>
  <si>
    <r>
      <t>2025.02.28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</si>
  <si>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r>
      <t>2025.03.31</t>
    </r>
    <r>
      <rPr>
        <sz val="11"/>
        <color theme="1"/>
        <rFont val="ＭＳ Ｐゴシック"/>
        <family val="2"/>
        <charset val="128"/>
      </rPr>
      <t>一旦終了？</t>
    </r>
    <rPh sb="10" eb="12">
      <t>イッタン</t>
    </rPh>
    <rPh sb="12" eb="14">
      <t>シュウリョウ</t>
    </rPh>
    <phoneticPr fontId="2"/>
  </si>
  <si>
    <r>
      <t>2025.05.31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</si>
  <si>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r>
      <t>2025.05.31</t>
    </r>
    <r>
      <rPr>
        <sz val="11"/>
        <color theme="1"/>
        <rFont val="ＭＳ Ｐゴシック"/>
        <family val="2"/>
        <charset val="128"/>
      </rPr>
      <t>退職</t>
    </r>
    <rPh sb="10" eb="12">
      <t>タイ</t>
    </rPh>
    <phoneticPr fontId="2"/>
  </si>
  <si>
    <r>
      <t>2025.06.15</t>
    </r>
    <r>
      <rPr>
        <sz val="11"/>
        <color theme="1"/>
        <rFont val="ＭＳ Ｐゴシック"/>
        <family val="2"/>
        <charset val="128"/>
      </rPr>
      <t>会社都合退職。</t>
    </r>
    <rPh sb="10" eb="14">
      <t>カイシャツゴウ</t>
    </rPh>
    <rPh sb="14" eb="16">
      <t>タイショク</t>
    </rPh>
    <phoneticPr fontId="2"/>
  </si>
  <si>
    <r>
      <t>2025.06.30</t>
    </r>
    <r>
      <rPr>
        <sz val="11"/>
        <color theme="1"/>
        <rFont val="ＭＳ Ｐゴシック"/>
        <family val="2"/>
        <charset val="128"/>
      </rPr>
      <t>会社都合退職。</t>
    </r>
    <rPh sb="10" eb="14">
      <t>カイシャツゴウ</t>
    </rPh>
    <rPh sb="14" eb="16">
      <t>タイショク</t>
    </rPh>
    <phoneticPr fontId="2"/>
  </si>
  <si>
    <r>
      <t>2025.06.30</t>
    </r>
    <r>
      <rPr>
        <sz val="11"/>
        <color theme="1"/>
        <rFont val="ＭＳ Ｐゴシック"/>
        <family val="2"/>
        <charset val="128"/>
      </rPr>
      <t>自己都合退職。</t>
    </r>
    <rPh sb="10" eb="12">
      <t>ジコ</t>
    </rPh>
    <rPh sb="12" eb="14">
      <t>ツゴウ</t>
    </rPh>
    <rPh sb="14" eb="16">
      <t>タイショク</t>
    </rPh>
    <phoneticPr fontId="2"/>
  </si>
  <si>
    <r>
      <t>2025.07.06</t>
    </r>
    <r>
      <rPr>
        <sz val="11"/>
        <color theme="1"/>
        <rFont val="ＭＳ Ｐゴシック"/>
        <family val="2"/>
        <charset val="128"/>
      </rPr>
      <t>会社都合退職。</t>
    </r>
    <rPh sb="10" eb="14">
      <t>カイシャツゴウ</t>
    </rPh>
    <rPh sb="14" eb="16">
      <t>タイショク</t>
    </rPh>
    <phoneticPr fontId="2"/>
  </si>
  <si>
    <r>
      <t>2025.06.30</t>
    </r>
    <r>
      <rPr>
        <sz val="11"/>
        <color theme="1"/>
        <rFont val="ＭＳ Ｐゴシック"/>
        <family val="2"/>
        <charset val="128"/>
      </rPr>
      <t>退職</t>
    </r>
    <rPh sb="10" eb="12">
      <t>タイショク</t>
    </rPh>
    <phoneticPr fontId="2"/>
  </si>
  <si>
    <t>永田　力斗</t>
    <rPh sb="0" eb="2">
      <t>ナガタ</t>
    </rPh>
    <rPh sb="3" eb="5">
      <t>リキト</t>
    </rPh>
    <phoneticPr fontId="2"/>
  </si>
  <si>
    <t>入社時42歳</t>
    <rPh sb="0" eb="3">
      <t>ニュウシャジ</t>
    </rPh>
    <rPh sb="5" eb="6">
      <t>サイ</t>
    </rPh>
    <phoneticPr fontId="2"/>
  </si>
  <si>
    <t>大阪府松原市一津屋4-3-8 日の出ビレッジ204号室</t>
    <rPh sb="0" eb="3">
      <t>オオサカフ</t>
    </rPh>
    <rPh sb="3" eb="6">
      <t>マツバラシ</t>
    </rPh>
    <rPh sb="6" eb="7">
      <t>イチ</t>
    </rPh>
    <rPh sb="7" eb="8">
      <t>ツ</t>
    </rPh>
    <rPh sb="8" eb="9">
      <t>ヤ</t>
    </rPh>
    <rPh sb="15" eb="16">
      <t>ヒ</t>
    </rPh>
    <rPh sb="17" eb="18">
      <t>デ</t>
    </rPh>
    <rPh sb="25" eb="27">
      <t>ゴウシツ</t>
    </rPh>
    <phoneticPr fontId="2"/>
  </si>
  <si>
    <r>
      <rPr>
        <sz val="11"/>
        <color theme="1"/>
        <rFont val="ＭＳ Ｐゴシック"/>
        <family val="2"/>
        <charset val="128"/>
      </rPr>
      <t>有期契約</t>
    </r>
    <r>
      <rPr>
        <sz val="11"/>
        <color theme="1"/>
        <rFont val="Calibri"/>
        <family val="2"/>
      </rPr>
      <t>2025.11.30</t>
    </r>
    <r>
      <rPr>
        <sz val="11"/>
        <color theme="1"/>
        <rFont val="ＭＳ Ｐゴシック"/>
        <family val="2"/>
        <charset val="128"/>
      </rPr>
      <t>まで。</t>
    </r>
    <r>
      <rPr>
        <sz val="11"/>
        <color theme="1"/>
        <rFont val="Calibri"/>
        <family val="2"/>
      </rPr>
      <t>2025/6/1</t>
    </r>
    <r>
      <rPr>
        <sz val="11"/>
        <color theme="1"/>
        <rFont val="游ゴシック"/>
        <family val="2"/>
        <charset val="128"/>
      </rPr>
      <t>より雇用保険加入。</t>
    </r>
    <r>
      <rPr>
        <sz val="11"/>
        <color theme="1"/>
        <rFont val="Calibri"/>
        <family val="2"/>
      </rPr>
      <t>2025.09.30</t>
    </r>
    <r>
      <rPr>
        <sz val="11"/>
        <color theme="1"/>
        <rFont val="游ゴシック"/>
        <family val="2"/>
        <charset val="128"/>
      </rPr>
      <t>自己都合</t>
    </r>
    <r>
      <rPr>
        <sz val="11"/>
        <color theme="1"/>
        <rFont val="ＭＳ Ｐゴシック"/>
        <family val="2"/>
        <charset val="128"/>
      </rPr>
      <t>退職</t>
    </r>
    <rPh sb="0" eb="4">
      <t>ユウキケイヤク</t>
    </rPh>
    <rPh sb="27" eb="31">
      <t>コヨウホk</t>
    </rPh>
    <rPh sb="31" eb="33">
      <t>カニュウ</t>
    </rPh>
    <rPh sb="44" eb="48">
      <t>ジコ</t>
    </rPh>
    <rPh sb="48" eb="50">
      <t>タイショク</t>
    </rPh>
    <phoneticPr fontId="2"/>
  </si>
  <si>
    <r>
      <rPr>
        <sz val="11"/>
        <color theme="1"/>
        <rFont val="ＭＳ Ｐゴシック"/>
        <family val="2"/>
        <charset val="128"/>
      </rPr>
      <t>有期契約</t>
    </r>
    <r>
      <rPr>
        <sz val="11"/>
        <color theme="1"/>
        <rFont val="Calibri"/>
        <family val="2"/>
      </rPr>
      <t>2025.11.30</t>
    </r>
    <r>
      <rPr>
        <sz val="11"/>
        <color theme="1"/>
        <rFont val="ＭＳ Ｐゴシック"/>
        <family val="2"/>
        <charset val="128"/>
      </rPr>
      <t>まで。</t>
    </r>
    <r>
      <rPr>
        <sz val="11"/>
        <color theme="1"/>
        <rFont val="Calibri"/>
        <family val="2"/>
        <charset val="128"/>
      </rPr>
      <t>2025.10.31</t>
    </r>
    <r>
      <rPr>
        <sz val="11"/>
        <color theme="1"/>
        <rFont val="ＭＳ Ｐゴシック"/>
        <family val="2"/>
        <charset val="128"/>
      </rPr>
      <t>自己都合</t>
    </r>
    <r>
      <rPr>
        <sz val="11"/>
        <color theme="1"/>
        <rFont val="游ゴシック"/>
        <family val="2"/>
        <charset val="128"/>
      </rPr>
      <t>退職。</t>
    </r>
    <rPh sb="0" eb="4">
      <t>ユウキケイヤク</t>
    </rPh>
    <rPh sb="27" eb="31">
      <t>ジコツ</t>
    </rPh>
    <rPh sb="31" eb="33">
      <t>タイショク</t>
    </rPh>
    <phoneticPr fontId="2"/>
  </si>
  <si>
    <r>
      <rPr>
        <sz val="11"/>
        <color theme="1"/>
        <rFont val="ＭＳ Ｐゴシック"/>
        <family val="2"/>
        <charset val="128"/>
      </rPr>
      <t>有期契約</t>
    </r>
    <r>
      <rPr>
        <sz val="11"/>
        <color theme="1"/>
        <rFont val="Calibri"/>
        <family val="2"/>
      </rPr>
      <t>2025.11.30</t>
    </r>
    <r>
      <rPr>
        <sz val="11"/>
        <color theme="1"/>
        <rFont val="ＭＳ Ｐゴシック"/>
        <family val="2"/>
        <charset val="128"/>
      </rPr>
      <t>まで。</t>
    </r>
    <r>
      <rPr>
        <sz val="11"/>
        <color theme="1"/>
        <rFont val="Calibri"/>
        <family val="2"/>
      </rPr>
      <t>2025.11.30</t>
    </r>
    <r>
      <rPr>
        <sz val="11"/>
        <color theme="1"/>
        <rFont val="ＭＳ Ｐゴシック"/>
        <family val="2"/>
        <charset val="128"/>
      </rPr>
      <t>で契約満了。</t>
    </r>
    <rPh sb="0" eb="4">
      <t>ユウキケイヤク</t>
    </rPh>
    <rPh sb="28" eb="32">
      <t>ケイ</t>
    </rPh>
    <phoneticPr fontId="2"/>
  </si>
  <si>
    <r>
      <rPr>
        <sz val="11"/>
        <color theme="1"/>
        <rFont val="ＭＳ Ｐゴシック"/>
        <family val="2"/>
        <charset val="128"/>
      </rPr>
      <t>有期契約</t>
    </r>
    <r>
      <rPr>
        <sz val="11"/>
        <color theme="1"/>
        <rFont val="Calibri"/>
        <family val="2"/>
      </rPr>
      <t>2026.05.31</t>
    </r>
    <r>
      <rPr>
        <sz val="11"/>
        <color theme="1"/>
        <rFont val="ＭＳ Ｐゴシック"/>
        <family val="2"/>
        <charset val="128"/>
      </rPr>
      <t>まで</t>
    </r>
    <rPh sb="0" eb="4">
      <t>ユウキケイヤク</t>
    </rPh>
    <phoneticPr fontId="2"/>
  </si>
  <si>
    <t>有期契約2026.05.31まで</t>
    <rPh sb="0" eb="4">
      <t>ユウキケイヤク</t>
    </rPh>
    <phoneticPr fontId="2"/>
  </si>
  <si>
    <t>有期契約2026.05.31まで。2025/6/1より雇用保険加入。</t>
    <rPh sb="0" eb="4">
      <t>ユウキケイヤク</t>
    </rPh>
    <rPh sb="27" eb="31">
      <t>コヨウホk</t>
    </rPh>
    <rPh sb="31" eb="33">
      <t>カニュウ</t>
    </rPh>
    <phoneticPr fontId="2"/>
  </si>
  <si>
    <t>有期契約2026.05.31まで。2025.04.18より社保脱退。</t>
    <rPh sb="29" eb="31">
      <t>シャホ</t>
    </rPh>
    <rPh sb="31" eb="33">
      <t>ダッタイ</t>
    </rPh>
    <phoneticPr fontId="2"/>
  </si>
  <si>
    <r>
      <rPr>
        <sz val="11"/>
        <color theme="1"/>
        <rFont val="ＭＳ ゴシック"/>
        <family val="3"/>
        <charset val="128"/>
      </rPr>
      <t>有期契約</t>
    </r>
    <r>
      <rPr>
        <sz val="11"/>
        <color theme="1"/>
        <rFont val="Calibri"/>
        <family val="2"/>
      </rPr>
      <t>2026.05.31</t>
    </r>
    <r>
      <rPr>
        <sz val="11"/>
        <color theme="1"/>
        <rFont val="ＭＳ ゴシック"/>
        <family val="3"/>
        <charset val="128"/>
      </rPr>
      <t>まで。</t>
    </r>
    <r>
      <rPr>
        <sz val="11"/>
        <color theme="1"/>
        <rFont val="Calibri"/>
        <family val="3"/>
      </rPr>
      <t>2026.01.31</t>
    </r>
    <r>
      <rPr>
        <sz val="11"/>
        <color theme="1"/>
        <rFont val="游ゴシック"/>
        <family val="3"/>
        <charset val="128"/>
      </rPr>
      <t>で自己都合退職。</t>
    </r>
    <rPh sb="0" eb="4">
      <t>ユウキケイヤク</t>
    </rPh>
    <rPh sb="28" eb="34">
      <t>ジコツ</t>
    </rPh>
    <phoneticPr fontId="2"/>
  </si>
  <si>
    <r>
      <rPr>
        <sz val="11"/>
        <color theme="1"/>
        <rFont val="ＭＳ Ｐゴシック"/>
        <family val="2"/>
        <charset val="128"/>
      </rPr>
      <t>特定技能</t>
    </r>
    <r>
      <rPr>
        <sz val="11"/>
        <color theme="1"/>
        <rFont val="Calibri"/>
        <family val="2"/>
      </rPr>
      <t>1</t>
    </r>
    <r>
      <rPr>
        <sz val="11"/>
        <color theme="1"/>
        <rFont val="ＭＳ Ｐゴシック"/>
        <family val="2"/>
        <charset val="128"/>
      </rPr>
      <t>号は</t>
    </r>
    <r>
      <rPr>
        <sz val="11"/>
        <color theme="1"/>
        <rFont val="Calibri"/>
        <family val="2"/>
      </rPr>
      <t>2027</t>
    </r>
    <r>
      <rPr>
        <sz val="11"/>
        <color theme="1"/>
        <rFont val="ＭＳ Ｐゴシック"/>
        <family val="2"/>
        <charset val="128"/>
      </rPr>
      <t>年</t>
    </r>
    <r>
      <rPr>
        <sz val="11"/>
        <color theme="1"/>
        <rFont val="Calibri"/>
        <family val="2"/>
      </rPr>
      <t>10</t>
    </r>
    <r>
      <rPr>
        <sz val="11"/>
        <color theme="1"/>
        <rFont val="ＭＳ Ｐゴシック"/>
        <family val="2"/>
        <charset val="128"/>
      </rPr>
      <t>月まで</t>
    </r>
    <rPh sb="0" eb="4">
      <t>トクテイギノウ</t>
    </rPh>
    <rPh sb="5" eb="6">
      <t>ゴウ</t>
    </rPh>
    <rPh sb="11" eb="12">
      <t>ネン</t>
    </rPh>
    <rPh sb="14" eb="15">
      <t>ガツ</t>
    </rPh>
    <phoneticPr fontId="2"/>
  </si>
  <si>
    <t>島田 苑果</t>
    <phoneticPr fontId="2"/>
  </si>
  <si>
    <t>しまだ　そのか</t>
    <phoneticPr fontId="2"/>
  </si>
  <si>
    <t>580-0046</t>
    <phoneticPr fontId="2"/>
  </si>
  <si>
    <t>大阪府松原市三宅中3-5-10</t>
    <phoneticPr fontId="2"/>
  </si>
  <si>
    <r>
      <rPr>
        <sz val="11"/>
        <color theme="1"/>
        <rFont val="ＭＳ ゴシック"/>
        <family val="3"/>
        <charset val="128"/>
      </rPr>
      <t>有期契約</t>
    </r>
    <r>
      <rPr>
        <sz val="11"/>
        <color theme="1"/>
        <rFont val="Calibri"/>
        <family val="2"/>
      </rPr>
      <t>2026.05.09</t>
    </r>
    <r>
      <rPr>
        <sz val="11"/>
        <color theme="1"/>
        <rFont val="ＭＳ ゴシック"/>
        <family val="3"/>
        <charset val="128"/>
      </rPr>
      <t>まで</t>
    </r>
    <rPh sb="0" eb="4">
      <t>ユウキケイヤク</t>
    </rPh>
    <phoneticPr fontId="2"/>
  </si>
  <si>
    <t>國重 亜寿佳</t>
    <rPh sb="0" eb="2">
      <t>クニシゲ</t>
    </rPh>
    <rPh sb="3" eb="4">
      <t>ア</t>
    </rPh>
    <rPh sb="4" eb="5">
      <t>ヒサシ</t>
    </rPh>
    <rPh sb="5" eb="6">
      <t>ヨシ</t>
    </rPh>
    <phoneticPr fontId="2"/>
  </si>
  <si>
    <t>くにしげ　あすか</t>
    <phoneticPr fontId="2"/>
  </si>
  <si>
    <t>580-0043</t>
    <phoneticPr fontId="2"/>
  </si>
  <si>
    <t>大阪府松原市阿保2-37-11</t>
    <rPh sb="0" eb="8">
      <t>580-0043</t>
    </rPh>
    <phoneticPr fontId="2"/>
  </si>
  <si>
    <r>
      <rPr>
        <sz val="11"/>
        <color theme="1"/>
        <rFont val="ＭＳ ゴシック"/>
        <family val="3"/>
        <charset val="128"/>
      </rPr>
      <t>有期契約</t>
    </r>
    <r>
      <rPr>
        <sz val="11"/>
        <color theme="1"/>
        <rFont val="Calibri"/>
        <family val="2"/>
      </rPr>
      <t>2026.05.18</t>
    </r>
    <r>
      <rPr>
        <sz val="11"/>
        <color theme="1"/>
        <rFont val="ＭＳ ゴシック"/>
        <family val="3"/>
        <charset val="128"/>
      </rPr>
      <t>まで</t>
    </r>
    <rPh sb="0" eb="4">
      <t>ユウキケイヤク</t>
    </rPh>
    <phoneticPr fontId="2"/>
  </si>
  <si>
    <r>
      <t>2026.03.31</t>
    </r>
    <r>
      <rPr>
        <sz val="11"/>
        <color theme="1"/>
        <rFont val="ＭＳ Ｐゴシック"/>
        <family val="2"/>
        <charset val="128"/>
      </rPr>
      <t>退職。</t>
    </r>
    <rPh sb="10" eb="12">
      <t>タイショク</t>
    </rPh>
    <phoneticPr fontId="2"/>
  </si>
  <si>
    <r>
      <rPr>
        <sz val="11"/>
        <color theme="1"/>
        <rFont val="ＭＳ ゴシック"/>
        <family val="3"/>
        <charset val="128"/>
      </rPr>
      <t>有期契約</t>
    </r>
    <r>
      <rPr>
        <sz val="11"/>
        <color theme="1"/>
        <rFont val="Calibri"/>
        <family val="2"/>
      </rPr>
      <t>2026.05.31</t>
    </r>
    <r>
      <rPr>
        <sz val="11"/>
        <color theme="1"/>
        <rFont val="ＭＳ ゴシック"/>
        <family val="3"/>
        <charset val="128"/>
      </rPr>
      <t>まで</t>
    </r>
    <r>
      <rPr>
        <sz val="11"/>
        <color theme="1"/>
        <rFont val="游ゴシック"/>
        <family val="2"/>
        <charset val="128"/>
      </rPr>
      <t>。</t>
    </r>
    <r>
      <rPr>
        <sz val="11"/>
        <color theme="1"/>
        <rFont val="Calibri"/>
        <family val="2"/>
        <charset val="128"/>
      </rPr>
      <t>2026.03.31</t>
    </r>
    <r>
      <rPr>
        <sz val="11"/>
        <color theme="1"/>
        <rFont val="游ゴシック"/>
        <family val="2"/>
        <charset val="128"/>
      </rPr>
      <t>退職。</t>
    </r>
    <rPh sb="0" eb="4">
      <t>ユウキケイヤク</t>
    </rPh>
    <rPh sb="27" eb="29">
      <t>タイショク</t>
    </rPh>
    <phoneticPr fontId="2"/>
  </si>
  <si>
    <t>中谷 宏子</t>
    <rPh sb="0" eb="2">
      <t>ナカタニ</t>
    </rPh>
    <rPh sb="3" eb="5">
      <t>ヒロコ</t>
    </rPh>
    <phoneticPr fontId="2"/>
  </si>
  <si>
    <t>なかたに　ひろこ</t>
    <phoneticPr fontId="2"/>
  </si>
  <si>
    <t>586-0021</t>
    <phoneticPr fontId="2"/>
  </si>
  <si>
    <t>大阪府河内長野市原町3-8-18</t>
    <rPh sb="0" eb="10">
      <t>586-0021</t>
    </rPh>
    <phoneticPr fontId="2"/>
  </si>
  <si>
    <r>
      <t>有期契約</t>
    </r>
    <r>
      <rPr>
        <sz val="11"/>
        <color theme="1"/>
        <rFont val="Calibri"/>
        <family val="3"/>
        <charset val="128"/>
      </rPr>
      <t>2026.06.30</t>
    </r>
    <r>
      <rPr>
        <sz val="11"/>
        <color theme="1"/>
        <rFont val="ＭＳ Ｐゴシック"/>
        <family val="3"/>
        <charset val="128"/>
      </rPr>
      <t>まで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</si>
</sst>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0000000"/>
    <numFmt numFmtId="177" formatCode="0_);[Red]\(0\)"/>
    <numFmt numFmtId="178" formatCode="0.00_);[Red]\(0.00\)"/>
    <numFmt numFmtId="179" formatCode="General&quot;歳&quot;"/>
    <numFmt numFmtId="180" formatCode="yyyy/m/d;@"/>
    <numFmt numFmtId="181" formatCode="&quot;(内ﾊﾟｰﾄ&quot;##&quot;人)&quot;"/>
  </numFmts>
  <fonts count="4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メイリオ"/>
      <family val="2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0"/>
      <color theme="1"/>
      <name val="ＭＳ Ｐゴシック"/>
      <family val="2"/>
      <charset val="128"/>
    </font>
    <font>
      <sz val="10"/>
      <color theme="1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1"/>
      <color theme="1"/>
      <name val="ＭＳ Ｐゴシック"/>
      <family val="2"/>
      <charset val="128"/>
    </font>
    <font>
      <strike/>
      <sz val="10"/>
      <name val="Calibri"/>
      <family val="2"/>
    </font>
    <font>
      <strike/>
      <sz val="10"/>
      <name val="ＭＳ Ｐゴシック"/>
      <family val="3"/>
      <charset val="128"/>
    </font>
    <font>
      <strike/>
      <sz val="9"/>
      <name val="Calibri"/>
      <family val="2"/>
    </font>
    <font>
      <strike/>
      <sz val="9"/>
      <name val="ＭＳ Ｐゴシック"/>
      <family val="3"/>
      <charset val="128"/>
    </font>
    <font>
      <strike/>
      <sz val="10"/>
      <color theme="1"/>
      <name val="Calibri"/>
      <family val="2"/>
    </font>
    <font>
      <strike/>
      <sz val="10"/>
      <color theme="1"/>
      <name val="ＭＳ Ｐゴシック"/>
      <family val="2"/>
      <charset val="128"/>
    </font>
    <font>
      <sz val="9"/>
      <color theme="1"/>
      <name val="ＭＳ Ｐゴシック"/>
      <family val="2"/>
      <charset val="128"/>
    </font>
    <font>
      <sz val="10"/>
      <color theme="1"/>
      <name val="Calibri"/>
      <family val="2"/>
      <charset val="128"/>
    </font>
    <font>
      <sz val="10"/>
      <color theme="1"/>
      <name val="ＭＳ ゴシック"/>
      <family val="3"/>
      <charset val="128"/>
    </font>
    <font>
      <sz val="10"/>
      <color theme="1"/>
      <name val="Calibri"/>
      <family val="3"/>
      <charset val="128"/>
    </font>
    <font>
      <strike/>
      <sz val="11"/>
      <color theme="1"/>
      <name val="ＭＳ Ｐゴシック"/>
      <family val="2"/>
      <charset val="128"/>
    </font>
    <font>
      <strike/>
      <sz val="11"/>
      <color theme="1"/>
      <name val="Calibri"/>
      <family val="2"/>
    </font>
    <font>
      <strike/>
      <sz val="9"/>
      <color theme="1"/>
      <name val="ＭＳ Ｐゴシック"/>
      <family val="2"/>
      <charset val="128"/>
    </font>
    <font>
      <strike/>
      <sz val="10"/>
      <color theme="1"/>
      <name val="Calibri"/>
      <family val="3"/>
      <charset val="128"/>
    </font>
    <font>
      <strike/>
      <sz val="10"/>
      <color theme="1"/>
      <name val="ＭＳ ゴシック"/>
      <family val="3"/>
      <charset val="128"/>
    </font>
    <font>
      <sz val="10"/>
      <color theme="1"/>
      <name val="Calibri"/>
      <family val="3"/>
    </font>
    <font>
      <b/>
      <sz val="11"/>
      <color theme="1"/>
      <name val="ＭＳ Ｐゴシック"/>
      <family val="2"/>
      <charset val="128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theme="1"/>
      <name val="ＭＳ Ｐゴシック"/>
      <family val="2"/>
      <charset val="128"/>
    </font>
    <font>
      <b/>
      <sz val="9"/>
      <color theme="1"/>
      <name val="ＭＳ Ｐゴシック"/>
      <family val="2"/>
      <charset val="128"/>
    </font>
    <font>
      <b/>
      <sz val="10"/>
      <color theme="1"/>
      <name val="ＭＳ Ｐゴシック"/>
      <family val="3"/>
      <charset val="128"/>
    </font>
    <font>
      <sz val="11"/>
      <color theme="1"/>
      <name val="Segoe UI Symbol"/>
      <family val="2"/>
    </font>
    <font>
      <b/>
      <sz val="11"/>
      <color theme="1"/>
      <name val="ＭＳ Ｐゴシック"/>
      <family val="3"/>
      <charset val="128"/>
    </font>
    <font>
      <sz val="11"/>
      <color theme="1"/>
      <name val="Calibri"/>
      <family val="2"/>
      <charset val="128"/>
    </font>
    <font>
      <sz val="11"/>
      <color theme="1"/>
      <name val="游ゴシック"/>
      <family val="2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游ゴシック"/>
      <family val="3"/>
      <charset val="128"/>
    </font>
    <font>
      <sz val="11"/>
      <color theme="1"/>
      <name val="Calibr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7" fontId="6" fillId="2" borderId="1" xfId="0" applyNumberFormat="1" applyFont="1" applyFill="1" applyBorder="1" applyAlignment="1">
      <alignment horizontal="center" vertical="center" wrapText="1"/>
    </xf>
    <xf numFmtId="177" fontId="7" fillId="2" borderId="1" xfId="0" applyNumberFormat="1" applyFont="1" applyFill="1" applyBorder="1" applyAlignment="1">
      <alignment horizontal="center" vertical="center" wrapText="1"/>
    </xf>
    <xf numFmtId="178" fontId="6" fillId="3" borderId="1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76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left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>
      <alignment vertical="center"/>
    </xf>
    <xf numFmtId="176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left" vertical="center"/>
    </xf>
    <xf numFmtId="0" fontId="14" fillId="0" borderId="0" xfId="0" applyFont="1">
      <alignment vertical="center"/>
    </xf>
    <xf numFmtId="14" fontId="19" fillId="0" borderId="1" xfId="0" applyNumberFormat="1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0" fillId="4" borderId="1" xfId="0" applyFont="1" applyFill="1" applyBorder="1">
      <alignment vertical="center"/>
    </xf>
    <xf numFmtId="0" fontId="14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1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26" fillId="0" borderId="1" xfId="0" applyFont="1" applyBorder="1">
      <alignment vertical="center"/>
    </xf>
    <xf numFmtId="176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8" fillId="0" borderId="1" xfId="0" applyFont="1" applyBorder="1">
      <alignment vertical="center"/>
    </xf>
    <xf numFmtId="14" fontId="8" fillId="0" borderId="0" xfId="0" applyNumberFormat="1" applyFont="1">
      <alignment vertical="center"/>
    </xf>
    <xf numFmtId="176" fontId="6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178" fontId="11" fillId="3" borderId="1" xfId="0" applyNumberFormat="1" applyFont="1" applyFill="1" applyBorder="1" applyAlignment="1">
      <alignment horizontal="center" vertical="center" wrapText="1"/>
    </xf>
    <xf numFmtId="179" fontId="6" fillId="0" borderId="1" xfId="0" applyNumberFormat="1" applyFont="1" applyBorder="1" applyAlignment="1">
      <alignment horizontal="center" vertical="center"/>
    </xf>
    <xf numFmtId="14" fontId="8" fillId="0" borderId="1" xfId="0" applyNumberFormat="1" applyFont="1" applyBorder="1">
      <alignment vertical="center"/>
    </xf>
    <xf numFmtId="0" fontId="31" fillId="0" borderId="0" xfId="0" applyFont="1">
      <alignment vertical="center"/>
    </xf>
    <xf numFmtId="0" fontId="32" fillId="0" borderId="0" xfId="0" applyFont="1">
      <alignment vertical="center"/>
    </xf>
    <xf numFmtId="176" fontId="33" fillId="0" borderId="0" xfId="0" applyNumberFormat="1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11" fillId="4" borderId="1" xfId="0" applyFont="1" applyFill="1" applyBorder="1">
      <alignment vertical="center"/>
    </xf>
    <xf numFmtId="177" fontId="6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80" fontId="11" fillId="3" borderId="1" xfId="0" applyNumberFormat="1" applyFont="1" applyFill="1" applyBorder="1" applyAlignment="1">
      <alignment horizontal="center" vertical="center" wrapText="1"/>
    </xf>
    <xf numFmtId="180" fontId="6" fillId="0" borderId="1" xfId="0" applyNumberFormat="1" applyFont="1" applyBorder="1" applyAlignment="1">
      <alignment horizontal="center" vertical="center"/>
    </xf>
    <xf numFmtId="180" fontId="6" fillId="0" borderId="0" xfId="0" applyNumberFormat="1" applyFont="1" applyAlignment="1">
      <alignment horizontal="center" vertical="center"/>
    </xf>
    <xf numFmtId="180" fontId="33" fillId="0" borderId="0" xfId="0" applyNumberFormat="1" applyFont="1" applyAlignment="1">
      <alignment horizontal="center" vertical="center"/>
    </xf>
    <xf numFmtId="180" fontId="8" fillId="0" borderId="0" xfId="0" applyNumberFormat="1" applyFont="1">
      <alignment vertical="center"/>
    </xf>
    <xf numFmtId="180" fontId="9" fillId="0" borderId="1" xfId="0" applyNumberFormat="1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>
      <alignment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81" fontId="32" fillId="0" borderId="0" xfId="0" applyNumberFormat="1" applyFont="1">
      <alignment vertical="center"/>
    </xf>
    <xf numFmtId="0" fontId="37" fillId="0" borderId="1" xfId="0" applyFont="1" applyBorder="1" applyAlignment="1">
      <alignment horizontal="center" vertical="center"/>
    </xf>
    <xf numFmtId="0" fontId="38" fillId="0" borderId="0" xfId="0" applyFont="1">
      <alignment vertical="center"/>
    </xf>
    <xf numFmtId="0" fontId="39" fillId="0" borderId="0" xfId="0" applyFont="1">
      <alignment vertical="center"/>
    </xf>
    <xf numFmtId="179" fontId="12" fillId="0" borderId="1" xfId="0" applyNumberFormat="1" applyFont="1" applyBorder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0" fontId="41" fillId="0" borderId="0" xfId="0" applyFont="1">
      <alignment vertical="center"/>
    </xf>
    <xf numFmtId="14" fontId="12" fillId="0" borderId="1" xfId="0" applyNumberFormat="1" applyFont="1" applyBorder="1" applyAlignment="1">
      <alignment horizontal="center" vertical="center"/>
    </xf>
    <xf numFmtId="0" fontId="41" fillId="0" borderId="1" xfId="0" applyFont="1" applyBorder="1">
      <alignment vertical="center"/>
    </xf>
    <xf numFmtId="178" fontId="12" fillId="3" borderId="1" xfId="0" applyNumberFormat="1" applyFont="1" applyFill="1" applyBorder="1" applyAlignment="1">
      <alignment horizontal="center" vertical="center" wrapText="1"/>
    </xf>
    <xf numFmtId="0" fontId="4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F3EC-F6C9-401D-8546-2F581F1C0DC0}">
  <dimension ref="A1:N83"/>
  <sheetViews>
    <sheetView tabSelected="1" workbookViewId="0">
      <pane ySplit="1" topLeftCell="A2" activePane="bottomLeft" state="frozen"/>
      <selection pane="bottomLeft" activeCell="D29" sqref="D29"/>
    </sheetView>
  </sheetViews>
  <sheetFormatPr defaultColWidth="9" defaultRowHeight="15" x14ac:dyDescent="0.15"/>
  <cols>
    <col min="1" max="1" width="11.75" style="5" customWidth="1"/>
    <col min="2" max="2" width="13.125" style="5" customWidth="1"/>
    <col min="3" max="3" width="13.625" style="5" bestFit="1" customWidth="1"/>
    <col min="4" max="4" width="16.125" style="5" bestFit="1" customWidth="1"/>
    <col min="5" max="5" width="14" style="5" bestFit="1" customWidth="1"/>
    <col min="6" max="6" width="10.25" style="5" bestFit="1" customWidth="1"/>
    <col min="7" max="7" width="9.375" style="96" customWidth="1"/>
    <col min="8" max="8" width="9.375" style="78" customWidth="1"/>
    <col min="9" max="9" width="9.625" style="5" customWidth="1"/>
    <col min="10" max="10" width="48.75" style="5" customWidth="1"/>
    <col min="11" max="12" width="9" style="5"/>
    <col min="13" max="13" width="15.125" style="5" customWidth="1"/>
    <col min="14" max="16384" width="9" style="5"/>
  </cols>
  <sheetData>
    <row r="1" spans="1:12" x14ac:dyDescent="0.15">
      <c r="A1" s="28" t="s">
        <v>88</v>
      </c>
      <c r="B1" s="28" t="s">
        <v>72</v>
      </c>
      <c r="C1" s="1" t="s">
        <v>30</v>
      </c>
      <c r="D1" s="2" t="s">
        <v>31</v>
      </c>
      <c r="E1" s="3" t="s">
        <v>32</v>
      </c>
      <c r="F1" s="4" t="s">
        <v>33</v>
      </c>
      <c r="G1" s="99" t="s">
        <v>132</v>
      </c>
      <c r="H1" s="74" t="s">
        <v>172</v>
      </c>
      <c r="I1" s="4" t="s">
        <v>34</v>
      </c>
      <c r="J1" s="4" t="s">
        <v>35</v>
      </c>
      <c r="K1" s="4" t="s">
        <v>235</v>
      </c>
      <c r="L1" s="4" t="s">
        <v>236</v>
      </c>
    </row>
    <row r="2" spans="1:12" ht="16.5" x14ac:dyDescent="0.15">
      <c r="A2" s="28" t="s">
        <v>94</v>
      </c>
      <c r="B2" s="28" t="s">
        <v>238</v>
      </c>
      <c r="C2" s="73">
        <v>3002</v>
      </c>
      <c r="D2" s="83" t="s">
        <v>13</v>
      </c>
      <c r="E2" s="86" t="s">
        <v>14</v>
      </c>
      <c r="F2" s="9">
        <v>29947</v>
      </c>
      <c r="G2" s="93">
        <f ca="1">DATEDIF(F2,TODAY(),"Y")</f>
        <v>44</v>
      </c>
      <c r="H2" s="75">
        <v>42491</v>
      </c>
      <c r="I2" s="10" t="s">
        <v>1</v>
      </c>
      <c r="J2" s="11" t="s">
        <v>26</v>
      </c>
      <c r="K2" s="90" t="s">
        <v>237</v>
      </c>
      <c r="L2" s="90" t="s">
        <v>237</v>
      </c>
    </row>
    <row r="3" spans="1:12" ht="16.5" x14ac:dyDescent="0.15">
      <c r="A3" s="28" t="s">
        <v>94</v>
      </c>
      <c r="B3" s="28" t="s">
        <v>131</v>
      </c>
      <c r="C3" s="73">
        <v>3003</v>
      </c>
      <c r="D3" s="83" t="s">
        <v>15</v>
      </c>
      <c r="E3" s="86" t="s">
        <v>16</v>
      </c>
      <c r="F3" s="9">
        <v>25555</v>
      </c>
      <c r="G3" s="93">
        <f t="shared" ref="G3:G25" ca="1" si="0">DATEDIF(F3,TODAY(),"Y")</f>
        <v>56</v>
      </c>
      <c r="H3" s="75">
        <v>42491</v>
      </c>
      <c r="I3" s="10" t="s">
        <v>2</v>
      </c>
      <c r="J3" s="11" t="s">
        <v>27</v>
      </c>
      <c r="K3" s="90" t="s">
        <v>237</v>
      </c>
      <c r="L3" s="90" t="s">
        <v>237</v>
      </c>
    </row>
    <row r="4" spans="1:12" ht="16.5" x14ac:dyDescent="0.15">
      <c r="A4" s="28" t="s">
        <v>94</v>
      </c>
      <c r="B4" s="29"/>
      <c r="C4" s="73">
        <v>3010</v>
      </c>
      <c r="D4" s="83" t="s">
        <v>21</v>
      </c>
      <c r="E4" s="86" t="s">
        <v>22</v>
      </c>
      <c r="F4" s="12">
        <v>36180</v>
      </c>
      <c r="G4" s="93">
        <f t="shared" ca="1" si="0"/>
        <v>27</v>
      </c>
      <c r="H4" s="75">
        <v>42826</v>
      </c>
      <c r="I4" s="13" t="s">
        <v>6</v>
      </c>
      <c r="J4" s="14" t="s">
        <v>36</v>
      </c>
      <c r="K4" s="90" t="s">
        <v>237</v>
      </c>
      <c r="L4" s="90" t="s">
        <v>237</v>
      </c>
    </row>
    <row r="5" spans="1:12" ht="16.5" x14ac:dyDescent="0.15">
      <c r="A5" s="28" t="s">
        <v>94</v>
      </c>
      <c r="B5" s="29"/>
      <c r="C5" s="72">
        <v>3016</v>
      </c>
      <c r="D5" s="82" t="s">
        <v>44</v>
      </c>
      <c r="E5" s="87" t="s">
        <v>45</v>
      </c>
      <c r="F5" s="12">
        <v>25629</v>
      </c>
      <c r="G5" s="93">
        <f t="shared" ca="1" si="0"/>
        <v>56</v>
      </c>
      <c r="H5" s="75">
        <v>43709</v>
      </c>
      <c r="I5" s="13" t="s">
        <v>10</v>
      </c>
      <c r="J5" s="14" t="s">
        <v>46</v>
      </c>
      <c r="K5" s="90" t="s">
        <v>237</v>
      </c>
      <c r="L5" s="90" t="s">
        <v>237</v>
      </c>
    </row>
    <row r="6" spans="1:12" ht="16.5" x14ac:dyDescent="0.15">
      <c r="A6" s="28" t="s">
        <v>94</v>
      </c>
      <c r="B6" s="28" t="s">
        <v>120</v>
      </c>
      <c r="C6" s="72">
        <v>3018</v>
      </c>
      <c r="D6" s="82" t="s">
        <v>78</v>
      </c>
      <c r="E6" s="85" t="s">
        <v>82</v>
      </c>
      <c r="F6" s="12">
        <v>26477</v>
      </c>
      <c r="G6" s="93">
        <f t="shared" ca="1" si="0"/>
        <v>53</v>
      </c>
      <c r="H6" s="75"/>
      <c r="I6" s="13" t="s">
        <v>97</v>
      </c>
      <c r="J6" s="37" t="s">
        <v>98</v>
      </c>
      <c r="K6" s="90" t="s">
        <v>237</v>
      </c>
      <c r="L6" s="90" t="s">
        <v>237</v>
      </c>
    </row>
    <row r="7" spans="1:12" ht="16.5" x14ac:dyDescent="0.15">
      <c r="A7" s="28" t="s">
        <v>94</v>
      </c>
      <c r="B7" s="29"/>
      <c r="C7" s="72">
        <v>3019</v>
      </c>
      <c r="D7" s="84" t="s">
        <v>331</v>
      </c>
      <c r="E7" s="85" t="s">
        <v>83</v>
      </c>
      <c r="F7" s="12">
        <v>38031</v>
      </c>
      <c r="G7" s="93">
        <f t="shared" ca="1" si="0"/>
        <v>22</v>
      </c>
      <c r="H7" s="75">
        <v>44652</v>
      </c>
      <c r="I7" s="13" t="s">
        <v>99</v>
      </c>
      <c r="J7" s="37" t="s">
        <v>100</v>
      </c>
      <c r="K7" s="90" t="s">
        <v>237</v>
      </c>
      <c r="L7" s="90" t="s">
        <v>237</v>
      </c>
    </row>
    <row r="8" spans="1:12" ht="16.5" x14ac:dyDescent="0.15">
      <c r="A8" s="28" t="s">
        <v>111</v>
      </c>
      <c r="B8" s="28" t="s">
        <v>131</v>
      </c>
      <c r="C8" s="72">
        <v>3022</v>
      </c>
      <c r="D8" s="84" t="s">
        <v>86</v>
      </c>
      <c r="E8" s="85" t="s">
        <v>87</v>
      </c>
      <c r="F8" s="12">
        <v>23831</v>
      </c>
      <c r="G8" s="93">
        <f t="shared" ca="1" si="0"/>
        <v>60</v>
      </c>
      <c r="H8" s="75">
        <v>44713</v>
      </c>
      <c r="I8" s="13" t="s">
        <v>105</v>
      </c>
      <c r="J8" s="37" t="s">
        <v>109</v>
      </c>
      <c r="K8" s="90" t="s">
        <v>237</v>
      </c>
      <c r="L8" s="90" t="s">
        <v>237</v>
      </c>
    </row>
    <row r="9" spans="1:12" ht="16.5" x14ac:dyDescent="0.15">
      <c r="A9" s="28" t="s">
        <v>111</v>
      </c>
      <c r="B9" s="28" t="s">
        <v>131</v>
      </c>
      <c r="C9" s="72">
        <v>3027</v>
      </c>
      <c r="D9" s="84" t="s">
        <v>116</v>
      </c>
      <c r="E9" s="85" t="s">
        <v>117</v>
      </c>
      <c r="F9" s="12">
        <v>33737</v>
      </c>
      <c r="G9" s="93">
        <f t="shared" ca="1" si="0"/>
        <v>33</v>
      </c>
      <c r="H9" s="75">
        <v>44774</v>
      </c>
      <c r="I9" s="13" t="s">
        <v>118</v>
      </c>
      <c r="J9" s="39" t="s">
        <v>119</v>
      </c>
      <c r="K9" s="90" t="s">
        <v>237</v>
      </c>
      <c r="L9" s="90" t="s">
        <v>237</v>
      </c>
    </row>
    <row r="10" spans="1:12" ht="16.5" x14ac:dyDescent="0.15">
      <c r="A10" s="28" t="s">
        <v>111</v>
      </c>
      <c r="B10" s="29"/>
      <c r="C10" s="72">
        <v>3031</v>
      </c>
      <c r="D10" s="84" t="s">
        <v>141</v>
      </c>
      <c r="E10" s="85" t="s">
        <v>143</v>
      </c>
      <c r="F10" s="12">
        <v>36340</v>
      </c>
      <c r="G10" s="93">
        <f t="shared" ca="1" si="0"/>
        <v>26</v>
      </c>
      <c r="H10" s="75">
        <v>45170</v>
      </c>
      <c r="I10" s="13" t="s">
        <v>155</v>
      </c>
      <c r="J10" s="39" t="s">
        <v>156</v>
      </c>
      <c r="K10" s="90" t="s">
        <v>237</v>
      </c>
      <c r="L10" s="90" t="s">
        <v>237</v>
      </c>
    </row>
    <row r="11" spans="1:12" ht="16.5" x14ac:dyDescent="0.15">
      <c r="A11" s="28" t="s">
        <v>111</v>
      </c>
      <c r="B11" s="29"/>
      <c r="C11" s="72">
        <v>3032</v>
      </c>
      <c r="D11" s="84" t="s">
        <v>144</v>
      </c>
      <c r="E11" s="85" t="s">
        <v>145</v>
      </c>
      <c r="F11" s="12">
        <v>34037</v>
      </c>
      <c r="G11" s="93">
        <f t="shared" ca="1" si="0"/>
        <v>33</v>
      </c>
      <c r="H11" s="75">
        <v>45200</v>
      </c>
      <c r="I11" s="13" t="s">
        <v>157</v>
      </c>
      <c r="J11" s="39" t="s">
        <v>158</v>
      </c>
      <c r="K11" s="90" t="s">
        <v>237</v>
      </c>
      <c r="L11" s="90" t="s">
        <v>237</v>
      </c>
    </row>
    <row r="12" spans="1:12" ht="16.5" x14ac:dyDescent="0.15">
      <c r="A12" s="28" t="s">
        <v>111</v>
      </c>
      <c r="B12" s="29"/>
      <c r="C12" s="72">
        <v>3033</v>
      </c>
      <c r="D12" s="84" t="s">
        <v>146</v>
      </c>
      <c r="E12" s="85" t="s">
        <v>147</v>
      </c>
      <c r="F12" s="12">
        <v>28955</v>
      </c>
      <c r="G12" s="93">
        <f t="shared" ca="1" si="0"/>
        <v>46</v>
      </c>
      <c r="H12" s="75">
        <v>45200</v>
      </c>
      <c r="I12" s="13" t="s">
        <v>160</v>
      </c>
      <c r="J12" s="39" t="s">
        <v>159</v>
      </c>
      <c r="K12" s="90" t="s">
        <v>237</v>
      </c>
      <c r="L12" s="90" t="s">
        <v>237</v>
      </c>
    </row>
    <row r="13" spans="1:12" ht="16.5" x14ac:dyDescent="0.15">
      <c r="A13" s="28" t="s">
        <v>111</v>
      </c>
      <c r="B13" s="29"/>
      <c r="C13" s="72">
        <v>3036</v>
      </c>
      <c r="D13" s="84" t="s">
        <v>174</v>
      </c>
      <c r="E13" s="85" t="s">
        <v>175</v>
      </c>
      <c r="F13" s="12">
        <v>32169</v>
      </c>
      <c r="G13" s="93">
        <f t="shared" ca="1" si="0"/>
        <v>38</v>
      </c>
      <c r="H13" s="75">
        <v>45383</v>
      </c>
      <c r="I13" s="13" t="s">
        <v>176</v>
      </c>
      <c r="J13" s="39" t="s">
        <v>177</v>
      </c>
      <c r="K13" s="90" t="s">
        <v>237</v>
      </c>
      <c r="L13" s="90" t="s">
        <v>237</v>
      </c>
    </row>
    <row r="14" spans="1:12" ht="16.5" x14ac:dyDescent="0.15">
      <c r="A14" s="28" t="s">
        <v>111</v>
      </c>
      <c r="B14" s="29"/>
      <c r="C14" s="72">
        <v>3040</v>
      </c>
      <c r="D14" s="84" t="s">
        <v>272</v>
      </c>
      <c r="E14" s="85" t="s">
        <v>262</v>
      </c>
      <c r="F14" s="12">
        <v>35326</v>
      </c>
      <c r="G14" s="93">
        <f t="shared" ca="1" si="0"/>
        <v>29</v>
      </c>
      <c r="H14" s="75">
        <v>45505</v>
      </c>
      <c r="I14" s="13" t="s">
        <v>263</v>
      </c>
      <c r="J14" s="39" t="s">
        <v>264</v>
      </c>
      <c r="K14" s="90" t="s">
        <v>237</v>
      </c>
      <c r="L14" s="90" t="s">
        <v>237</v>
      </c>
    </row>
    <row r="15" spans="1:12" ht="16.5" x14ac:dyDescent="0.15">
      <c r="A15" s="28" t="s">
        <v>133</v>
      </c>
      <c r="B15" s="28" t="s">
        <v>238</v>
      </c>
      <c r="C15" s="72">
        <v>3013</v>
      </c>
      <c r="D15" s="82" t="s">
        <v>38</v>
      </c>
      <c r="E15" s="87" t="s">
        <v>39</v>
      </c>
      <c r="F15" s="12">
        <v>28672</v>
      </c>
      <c r="G15" s="93">
        <f t="shared" ca="1" si="0"/>
        <v>47</v>
      </c>
      <c r="H15" s="75">
        <v>43211</v>
      </c>
      <c r="I15" s="13" t="s">
        <v>8</v>
      </c>
      <c r="J15" s="38" t="s">
        <v>166</v>
      </c>
      <c r="K15" s="90" t="s">
        <v>237</v>
      </c>
      <c r="L15" s="90" t="s">
        <v>237</v>
      </c>
    </row>
    <row r="16" spans="1:12" ht="16.5" x14ac:dyDescent="0.15">
      <c r="A16" s="28" t="s">
        <v>133</v>
      </c>
      <c r="B16" s="29"/>
      <c r="C16" s="72">
        <v>3020</v>
      </c>
      <c r="D16" s="82" t="s">
        <v>80</v>
      </c>
      <c r="E16" s="85" t="s">
        <v>84</v>
      </c>
      <c r="F16" s="12">
        <v>34662</v>
      </c>
      <c r="G16" s="93">
        <f t="shared" ca="1" si="0"/>
        <v>31</v>
      </c>
      <c r="H16" s="75">
        <v>44652</v>
      </c>
      <c r="I16" s="13" t="s">
        <v>134</v>
      </c>
      <c r="J16" s="37" t="s">
        <v>161</v>
      </c>
      <c r="K16" s="90" t="s">
        <v>237</v>
      </c>
      <c r="L16" s="90" t="s">
        <v>237</v>
      </c>
    </row>
    <row r="17" spans="1:13" ht="16.5" x14ac:dyDescent="0.15">
      <c r="A17" s="28" t="s">
        <v>133</v>
      </c>
      <c r="B17" s="29"/>
      <c r="C17" s="72">
        <v>3024</v>
      </c>
      <c r="D17" s="84" t="s">
        <v>92</v>
      </c>
      <c r="E17" s="85"/>
      <c r="F17" s="12">
        <v>32924</v>
      </c>
      <c r="G17" s="93">
        <f t="shared" ca="1" si="0"/>
        <v>36</v>
      </c>
      <c r="H17" s="75" t="s">
        <v>173</v>
      </c>
      <c r="I17" s="13" t="s">
        <v>139</v>
      </c>
      <c r="J17" s="38" t="s">
        <v>140</v>
      </c>
      <c r="K17" s="90" t="s">
        <v>237</v>
      </c>
      <c r="L17" s="90" t="s">
        <v>237</v>
      </c>
      <c r="M17" s="92" t="s">
        <v>342</v>
      </c>
    </row>
    <row r="18" spans="1:13" ht="16.5" x14ac:dyDescent="0.15">
      <c r="A18" s="28" t="s">
        <v>133</v>
      </c>
      <c r="B18" s="29"/>
      <c r="C18" s="72">
        <v>3030</v>
      </c>
      <c r="D18" s="84" t="s">
        <v>142</v>
      </c>
      <c r="E18" s="85" t="s">
        <v>136</v>
      </c>
      <c r="F18" s="12">
        <v>32161</v>
      </c>
      <c r="G18" s="93">
        <f t="shared" ca="1" si="0"/>
        <v>38</v>
      </c>
      <c r="H18" s="75">
        <v>45161</v>
      </c>
      <c r="I18" s="13" t="s">
        <v>137</v>
      </c>
      <c r="J18" s="39" t="s">
        <v>138</v>
      </c>
      <c r="K18" s="90" t="s">
        <v>237</v>
      </c>
      <c r="L18" s="90" t="s">
        <v>237</v>
      </c>
    </row>
    <row r="19" spans="1:13" ht="16.5" x14ac:dyDescent="0.15">
      <c r="A19" s="28" t="s">
        <v>133</v>
      </c>
      <c r="B19" s="29"/>
      <c r="C19" s="72">
        <v>3034</v>
      </c>
      <c r="D19" s="84" t="s">
        <v>163</v>
      </c>
      <c r="E19" s="85" t="s">
        <v>162</v>
      </c>
      <c r="F19" s="12">
        <v>32719</v>
      </c>
      <c r="G19" s="93">
        <f t="shared" ca="1" si="0"/>
        <v>36</v>
      </c>
      <c r="H19" s="75">
        <v>45264</v>
      </c>
      <c r="I19" s="13" t="s">
        <v>164</v>
      </c>
      <c r="J19" s="39" t="s">
        <v>165</v>
      </c>
      <c r="K19" s="90" t="s">
        <v>237</v>
      </c>
      <c r="L19" s="90" t="s">
        <v>237</v>
      </c>
    </row>
    <row r="20" spans="1:13" ht="16.5" x14ac:dyDescent="0.15">
      <c r="A20" s="28" t="s">
        <v>133</v>
      </c>
      <c r="B20" s="29"/>
      <c r="C20" s="72">
        <v>3038</v>
      </c>
      <c r="D20" s="84" t="s">
        <v>232</v>
      </c>
      <c r="E20" s="85" t="s">
        <v>233</v>
      </c>
      <c r="F20" s="12">
        <v>37258</v>
      </c>
      <c r="G20" s="93">
        <f t="shared" ca="1" si="0"/>
        <v>24</v>
      </c>
      <c r="H20" s="75">
        <v>45444</v>
      </c>
      <c r="I20" s="13" t="s">
        <v>202</v>
      </c>
      <c r="J20" s="39" t="s">
        <v>234</v>
      </c>
      <c r="K20" s="90" t="s">
        <v>237</v>
      </c>
      <c r="L20" s="90" t="s">
        <v>237</v>
      </c>
    </row>
    <row r="21" spans="1:13" ht="16.5" x14ac:dyDescent="0.15">
      <c r="A21" s="28" t="s">
        <v>133</v>
      </c>
      <c r="B21" s="29"/>
      <c r="C21" s="72">
        <v>3042</v>
      </c>
      <c r="D21" s="84" t="s">
        <v>306</v>
      </c>
      <c r="E21" s="85" t="s">
        <v>307</v>
      </c>
      <c r="F21" s="12">
        <v>30001</v>
      </c>
      <c r="G21" s="93">
        <f t="shared" ca="1" si="0"/>
        <v>44</v>
      </c>
      <c r="H21" s="75">
        <v>45580</v>
      </c>
      <c r="I21" s="13" t="s">
        <v>308</v>
      </c>
      <c r="J21" s="39" t="s">
        <v>309</v>
      </c>
      <c r="K21" s="90" t="s">
        <v>237</v>
      </c>
      <c r="L21" s="90" t="s">
        <v>237</v>
      </c>
    </row>
    <row r="22" spans="1:13" ht="16.5" x14ac:dyDescent="0.15">
      <c r="A22" s="28" t="s">
        <v>133</v>
      </c>
      <c r="B22" s="29"/>
      <c r="C22" s="72">
        <v>3043</v>
      </c>
      <c r="D22" s="84" t="s">
        <v>311</v>
      </c>
      <c r="E22" s="85" t="s">
        <v>312</v>
      </c>
      <c r="F22" s="12">
        <v>33007</v>
      </c>
      <c r="G22" s="93">
        <f t="shared" ca="1" si="0"/>
        <v>35</v>
      </c>
      <c r="H22" s="75">
        <v>45597</v>
      </c>
      <c r="I22" s="13" t="s">
        <v>275</v>
      </c>
      <c r="J22" s="39" t="s">
        <v>314</v>
      </c>
      <c r="K22" s="90" t="s">
        <v>237</v>
      </c>
      <c r="L22" s="90" t="s">
        <v>237</v>
      </c>
    </row>
    <row r="23" spans="1:13" ht="16.5" x14ac:dyDescent="0.15">
      <c r="A23" s="28" t="s">
        <v>133</v>
      </c>
      <c r="B23" s="28" t="s">
        <v>167</v>
      </c>
      <c r="C23" s="72">
        <v>3806</v>
      </c>
      <c r="D23" s="84" t="s">
        <v>168</v>
      </c>
      <c r="E23" s="85" t="s">
        <v>169</v>
      </c>
      <c r="F23" s="12">
        <v>37033</v>
      </c>
      <c r="G23" s="93">
        <f t="shared" ca="1" si="0"/>
        <v>24</v>
      </c>
      <c r="H23" s="75">
        <v>45335</v>
      </c>
      <c r="I23" s="13" t="s">
        <v>170</v>
      </c>
      <c r="J23" s="39" t="s">
        <v>171</v>
      </c>
      <c r="K23" s="90" t="s">
        <v>237</v>
      </c>
      <c r="L23" s="90" t="s">
        <v>237</v>
      </c>
      <c r="M23" s="92" t="s">
        <v>337</v>
      </c>
    </row>
    <row r="24" spans="1:13" ht="16.5" x14ac:dyDescent="0.15">
      <c r="A24" s="28" t="s">
        <v>133</v>
      </c>
      <c r="B24" s="28" t="s">
        <v>167</v>
      </c>
      <c r="C24" s="72">
        <v>3813</v>
      </c>
      <c r="D24" s="84" t="s">
        <v>187</v>
      </c>
      <c r="E24" s="85" t="s">
        <v>194</v>
      </c>
      <c r="F24" s="12">
        <v>38187</v>
      </c>
      <c r="G24" s="93">
        <f t="shared" ca="1" si="0"/>
        <v>21</v>
      </c>
      <c r="H24" s="75">
        <v>45348</v>
      </c>
      <c r="I24" s="13" t="s">
        <v>205</v>
      </c>
      <c r="J24" s="39" t="s">
        <v>310</v>
      </c>
      <c r="K24" s="29"/>
      <c r="L24" s="90" t="s">
        <v>237</v>
      </c>
      <c r="M24" s="92" t="s">
        <v>339</v>
      </c>
    </row>
    <row r="25" spans="1:13" ht="16.5" x14ac:dyDescent="0.15">
      <c r="A25" s="28" t="s">
        <v>133</v>
      </c>
      <c r="B25" s="28" t="s">
        <v>167</v>
      </c>
      <c r="C25" s="72">
        <v>3821</v>
      </c>
      <c r="D25" s="88" t="s">
        <v>228</v>
      </c>
      <c r="E25" s="85" t="s">
        <v>229</v>
      </c>
      <c r="F25" s="12">
        <v>34275</v>
      </c>
      <c r="G25" s="93">
        <f t="shared" ca="1" si="0"/>
        <v>32</v>
      </c>
      <c r="H25" s="75">
        <v>45444</v>
      </c>
      <c r="I25" s="13" t="s">
        <v>230</v>
      </c>
      <c r="J25" s="39" t="s">
        <v>231</v>
      </c>
      <c r="K25" s="29"/>
      <c r="L25" s="90" t="s">
        <v>237</v>
      </c>
      <c r="M25" s="92" t="s">
        <v>338</v>
      </c>
    </row>
    <row r="26" spans="1:13" ht="16.5" x14ac:dyDescent="0.15">
      <c r="A26" s="28" t="s">
        <v>133</v>
      </c>
      <c r="B26" s="28" t="s">
        <v>167</v>
      </c>
      <c r="C26" s="72">
        <v>3829</v>
      </c>
      <c r="D26" s="84" t="s">
        <v>277</v>
      </c>
      <c r="E26" s="85" t="s">
        <v>278</v>
      </c>
      <c r="F26" s="12">
        <v>34266</v>
      </c>
      <c r="G26" s="93">
        <f t="shared" ref="G26" ca="1" si="1">DATEDIF(F26,TODAY(),"Y")</f>
        <v>32</v>
      </c>
      <c r="H26" s="75">
        <v>45537</v>
      </c>
      <c r="I26" s="13" t="s">
        <v>279</v>
      </c>
      <c r="J26" s="39" t="s">
        <v>280</v>
      </c>
      <c r="K26" s="90"/>
      <c r="L26" s="90" t="s">
        <v>237</v>
      </c>
      <c r="M26" s="92" t="s">
        <v>340</v>
      </c>
    </row>
    <row r="27" spans="1:13" ht="16.5" x14ac:dyDescent="0.15">
      <c r="A27" s="28" t="s">
        <v>133</v>
      </c>
      <c r="B27" s="28" t="s">
        <v>167</v>
      </c>
      <c r="C27" s="72">
        <v>3836</v>
      </c>
      <c r="D27" s="84" t="s">
        <v>343</v>
      </c>
      <c r="E27" s="85" t="s">
        <v>344</v>
      </c>
      <c r="F27" s="12">
        <v>37736</v>
      </c>
      <c r="G27" s="93">
        <f t="shared" ref="G27:G29" ca="1" si="2">DATEDIF(F27,TODAY(),"Y")</f>
        <v>22</v>
      </c>
      <c r="H27" s="75">
        <v>46062</v>
      </c>
      <c r="I27" s="13" t="s">
        <v>345</v>
      </c>
      <c r="J27" s="39" t="s">
        <v>346</v>
      </c>
      <c r="K27" s="90"/>
      <c r="L27" s="90" t="s">
        <v>237</v>
      </c>
      <c r="M27" s="100" t="s">
        <v>347</v>
      </c>
    </row>
    <row r="28" spans="1:13" ht="16.5" x14ac:dyDescent="0.15">
      <c r="A28" s="28" t="s">
        <v>133</v>
      </c>
      <c r="B28" s="28" t="s">
        <v>167</v>
      </c>
      <c r="C28" s="72">
        <v>3837</v>
      </c>
      <c r="D28" s="84" t="s">
        <v>348</v>
      </c>
      <c r="E28" s="85" t="s">
        <v>349</v>
      </c>
      <c r="F28" s="12">
        <v>33638</v>
      </c>
      <c r="G28" s="93">
        <f t="shared" ca="1" si="2"/>
        <v>34</v>
      </c>
      <c r="H28" s="75">
        <v>46072</v>
      </c>
      <c r="I28" s="13" t="s">
        <v>350</v>
      </c>
      <c r="J28" s="39" t="s">
        <v>351</v>
      </c>
      <c r="K28" s="90"/>
      <c r="L28" s="90"/>
      <c r="M28" s="100" t="s">
        <v>352</v>
      </c>
    </row>
    <row r="29" spans="1:13" ht="16.5" x14ac:dyDescent="0.15">
      <c r="A29" s="28" t="s">
        <v>133</v>
      </c>
      <c r="B29" s="28" t="s">
        <v>167</v>
      </c>
      <c r="C29" s="72">
        <v>3838</v>
      </c>
      <c r="D29" s="84" t="s">
        <v>355</v>
      </c>
      <c r="E29" s="85" t="s">
        <v>356</v>
      </c>
      <c r="F29" s="12">
        <v>30190</v>
      </c>
      <c r="G29" s="93">
        <f t="shared" ca="1" si="2"/>
        <v>43</v>
      </c>
      <c r="H29" s="75">
        <v>46113</v>
      </c>
      <c r="I29" s="13" t="s">
        <v>357</v>
      </c>
      <c r="J29" s="39" t="s">
        <v>358</v>
      </c>
      <c r="K29" s="90"/>
      <c r="L29" s="90"/>
      <c r="M29" s="96" t="s">
        <v>359</v>
      </c>
    </row>
    <row r="30" spans="1:13" ht="16.5" x14ac:dyDescent="0.15">
      <c r="A30" s="28"/>
      <c r="B30" s="28"/>
      <c r="C30" s="72"/>
      <c r="D30" s="84"/>
      <c r="E30" s="85"/>
      <c r="F30" s="12"/>
      <c r="G30" s="93"/>
      <c r="H30" s="75"/>
      <c r="I30" s="13"/>
      <c r="J30" s="39"/>
      <c r="K30" s="90"/>
      <c r="L30" s="90"/>
    </row>
    <row r="31" spans="1:13" x14ac:dyDescent="0.15">
      <c r="A31" s="24"/>
      <c r="C31" s="48"/>
      <c r="D31" s="49"/>
      <c r="E31" s="50"/>
      <c r="F31" s="51"/>
      <c r="G31" s="94"/>
      <c r="H31" s="76"/>
      <c r="I31" s="52"/>
      <c r="J31" s="53"/>
    </row>
    <row r="32" spans="1:13" x14ac:dyDescent="0.15">
      <c r="A32" s="57" t="s">
        <v>148</v>
      </c>
      <c r="B32" s="58">
        <f>COUNTIF(A2:A31,"東大阪")</f>
        <v>13</v>
      </c>
      <c r="C32" s="59"/>
      <c r="D32" s="60"/>
      <c r="E32" s="61"/>
      <c r="F32" s="62"/>
      <c r="G32" s="95"/>
      <c r="H32" s="77"/>
      <c r="I32" s="63"/>
      <c r="J32" s="64"/>
      <c r="K32" s="5">
        <f>COUNTIF(K2:K31,"◯")</f>
        <v>22</v>
      </c>
      <c r="L32" s="5">
        <f>COUNTIF(L2:L31,"◯")</f>
        <v>26</v>
      </c>
    </row>
    <row r="33" spans="1:11" x14ac:dyDescent="0.15">
      <c r="A33" s="57" t="s">
        <v>149</v>
      </c>
      <c r="B33" s="58">
        <f>COUNTIF(A2:A31,"松原")</f>
        <v>15</v>
      </c>
      <c r="C33" s="89">
        <f>COUNTIF(B2:B31,"パート")</f>
        <v>7</v>
      </c>
      <c r="E33" s="61"/>
      <c r="F33" s="62"/>
      <c r="G33" s="95"/>
      <c r="H33" s="77"/>
      <c r="I33" s="63"/>
      <c r="J33" s="64"/>
    </row>
    <row r="34" spans="1:11" x14ac:dyDescent="0.15">
      <c r="A34" s="57"/>
      <c r="B34" s="58"/>
      <c r="C34" s="89"/>
      <c r="E34" s="61"/>
      <c r="F34" s="62"/>
      <c r="G34" s="95"/>
      <c r="H34" s="77"/>
      <c r="I34" s="63"/>
      <c r="J34" s="64"/>
    </row>
    <row r="35" spans="1:11" x14ac:dyDescent="0.15">
      <c r="A35" s="28" t="s">
        <v>112</v>
      </c>
      <c r="B35" s="28" t="s">
        <v>73</v>
      </c>
      <c r="C35" s="29"/>
      <c r="D35" s="28" t="s">
        <v>113</v>
      </c>
      <c r="E35" s="28" t="s">
        <v>114</v>
      </c>
      <c r="F35" s="56">
        <v>21236</v>
      </c>
      <c r="G35" s="93">
        <f ca="1">DATEDIF(F35,TODAY(),"Y")</f>
        <v>68</v>
      </c>
      <c r="H35" s="75"/>
      <c r="I35" s="29"/>
      <c r="J35" s="28" t="s">
        <v>115</v>
      </c>
      <c r="K35" s="24"/>
    </row>
    <row r="38" spans="1:11" x14ac:dyDescent="0.15">
      <c r="A38" s="57" t="s">
        <v>289</v>
      </c>
    </row>
    <row r="40" spans="1:11" x14ac:dyDescent="0.15">
      <c r="A40" s="28" t="s">
        <v>133</v>
      </c>
      <c r="B40" s="28" t="s">
        <v>285</v>
      </c>
      <c r="C40" s="72">
        <v>3822</v>
      </c>
      <c r="D40" s="84" t="s">
        <v>290</v>
      </c>
      <c r="E40" s="85" t="s">
        <v>291</v>
      </c>
      <c r="F40" s="12"/>
      <c r="G40" s="93"/>
      <c r="H40" s="75">
        <v>45444</v>
      </c>
      <c r="I40" s="13"/>
      <c r="J40" s="39"/>
      <c r="K40" s="5" t="s">
        <v>323</v>
      </c>
    </row>
    <row r="41" spans="1:11" ht="18" customHeight="1" x14ac:dyDescent="0.15">
      <c r="A41" s="28" t="s">
        <v>133</v>
      </c>
      <c r="B41" s="28" t="s">
        <v>285</v>
      </c>
      <c r="C41" s="72">
        <v>3831</v>
      </c>
      <c r="D41" s="84" t="s">
        <v>286</v>
      </c>
      <c r="E41" s="85" t="s">
        <v>287</v>
      </c>
      <c r="F41" s="12"/>
      <c r="G41" s="93" t="s">
        <v>332</v>
      </c>
      <c r="H41" s="75">
        <v>45530</v>
      </c>
      <c r="I41" s="13"/>
      <c r="J41" s="39" t="s">
        <v>288</v>
      </c>
      <c r="K41" s="5" t="s">
        <v>302</v>
      </c>
    </row>
    <row r="44" spans="1:11" x14ac:dyDescent="0.15">
      <c r="A44" s="91" t="s">
        <v>135</v>
      </c>
    </row>
    <row r="45" spans="1:11" x14ac:dyDescent="0.15">
      <c r="A45" s="29"/>
      <c r="B45" s="29"/>
      <c r="C45" s="6">
        <v>3001</v>
      </c>
      <c r="D45" s="7" t="s">
        <v>11</v>
      </c>
      <c r="E45" s="8" t="s">
        <v>12</v>
      </c>
      <c r="F45" s="9">
        <v>25983</v>
      </c>
      <c r="G45" s="67"/>
      <c r="H45" s="79"/>
      <c r="I45" s="10" t="s">
        <v>0</v>
      </c>
      <c r="J45" s="11" t="s">
        <v>25</v>
      </c>
      <c r="K45" s="24" t="s">
        <v>66</v>
      </c>
    </row>
    <row r="46" spans="1:11" x14ac:dyDescent="0.15">
      <c r="A46" s="29"/>
      <c r="B46" s="29"/>
      <c r="C46" s="6">
        <v>3007</v>
      </c>
      <c r="D46" s="65" t="s">
        <v>75</v>
      </c>
      <c r="E46" s="66" t="s">
        <v>76</v>
      </c>
      <c r="F46" s="67">
        <v>15347</v>
      </c>
      <c r="G46" s="67"/>
      <c r="H46" s="80"/>
      <c r="I46" s="68" t="s">
        <v>4</v>
      </c>
      <c r="J46" s="69" t="s">
        <v>77</v>
      </c>
      <c r="K46" s="24" t="s">
        <v>66</v>
      </c>
    </row>
    <row r="47" spans="1:11" x14ac:dyDescent="0.15">
      <c r="A47" s="29"/>
      <c r="B47" s="29"/>
      <c r="C47" s="6">
        <v>3008</v>
      </c>
      <c r="D47" s="7" t="s">
        <v>19</v>
      </c>
      <c r="E47" s="8" t="s">
        <v>20</v>
      </c>
      <c r="F47" s="9">
        <v>28031</v>
      </c>
      <c r="G47" s="67"/>
      <c r="H47" s="79"/>
      <c r="I47" s="10" t="s">
        <v>5</v>
      </c>
      <c r="J47" s="11" t="s">
        <v>29</v>
      </c>
      <c r="K47" s="24" t="s">
        <v>66</v>
      </c>
    </row>
    <row r="48" spans="1:11" x14ac:dyDescent="0.15">
      <c r="A48" s="29"/>
      <c r="B48" s="29"/>
      <c r="C48" s="6">
        <v>3011</v>
      </c>
      <c r="D48" s="7" t="s">
        <v>23</v>
      </c>
      <c r="E48" s="8" t="s">
        <v>24</v>
      </c>
      <c r="F48" s="12">
        <v>25904</v>
      </c>
      <c r="G48" s="97"/>
      <c r="H48" s="75"/>
      <c r="I48" s="70" t="s">
        <v>62</v>
      </c>
      <c r="J48" s="71" t="s">
        <v>61</v>
      </c>
      <c r="K48" s="24" t="s">
        <v>66</v>
      </c>
    </row>
    <row r="49" spans="1:14" x14ac:dyDescent="0.15">
      <c r="A49" s="28" t="s">
        <v>95</v>
      </c>
      <c r="B49" s="29"/>
      <c r="C49" s="15">
        <v>3023</v>
      </c>
      <c r="D49" s="36" t="s">
        <v>93</v>
      </c>
      <c r="E49" s="35" t="s">
        <v>96</v>
      </c>
      <c r="F49" s="12">
        <v>22381</v>
      </c>
      <c r="G49" s="97"/>
      <c r="H49" s="75"/>
      <c r="I49" s="13" t="s">
        <v>106</v>
      </c>
      <c r="J49" s="38" t="s">
        <v>150</v>
      </c>
      <c r="K49" s="24" t="s">
        <v>66</v>
      </c>
    </row>
    <row r="50" spans="1:14" x14ac:dyDescent="0.15">
      <c r="A50" s="28" t="s">
        <v>95</v>
      </c>
      <c r="B50" s="29"/>
      <c r="C50" s="15">
        <v>3026</v>
      </c>
      <c r="D50" s="36" t="s">
        <v>89</v>
      </c>
      <c r="E50" s="35" t="s">
        <v>90</v>
      </c>
      <c r="F50" s="12">
        <v>24983</v>
      </c>
      <c r="G50" s="97"/>
      <c r="H50" s="75"/>
      <c r="I50" s="13" t="s">
        <v>108</v>
      </c>
      <c r="J50" s="38" t="s">
        <v>151</v>
      </c>
      <c r="K50" s="24" t="s">
        <v>66</v>
      </c>
    </row>
    <row r="51" spans="1:14" x14ac:dyDescent="0.15">
      <c r="A51" s="28" t="s">
        <v>94</v>
      </c>
      <c r="B51" s="29"/>
      <c r="C51" s="15">
        <v>3017</v>
      </c>
      <c r="D51" s="13" t="s">
        <v>47</v>
      </c>
      <c r="E51" s="16" t="s">
        <v>48</v>
      </c>
      <c r="F51" s="12">
        <v>28185</v>
      </c>
      <c r="G51" s="93">
        <f ca="1">DATEDIF(F51,TODAY(),"Y")</f>
        <v>49</v>
      </c>
      <c r="H51" s="75"/>
      <c r="I51" s="13" t="s">
        <v>7</v>
      </c>
      <c r="J51" s="14" t="s">
        <v>49</v>
      </c>
      <c r="K51" s="5" t="s">
        <v>154</v>
      </c>
    </row>
    <row r="52" spans="1:14" x14ac:dyDescent="0.15">
      <c r="A52" s="28" t="s">
        <v>95</v>
      </c>
      <c r="B52" s="29"/>
      <c r="C52" s="15">
        <v>3028</v>
      </c>
      <c r="D52" s="36" t="s">
        <v>123</v>
      </c>
      <c r="E52" s="35" t="s">
        <v>124</v>
      </c>
      <c r="F52" s="12">
        <v>26815</v>
      </c>
      <c r="G52" s="93">
        <f ca="1">DATEDIF(F52,TODAY(),"Y")</f>
        <v>52</v>
      </c>
      <c r="H52" s="75"/>
      <c r="I52" s="13" t="s">
        <v>125</v>
      </c>
      <c r="J52" s="39" t="s">
        <v>126</v>
      </c>
      <c r="K52" s="5" t="s">
        <v>152</v>
      </c>
    </row>
    <row r="53" spans="1:14" x14ac:dyDescent="0.15">
      <c r="A53" s="28" t="s">
        <v>95</v>
      </c>
      <c r="B53" s="29"/>
      <c r="C53" s="15">
        <v>3021</v>
      </c>
      <c r="D53" s="13" t="s">
        <v>81</v>
      </c>
      <c r="E53" s="35" t="s">
        <v>85</v>
      </c>
      <c r="F53" s="12">
        <v>21356</v>
      </c>
      <c r="G53" s="93">
        <f ca="1">DATEDIF(F53,TODAY(),"Y")</f>
        <v>67</v>
      </c>
      <c r="H53" s="75"/>
      <c r="I53" s="13" t="s">
        <v>103</v>
      </c>
      <c r="J53" s="37" t="s">
        <v>104</v>
      </c>
      <c r="K53" s="5" t="s">
        <v>153</v>
      </c>
    </row>
    <row r="54" spans="1:14" x14ac:dyDescent="0.15">
      <c r="A54" s="28" t="s">
        <v>133</v>
      </c>
      <c r="B54" s="29"/>
      <c r="C54" s="29"/>
      <c r="D54" s="36" t="s">
        <v>180</v>
      </c>
      <c r="E54" s="35" t="s">
        <v>178</v>
      </c>
      <c r="F54" s="29"/>
      <c r="G54" s="98"/>
      <c r="H54" s="81">
        <v>45352</v>
      </c>
      <c r="I54" s="29"/>
      <c r="J54" s="29">
        <v>8</v>
      </c>
      <c r="K54" s="5" t="s">
        <v>179</v>
      </c>
    </row>
    <row r="55" spans="1:14" x14ac:dyDescent="0.15">
      <c r="A55" s="28" t="s">
        <v>133</v>
      </c>
      <c r="B55" s="28" t="s">
        <v>167</v>
      </c>
      <c r="C55" s="72">
        <v>3812</v>
      </c>
      <c r="D55" s="84" t="s">
        <v>186</v>
      </c>
      <c r="E55" s="85" t="s">
        <v>193</v>
      </c>
      <c r="F55" s="12">
        <v>31346</v>
      </c>
      <c r="G55" s="93">
        <f t="shared" ref="G55:G60" ca="1" si="3">DATEDIF(F55,TODAY(),"Y")</f>
        <v>40</v>
      </c>
      <c r="H55" s="75">
        <v>45355</v>
      </c>
      <c r="I55" s="13" t="s">
        <v>207</v>
      </c>
      <c r="J55" s="39" t="s">
        <v>208</v>
      </c>
      <c r="K55" s="5" t="s">
        <v>218</v>
      </c>
    </row>
    <row r="56" spans="1:14" x14ac:dyDescent="0.15">
      <c r="A56" s="28" t="s">
        <v>221</v>
      </c>
      <c r="B56" s="28"/>
      <c r="C56" s="72">
        <v>3037</v>
      </c>
      <c r="D56" s="88" t="s">
        <v>219</v>
      </c>
      <c r="E56" s="85" t="s">
        <v>220</v>
      </c>
      <c r="F56" s="12">
        <v>32754</v>
      </c>
      <c r="G56" s="93">
        <f t="shared" ca="1" si="3"/>
        <v>36</v>
      </c>
      <c r="H56" s="75">
        <v>45444</v>
      </c>
      <c r="I56" s="13" t="s">
        <v>222</v>
      </c>
      <c r="J56" s="39" t="s">
        <v>223</v>
      </c>
      <c r="K56" s="29" t="s">
        <v>247</v>
      </c>
      <c r="L56" s="29"/>
    </row>
    <row r="57" spans="1:14" ht="16.5" x14ac:dyDescent="0.15">
      <c r="A57" s="28" t="s">
        <v>133</v>
      </c>
      <c r="B57" s="28" t="s">
        <v>167</v>
      </c>
      <c r="C57" s="72">
        <v>3814</v>
      </c>
      <c r="D57" s="84" t="s">
        <v>188</v>
      </c>
      <c r="E57" s="85" t="s">
        <v>195</v>
      </c>
      <c r="F57" s="12">
        <v>39281</v>
      </c>
      <c r="G57" s="93">
        <f t="shared" ca="1" si="3"/>
        <v>18</v>
      </c>
      <c r="H57" s="75">
        <v>45369</v>
      </c>
      <c r="I57" s="13" t="s">
        <v>202</v>
      </c>
      <c r="J57" s="39" t="s">
        <v>210</v>
      </c>
      <c r="K57" s="90" t="s">
        <v>237</v>
      </c>
      <c r="L57" s="90" t="s">
        <v>237</v>
      </c>
      <c r="M57" s="5" t="s">
        <v>251</v>
      </c>
    </row>
    <row r="58" spans="1:14" ht="16.5" x14ac:dyDescent="0.15">
      <c r="A58" s="28" t="s">
        <v>133</v>
      </c>
      <c r="B58" s="28" t="s">
        <v>167</v>
      </c>
      <c r="C58" s="72">
        <v>3826</v>
      </c>
      <c r="D58" s="84" t="s">
        <v>252</v>
      </c>
      <c r="E58" s="85" t="s">
        <v>253</v>
      </c>
      <c r="F58" s="12">
        <v>34227</v>
      </c>
      <c r="G58" s="93">
        <f t="shared" ca="1" si="3"/>
        <v>32</v>
      </c>
      <c r="H58" s="75">
        <v>45481</v>
      </c>
      <c r="I58" s="13" t="s">
        <v>254</v>
      </c>
      <c r="J58" s="39" t="s">
        <v>255</v>
      </c>
      <c r="K58" s="90"/>
      <c r="L58" s="90"/>
      <c r="M58" s="5" t="s">
        <v>256</v>
      </c>
    </row>
    <row r="59" spans="1:14" x14ac:dyDescent="0.15">
      <c r="A59" s="28" t="s">
        <v>133</v>
      </c>
      <c r="B59" s="29"/>
      <c r="C59" s="72">
        <v>3025</v>
      </c>
      <c r="D59" s="84" t="s">
        <v>91</v>
      </c>
      <c r="E59" s="85"/>
      <c r="F59" s="12">
        <v>35623</v>
      </c>
      <c r="G59" s="93">
        <f t="shared" ca="1" si="3"/>
        <v>28</v>
      </c>
      <c r="H59" s="75" t="s">
        <v>173</v>
      </c>
      <c r="I59" s="13" t="s">
        <v>139</v>
      </c>
      <c r="J59" s="38" t="s">
        <v>140</v>
      </c>
      <c r="K59" s="29"/>
      <c r="L59" s="29"/>
      <c r="M59" s="5" t="s">
        <v>257</v>
      </c>
    </row>
    <row r="60" spans="1:14" ht="16.5" x14ac:dyDescent="0.15">
      <c r="A60" s="28" t="s">
        <v>133</v>
      </c>
      <c r="B60" s="28" t="s">
        <v>167</v>
      </c>
      <c r="C60" s="72">
        <v>3828</v>
      </c>
      <c r="D60" s="84" t="s">
        <v>273</v>
      </c>
      <c r="E60" s="85" t="s">
        <v>274</v>
      </c>
      <c r="F60" s="12">
        <v>37789</v>
      </c>
      <c r="G60" s="93">
        <f t="shared" ca="1" si="3"/>
        <v>22</v>
      </c>
      <c r="H60" s="75">
        <v>45538</v>
      </c>
      <c r="I60" s="13" t="s">
        <v>275</v>
      </c>
      <c r="J60" s="39" t="s">
        <v>276</v>
      </c>
      <c r="K60" s="29"/>
      <c r="L60" s="90"/>
      <c r="M60" s="24" t="s">
        <v>299</v>
      </c>
    </row>
    <row r="61" spans="1:14" ht="18.75" x14ac:dyDescent="0.15">
      <c r="A61" s="28" t="s">
        <v>111</v>
      </c>
      <c r="B61" s="29"/>
      <c r="C61" s="72">
        <v>3041</v>
      </c>
      <c r="D61" s="84" t="s">
        <v>268</v>
      </c>
      <c r="E61" s="85" t="s">
        <v>269</v>
      </c>
      <c r="F61" s="12">
        <v>32979</v>
      </c>
      <c r="G61" s="93">
        <f t="shared" ref="G61:G66" ca="1" si="4">DATEDIF(F61,TODAY(),"Y")</f>
        <v>35</v>
      </c>
      <c r="H61" s="75">
        <v>45536</v>
      </c>
      <c r="I61" s="13" t="s">
        <v>270</v>
      </c>
      <c r="J61" s="39" t="s">
        <v>271</v>
      </c>
      <c r="K61" s="90" t="s">
        <v>237</v>
      </c>
      <c r="L61" s="90" t="s">
        <v>237</v>
      </c>
      <c r="M61" s="5" t="s">
        <v>313</v>
      </c>
      <c r="N61" s="92" t="s">
        <v>320</v>
      </c>
    </row>
    <row r="62" spans="1:14" ht="16.5" x14ac:dyDescent="0.15">
      <c r="A62" s="28" t="s">
        <v>133</v>
      </c>
      <c r="B62" s="28" t="s">
        <v>167</v>
      </c>
      <c r="C62" s="72">
        <v>3833</v>
      </c>
      <c r="D62" s="84" t="s">
        <v>295</v>
      </c>
      <c r="E62" s="85" t="s">
        <v>296</v>
      </c>
      <c r="F62" s="12">
        <v>36224</v>
      </c>
      <c r="G62" s="93">
        <f t="shared" ca="1" si="4"/>
        <v>27</v>
      </c>
      <c r="H62" s="75">
        <v>45545</v>
      </c>
      <c r="I62" s="13" t="s">
        <v>297</v>
      </c>
      <c r="J62" s="39" t="s">
        <v>298</v>
      </c>
      <c r="K62" s="29"/>
      <c r="L62" s="90"/>
      <c r="M62" s="5" t="s">
        <v>319</v>
      </c>
    </row>
    <row r="63" spans="1:14" ht="16.5" x14ac:dyDescent="0.15">
      <c r="A63" s="28" t="s">
        <v>94</v>
      </c>
      <c r="B63" s="28" t="s">
        <v>73</v>
      </c>
      <c r="C63" s="72">
        <v>3015</v>
      </c>
      <c r="D63" s="82" t="s">
        <v>41</v>
      </c>
      <c r="E63" s="87" t="s">
        <v>42</v>
      </c>
      <c r="F63" s="12">
        <v>26226</v>
      </c>
      <c r="G63" s="93">
        <f t="shared" ca="1" si="4"/>
        <v>54</v>
      </c>
      <c r="H63" s="75"/>
      <c r="I63" s="13" t="s">
        <v>9</v>
      </c>
      <c r="J63" s="14" t="s">
        <v>43</v>
      </c>
      <c r="K63" s="90"/>
      <c r="L63" s="90"/>
      <c r="M63" s="5" t="s">
        <v>321</v>
      </c>
    </row>
    <row r="64" spans="1:14" ht="16.5" x14ac:dyDescent="0.15">
      <c r="A64" s="28" t="s">
        <v>133</v>
      </c>
      <c r="B64" s="28" t="s">
        <v>167</v>
      </c>
      <c r="C64" s="72">
        <v>3832</v>
      </c>
      <c r="D64" s="84" t="s">
        <v>292</v>
      </c>
      <c r="E64" s="85" t="s">
        <v>293</v>
      </c>
      <c r="F64" s="12">
        <v>38358</v>
      </c>
      <c r="G64" s="93">
        <f t="shared" ca="1" si="4"/>
        <v>21</v>
      </c>
      <c r="H64" s="75">
        <v>45537</v>
      </c>
      <c r="I64" s="13" t="s">
        <v>215</v>
      </c>
      <c r="J64" s="39" t="s">
        <v>294</v>
      </c>
      <c r="K64" s="29"/>
      <c r="L64" s="90"/>
      <c r="M64" s="5" t="s">
        <v>322</v>
      </c>
    </row>
    <row r="65" spans="1:13" ht="16.5" x14ac:dyDescent="0.15">
      <c r="A65" s="28" t="s">
        <v>133</v>
      </c>
      <c r="B65" s="29"/>
      <c r="C65" s="72">
        <v>3039</v>
      </c>
      <c r="D65" s="84" t="s">
        <v>258</v>
      </c>
      <c r="E65" s="85" t="s">
        <v>259</v>
      </c>
      <c r="F65" s="12">
        <v>27505</v>
      </c>
      <c r="G65" s="93">
        <f t="shared" ca="1" si="4"/>
        <v>50</v>
      </c>
      <c r="H65" s="75">
        <v>45505</v>
      </c>
      <c r="I65" s="13" t="s">
        <v>260</v>
      </c>
      <c r="J65" s="39" t="s">
        <v>261</v>
      </c>
      <c r="K65" s="90" t="s">
        <v>237</v>
      </c>
      <c r="L65" s="90" t="s">
        <v>237</v>
      </c>
      <c r="M65" s="5" t="s">
        <v>325</v>
      </c>
    </row>
    <row r="66" spans="1:13" x14ac:dyDescent="0.15">
      <c r="A66" s="28" t="s">
        <v>133</v>
      </c>
      <c r="B66" s="28" t="s">
        <v>167</v>
      </c>
      <c r="C66" s="72">
        <v>3811</v>
      </c>
      <c r="D66" s="84" t="s">
        <v>183</v>
      </c>
      <c r="E66" s="85" t="s">
        <v>198</v>
      </c>
      <c r="F66" s="12">
        <v>28155</v>
      </c>
      <c r="G66" s="93">
        <f t="shared" ca="1" si="4"/>
        <v>49</v>
      </c>
      <c r="H66" s="75">
        <v>45348</v>
      </c>
      <c r="I66" s="13" t="s">
        <v>205</v>
      </c>
      <c r="J66" s="39" t="s">
        <v>206</v>
      </c>
      <c r="K66" s="29"/>
      <c r="L66" s="29"/>
      <c r="M66" s="5" t="s">
        <v>324</v>
      </c>
    </row>
    <row r="67" spans="1:13" ht="16.5" x14ac:dyDescent="0.15">
      <c r="A67" s="28" t="s">
        <v>133</v>
      </c>
      <c r="B67" s="28" t="s">
        <v>167</v>
      </c>
      <c r="C67" s="72">
        <v>3819</v>
      </c>
      <c r="D67" s="88" t="s">
        <v>224</v>
      </c>
      <c r="E67" s="85" t="s">
        <v>216</v>
      </c>
      <c r="F67" s="12">
        <v>31471</v>
      </c>
      <c r="G67" s="93">
        <f t="shared" ref="G67:G76" ca="1" si="5">DATEDIF(F67,TODAY(),"Y")</f>
        <v>40</v>
      </c>
      <c r="H67" s="75">
        <v>45399</v>
      </c>
      <c r="I67" s="13" t="s">
        <v>209</v>
      </c>
      <c r="J67" s="39" t="s">
        <v>217</v>
      </c>
      <c r="K67" s="29"/>
      <c r="L67" s="90" t="s">
        <v>237</v>
      </c>
      <c r="M67" s="5" t="s">
        <v>326</v>
      </c>
    </row>
    <row r="68" spans="1:13" ht="16.5" x14ac:dyDescent="0.15">
      <c r="A68" s="28" t="s">
        <v>133</v>
      </c>
      <c r="B68" s="29"/>
      <c r="C68" s="72">
        <v>3029</v>
      </c>
      <c r="D68" s="84" t="s">
        <v>127</v>
      </c>
      <c r="E68" s="85" t="s">
        <v>128</v>
      </c>
      <c r="F68" s="12">
        <v>36555</v>
      </c>
      <c r="G68" s="93">
        <f ca="1">DATEDIF(F68,TODAY(),"Y")</f>
        <v>26</v>
      </c>
      <c r="H68" s="75">
        <v>45017</v>
      </c>
      <c r="I68" s="13" t="s">
        <v>129</v>
      </c>
      <c r="J68" s="39" t="s">
        <v>130</v>
      </c>
      <c r="K68" s="90" t="s">
        <v>237</v>
      </c>
      <c r="L68" s="90" t="s">
        <v>237</v>
      </c>
      <c r="M68" s="5" t="s">
        <v>330</v>
      </c>
    </row>
    <row r="69" spans="1:13" x14ac:dyDescent="0.15">
      <c r="A69" s="28" t="s">
        <v>133</v>
      </c>
      <c r="B69" s="28" t="s">
        <v>167</v>
      </c>
      <c r="C69" s="72">
        <v>3815</v>
      </c>
      <c r="D69" s="84" t="s">
        <v>189</v>
      </c>
      <c r="E69" s="85" t="s">
        <v>196</v>
      </c>
      <c r="F69" s="12">
        <v>28308</v>
      </c>
      <c r="G69" s="93">
        <f t="shared" ca="1" si="5"/>
        <v>48</v>
      </c>
      <c r="H69" s="75">
        <v>45370</v>
      </c>
      <c r="I69" s="13" t="s">
        <v>205</v>
      </c>
      <c r="J69" s="39" t="s">
        <v>211</v>
      </c>
      <c r="K69" s="29"/>
      <c r="L69" s="29"/>
      <c r="M69" s="5" t="s">
        <v>328</v>
      </c>
    </row>
    <row r="70" spans="1:13" ht="16.5" x14ac:dyDescent="0.15">
      <c r="A70" s="28" t="s">
        <v>133</v>
      </c>
      <c r="B70" s="28" t="s">
        <v>167</v>
      </c>
      <c r="C70" s="72">
        <v>3818</v>
      </c>
      <c r="D70" s="88" t="s">
        <v>212</v>
      </c>
      <c r="E70" s="85" t="s">
        <v>213</v>
      </c>
      <c r="F70" s="12">
        <v>28671</v>
      </c>
      <c r="G70" s="93">
        <f t="shared" ca="1" si="5"/>
        <v>47</v>
      </c>
      <c r="H70" s="75">
        <v>45398</v>
      </c>
      <c r="I70" s="13" t="s">
        <v>215</v>
      </c>
      <c r="J70" s="39" t="s">
        <v>214</v>
      </c>
      <c r="K70" s="29"/>
      <c r="L70" s="90" t="s">
        <v>237</v>
      </c>
      <c r="M70" s="5" t="s">
        <v>327</v>
      </c>
    </row>
    <row r="71" spans="1:13" x14ac:dyDescent="0.15">
      <c r="A71" s="28" t="s">
        <v>133</v>
      </c>
      <c r="B71" s="28" t="s">
        <v>167</v>
      </c>
      <c r="C71" s="72">
        <v>3823</v>
      </c>
      <c r="D71" s="84" t="s">
        <v>239</v>
      </c>
      <c r="E71" s="85" t="s">
        <v>241</v>
      </c>
      <c r="F71" s="12">
        <v>30477</v>
      </c>
      <c r="G71" s="93">
        <f t="shared" ca="1" si="5"/>
        <v>42</v>
      </c>
      <c r="H71" s="75">
        <v>45461</v>
      </c>
      <c r="I71" s="13" t="s">
        <v>243</v>
      </c>
      <c r="J71" s="39" t="s">
        <v>244</v>
      </c>
      <c r="K71" s="29"/>
      <c r="L71" s="29"/>
      <c r="M71" s="5" t="s">
        <v>327</v>
      </c>
    </row>
    <row r="72" spans="1:13" ht="16.5" x14ac:dyDescent="0.15">
      <c r="A72" s="28" t="s">
        <v>133</v>
      </c>
      <c r="B72" s="28" t="s">
        <v>167</v>
      </c>
      <c r="C72" s="72">
        <v>3824</v>
      </c>
      <c r="D72" s="84" t="s">
        <v>240</v>
      </c>
      <c r="E72" s="85" t="s">
        <v>242</v>
      </c>
      <c r="F72" s="12">
        <v>32044</v>
      </c>
      <c r="G72" s="93">
        <f t="shared" ca="1" si="5"/>
        <v>38</v>
      </c>
      <c r="H72" s="75">
        <v>45462</v>
      </c>
      <c r="I72" s="13" t="s">
        <v>245</v>
      </c>
      <c r="J72" s="39" t="s">
        <v>246</v>
      </c>
      <c r="K72" s="29"/>
      <c r="L72" s="90" t="s">
        <v>237</v>
      </c>
      <c r="M72" s="5" t="s">
        <v>328</v>
      </c>
    </row>
    <row r="73" spans="1:13" ht="16.5" x14ac:dyDescent="0.15">
      <c r="A73" s="28" t="s">
        <v>133</v>
      </c>
      <c r="B73" s="28" t="s">
        <v>167</v>
      </c>
      <c r="C73" s="72">
        <v>3825</v>
      </c>
      <c r="D73" s="84" t="s">
        <v>248</v>
      </c>
      <c r="E73" s="85" t="s">
        <v>249</v>
      </c>
      <c r="F73" s="12">
        <v>39714</v>
      </c>
      <c r="G73" s="93">
        <f t="shared" ca="1" si="5"/>
        <v>17</v>
      </c>
      <c r="H73" s="75">
        <v>45468</v>
      </c>
      <c r="I73" s="13" t="s">
        <v>243</v>
      </c>
      <c r="J73" s="39" t="s">
        <v>250</v>
      </c>
      <c r="K73" s="90"/>
      <c r="L73" s="90" t="s">
        <v>237</v>
      </c>
      <c r="M73" s="5" t="s">
        <v>327</v>
      </c>
    </row>
    <row r="74" spans="1:13" ht="16.5" x14ac:dyDescent="0.15">
      <c r="A74" s="28" t="s">
        <v>133</v>
      </c>
      <c r="B74" s="28" t="s">
        <v>167</v>
      </c>
      <c r="C74" s="72">
        <v>3827</v>
      </c>
      <c r="D74" s="84" t="s">
        <v>265</v>
      </c>
      <c r="E74" s="85" t="s">
        <v>266</v>
      </c>
      <c r="F74" s="12">
        <v>26815</v>
      </c>
      <c r="G74" s="93">
        <f t="shared" ca="1" si="5"/>
        <v>52</v>
      </c>
      <c r="H74" s="75">
        <v>45509</v>
      </c>
      <c r="I74" s="13" t="s">
        <v>209</v>
      </c>
      <c r="J74" s="39" t="s">
        <v>267</v>
      </c>
      <c r="K74" s="29"/>
      <c r="L74" s="90" t="s">
        <v>237</v>
      </c>
      <c r="M74" s="5" t="s">
        <v>327</v>
      </c>
    </row>
    <row r="75" spans="1:13" ht="16.5" x14ac:dyDescent="0.15">
      <c r="A75" s="28" t="s">
        <v>133</v>
      </c>
      <c r="B75" s="28" t="s">
        <v>167</v>
      </c>
      <c r="C75" s="72">
        <v>3835</v>
      </c>
      <c r="D75" s="84" t="s">
        <v>303</v>
      </c>
      <c r="E75" s="85" t="s">
        <v>304</v>
      </c>
      <c r="F75" s="12">
        <v>38020</v>
      </c>
      <c r="G75" s="93">
        <f t="shared" ca="1" si="5"/>
        <v>22</v>
      </c>
      <c r="H75" s="75">
        <v>45566</v>
      </c>
      <c r="I75" s="13" t="s">
        <v>202</v>
      </c>
      <c r="J75" s="39" t="s">
        <v>305</v>
      </c>
      <c r="K75" s="90"/>
      <c r="L75" s="90"/>
      <c r="M75" s="5" t="s">
        <v>327</v>
      </c>
    </row>
    <row r="76" spans="1:13" ht="16.5" x14ac:dyDescent="0.15">
      <c r="A76" s="28" t="s">
        <v>133</v>
      </c>
      <c r="B76" s="28" t="s">
        <v>167</v>
      </c>
      <c r="C76" s="72">
        <v>3830</v>
      </c>
      <c r="D76" s="84" t="s">
        <v>281</v>
      </c>
      <c r="E76" s="85" t="s">
        <v>282</v>
      </c>
      <c r="F76" s="12">
        <v>33284</v>
      </c>
      <c r="G76" s="93">
        <f t="shared" ca="1" si="5"/>
        <v>35</v>
      </c>
      <c r="H76" s="75">
        <v>45540</v>
      </c>
      <c r="I76" s="13" t="s">
        <v>283</v>
      </c>
      <c r="J76" s="39" t="s">
        <v>284</v>
      </c>
      <c r="K76" s="29"/>
      <c r="L76" s="90"/>
      <c r="M76" s="5" t="s">
        <v>329</v>
      </c>
    </row>
    <row r="77" spans="1:13" ht="18.75" x14ac:dyDescent="0.15">
      <c r="A77" s="28" t="s">
        <v>133</v>
      </c>
      <c r="B77" s="28" t="s">
        <v>167</v>
      </c>
      <c r="C77" s="72">
        <v>3820</v>
      </c>
      <c r="D77" s="88" t="s">
        <v>225</v>
      </c>
      <c r="E77" s="85" t="s">
        <v>226</v>
      </c>
      <c r="F77" s="12">
        <v>37803</v>
      </c>
      <c r="G77" s="93">
        <f t="shared" ref="G77:G82" ca="1" si="6">DATEDIF(F77,TODAY(),"Y")</f>
        <v>22</v>
      </c>
      <c r="H77" s="75">
        <v>45433</v>
      </c>
      <c r="I77" s="13" t="s">
        <v>202</v>
      </c>
      <c r="J77" s="39" t="s">
        <v>227</v>
      </c>
      <c r="K77" s="29"/>
      <c r="L77" s="90" t="s">
        <v>237</v>
      </c>
      <c r="M77" s="92" t="s">
        <v>334</v>
      </c>
    </row>
    <row r="78" spans="1:13" ht="18.75" x14ac:dyDescent="0.15">
      <c r="A78" s="28" t="s">
        <v>133</v>
      </c>
      <c r="B78" s="28" t="s">
        <v>167</v>
      </c>
      <c r="C78" s="72">
        <v>3809</v>
      </c>
      <c r="D78" s="84" t="s">
        <v>184</v>
      </c>
      <c r="E78" s="85" t="s">
        <v>191</v>
      </c>
      <c r="F78" s="12">
        <v>30004</v>
      </c>
      <c r="G78" s="93">
        <f t="shared" ca="1" si="6"/>
        <v>44</v>
      </c>
      <c r="H78" s="75">
        <v>45352</v>
      </c>
      <c r="I78" s="13" t="s">
        <v>202</v>
      </c>
      <c r="J78" s="39" t="s">
        <v>203</v>
      </c>
      <c r="K78" s="90" t="s">
        <v>237</v>
      </c>
      <c r="L78" s="90" t="s">
        <v>237</v>
      </c>
      <c r="M78" s="92" t="s">
        <v>335</v>
      </c>
    </row>
    <row r="79" spans="1:13" ht="16.5" x14ac:dyDescent="0.15">
      <c r="A79" s="28" t="s">
        <v>133</v>
      </c>
      <c r="B79" s="28" t="s">
        <v>167</v>
      </c>
      <c r="C79" s="72">
        <v>3808</v>
      </c>
      <c r="D79" s="84" t="s">
        <v>181</v>
      </c>
      <c r="E79" s="85" t="s">
        <v>182</v>
      </c>
      <c r="F79" s="12">
        <v>37100</v>
      </c>
      <c r="G79" s="93">
        <f t="shared" ca="1" si="6"/>
        <v>24</v>
      </c>
      <c r="H79" s="75">
        <v>45348</v>
      </c>
      <c r="I79" s="13" t="s">
        <v>170</v>
      </c>
      <c r="J79" s="39" t="s">
        <v>201</v>
      </c>
      <c r="K79" s="90" t="s">
        <v>237</v>
      </c>
      <c r="L79" s="90" t="s">
        <v>237</v>
      </c>
      <c r="M79" s="92" t="s">
        <v>336</v>
      </c>
    </row>
    <row r="80" spans="1:13" ht="18.75" x14ac:dyDescent="0.15">
      <c r="A80" s="28" t="s">
        <v>133</v>
      </c>
      <c r="B80" s="28" t="s">
        <v>167</v>
      </c>
      <c r="C80" s="72">
        <v>3810</v>
      </c>
      <c r="D80" s="84" t="s">
        <v>185</v>
      </c>
      <c r="E80" s="85" t="s">
        <v>192</v>
      </c>
      <c r="F80" s="12">
        <v>34640</v>
      </c>
      <c r="G80" s="93">
        <f t="shared" ca="1" si="6"/>
        <v>31</v>
      </c>
      <c r="H80" s="75">
        <v>45352</v>
      </c>
      <c r="I80" s="13" t="s">
        <v>202</v>
      </c>
      <c r="J80" s="39" t="s">
        <v>204</v>
      </c>
      <c r="K80" s="90" t="s">
        <v>237</v>
      </c>
      <c r="L80" s="90" t="s">
        <v>237</v>
      </c>
      <c r="M80" s="100" t="s">
        <v>341</v>
      </c>
    </row>
    <row r="81" spans="1:13" ht="16.5" x14ac:dyDescent="0.15">
      <c r="A81" s="28" t="s">
        <v>133</v>
      </c>
      <c r="B81" s="29"/>
      <c r="C81" s="72">
        <v>3044</v>
      </c>
      <c r="D81" s="84" t="s">
        <v>315</v>
      </c>
      <c r="E81" s="85" t="s">
        <v>316</v>
      </c>
      <c r="F81" s="12">
        <v>35170</v>
      </c>
      <c r="G81" s="93">
        <f t="shared" ca="1" si="6"/>
        <v>29</v>
      </c>
      <c r="H81" s="75">
        <v>45608</v>
      </c>
      <c r="I81" s="13" t="s">
        <v>317</v>
      </c>
      <c r="J81" s="39" t="s">
        <v>318</v>
      </c>
      <c r="K81" s="90" t="s">
        <v>237</v>
      </c>
      <c r="L81" s="90" t="s">
        <v>237</v>
      </c>
      <c r="M81" s="5" t="s">
        <v>353</v>
      </c>
    </row>
    <row r="82" spans="1:13" ht="18.75" x14ac:dyDescent="0.15">
      <c r="A82" s="28" t="s">
        <v>133</v>
      </c>
      <c r="B82" s="28" t="s">
        <v>167</v>
      </c>
      <c r="C82" s="72">
        <v>3834</v>
      </c>
      <c r="D82" s="84" t="s">
        <v>300</v>
      </c>
      <c r="E82" s="85" t="s">
        <v>301</v>
      </c>
      <c r="F82" s="12">
        <v>31719</v>
      </c>
      <c r="G82" s="93">
        <f t="shared" ca="1" si="6"/>
        <v>39</v>
      </c>
      <c r="H82" s="75">
        <v>45552</v>
      </c>
      <c r="I82" s="13" t="s">
        <v>202</v>
      </c>
      <c r="J82" s="39" t="s">
        <v>333</v>
      </c>
      <c r="K82" s="90" t="s">
        <v>237</v>
      </c>
      <c r="L82" s="90" t="s">
        <v>237</v>
      </c>
      <c r="M82" s="100" t="s">
        <v>354</v>
      </c>
    </row>
    <row r="83" spans="1:13" ht="18.75" x14ac:dyDescent="0.15">
      <c r="A83" s="28" t="s">
        <v>133</v>
      </c>
      <c r="B83" s="28" t="s">
        <v>167</v>
      </c>
      <c r="C83" s="72">
        <v>3816</v>
      </c>
      <c r="D83" s="88" t="s">
        <v>190</v>
      </c>
      <c r="E83" s="85" t="s">
        <v>197</v>
      </c>
      <c r="F83" s="12">
        <v>38878</v>
      </c>
      <c r="G83" s="93">
        <f ca="1">DATEDIF(F83,TODAY(),"Y")</f>
        <v>19</v>
      </c>
      <c r="H83" s="75">
        <v>45376</v>
      </c>
      <c r="I83" s="13" t="s">
        <v>199</v>
      </c>
      <c r="J83" s="39" t="s">
        <v>200</v>
      </c>
      <c r="K83" s="29"/>
      <c r="L83" s="29"/>
      <c r="M83" s="100" t="s">
        <v>354</v>
      </c>
    </row>
  </sheetData>
  <autoFilter ref="A1:J15" xr:uid="{B64E9799-15A2-4A5C-A06E-9139146F3D8B}">
    <sortState xmlns:xlrd2="http://schemas.microsoft.com/office/spreadsheetml/2017/richdata2" ref="A2:J37">
      <sortCondition ref="A1:A15"/>
    </sortState>
  </autoFilter>
  <phoneticPr fontId="2"/>
  <pageMargins left="0.31496062992125984" right="0.31496062992125984" top="0.74803149606299213" bottom="0.74803149606299213" header="0.31496062992125984" footer="0.31496062992125984"/>
  <pageSetup paperSize="9" scale="12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E9799-15A2-4A5C-A06E-9139146F3D8B}">
  <dimension ref="A1:J30"/>
  <sheetViews>
    <sheetView workbookViewId="0">
      <selection activeCell="I11" sqref="I11"/>
    </sheetView>
  </sheetViews>
  <sheetFormatPr defaultColWidth="9" defaultRowHeight="15" x14ac:dyDescent="0.15"/>
  <cols>
    <col min="1" max="1" width="7.5" style="5" customWidth="1"/>
    <col min="2" max="2" width="13.125" style="5" customWidth="1"/>
    <col min="3" max="3" width="9" style="5"/>
    <col min="4" max="4" width="16.125" style="5" bestFit="1" customWidth="1"/>
    <col min="5" max="5" width="14" style="5" bestFit="1" customWidth="1"/>
    <col min="6" max="6" width="10.25" style="5" bestFit="1" customWidth="1"/>
    <col min="7" max="7" width="9.375" style="5" customWidth="1"/>
    <col min="8" max="8" width="9.625" style="5" customWidth="1"/>
    <col min="9" max="9" width="44.5" style="5" bestFit="1" customWidth="1"/>
    <col min="10" max="16384" width="9" style="5"/>
  </cols>
  <sheetData>
    <row r="1" spans="1:10" x14ac:dyDescent="0.15">
      <c r="A1" s="28" t="s">
        <v>88</v>
      </c>
      <c r="B1" s="28" t="s">
        <v>72</v>
      </c>
      <c r="C1" s="1" t="s">
        <v>30</v>
      </c>
      <c r="D1" s="2" t="s">
        <v>31</v>
      </c>
      <c r="E1" s="3" t="s">
        <v>32</v>
      </c>
      <c r="F1" s="4" t="s">
        <v>33</v>
      </c>
      <c r="G1" s="54" t="s">
        <v>132</v>
      </c>
      <c r="H1" s="4" t="s">
        <v>34</v>
      </c>
      <c r="I1" s="4" t="s">
        <v>35</v>
      </c>
    </row>
    <row r="2" spans="1:10" x14ac:dyDescent="0.15">
      <c r="A2" s="28" t="s">
        <v>94</v>
      </c>
      <c r="B2" s="28" t="s">
        <v>120</v>
      </c>
      <c r="C2" s="15">
        <v>3018</v>
      </c>
      <c r="D2" s="13" t="s">
        <v>78</v>
      </c>
      <c r="E2" s="35" t="s">
        <v>82</v>
      </c>
      <c r="F2" s="12">
        <v>26477</v>
      </c>
      <c r="G2" s="55">
        <f ca="1">DATEDIF(F2,TODAY(),"Y")</f>
        <v>53</v>
      </c>
      <c r="H2" s="13" t="s">
        <v>97</v>
      </c>
      <c r="I2" s="37" t="s">
        <v>98</v>
      </c>
    </row>
    <row r="3" spans="1:10" x14ac:dyDescent="0.15">
      <c r="A3" s="28" t="s">
        <v>94</v>
      </c>
      <c r="B3" s="28" t="s">
        <v>74</v>
      </c>
      <c r="C3" s="6">
        <v>3002</v>
      </c>
      <c r="D3" s="7" t="s">
        <v>13</v>
      </c>
      <c r="E3" s="8" t="s">
        <v>14</v>
      </c>
      <c r="F3" s="9">
        <v>29947</v>
      </c>
      <c r="G3" s="55">
        <f t="shared" ref="G3:G18" ca="1" si="0">DATEDIF(F3,TODAY(),"Y")</f>
        <v>44</v>
      </c>
      <c r="H3" s="10" t="s">
        <v>1</v>
      </c>
      <c r="I3" s="11" t="s">
        <v>26</v>
      </c>
    </row>
    <row r="4" spans="1:10" x14ac:dyDescent="0.15">
      <c r="A4" s="28" t="s">
        <v>94</v>
      </c>
      <c r="B4" s="28" t="s">
        <v>131</v>
      </c>
      <c r="C4" s="6">
        <v>3003</v>
      </c>
      <c r="D4" s="7" t="s">
        <v>15</v>
      </c>
      <c r="E4" s="8" t="s">
        <v>16</v>
      </c>
      <c r="F4" s="9">
        <v>25555</v>
      </c>
      <c r="G4" s="55">
        <f t="shared" ca="1" si="0"/>
        <v>56</v>
      </c>
      <c r="H4" s="10" t="s">
        <v>2</v>
      </c>
      <c r="I4" s="11" t="s">
        <v>27</v>
      </c>
    </row>
    <row r="5" spans="1:10" x14ac:dyDescent="0.15">
      <c r="A5" s="28" t="s">
        <v>94</v>
      </c>
      <c r="B5" s="29"/>
      <c r="C5" s="6">
        <v>3010</v>
      </c>
      <c r="D5" s="7" t="s">
        <v>21</v>
      </c>
      <c r="E5" s="8" t="s">
        <v>22</v>
      </c>
      <c r="F5" s="12">
        <v>36180</v>
      </c>
      <c r="G5" s="55">
        <f t="shared" ca="1" si="0"/>
        <v>27</v>
      </c>
      <c r="H5" s="13" t="s">
        <v>6</v>
      </c>
      <c r="I5" s="14" t="s">
        <v>36</v>
      </c>
    </row>
    <row r="6" spans="1:10" x14ac:dyDescent="0.15">
      <c r="A6" s="28" t="s">
        <v>94</v>
      </c>
      <c r="B6" s="28" t="s">
        <v>73</v>
      </c>
      <c r="C6" s="15">
        <v>3015</v>
      </c>
      <c r="D6" s="13" t="s">
        <v>41</v>
      </c>
      <c r="E6" s="16" t="s">
        <v>42</v>
      </c>
      <c r="F6" s="12">
        <v>26226</v>
      </c>
      <c r="G6" s="55">
        <f t="shared" ca="1" si="0"/>
        <v>54</v>
      </c>
      <c r="H6" s="13" t="s">
        <v>9</v>
      </c>
      <c r="I6" s="14" t="s">
        <v>43</v>
      </c>
      <c r="J6" s="17"/>
    </row>
    <row r="7" spans="1:10" x14ac:dyDescent="0.15">
      <c r="A7" s="28" t="s">
        <v>94</v>
      </c>
      <c r="B7" s="29"/>
      <c r="C7" s="15">
        <v>3016</v>
      </c>
      <c r="D7" s="13" t="s">
        <v>44</v>
      </c>
      <c r="E7" s="16" t="s">
        <v>45</v>
      </c>
      <c r="F7" s="12">
        <v>25629</v>
      </c>
      <c r="G7" s="55">
        <f t="shared" ca="1" si="0"/>
        <v>56</v>
      </c>
      <c r="H7" s="13" t="s">
        <v>10</v>
      </c>
      <c r="I7" s="14" t="s">
        <v>46</v>
      </c>
    </row>
    <row r="8" spans="1:10" x14ac:dyDescent="0.15">
      <c r="A8" s="28" t="s">
        <v>94</v>
      </c>
      <c r="B8" s="29"/>
      <c r="C8" s="15">
        <v>3017</v>
      </c>
      <c r="D8" s="13" t="s">
        <v>47</v>
      </c>
      <c r="E8" s="16" t="s">
        <v>48</v>
      </c>
      <c r="F8" s="12">
        <v>28185</v>
      </c>
      <c r="G8" s="55">
        <f t="shared" ca="1" si="0"/>
        <v>49</v>
      </c>
      <c r="H8" s="13" t="s">
        <v>7</v>
      </c>
      <c r="I8" s="14" t="s">
        <v>49</v>
      </c>
    </row>
    <row r="9" spans="1:10" x14ac:dyDescent="0.15">
      <c r="A9" s="28" t="s">
        <v>94</v>
      </c>
      <c r="B9" s="29"/>
      <c r="C9" s="15">
        <v>3019</v>
      </c>
      <c r="D9" s="13" t="s">
        <v>79</v>
      </c>
      <c r="E9" s="35" t="s">
        <v>83</v>
      </c>
      <c r="F9" s="12">
        <v>38031</v>
      </c>
      <c r="G9" s="55">
        <f t="shared" ca="1" si="0"/>
        <v>22</v>
      </c>
      <c r="H9" s="13" t="s">
        <v>99</v>
      </c>
      <c r="I9" s="37" t="s">
        <v>100</v>
      </c>
    </row>
    <row r="10" spans="1:10" x14ac:dyDescent="0.15">
      <c r="A10" s="28" t="s">
        <v>111</v>
      </c>
      <c r="B10" s="29"/>
      <c r="C10" s="15">
        <v>3027</v>
      </c>
      <c r="D10" s="36" t="s">
        <v>116</v>
      </c>
      <c r="E10" s="35" t="s">
        <v>117</v>
      </c>
      <c r="F10" s="12">
        <v>33737</v>
      </c>
      <c r="G10" s="55">
        <f t="shared" ca="1" si="0"/>
        <v>33</v>
      </c>
      <c r="H10" s="13" t="s">
        <v>118</v>
      </c>
      <c r="I10" s="39" t="s">
        <v>119</v>
      </c>
    </row>
    <row r="11" spans="1:10" x14ac:dyDescent="0.15">
      <c r="A11" s="28" t="s">
        <v>95</v>
      </c>
      <c r="B11" s="28" t="s">
        <v>74</v>
      </c>
      <c r="C11" s="15">
        <v>3013</v>
      </c>
      <c r="D11" s="13" t="s">
        <v>38</v>
      </c>
      <c r="E11" s="16" t="s">
        <v>39</v>
      </c>
      <c r="F11" s="12">
        <v>28672</v>
      </c>
      <c r="G11" s="55">
        <f t="shared" ca="1" si="0"/>
        <v>47</v>
      </c>
      <c r="H11" s="13" t="s">
        <v>8</v>
      </c>
      <c r="I11" s="38" t="s">
        <v>40</v>
      </c>
    </row>
    <row r="12" spans="1:10" x14ac:dyDescent="0.15">
      <c r="A12" s="28" t="s">
        <v>95</v>
      </c>
      <c r="B12" s="29"/>
      <c r="C12" s="15">
        <v>3020</v>
      </c>
      <c r="D12" s="13" t="s">
        <v>80</v>
      </c>
      <c r="E12" s="35" t="s">
        <v>84</v>
      </c>
      <c r="F12" s="12">
        <v>34662</v>
      </c>
      <c r="G12" s="55">
        <f t="shared" ca="1" si="0"/>
        <v>31</v>
      </c>
      <c r="H12" s="13" t="s">
        <v>101</v>
      </c>
      <c r="I12" s="37" t="s">
        <v>102</v>
      </c>
    </row>
    <row r="13" spans="1:10" x14ac:dyDescent="0.15">
      <c r="A13" s="28" t="s">
        <v>95</v>
      </c>
      <c r="B13" s="29"/>
      <c r="C13" s="15">
        <v>3021</v>
      </c>
      <c r="D13" s="13" t="s">
        <v>81</v>
      </c>
      <c r="E13" s="35" t="s">
        <v>85</v>
      </c>
      <c r="F13" s="12">
        <v>21356</v>
      </c>
      <c r="G13" s="55">
        <f t="shared" ca="1" si="0"/>
        <v>67</v>
      </c>
      <c r="H13" s="13" t="s">
        <v>103</v>
      </c>
      <c r="I13" s="37" t="s">
        <v>104</v>
      </c>
    </row>
    <row r="14" spans="1:10" x14ac:dyDescent="0.15">
      <c r="A14" s="28" t="s">
        <v>95</v>
      </c>
      <c r="B14" s="28" t="s">
        <v>131</v>
      </c>
      <c r="C14" s="15">
        <v>3022</v>
      </c>
      <c r="D14" s="36" t="s">
        <v>86</v>
      </c>
      <c r="E14" s="35" t="s">
        <v>87</v>
      </c>
      <c r="F14" s="12">
        <v>23831</v>
      </c>
      <c r="G14" s="55">
        <f t="shared" ca="1" si="0"/>
        <v>60</v>
      </c>
      <c r="H14" s="13" t="s">
        <v>105</v>
      </c>
      <c r="I14" s="37" t="s">
        <v>109</v>
      </c>
    </row>
    <row r="15" spans="1:10" x14ac:dyDescent="0.15">
      <c r="A15" s="28" t="s">
        <v>95</v>
      </c>
      <c r="B15" s="29"/>
      <c r="C15" s="15">
        <v>3024</v>
      </c>
      <c r="D15" s="36" t="s">
        <v>92</v>
      </c>
      <c r="E15" s="35"/>
      <c r="F15" s="12">
        <v>32924</v>
      </c>
      <c r="G15" s="55">
        <f t="shared" ca="1" si="0"/>
        <v>36</v>
      </c>
      <c r="H15" s="13" t="s">
        <v>107</v>
      </c>
      <c r="I15" s="38" t="s">
        <v>110</v>
      </c>
    </row>
    <row r="16" spans="1:10" x14ac:dyDescent="0.15">
      <c r="A16" s="28" t="s">
        <v>95</v>
      </c>
      <c r="B16" s="29"/>
      <c r="C16" s="15">
        <v>3025</v>
      </c>
      <c r="D16" s="36" t="s">
        <v>91</v>
      </c>
      <c r="E16" s="35"/>
      <c r="F16" s="12">
        <v>35623</v>
      </c>
      <c r="G16" s="55">
        <f t="shared" ca="1" si="0"/>
        <v>28</v>
      </c>
      <c r="H16" s="13" t="s">
        <v>107</v>
      </c>
      <c r="I16" s="38" t="s">
        <v>110</v>
      </c>
    </row>
    <row r="17" spans="1:10" x14ac:dyDescent="0.15">
      <c r="A17" s="28" t="s">
        <v>95</v>
      </c>
      <c r="B17" s="29"/>
      <c r="C17" s="15">
        <v>3028</v>
      </c>
      <c r="D17" s="36" t="s">
        <v>123</v>
      </c>
      <c r="E17" s="35" t="s">
        <v>124</v>
      </c>
      <c r="F17" s="12">
        <v>26815</v>
      </c>
      <c r="G17" s="55">
        <f t="shared" ca="1" si="0"/>
        <v>52</v>
      </c>
      <c r="H17" s="13" t="s">
        <v>125</v>
      </c>
      <c r="I17" s="39" t="s">
        <v>126</v>
      </c>
    </row>
    <row r="18" spans="1:10" x14ac:dyDescent="0.15">
      <c r="A18" s="28" t="s">
        <v>95</v>
      </c>
      <c r="B18" s="29"/>
      <c r="C18" s="15">
        <v>3029</v>
      </c>
      <c r="D18" s="36" t="s">
        <v>127</v>
      </c>
      <c r="E18" s="35" t="s">
        <v>128</v>
      </c>
      <c r="F18" s="12">
        <v>36555</v>
      </c>
      <c r="G18" s="55">
        <f t="shared" ca="1" si="0"/>
        <v>26</v>
      </c>
      <c r="H18" s="13" t="s">
        <v>129</v>
      </c>
      <c r="I18" s="39" t="s">
        <v>130</v>
      </c>
    </row>
    <row r="19" spans="1:10" x14ac:dyDescent="0.15">
      <c r="A19" s="24"/>
      <c r="C19" s="48"/>
      <c r="D19" s="49"/>
      <c r="E19" s="50"/>
      <c r="F19" s="51"/>
      <c r="G19" s="51"/>
      <c r="H19" s="52"/>
      <c r="I19" s="53"/>
    </row>
    <row r="20" spans="1:10" x14ac:dyDescent="0.15">
      <c r="A20" s="24" t="s">
        <v>112</v>
      </c>
      <c r="D20" s="24" t="s">
        <v>113</v>
      </c>
      <c r="E20" s="24" t="s">
        <v>114</v>
      </c>
      <c r="F20" s="47">
        <v>21236</v>
      </c>
      <c r="G20" s="47"/>
      <c r="I20" s="24" t="s">
        <v>115</v>
      </c>
      <c r="J20" s="24"/>
    </row>
    <row r="25" spans="1:10" x14ac:dyDescent="0.15">
      <c r="A25" s="29"/>
      <c r="B25" s="29"/>
      <c r="C25" s="18">
        <v>3001</v>
      </c>
      <c r="D25" s="19" t="s">
        <v>67</v>
      </c>
      <c r="E25" s="20" t="s">
        <v>68</v>
      </c>
      <c r="F25" s="21">
        <v>25983</v>
      </c>
      <c r="G25" s="21"/>
      <c r="H25" s="22" t="s">
        <v>0</v>
      </c>
      <c r="I25" s="23" t="s">
        <v>69</v>
      </c>
      <c r="J25" s="24" t="s">
        <v>66</v>
      </c>
    </row>
    <row r="26" spans="1:10" x14ac:dyDescent="0.15">
      <c r="A26" s="29"/>
      <c r="B26" s="29"/>
      <c r="C26" s="18">
        <v>3007</v>
      </c>
      <c r="D26" s="30" t="s">
        <v>75</v>
      </c>
      <c r="E26" s="31" t="s">
        <v>76</v>
      </c>
      <c r="F26" s="32">
        <v>15347</v>
      </c>
      <c r="G26" s="32"/>
      <c r="H26" s="33" t="s">
        <v>4</v>
      </c>
      <c r="I26" s="34" t="s">
        <v>77</v>
      </c>
    </row>
    <row r="27" spans="1:10" x14ac:dyDescent="0.15">
      <c r="A27" s="29"/>
      <c r="B27" s="29"/>
      <c r="C27" s="18">
        <v>3008</v>
      </c>
      <c r="D27" s="19" t="s">
        <v>63</v>
      </c>
      <c r="E27" s="20" t="s">
        <v>64</v>
      </c>
      <c r="F27" s="21">
        <v>28031</v>
      </c>
      <c r="G27" s="21"/>
      <c r="H27" s="22" t="s">
        <v>5</v>
      </c>
      <c r="I27" s="23" t="s">
        <v>65</v>
      </c>
      <c r="J27" s="24" t="s">
        <v>66</v>
      </c>
    </row>
    <row r="28" spans="1:10" x14ac:dyDescent="0.15">
      <c r="A28" s="29"/>
      <c r="B28" s="29"/>
      <c r="C28" s="18">
        <v>3011</v>
      </c>
      <c r="D28" s="19" t="s">
        <v>70</v>
      </c>
      <c r="E28" s="20" t="s">
        <v>71</v>
      </c>
      <c r="F28" s="25">
        <v>25904</v>
      </c>
      <c r="G28" s="25"/>
      <c r="H28" s="26" t="s">
        <v>62</v>
      </c>
      <c r="I28" s="27" t="s">
        <v>61</v>
      </c>
      <c r="J28" s="24" t="s">
        <v>66</v>
      </c>
    </row>
    <row r="29" spans="1:10" x14ac:dyDescent="0.15">
      <c r="A29" s="40" t="s">
        <v>95</v>
      </c>
      <c r="B29" s="41"/>
      <c r="C29" s="42">
        <v>3023</v>
      </c>
      <c r="D29" s="43" t="s">
        <v>93</v>
      </c>
      <c r="E29" s="44" t="s">
        <v>96</v>
      </c>
      <c r="F29" s="25">
        <v>22381</v>
      </c>
      <c r="G29" s="25"/>
      <c r="H29" s="45" t="s">
        <v>106</v>
      </c>
      <c r="I29" s="46" t="s">
        <v>121</v>
      </c>
      <c r="J29" s="24" t="s">
        <v>66</v>
      </c>
    </row>
    <row r="30" spans="1:10" x14ac:dyDescent="0.15">
      <c r="A30" s="40" t="s">
        <v>95</v>
      </c>
      <c r="B30" s="41"/>
      <c r="C30" s="42">
        <v>3026</v>
      </c>
      <c r="D30" s="43" t="s">
        <v>89</v>
      </c>
      <c r="E30" s="44" t="s">
        <v>90</v>
      </c>
      <c r="F30" s="25">
        <v>24983</v>
      </c>
      <c r="G30" s="25"/>
      <c r="H30" s="45" t="s">
        <v>108</v>
      </c>
      <c r="I30" s="46" t="s">
        <v>122</v>
      </c>
      <c r="J30" s="24" t="s">
        <v>66</v>
      </c>
    </row>
  </sheetData>
  <autoFilter ref="A1:I18" xr:uid="{B64E9799-15A2-4A5C-A06E-9139146F3D8B}"/>
  <phoneticPr fontId="2"/>
  <pageMargins left="0.31496062992125984" right="0.31496062992125984" top="0.74803149606299213" bottom="0.74803149606299213" header="0.31496062992125984" footer="0.31496062992125984"/>
  <pageSetup paperSize="9" scale="12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I11" sqref="I11"/>
    </sheetView>
  </sheetViews>
  <sheetFormatPr defaultColWidth="9" defaultRowHeight="15" x14ac:dyDescent="0.15"/>
  <cols>
    <col min="1" max="1" width="13.125" style="5" customWidth="1"/>
    <col min="2" max="2" width="9" style="5"/>
    <col min="3" max="3" width="10.875" style="5" bestFit="1" customWidth="1"/>
    <col min="4" max="4" width="14" style="5" bestFit="1" customWidth="1"/>
    <col min="5" max="5" width="10.25" style="5" bestFit="1" customWidth="1"/>
    <col min="6" max="6" width="9.625" style="5" customWidth="1"/>
    <col min="7" max="7" width="44.5" style="5" bestFit="1" customWidth="1"/>
    <col min="8" max="16384" width="9" style="5"/>
  </cols>
  <sheetData>
    <row r="1" spans="1:8" x14ac:dyDescent="0.15">
      <c r="A1" s="28" t="s">
        <v>72</v>
      </c>
      <c r="B1" s="1" t="s">
        <v>30</v>
      </c>
      <c r="C1" s="2" t="s">
        <v>31</v>
      </c>
      <c r="D1" s="3" t="s">
        <v>32</v>
      </c>
      <c r="E1" s="4" t="s">
        <v>33</v>
      </c>
      <c r="F1" s="4" t="s">
        <v>34</v>
      </c>
      <c r="G1" s="4" t="s">
        <v>35</v>
      </c>
    </row>
    <row r="2" spans="1:8" x14ac:dyDescent="0.15">
      <c r="A2" s="29"/>
      <c r="B2" s="18">
        <v>3001</v>
      </c>
      <c r="C2" s="19" t="s">
        <v>67</v>
      </c>
      <c r="D2" s="20" t="s">
        <v>68</v>
      </c>
      <c r="E2" s="21">
        <v>25983</v>
      </c>
      <c r="F2" s="22" t="s">
        <v>0</v>
      </c>
      <c r="G2" s="23" t="s">
        <v>69</v>
      </c>
      <c r="H2" s="24" t="s">
        <v>66</v>
      </c>
    </row>
    <row r="3" spans="1:8" x14ac:dyDescent="0.15">
      <c r="A3" s="28" t="s">
        <v>74</v>
      </c>
      <c r="B3" s="6">
        <v>3002</v>
      </c>
      <c r="C3" s="7" t="s">
        <v>13</v>
      </c>
      <c r="D3" s="8" t="s">
        <v>14</v>
      </c>
      <c r="E3" s="9">
        <v>29947</v>
      </c>
      <c r="F3" s="10" t="s">
        <v>1</v>
      </c>
      <c r="G3" s="11" t="s">
        <v>26</v>
      </c>
    </row>
    <row r="4" spans="1:8" x14ac:dyDescent="0.15">
      <c r="A4" s="29"/>
      <c r="B4" s="6">
        <v>3003</v>
      </c>
      <c r="C4" s="7" t="s">
        <v>15</v>
      </c>
      <c r="D4" s="8" t="s">
        <v>16</v>
      </c>
      <c r="E4" s="9">
        <v>25555</v>
      </c>
      <c r="F4" s="10" t="s">
        <v>2</v>
      </c>
      <c r="G4" s="11" t="s">
        <v>27</v>
      </c>
    </row>
    <row r="5" spans="1:8" x14ac:dyDescent="0.15">
      <c r="A5" s="29"/>
      <c r="B5" s="6">
        <v>3007</v>
      </c>
      <c r="C5" s="7" t="s">
        <v>17</v>
      </c>
      <c r="D5" s="8" t="s">
        <v>18</v>
      </c>
      <c r="E5" s="9">
        <v>15347</v>
      </c>
      <c r="F5" s="10" t="s">
        <v>4</v>
      </c>
      <c r="G5" s="11" t="s">
        <v>28</v>
      </c>
    </row>
    <row r="6" spans="1:8" x14ac:dyDescent="0.15">
      <c r="A6" s="29"/>
      <c r="B6" s="18">
        <v>3008</v>
      </c>
      <c r="C6" s="19" t="s">
        <v>63</v>
      </c>
      <c r="D6" s="20" t="s">
        <v>64</v>
      </c>
      <c r="E6" s="21">
        <v>28031</v>
      </c>
      <c r="F6" s="22" t="s">
        <v>5</v>
      </c>
      <c r="G6" s="23" t="s">
        <v>65</v>
      </c>
      <c r="H6" s="24" t="s">
        <v>66</v>
      </c>
    </row>
    <row r="7" spans="1:8" x14ac:dyDescent="0.15">
      <c r="A7" s="29"/>
      <c r="B7" s="6">
        <v>3010</v>
      </c>
      <c r="C7" s="7" t="s">
        <v>21</v>
      </c>
      <c r="D7" s="8" t="s">
        <v>22</v>
      </c>
      <c r="E7" s="12">
        <v>36180</v>
      </c>
      <c r="F7" s="13" t="s">
        <v>6</v>
      </c>
      <c r="G7" s="14" t="s">
        <v>36</v>
      </c>
    </row>
    <row r="8" spans="1:8" x14ac:dyDescent="0.15">
      <c r="A8" s="29"/>
      <c r="B8" s="18">
        <v>3011</v>
      </c>
      <c r="C8" s="19" t="s">
        <v>70</v>
      </c>
      <c r="D8" s="20" t="s">
        <v>71</v>
      </c>
      <c r="E8" s="25">
        <v>25904</v>
      </c>
      <c r="F8" s="26" t="s">
        <v>62</v>
      </c>
      <c r="G8" s="27" t="s">
        <v>61</v>
      </c>
      <c r="H8" s="24" t="s">
        <v>66</v>
      </c>
    </row>
    <row r="9" spans="1:8" x14ac:dyDescent="0.15">
      <c r="A9" s="28" t="s">
        <v>74</v>
      </c>
      <c r="B9" s="15">
        <v>3013</v>
      </c>
      <c r="C9" s="13" t="s">
        <v>38</v>
      </c>
      <c r="D9" s="16" t="s">
        <v>39</v>
      </c>
      <c r="E9" s="12">
        <v>28672</v>
      </c>
      <c r="F9" s="13" t="s">
        <v>8</v>
      </c>
      <c r="G9" s="14" t="s">
        <v>40</v>
      </c>
    </row>
    <row r="10" spans="1:8" x14ac:dyDescent="0.15">
      <c r="A10" s="28" t="s">
        <v>73</v>
      </c>
      <c r="B10" s="15">
        <v>3015</v>
      </c>
      <c r="C10" s="13" t="s">
        <v>41</v>
      </c>
      <c r="D10" s="16" t="s">
        <v>42</v>
      </c>
      <c r="E10" s="12">
        <v>26226</v>
      </c>
      <c r="F10" s="13" t="s">
        <v>9</v>
      </c>
      <c r="G10" s="14" t="s">
        <v>43</v>
      </c>
      <c r="H10" s="17" t="s">
        <v>50</v>
      </c>
    </row>
    <row r="11" spans="1:8" x14ac:dyDescent="0.15">
      <c r="A11" s="29"/>
      <c r="B11" s="15">
        <v>3016</v>
      </c>
      <c r="C11" s="13" t="s">
        <v>44</v>
      </c>
      <c r="D11" s="16" t="s">
        <v>45</v>
      </c>
      <c r="E11" s="12">
        <v>25629</v>
      </c>
      <c r="F11" s="13" t="s">
        <v>10</v>
      </c>
      <c r="G11" s="14" t="s">
        <v>46</v>
      </c>
    </row>
    <row r="12" spans="1:8" x14ac:dyDescent="0.15">
      <c r="A12" s="29"/>
      <c r="B12" s="15">
        <v>3017</v>
      </c>
      <c r="C12" s="13" t="s">
        <v>47</v>
      </c>
      <c r="D12" s="16" t="s">
        <v>48</v>
      </c>
      <c r="E12" s="12">
        <v>28185</v>
      </c>
      <c r="F12" s="13" t="s">
        <v>7</v>
      </c>
      <c r="G12" s="14" t="s">
        <v>49</v>
      </c>
    </row>
  </sheetData>
  <phoneticPr fontId="2"/>
  <pageMargins left="0.31496062992125984" right="0.31496062992125984" top="0.74803149606299213" bottom="0.74803149606299213" header="0.31496062992125984" footer="0.31496062992125984"/>
  <pageSetup paperSize="9" scale="12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I11" sqref="I11"/>
    </sheetView>
  </sheetViews>
  <sheetFormatPr defaultColWidth="9" defaultRowHeight="15" x14ac:dyDescent="0.15"/>
  <cols>
    <col min="1" max="1" width="9" style="5"/>
    <col min="2" max="2" width="10.875" style="5" bestFit="1" customWidth="1"/>
    <col min="3" max="3" width="14" style="5" bestFit="1" customWidth="1"/>
    <col min="4" max="4" width="10.25" style="5" bestFit="1" customWidth="1"/>
    <col min="5" max="5" width="9.625" style="5" customWidth="1"/>
    <col min="6" max="6" width="39" style="5" customWidth="1"/>
    <col min="7" max="16384" width="9" style="5"/>
  </cols>
  <sheetData>
    <row r="1" spans="1:7" x14ac:dyDescent="0.15">
      <c r="A1" s="1" t="s">
        <v>30</v>
      </c>
      <c r="B1" s="2" t="s">
        <v>31</v>
      </c>
      <c r="C1" s="3" t="s">
        <v>32</v>
      </c>
      <c r="D1" s="4" t="s">
        <v>33</v>
      </c>
      <c r="E1" s="4" t="s">
        <v>34</v>
      </c>
      <c r="F1" s="4" t="s">
        <v>35</v>
      </c>
    </row>
    <row r="2" spans="1:7" x14ac:dyDescent="0.15">
      <c r="A2" s="6">
        <v>3001</v>
      </c>
      <c r="B2" s="7" t="s">
        <v>11</v>
      </c>
      <c r="C2" s="8" t="s">
        <v>12</v>
      </c>
      <c r="D2" s="9">
        <v>25983</v>
      </c>
      <c r="E2" s="10" t="s">
        <v>0</v>
      </c>
      <c r="F2" s="11" t="s">
        <v>25</v>
      </c>
    </row>
    <row r="3" spans="1:7" x14ac:dyDescent="0.15">
      <c r="A3" s="6">
        <v>3002</v>
      </c>
      <c r="B3" s="7" t="s">
        <v>13</v>
      </c>
      <c r="C3" s="8" t="s">
        <v>14</v>
      </c>
      <c r="D3" s="9">
        <v>29947</v>
      </c>
      <c r="E3" s="10" t="s">
        <v>1</v>
      </c>
      <c r="F3" s="11" t="s">
        <v>26</v>
      </c>
    </row>
    <row r="4" spans="1:7" x14ac:dyDescent="0.15">
      <c r="A4" s="6">
        <v>3003</v>
      </c>
      <c r="B4" s="7" t="s">
        <v>15</v>
      </c>
      <c r="C4" s="8" t="s">
        <v>16</v>
      </c>
      <c r="D4" s="9">
        <v>25555</v>
      </c>
      <c r="E4" s="10" t="s">
        <v>2</v>
      </c>
      <c r="F4" s="11" t="s">
        <v>27</v>
      </c>
    </row>
    <row r="5" spans="1:7" x14ac:dyDescent="0.15">
      <c r="A5" s="6">
        <v>3007</v>
      </c>
      <c r="B5" s="7" t="s">
        <v>17</v>
      </c>
      <c r="C5" s="8" t="s">
        <v>18</v>
      </c>
      <c r="D5" s="9">
        <v>15347</v>
      </c>
      <c r="E5" s="10" t="s">
        <v>4</v>
      </c>
      <c r="F5" s="11" t="s">
        <v>28</v>
      </c>
    </row>
    <row r="6" spans="1:7" x14ac:dyDescent="0.15">
      <c r="A6" s="6">
        <v>3008</v>
      </c>
      <c r="B6" s="7" t="s">
        <v>19</v>
      </c>
      <c r="C6" s="8" t="s">
        <v>20</v>
      </c>
      <c r="D6" s="9">
        <v>28031</v>
      </c>
      <c r="E6" s="10" t="s">
        <v>5</v>
      </c>
      <c r="F6" s="11" t="s">
        <v>29</v>
      </c>
    </row>
    <row r="7" spans="1:7" x14ac:dyDescent="0.15">
      <c r="A7" s="6">
        <v>3010</v>
      </c>
      <c r="B7" s="7" t="s">
        <v>21</v>
      </c>
      <c r="C7" s="8" t="s">
        <v>22</v>
      </c>
      <c r="D7" s="12">
        <v>36180</v>
      </c>
      <c r="E7" s="13" t="s">
        <v>6</v>
      </c>
      <c r="F7" s="14" t="s">
        <v>36</v>
      </c>
    </row>
    <row r="8" spans="1:7" x14ac:dyDescent="0.15">
      <c r="A8" s="6">
        <v>3011</v>
      </c>
      <c r="B8" s="7" t="s">
        <v>23</v>
      </c>
      <c r="C8" s="8" t="s">
        <v>24</v>
      </c>
      <c r="D8" s="12">
        <v>25904</v>
      </c>
      <c r="E8" s="13" t="s">
        <v>7</v>
      </c>
      <c r="F8" s="14" t="s">
        <v>37</v>
      </c>
    </row>
    <row r="9" spans="1:7" x14ac:dyDescent="0.15">
      <c r="A9" s="15">
        <v>3013</v>
      </c>
      <c r="B9" s="13" t="s">
        <v>38</v>
      </c>
      <c r="C9" s="16" t="s">
        <v>39</v>
      </c>
      <c r="D9" s="12">
        <v>28672</v>
      </c>
      <c r="E9" s="13" t="s">
        <v>8</v>
      </c>
      <c r="F9" s="14" t="s">
        <v>40</v>
      </c>
    </row>
    <row r="10" spans="1:7" x14ac:dyDescent="0.15">
      <c r="A10" s="15">
        <v>3015</v>
      </c>
      <c r="B10" s="13" t="s">
        <v>41</v>
      </c>
      <c r="C10" s="16" t="s">
        <v>42</v>
      </c>
      <c r="D10" s="12">
        <v>26226</v>
      </c>
      <c r="E10" s="13" t="s">
        <v>9</v>
      </c>
      <c r="F10" s="14" t="s">
        <v>43</v>
      </c>
      <c r="G10" s="17" t="s">
        <v>50</v>
      </c>
    </row>
    <row r="11" spans="1:7" x14ac:dyDescent="0.15">
      <c r="A11" s="15">
        <v>3016</v>
      </c>
      <c r="B11" s="13" t="s">
        <v>44</v>
      </c>
      <c r="C11" s="16" t="s">
        <v>45</v>
      </c>
      <c r="D11" s="12">
        <v>25629</v>
      </c>
      <c r="E11" s="13" t="s">
        <v>10</v>
      </c>
      <c r="F11" s="14" t="s">
        <v>46</v>
      </c>
    </row>
    <row r="12" spans="1:7" x14ac:dyDescent="0.15">
      <c r="A12" s="15">
        <v>3017</v>
      </c>
      <c r="B12" s="13" t="s">
        <v>47</v>
      </c>
      <c r="C12" s="16" t="s">
        <v>48</v>
      </c>
      <c r="D12" s="12">
        <v>28185</v>
      </c>
      <c r="E12" s="13" t="s">
        <v>7</v>
      </c>
      <c r="F12" s="14" t="s">
        <v>49</v>
      </c>
    </row>
  </sheetData>
  <phoneticPr fontId="2"/>
  <pageMargins left="0.31496062992125984" right="0.31496062992125984" top="0.74803149606299213" bottom="0.74803149606299213" header="0.31496062992125984" footer="0.31496062992125984"/>
  <pageSetup paperSize="13" scale="12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I11" sqref="I11"/>
    </sheetView>
  </sheetViews>
  <sheetFormatPr defaultColWidth="9" defaultRowHeight="15" x14ac:dyDescent="0.15"/>
  <cols>
    <col min="1" max="1" width="9" style="5"/>
    <col min="2" max="2" width="10.875" style="5" bestFit="1" customWidth="1"/>
    <col min="3" max="3" width="14" style="5" bestFit="1" customWidth="1"/>
    <col min="4" max="4" width="10.25" style="5" bestFit="1" customWidth="1"/>
    <col min="5" max="5" width="9.625" style="5" customWidth="1"/>
    <col min="6" max="6" width="37" style="5" customWidth="1"/>
    <col min="7" max="16384" width="9" style="5"/>
  </cols>
  <sheetData>
    <row r="1" spans="1:6" x14ac:dyDescent="0.15">
      <c r="A1" s="1" t="s">
        <v>30</v>
      </c>
      <c r="B1" s="2" t="s">
        <v>31</v>
      </c>
      <c r="C1" s="3" t="s">
        <v>32</v>
      </c>
      <c r="D1" s="4" t="s">
        <v>33</v>
      </c>
      <c r="E1" s="4" t="s">
        <v>34</v>
      </c>
      <c r="F1" s="4" t="s">
        <v>35</v>
      </c>
    </row>
    <row r="2" spans="1:6" x14ac:dyDescent="0.15">
      <c r="A2" s="6">
        <v>3001</v>
      </c>
      <c r="B2" s="7" t="s">
        <v>11</v>
      </c>
      <c r="C2" s="8" t="s">
        <v>12</v>
      </c>
      <c r="D2" s="9">
        <v>25983</v>
      </c>
      <c r="E2" s="10" t="s">
        <v>0</v>
      </c>
      <c r="F2" s="11" t="s">
        <v>25</v>
      </c>
    </row>
    <row r="3" spans="1:6" x14ac:dyDescent="0.15">
      <c r="A3" s="6">
        <v>3002</v>
      </c>
      <c r="B3" s="7" t="s">
        <v>13</v>
      </c>
      <c r="C3" s="8" t="s">
        <v>14</v>
      </c>
      <c r="D3" s="9">
        <v>29947</v>
      </c>
      <c r="E3" s="10" t="s">
        <v>1</v>
      </c>
      <c r="F3" s="11" t="s">
        <v>26</v>
      </c>
    </row>
    <row r="4" spans="1:6" x14ac:dyDescent="0.15">
      <c r="A4" s="6">
        <v>3003</v>
      </c>
      <c r="B4" s="7" t="s">
        <v>15</v>
      </c>
      <c r="C4" s="8" t="s">
        <v>16</v>
      </c>
      <c r="D4" s="9">
        <v>25555</v>
      </c>
      <c r="E4" s="10" t="s">
        <v>2</v>
      </c>
      <c r="F4" s="11" t="s">
        <v>27</v>
      </c>
    </row>
    <row r="5" spans="1:6" x14ac:dyDescent="0.15">
      <c r="A5" s="6">
        <v>3007</v>
      </c>
      <c r="B5" s="7" t="s">
        <v>17</v>
      </c>
      <c r="C5" s="8" t="s">
        <v>18</v>
      </c>
      <c r="D5" s="9">
        <v>15347</v>
      </c>
      <c r="E5" s="10" t="s">
        <v>4</v>
      </c>
      <c r="F5" s="11" t="s">
        <v>28</v>
      </c>
    </row>
    <row r="6" spans="1:6" x14ac:dyDescent="0.15">
      <c r="A6" s="6">
        <v>3008</v>
      </c>
      <c r="B6" s="7" t="s">
        <v>19</v>
      </c>
      <c r="C6" s="8" t="s">
        <v>20</v>
      </c>
      <c r="D6" s="9">
        <v>28031</v>
      </c>
      <c r="E6" s="10" t="s">
        <v>5</v>
      </c>
      <c r="F6" s="11" t="s">
        <v>29</v>
      </c>
    </row>
    <row r="7" spans="1:6" x14ac:dyDescent="0.15">
      <c r="A7" s="6">
        <v>3010</v>
      </c>
      <c r="B7" s="7" t="s">
        <v>21</v>
      </c>
      <c r="C7" s="8" t="s">
        <v>22</v>
      </c>
      <c r="D7" s="12">
        <v>36180</v>
      </c>
      <c r="E7" s="13" t="s">
        <v>6</v>
      </c>
      <c r="F7" s="14" t="s">
        <v>36</v>
      </c>
    </row>
    <row r="8" spans="1:6" x14ac:dyDescent="0.15">
      <c r="A8" s="6">
        <v>3011</v>
      </c>
      <c r="B8" s="7" t="s">
        <v>23</v>
      </c>
      <c r="C8" s="8" t="s">
        <v>24</v>
      </c>
      <c r="D8" s="12">
        <v>25904</v>
      </c>
      <c r="E8" s="13" t="s">
        <v>7</v>
      </c>
      <c r="F8" s="14" t="s">
        <v>37</v>
      </c>
    </row>
    <row r="9" spans="1:6" x14ac:dyDescent="0.15">
      <c r="A9" s="15">
        <v>3013</v>
      </c>
      <c r="B9" s="13" t="s">
        <v>38</v>
      </c>
      <c r="C9" s="16" t="s">
        <v>39</v>
      </c>
      <c r="D9" s="12">
        <v>28672</v>
      </c>
      <c r="E9" s="13" t="s">
        <v>8</v>
      </c>
      <c r="F9" s="14" t="s">
        <v>40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13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>
      <selection activeCell="I11" sqref="I11"/>
    </sheetView>
  </sheetViews>
  <sheetFormatPr defaultColWidth="9" defaultRowHeight="15" x14ac:dyDescent="0.15"/>
  <cols>
    <col min="1" max="1" width="9" style="5"/>
    <col min="2" max="2" width="10.25" style="5" bestFit="1" customWidth="1"/>
    <col min="3" max="3" width="14" style="5" bestFit="1" customWidth="1"/>
    <col min="4" max="4" width="10.25" style="5" bestFit="1" customWidth="1"/>
    <col min="5" max="5" width="9.625" style="5" customWidth="1"/>
    <col min="6" max="6" width="37" style="5" customWidth="1"/>
    <col min="7" max="16384" width="9" style="5"/>
  </cols>
  <sheetData>
    <row r="1" spans="1:6" x14ac:dyDescent="0.15">
      <c r="A1" s="1" t="s">
        <v>30</v>
      </c>
      <c r="B1" s="2" t="s">
        <v>31</v>
      </c>
      <c r="C1" s="3" t="s">
        <v>32</v>
      </c>
      <c r="D1" s="4" t="s">
        <v>33</v>
      </c>
      <c r="E1" s="4" t="s">
        <v>34</v>
      </c>
      <c r="F1" s="4" t="s">
        <v>35</v>
      </c>
    </row>
    <row r="2" spans="1:6" x14ac:dyDescent="0.15">
      <c r="A2" s="6">
        <v>3001</v>
      </c>
      <c r="B2" s="7" t="s">
        <v>11</v>
      </c>
      <c r="C2" s="8" t="s">
        <v>12</v>
      </c>
      <c r="D2" s="9">
        <v>25983</v>
      </c>
      <c r="E2" s="10" t="s">
        <v>0</v>
      </c>
      <c r="F2" s="11" t="s">
        <v>25</v>
      </c>
    </row>
    <row r="3" spans="1:6" x14ac:dyDescent="0.15">
      <c r="A3" s="6">
        <v>3002</v>
      </c>
      <c r="B3" s="7" t="s">
        <v>13</v>
      </c>
      <c r="C3" s="8" t="s">
        <v>14</v>
      </c>
      <c r="D3" s="9">
        <v>29947</v>
      </c>
      <c r="E3" s="10" t="s">
        <v>1</v>
      </c>
      <c r="F3" s="11" t="s">
        <v>26</v>
      </c>
    </row>
    <row r="4" spans="1:6" x14ac:dyDescent="0.15">
      <c r="A4" s="6">
        <v>3003</v>
      </c>
      <c r="B4" s="7" t="s">
        <v>15</v>
      </c>
      <c r="C4" s="8" t="s">
        <v>16</v>
      </c>
      <c r="D4" s="9">
        <v>25555</v>
      </c>
      <c r="E4" s="10" t="s">
        <v>2</v>
      </c>
      <c r="F4" s="11" t="s">
        <v>27</v>
      </c>
    </row>
    <row r="5" spans="1:6" x14ac:dyDescent="0.15">
      <c r="A5" s="6">
        <v>3007</v>
      </c>
      <c r="B5" s="7" t="s">
        <v>17</v>
      </c>
      <c r="C5" s="8" t="s">
        <v>18</v>
      </c>
      <c r="D5" s="9">
        <v>15347</v>
      </c>
      <c r="E5" s="10" t="s">
        <v>4</v>
      </c>
      <c r="F5" s="11" t="s">
        <v>53</v>
      </c>
    </row>
    <row r="6" spans="1:6" x14ac:dyDescent="0.15">
      <c r="A6" s="6">
        <v>3008</v>
      </c>
      <c r="B6" s="7" t="s">
        <v>19</v>
      </c>
      <c r="C6" s="8" t="s">
        <v>20</v>
      </c>
      <c r="D6" s="9">
        <v>28031</v>
      </c>
      <c r="E6" s="10" t="s">
        <v>5</v>
      </c>
      <c r="F6" s="11" t="s">
        <v>29</v>
      </c>
    </row>
    <row r="7" spans="1:6" x14ac:dyDescent="0.15">
      <c r="A7" s="6">
        <v>3009</v>
      </c>
      <c r="B7" s="7" t="s">
        <v>51</v>
      </c>
      <c r="C7" s="8" t="s">
        <v>52</v>
      </c>
      <c r="D7" s="12">
        <v>34037</v>
      </c>
      <c r="E7" s="13" t="s">
        <v>3</v>
      </c>
      <c r="F7" s="14" t="s">
        <v>56</v>
      </c>
    </row>
    <row r="8" spans="1:6" x14ac:dyDescent="0.15">
      <c r="A8" s="6">
        <v>3010</v>
      </c>
      <c r="B8" s="7" t="s">
        <v>21</v>
      </c>
      <c r="C8" s="8" t="s">
        <v>22</v>
      </c>
      <c r="D8" s="12">
        <v>36180</v>
      </c>
      <c r="E8" s="13" t="s">
        <v>6</v>
      </c>
      <c r="F8" s="14" t="s">
        <v>36</v>
      </c>
    </row>
    <row r="9" spans="1:6" x14ac:dyDescent="0.15">
      <c r="A9" s="6">
        <v>3011</v>
      </c>
      <c r="B9" s="7" t="s">
        <v>23</v>
      </c>
      <c r="C9" s="8" t="s">
        <v>24</v>
      </c>
      <c r="D9" s="12">
        <v>25904</v>
      </c>
      <c r="E9" s="13" t="s">
        <v>7</v>
      </c>
      <c r="F9" s="14" t="s">
        <v>37</v>
      </c>
    </row>
    <row r="10" spans="1:6" x14ac:dyDescent="0.15">
      <c r="A10" s="15">
        <v>3012</v>
      </c>
      <c r="B10" s="13" t="s">
        <v>57</v>
      </c>
      <c r="C10" s="16" t="s">
        <v>58</v>
      </c>
      <c r="D10" s="12">
        <v>29045</v>
      </c>
      <c r="E10" s="13" t="s">
        <v>3</v>
      </c>
      <c r="F10" s="14" t="s">
        <v>59</v>
      </c>
    </row>
    <row r="11" spans="1:6" x14ac:dyDescent="0.15">
      <c r="A11" s="15">
        <v>3013</v>
      </c>
      <c r="B11" s="13" t="s">
        <v>38</v>
      </c>
      <c r="C11" s="16" t="s">
        <v>39</v>
      </c>
      <c r="D11" s="12">
        <v>28672</v>
      </c>
      <c r="E11" s="13" t="s">
        <v>8</v>
      </c>
      <c r="F11" s="14" t="s">
        <v>60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12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selection activeCell="I11" sqref="I11"/>
    </sheetView>
  </sheetViews>
  <sheetFormatPr defaultColWidth="9" defaultRowHeight="15" x14ac:dyDescent="0.15"/>
  <cols>
    <col min="1" max="1" width="9" style="5"/>
    <col min="2" max="2" width="10.25" style="5" bestFit="1" customWidth="1"/>
    <col min="3" max="3" width="14" style="5" bestFit="1" customWidth="1"/>
    <col min="4" max="4" width="10.25" style="5" bestFit="1" customWidth="1"/>
    <col min="5" max="5" width="9.625" style="5" customWidth="1"/>
    <col min="6" max="6" width="37" style="5" customWidth="1"/>
    <col min="7" max="16384" width="9" style="5"/>
  </cols>
  <sheetData>
    <row r="1" spans="1:6" x14ac:dyDescent="0.15">
      <c r="A1" s="1" t="s">
        <v>30</v>
      </c>
      <c r="B1" s="2" t="s">
        <v>31</v>
      </c>
      <c r="C1" s="3" t="s">
        <v>54</v>
      </c>
      <c r="D1" s="4" t="s">
        <v>33</v>
      </c>
      <c r="E1" s="4" t="s">
        <v>34</v>
      </c>
      <c r="F1" s="4" t="s">
        <v>35</v>
      </c>
    </row>
    <row r="2" spans="1:6" x14ac:dyDescent="0.15">
      <c r="A2" s="6">
        <v>3001</v>
      </c>
      <c r="B2" s="7" t="s">
        <v>11</v>
      </c>
      <c r="C2" s="8" t="s">
        <v>12</v>
      </c>
      <c r="D2" s="9">
        <v>25983</v>
      </c>
      <c r="E2" s="10" t="s">
        <v>0</v>
      </c>
      <c r="F2" s="11" t="s">
        <v>25</v>
      </c>
    </row>
    <row r="3" spans="1:6" x14ac:dyDescent="0.15">
      <c r="A3" s="6">
        <v>3002</v>
      </c>
      <c r="B3" s="7" t="s">
        <v>13</v>
      </c>
      <c r="C3" s="8" t="s">
        <v>14</v>
      </c>
      <c r="D3" s="9">
        <v>29947</v>
      </c>
      <c r="E3" s="10" t="s">
        <v>1</v>
      </c>
      <c r="F3" s="11" t="s">
        <v>26</v>
      </c>
    </row>
    <row r="4" spans="1:6" x14ac:dyDescent="0.15">
      <c r="A4" s="6">
        <v>3003</v>
      </c>
      <c r="B4" s="7" t="s">
        <v>15</v>
      </c>
      <c r="C4" s="8" t="s">
        <v>16</v>
      </c>
      <c r="D4" s="9">
        <v>25555</v>
      </c>
      <c r="E4" s="10" t="s">
        <v>2</v>
      </c>
      <c r="F4" s="11" t="s">
        <v>27</v>
      </c>
    </row>
    <row r="5" spans="1:6" x14ac:dyDescent="0.15">
      <c r="A5" s="6">
        <v>3007</v>
      </c>
      <c r="B5" s="7" t="s">
        <v>17</v>
      </c>
      <c r="C5" s="8" t="s">
        <v>18</v>
      </c>
      <c r="D5" s="9">
        <v>15347</v>
      </c>
      <c r="E5" s="10" t="s">
        <v>4</v>
      </c>
      <c r="F5" s="11" t="s">
        <v>53</v>
      </c>
    </row>
    <row r="6" spans="1:6" x14ac:dyDescent="0.15">
      <c r="A6" s="6">
        <v>3008</v>
      </c>
      <c r="B6" s="7" t="s">
        <v>19</v>
      </c>
      <c r="C6" s="8" t="s">
        <v>55</v>
      </c>
      <c r="D6" s="9">
        <v>28031</v>
      </c>
      <c r="E6" s="10" t="s">
        <v>5</v>
      </c>
      <c r="F6" s="11" t="s">
        <v>29</v>
      </c>
    </row>
    <row r="7" spans="1:6" x14ac:dyDescent="0.15">
      <c r="A7" s="6">
        <v>3009</v>
      </c>
      <c r="B7" s="7" t="s">
        <v>51</v>
      </c>
      <c r="C7" s="8" t="s">
        <v>52</v>
      </c>
      <c r="D7" s="12">
        <v>34037</v>
      </c>
      <c r="E7" s="13" t="s">
        <v>3</v>
      </c>
      <c r="F7" s="14" t="s">
        <v>56</v>
      </c>
    </row>
    <row r="8" spans="1:6" x14ac:dyDescent="0.15">
      <c r="A8" s="6">
        <v>3010</v>
      </c>
      <c r="B8" s="7" t="s">
        <v>21</v>
      </c>
      <c r="C8" s="8" t="s">
        <v>22</v>
      </c>
      <c r="D8" s="12">
        <v>36180</v>
      </c>
      <c r="E8" s="13" t="s">
        <v>6</v>
      </c>
      <c r="F8" s="14" t="s">
        <v>36</v>
      </c>
    </row>
    <row r="9" spans="1:6" x14ac:dyDescent="0.15">
      <c r="A9" s="6">
        <v>3011</v>
      </c>
      <c r="B9" s="7" t="s">
        <v>23</v>
      </c>
      <c r="C9" s="8" t="s">
        <v>24</v>
      </c>
      <c r="D9" s="12">
        <v>25904</v>
      </c>
      <c r="E9" s="13" t="s">
        <v>7</v>
      </c>
      <c r="F9" s="14" t="s">
        <v>37</v>
      </c>
    </row>
    <row r="10" spans="1:6" x14ac:dyDescent="0.15">
      <c r="A10" s="15">
        <v>3012</v>
      </c>
      <c r="B10" s="13" t="s">
        <v>57</v>
      </c>
      <c r="C10" s="16" t="s">
        <v>58</v>
      </c>
      <c r="D10" s="12">
        <v>29045</v>
      </c>
      <c r="E10" s="13" t="s">
        <v>3</v>
      </c>
      <c r="F10" s="14" t="s">
        <v>59</v>
      </c>
    </row>
  </sheetData>
  <phoneticPr fontId="2"/>
  <pageMargins left="0.70866141732283472" right="0.70866141732283472" top="0.74803149606299213" bottom="0.74803149606299213" header="0.31496062992125984" footer="0.31496062992125984"/>
  <pageSetup paperSize="9" scale="12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2024.04.01以降</vt:lpstr>
      <vt:lpstr>2023.05</vt:lpstr>
      <vt:lpstr>2020.7.15</vt:lpstr>
      <vt:lpstr>2019.10.25</vt:lpstr>
      <vt:lpstr>2018.10.11</vt:lpstr>
      <vt:lpstr>2018.4.23</vt:lpstr>
      <vt:lpstr>2017.11.1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ws017</dc:creator>
  <cp:lastModifiedBy>伊藤 大貴</cp:lastModifiedBy>
  <cp:lastPrinted>2020-11-24T07:56:58Z</cp:lastPrinted>
  <dcterms:created xsi:type="dcterms:W3CDTF">2016-11-15T05:21:15Z</dcterms:created>
  <dcterms:modified xsi:type="dcterms:W3CDTF">2026-03-25T04:49:01Z</dcterms:modified>
</cp:coreProperties>
</file>