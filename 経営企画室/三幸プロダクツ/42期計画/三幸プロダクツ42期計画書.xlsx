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192.168.1.126\本社\営業\営業2部\個人フォルダ\竹村\カーソル\三幸商事株式会社\経営企画室\三幸プロダクツ\42期計画\"/>
    </mc:Choice>
  </mc:AlternateContent>
  <xr:revisionPtr revIDLastSave="0" documentId="13_ncr:1_{BFDA9FEF-6ADA-497F-879D-123919D3D052}" xr6:coauthVersionLast="47" xr6:coauthVersionMax="47" xr10:uidLastSave="{00000000-0000-0000-0000-000000000000}"/>
  <bookViews>
    <workbookView xWindow="-4365" yWindow="-16320" windowWidth="29040" windowHeight="15720" activeTab="1" xr2:uid="{00000000-000D-0000-FFFF-FFFF00000000}"/>
  </bookViews>
  <sheets>
    <sheet name="商品マスタ" sheetId="1" r:id="rId1"/>
    <sheet name="月別計画実績" sheetId="2" r:id="rId2"/>
    <sheet name="取引先別年間計画" sheetId="3" r:id="rId3"/>
  </sheets>
  <definedNames>
    <definedName name="_xlnm._FilterDatabase" localSheetId="1" hidden="1">月別計画実績!$A$4:$CJ$4</definedName>
    <definedName name="_xlnm._FilterDatabase" localSheetId="2" hidden="1">取引先別年間計画!$A$4:$P$4</definedName>
    <definedName name="_xlnm._FilterDatabase" localSheetId="0" hidden="1">商品マスタ!$A$3:$K$3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8" i="3" l="1"/>
  <c r="G58" i="3"/>
  <c r="E58" i="3"/>
  <c r="D58" i="3"/>
  <c r="I56" i="3"/>
  <c r="F56" i="3"/>
  <c r="CJ56" i="2"/>
  <c r="CI56" i="2"/>
  <c r="CH56" i="2"/>
  <c r="CG56" i="2"/>
  <c r="CE56" i="2"/>
  <c r="CD56" i="2"/>
  <c r="CB56" i="2"/>
  <c r="CA56" i="2"/>
  <c r="BY56" i="2"/>
  <c r="BX56" i="2"/>
  <c r="BV56" i="2"/>
  <c r="BU56" i="2"/>
  <c r="BS56" i="2"/>
  <c r="BR56" i="2"/>
  <c r="BP56" i="2"/>
  <c r="BO56" i="2"/>
  <c r="BM56" i="2"/>
  <c r="BL56" i="2"/>
  <c r="BJ56" i="2"/>
  <c r="BI56" i="2"/>
  <c r="BG56" i="2"/>
  <c r="BF56" i="2"/>
  <c r="BD56" i="2"/>
  <c r="BC56" i="2"/>
  <c r="BA56" i="2"/>
  <c r="AZ56" i="2"/>
  <c r="AX56" i="2"/>
  <c r="AW56" i="2"/>
  <c r="AU56" i="2"/>
  <c r="AT56" i="2"/>
  <c r="AR56" i="2"/>
  <c r="AQ56" i="2"/>
  <c r="AO56" i="2"/>
  <c r="AN56" i="2"/>
  <c r="AL56" i="2"/>
  <c r="AK56" i="2"/>
  <c r="AI56" i="2"/>
  <c r="AH56" i="2"/>
  <c r="AF56" i="2"/>
  <c r="AE56" i="2"/>
  <c r="AC56" i="2"/>
  <c r="AB56" i="2"/>
  <c r="Z56" i="2"/>
  <c r="L56" i="2" s="1"/>
  <c r="Y56" i="2"/>
  <c r="K56" i="2" s="1"/>
  <c r="W56" i="2"/>
  <c r="I56" i="2" s="1"/>
  <c r="V56" i="2"/>
  <c r="H56" i="2" s="1"/>
  <c r="T56" i="2"/>
  <c r="S56" i="2"/>
  <c r="Q56" i="2"/>
  <c r="P56" i="2"/>
  <c r="J56" i="2"/>
  <c r="G56" i="2"/>
  <c r="F56" i="2"/>
  <c r="E56" i="2"/>
  <c r="B56" i="2"/>
  <c r="CJ55" i="2"/>
  <c r="CI55" i="2"/>
  <c r="CH55" i="2"/>
  <c r="CG55" i="2"/>
  <c r="CE55" i="2"/>
  <c r="CD55" i="2"/>
  <c r="CB55" i="2"/>
  <c r="CA55" i="2"/>
  <c r="BY55" i="2"/>
  <c r="BX55" i="2"/>
  <c r="BV55" i="2"/>
  <c r="BU55" i="2"/>
  <c r="BS55" i="2"/>
  <c r="BR55" i="2"/>
  <c r="BP55" i="2"/>
  <c r="BO55" i="2"/>
  <c r="BM55" i="2"/>
  <c r="BL55" i="2"/>
  <c r="BJ55" i="2"/>
  <c r="BI55" i="2"/>
  <c r="BG55" i="2"/>
  <c r="BF55" i="2"/>
  <c r="BD55" i="2"/>
  <c r="BC55" i="2"/>
  <c r="BA55" i="2"/>
  <c r="AZ55" i="2"/>
  <c r="AX55" i="2"/>
  <c r="AW55" i="2"/>
  <c r="AU55" i="2"/>
  <c r="AT55" i="2"/>
  <c r="AR55" i="2"/>
  <c r="AQ55" i="2"/>
  <c r="AO55" i="2"/>
  <c r="AN55" i="2"/>
  <c r="AL55" i="2"/>
  <c r="AK55" i="2"/>
  <c r="AI55" i="2"/>
  <c r="AH55" i="2"/>
  <c r="AF55" i="2"/>
  <c r="AE55" i="2"/>
  <c r="AC55" i="2"/>
  <c r="AB55" i="2"/>
  <c r="Z55" i="2"/>
  <c r="Y55" i="2"/>
  <c r="W55" i="2"/>
  <c r="V55" i="2"/>
  <c r="H55" i="2" s="1"/>
  <c r="T55" i="2"/>
  <c r="L55" i="2" s="1"/>
  <c r="S55" i="2"/>
  <c r="Q55" i="2"/>
  <c r="P55" i="2"/>
  <c r="K55" i="2"/>
  <c r="J55" i="2"/>
  <c r="I55" i="2"/>
  <c r="G55" i="2"/>
  <c r="F55" i="2"/>
  <c r="E55" i="2"/>
  <c r="B55" i="2"/>
  <c r="CJ54" i="2"/>
  <c r="CI54" i="2"/>
  <c r="CH54" i="2"/>
  <c r="CG54" i="2"/>
  <c r="CE54" i="2"/>
  <c r="CD54" i="2"/>
  <c r="CB54" i="2"/>
  <c r="CA54" i="2"/>
  <c r="BY54" i="2"/>
  <c r="BX54" i="2"/>
  <c r="BV54" i="2"/>
  <c r="BU54" i="2"/>
  <c r="BS54" i="2"/>
  <c r="BR54" i="2"/>
  <c r="BP54" i="2"/>
  <c r="BO54" i="2"/>
  <c r="BM54" i="2"/>
  <c r="BL54" i="2"/>
  <c r="BJ54" i="2"/>
  <c r="BI54" i="2"/>
  <c r="BG54" i="2"/>
  <c r="BF54" i="2"/>
  <c r="BD54" i="2"/>
  <c r="BC54" i="2"/>
  <c r="BA54" i="2"/>
  <c r="AZ54" i="2"/>
  <c r="AX54" i="2"/>
  <c r="AW54" i="2"/>
  <c r="AU54" i="2"/>
  <c r="AT54" i="2"/>
  <c r="AR54" i="2"/>
  <c r="AQ54" i="2"/>
  <c r="AO54" i="2"/>
  <c r="AN54" i="2"/>
  <c r="AL54" i="2"/>
  <c r="AK54" i="2"/>
  <c r="AI54" i="2"/>
  <c r="AH54" i="2"/>
  <c r="AF54" i="2"/>
  <c r="AE54" i="2"/>
  <c r="AC54" i="2"/>
  <c r="AB54" i="2"/>
  <c r="Z54" i="2"/>
  <c r="Y54" i="2"/>
  <c r="W54" i="2"/>
  <c r="V54" i="2"/>
  <c r="T54" i="2"/>
  <c r="L54" i="2" s="1"/>
  <c r="S54" i="2"/>
  <c r="K54" i="2" s="1"/>
  <c r="Q54" i="2"/>
  <c r="I54" i="2" s="1"/>
  <c r="P54" i="2"/>
  <c r="J54" i="2"/>
  <c r="H54" i="2"/>
  <c r="G54" i="2"/>
  <c r="F54" i="2"/>
  <c r="E54" i="2"/>
  <c r="B54" i="2"/>
  <c r="CJ53" i="2"/>
  <c r="CI53" i="2"/>
  <c r="CH53" i="2"/>
  <c r="CG53" i="2"/>
  <c r="CE53" i="2"/>
  <c r="CD53" i="2"/>
  <c r="CB53" i="2"/>
  <c r="CA53" i="2"/>
  <c r="BY53" i="2"/>
  <c r="BX53" i="2"/>
  <c r="BV53" i="2"/>
  <c r="BU53" i="2"/>
  <c r="BS53" i="2"/>
  <c r="BR53" i="2"/>
  <c r="BP53" i="2"/>
  <c r="BO53" i="2"/>
  <c r="BM53" i="2"/>
  <c r="BL53" i="2"/>
  <c r="BJ53" i="2"/>
  <c r="BI53" i="2"/>
  <c r="BG53" i="2"/>
  <c r="BF53" i="2"/>
  <c r="BD53" i="2"/>
  <c r="BC53" i="2"/>
  <c r="BA53" i="2"/>
  <c r="AZ53" i="2"/>
  <c r="AX53" i="2"/>
  <c r="AW53" i="2"/>
  <c r="AU53" i="2"/>
  <c r="AT53" i="2"/>
  <c r="AR53" i="2"/>
  <c r="AQ53" i="2"/>
  <c r="AO53" i="2"/>
  <c r="AN53" i="2"/>
  <c r="AL53" i="2"/>
  <c r="AK53" i="2"/>
  <c r="AI53" i="2"/>
  <c r="AH53" i="2"/>
  <c r="AF53" i="2"/>
  <c r="AE53" i="2"/>
  <c r="AC53" i="2"/>
  <c r="AB53" i="2"/>
  <c r="Z53" i="2"/>
  <c r="Y53" i="2"/>
  <c r="W53" i="2"/>
  <c r="V53" i="2"/>
  <c r="H53" i="2" s="1"/>
  <c r="T53" i="2"/>
  <c r="S53" i="2"/>
  <c r="K53" i="2" s="1"/>
  <c r="Q53" i="2"/>
  <c r="P53" i="2"/>
  <c r="L53" i="2"/>
  <c r="J53" i="2"/>
  <c r="I53" i="2"/>
  <c r="G53" i="2"/>
  <c r="F53" i="2"/>
  <c r="E53" i="2"/>
  <c r="B53" i="2"/>
  <c r="CJ52" i="2"/>
  <c r="CI52" i="2"/>
  <c r="CH52" i="2"/>
  <c r="CG52" i="2"/>
  <c r="CE52" i="2"/>
  <c r="CD52" i="2"/>
  <c r="CB52" i="2"/>
  <c r="CA52" i="2"/>
  <c r="BY52" i="2"/>
  <c r="BX52" i="2"/>
  <c r="BV52" i="2"/>
  <c r="BU52" i="2"/>
  <c r="BS52" i="2"/>
  <c r="BR52" i="2"/>
  <c r="BP52" i="2"/>
  <c r="BO52" i="2"/>
  <c r="BM52" i="2"/>
  <c r="BL52" i="2"/>
  <c r="BJ52" i="2"/>
  <c r="BI52" i="2"/>
  <c r="BG52" i="2"/>
  <c r="BF52" i="2"/>
  <c r="BD52" i="2"/>
  <c r="BC52" i="2"/>
  <c r="BA52" i="2"/>
  <c r="AZ52" i="2"/>
  <c r="AX52" i="2"/>
  <c r="AW52" i="2"/>
  <c r="AU52" i="2"/>
  <c r="AT52" i="2"/>
  <c r="AR52" i="2"/>
  <c r="AQ52" i="2"/>
  <c r="AO52" i="2"/>
  <c r="AN52" i="2"/>
  <c r="AL52" i="2"/>
  <c r="AK52" i="2"/>
  <c r="AI52" i="2"/>
  <c r="AH52" i="2"/>
  <c r="AF52" i="2"/>
  <c r="AE52" i="2"/>
  <c r="AC52" i="2"/>
  <c r="AB52" i="2"/>
  <c r="Z52" i="2"/>
  <c r="Y52" i="2"/>
  <c r="W52" i="2"/>
  <c r="V52" i="2"/>
  <c r="T52" i="2"/>
  <c r="S52" i="2"/>
  <c r="K52" i="2" s="1"/>
  <c r="Q52" i="2"/>
  <c r="P52" i="2"/>
  <c r="J52" i="2"/>
  <c r="J56" i="3" s="1"/>
  <c r="I52" i="2"/>
  <c r="H52" i="2"/>
  <c r="G52" i="2"/>
  <c r="F52" i="2"/>
  <c r="E52" i="2"/>
  <c r="B52" i="2"/>
  <c r="CJ51" i="2"/>
  <c r="CI51" i="2"/>
  <c r="CH51" i="2"/>
  <c r="CG51" i="2"/>
  <c r="CE51" i="2"/>
  <c r="CD51" i="2"/>
  <c r="CB51" i="2"/>
  <c r="CA51" i="2"/>
  <c r="BY51" i="2"/>
  <c r="BX51" i="2"/>
  <c r="BV51" i="2"/>
  <c r="BU51" i="2"/>
  <c r="BS51" i="2"/>
  <c r="BR51" i="2"/>
  <c r="BP51" i="2"/>
  <c r="BO51" i="2"/>
  <c r="BM51" i="2"/>
  <c r="BL51" i="2"/>
  <c r="BJ51" i="2"/>
  <c r="BI51" i="2"/>
  <c r="BG51" i="2"/>
  <c r="BF51" i="2"/>
  <c r="BD51" i="2"/>
  <c r="BC51" i="2"/>
  <c r="BA51" i="2"/>
  <c r="AZ51" i="2"/>
  <c r="AX51" i="2"/>
  <c r="AW51" i="2"/>
  <c r="AU51" i="2"/>
  <c r="AT51" i="2"/>
  <c r="AR51" i="2"/>
  <c r="AQ51" i="2"/>
  <c r="AO51" i="2"/>
  <c r="AN51" i="2"/>
  <c r="AL51" i="2"/>
  <c r="AK51" i="2"/>
  <c r="AI51" i="2"/>
  <c r="AH51" i="2"/>
  <c r="AF51" i="2"/>
  <c r="AE51" i="2"/>
  <c r="AC51" i="2"/>
  <c r="AB51" i="2"/>
  <c r="Z51" i="2"/>
  <c r="L51" i="2" s="1"/>
  <c r="Y51" i="2"/>
  <c r="W51" i="2"/>
  <c r="V51" i="2"/>
  <c r="T51" i="2"/>
  <c r="S51" i="2"/>
  <c r="Q51" i="2"/>
  <c r="I51" i="2" s="1"/>
  <c r="P51" i="2"/>
  <c r="H51" i="2" s="1"/>
  <c r="K51" i="2"/>
  <c r="J51" i="2"/>
  <c r="G51" i="2"/>
  <c r="F51" i="2"/>
  <c r="E51" i="2"/>
  <c r="B51" i="2"/>
  <c r="CJ50" i="2"/>
  <c r="CI50" i="2"/>
  <c r="CH50" i="2"/>
  <c r="CG50" i="2"/>
  <c r="CE50" i="2"/>
  <c r="CD50" i="2"/>
  <c r="CB50" i="2"/>
  <c r="CA50" i="2"/>
  <c r="BY50" i="2"/>
  <c r="BX50" i="2"/>
  <c r="BV50" i="2"/>
  <c r="BU50" i="2"/>
  <c r="BS50" i="2"/>
  <c r="BR50" i="2"/>
  <c r="BP50" i="2"/>
  <c r="BO50" i="2"/>
  <c r="BM50" i="2"/>
  <c r="BL50" i="2"/>
  <c r="BJ50" i="2"/>
  <c r="BI50" i="2"/>
  <c r="BG50" i="2"/>
  <c r="BF50" i="2"/>
  <c r="BD50" i="2"/>
  <c r="BC50" i="2"/>
  <c r="BA50" i="2"/>
  <c r="AZ50" i="2"/>
  <c r="AX50" i="2"/>
  <c r="AW50" i="2"/>
  <c r="AU50" i="2"/>
  <c r="AT50" i="2"/>
  <c r="AR50" i="2"/>
  <c r="AQ50" i="2"/>
  <c r="AO50" i="2"/>
  <c r="AN50" i="2"/>
  <c r="AL50" i="2"/>
  <c r="AK50" i="2"/>
  <c r="AI50" i="2"/>
  <c r="AH50" i="2"/>
  <c r="AF50" i="2"/>
  <c r="AE50" i="2"/>
  <c r="AC50" i="2"/>
  <c r="AB50" i="2"/>
  <c r="Z50" i="2"/>
  <c r="Y50" i="2"/>
  <c r="W50" i="2"/>
  <c r="V50" i="2"/>
  <c r="T50" i="2"/>
  <c r="S50" i="2"/>
  <c r="Q50" i="2"/>
  <c r="I50" i="2" s="1"/>
  <c r="P50" i="2"/>
  <c r="L50" i="2"/>
  <c r="K50" i="2"/>
  <c r="J50" i="2"/>
  <c r="H50" i="2"/>
  <c r="G50" i="2"/>
  <c r="F50" i="2"/>
  <c r="E50" i="2"/>
  <c r="B50" i="2"/>
  <c r="CJ49" i="2"/>
  <c r="CI49" i="2"/>
  <c r="CH49" i="2"/>
  <c r="CG49" i="2"/>
  <c r="CE49" i="2"/>
  <c r="CD49" i="2"/>
  <c r="CB49" i="2"/>
  <c r="CA49" i="2"/>
  <c r="BY49" i="2"/>
  <c r="BX49" i="2"/>
  <c r="BV49" i="2"/>
  <c r="BU49" i="2"/>
  <c r="BS49" i="2"/>
  <c r="BR49" i="2"/>
  <c r="BP49" i="2"/>
  <c r="BO49" i="2"/>
  <c r="BM49" i="2"/>
  <c r="BL49" i="2"/>
  <c r="BJ49" i="2"/>
  <c r="BI49" i="2"/>
  <c r="BG49" i="2"/>
  <c r="BF49" i="2"/>
  <c r="BD49" i="2"/>
  <c r="BC49" i="2"/>
  <c r="BA49" i="2"/>
  <c r="AZ49" i="2"/>
  <c r="AX49" i="2"/>
  <c r="AW49" i="2"/>
  <c r="AU49" i="2"/>
  <c r="AT49" i="2"/>
  <c r="AR49" i="2"/>
  <c r="AQ49" i="2"/>
  <c r="AO49" i="2"/>
  <c r="AN49" i="2"/>
  <c r="AL49" i="2"/>
  <c r="AK49" i="2"/>
  <c r="AI49" i="2"/>
  <c r="AH49" i="2"/>
  <c r="AF49" i="2"/>
  <c r="AE49" i="2"/>
  <c r="AC49" i="2"/>
  <c r="AB49" i="2"/>
  <c r="Z49" i="2"/>
  <c r="Y49" i="2"/>
  <c r="W49" i="2"/>
  <c r="V49" i="2"/>
  <c r="T49" i="2"/>
  <c r="L49" i="2" s="1"/>
  <c r="S49" i="2"/>
  <c r="K49" i="2" s="1"/>
  <c r="Q49" i="2"/>
  <c r="P49" i="2"/>
  <c r="M49" i="2"/>
  <c r="J49" i="2"/>
  <c r="I49" i="2"/>
  <c r="H49" i="2"/>
  <c r="G49" i="2"/>
  <c r="F49" i="2"/>
  <c r="E49" i="2"/>
  <c r="B49" i="2"/>
  <c r="CJ48" i="2"/>
  <c r="CI48" i="2"/>
  <c r="CH48" i="2"/>
  <c r="CG48" i="2"/>
  <c r="CE48" i="2"/>
  <c r="CD48" i="2"/>
  <c r="CB48" i="2"/>
  <c r="CA48" i="2"/>
  <c r="BY48" i="2"/>
  <c r="BX48" i="2"/>
  <c r="BV48" i="2"/>
  <c r="BU48" i="2"/>
  <c r="BS48" i="2"/>
  <c r="BR48" i="2"/>
  <c r="BP48" i="2"/>
  <c r="BO48" i="2"/>
  <c r="BM48" i="2"/>
  <c r="BL48" i="2"/>
  <c r="BJ48" i="2"/>
  <c r="BI48" i="2"/>
  <c r="BG48" i="2"/>
  <c r="BF48" i="2"/>
  <c r="BD48" i="2"/>
  <c r="BC48" i="2"/>
  <c r="BA48" i="2"/>
  <c r="AZ48" i="2"/>
  <c r="AX48" i="2"/>
  <c r="AW48" i="2"/>
  <c r="AU48" i="2"/>
  <c r="AT48" i="2"/>
  <c r="AR48" i="2"/>
  <c r="AQ48" i="2"/>
  <c r="AO48" i="2"/>
  <c r="AN48" i="2"/>
  <c r="AL48" i="2"/>
  <c r="AK48" i="2"/>
  <c r="AI48" i="2"/>
  <c r="AH48" i="2"/>
  <c r="AF48" i="2"/>
  <c r="AE48" i="2"/>
  <c r="AC48" i="2"/>
  <c r="AB48" i="2"/>
  <c r="Z48" i="2"/>
  <c r="Y48" i="2"/>
  <c r="K48" i="2" s="1"/>
  <c r="W48" i="2"/>
  <c r="I48" i="2" s="1"/>
  <c r="V48" i="2"/>
  <c r="T48" i="2"/>
  <c r="L48" i="2" s="1"/>
  <c r="S48" i="2"/>
  <c r="Q48" i="2"/>
  <c r="P48" i="2"/>
  <c r="H48" i="2" s="1"/>
  <c r="J48" i="2"/>
  <c r="G48" i="2"/>
  <c r="F48" i="2"/>
  <c r="E48" i="2"/>
  <c r="B48" i="2"/>
  <c r="CJ47" i="2"/>
  <c r="CI47" i="2"/>
  <c r="CH47" i="2"/>
  <c r="CG47" i="2"/>
  <c r="CE47" i="2"/>
  <c r="CD47" i="2"/>
  <c r="CB47" i="2"/>
  <c r="CA47" i="2"/>
  <c r="BY47" i="2"/>
  <c r="BX47" i="2"/>
  <c r="BV47" i="2"/>
  <c r="BU47" i="2"/>
  <c r="BS47" i="2"/>
  <c r="BR47" i="2"/>
  <c r="BP47" i="2"/>
  <c r="BO47" i="2"/>
  <c r="BM47" i="2"/>
  <c r="BL47" i="2"/>
  <c r="BJ47" i="2"/>
  <c r="BI47" i="2"/>
  <c r="BG47" i="2"/>
  <c r="BF47" i="2"/>
  <c r="BD47" i="2"/>
  <c r="BC47" i="2"/>
  <c r="BA47" i="2"/>
  <c r="AZ47" i="2"/>
  <c r="AX47" i="2"/>
  <c r="AW47" i="2"/>
  <c r="AU47" i="2"/>
  <c r="AT47" i="2"/>
  <c r="AR47" i="2"/>
  <c r="AQ47" i="2"/>
  <c r="AO47" i="2"/>
  <c r="AN47" i="2"/>
  <c r="AL47" i="2"/>
  <c r="AK47" i="2"/>
  <c r="AI47" i="2"/>
  <c r="AH47" i="2"/>
  <c r="AF47" i="2"/>
  <c r="AE47" i="2"/>
  <c r="AC47" i="2"/>
  <c r="AB47" i="2"/>
  <c r="Z47" i="2"/>
  <c r="Y47" i="2"/>
  <c r="W47" i="2"/>
  <c r="V47" i="2"/>
  <c r="T47" i="2"/>
  <c r="L47" i="2" s="1"/>
  <c r="S47" i="2"/>
  <c r="Q47" i="2"/>
  <c r="P47" i="2"/>
  <c r="H47" i="2" s="1"/>
  <c r="K47" i="2"/>
  <c r="J47" i="2"/>
  <c r="I47" i="2"/>
  <c r="G47" i="2"/>
  <c r="F47" i="2"/>
  <c r="E47" i="2"/>
  <c r="B47" i="2"/>
  <c r="CJ46" i="2"/>
  <c r="CI46" i="2"/>
  <c r="CH46" i="2"/>
  <c r="CG46" i="2"/>
  <c r="CE46" i="2"/>
  <c r="CD46" i="2"/>
  <c r="CB46" i="2"/>
  <c r="CA46" i="2"/>
  <c r="BY46" i="2"/>
  <c r="BX46" i="2"/>
  <c r="BV46" i="2"/>
  <c r="BU46" i="2"/>
  <c r="BS46" i="2"/>
  <c r="BR46" i="2"/>
  <c r="BP46" i="2"/>
  <c r="BO46" i="2"/>
  <c r="BM46" i="2"/>
  <c r="BL46" i="2"/>
  <c r="BJ46" i="2"/>
  <c r="BI46" i="2"/>
  <c r="BG46" i="2"/>
  <c r="BF46" i="2"/>
  <c r="BD46" i="2"/>
  <c r="BC46" i="2"/>
  <c r="BA46" i="2"/>
  <c r="AZ46" i="2"/>
  <c r="AX46" i="2"/>
  <c r="AW46" i="2"/>
  <c r="AU46" i="2"/>
  <c r="AT46" i="2"/>
  <c r="AR46" i="2"/>
  <c r="AQ46" i="2"/>
  <c r="AO46" i="2"/>
  <c r="AN46" i="2"/>
  <c r="AL46" i="2"/>
  <c r="AK46" i="2"/>
  <c r="AI46" i="2"/>
  <c r="AH46" i="2"/>
  <c r="AF46" i="2"/>
  <c r="AE46" i="2"/>
  <c r="AC46" i="2"/>
  <c r="AB46" i="2"/>
  <c r="Z46" i="2"/>
  <c r="Y46" i="2"/>
  <c r="W46" i="2"/>
  <c r="V46" i="2"/>
  <c r="T46" i="2"/>
  <c r="S46" i="2"/>
  <c r="K46" i="2" s="1"/>
  <c r="Q46" i="2"/>
  <c r="P46" i="2"/>
  <c r="L46" i="2"/>
  <c r="J46" i="2"/>
  <c r="H46" i="2"/>
  <c r="G46" i="2"/>
  <c r="F46" i="2"/>
  <c r="E46" i="2"/>
  <c r="B46" i="2"/>
  <c r="CJ45" i="2"/>
  <c r="CI45" i="2"/>
  <c r="CH45" i="2"/>
  <c r="CG45" i="2"/>
  <c r="CE45" i="2"/>
  <c r="CD45" i="2"/>
  <c r="CB45" i="2"/>
  <c r="CA45" i="2"/>
  <c r="BY45" i="2"/>
  <c r="BX45" i="2"/>
  <c r="BV45" i="2"/>
  <c r="BU45" i="2"/>
  <c r="BS45" i="2"/>
  <c r="BR45" i="2"/>
  <c r="BP45" i="2"/>
  <c r="BO45" i="2"/>
  <c r="BM45" i="2"/>
  <c r="BL45" i="2"/>
  <c r="BJ45" i="2"/>
  <c r="BI45" i="2"/>
  <c r="BG45" i="2"/>
  <c r="BF45" i="2"/>
  <c r="BD45" i="2"/>
  <c r="BC45" i="2"/>
  <c r="BA45" i="2"/>
  <c r="AZ45" i="2"/>
  <c r="AX45" i="2"/>
  <c r="AW45" i="2"/>
  <c r="AU45" i="2"/>
  <c r="AT45" i="2"/>
  <c r="AR45" i="2"/>
  <c r="AQ45" i="2"/>
  <c r="AO45" i="2"/>
  <c r="AN45" i="2"/>
  <c r="AL45" i="2"/>
  <c r="AK45" i="2"/>
  <c r="AI45" i="2"/>
  <c r="AH45" i="2"/>
  <c r="AF45" i="2"/>
  <c r="AE45" i="2"/>
  <c r="AC45" i="2"/>
  <c r="AB45" i="2"/>
  <c r="Z45" i="2"/>
  <c r="Y45" i="2"/>
  <c r="W45" i="2"/>
  <c r="V45" i="2"/>
  <c r="H45" i="2" s="1"/>
  <c r="T45" i="2"/>
  <c r="S45" i="2"/>
  <c r="K45" i="2" s="1"/>
  <c r="Q45" i="2"/>
  <c r="P45" i="2"/>
  <c r="L45" i="2"/>
  <c r="J45" i="2"/>
  <c r="I45" i="2"/>
  <c r="G45" i="2"/>
  <c r="F45" i="2"/>
  <c r="E45" i="2"/>
  <c r="B45" i="2"/>
  <c r="CJ44" i="2"/>
  <c r="CI44" i="2"/>
  <c r="CH44" i="2"/>
  <c r="CG44" i="2"/>
  <c r="CE44" i="2"/>
  <c r="CD44" i="2"/>
  <c r="CB44" i="2"/>
  <c r="CA44" i="2"/>
  <c r="BY44" i="2"/>
  <c r="BX44" i="2"/>
  <c r="BV44" i="2"/>
  <c r="BU44" i="2"/>
  <c r="BS44" i="2"/>
  <c r="BR44" i="2"/>
  <c r="BP44" i="2"/>
  <c r="BO44" i="2"/>
  <c r="BM44" i="2"/>
  <c r="BL44" i="2"/>
  <c r="BJ44" i="2"/>
  <c r="BI44" i="2"/>
  <c r="BG44" i="2"/>
  <c r="BF44" i="2"/>
  <c r="BD44" i="2"/>
  <c r="BC44" i="2"/>
  <c r="BA44" i="2"/>
  <c r="AZ44" i="2"/>
  <c r="AX44" i="2"/>
  <c r="AW44" i="2"/>
  <c r="AU44" i="2"/>
  <c r="AT44" i="2"/>
  <c r="AR44" i="2"/>
  <c r="AQ44" i="2"/>
  <c r="AO44" i="2"/>
  <c r="AN44" i="2"/>
  <c r="AL44" i="2"/>
  <c r="AK44" i="2"/>
  <c r="AI44" i="2"/>
  <c r="AH44" i="2"/>
  <c r="AF44" i="2"/>
  <c r="AE44" i="2"/>
  <c r="AC44" i="2"/>
  <c r="AB44" i="2"/>
  <c r="Z44" i="2"/>
  <c r="Y44" i="2"/>
  <c r="W44" i="2"/>
  <c r="V44" i="2"/>
  <c r="T44" i="2"/>
  <c r="S44" i="2"/>
  <c r="K44" i="2" s="1"/>
  <c r="Q44" i="2"/>
  <c r="P44" i="2"/>
  <c r="J44" i="2"/>
  <c r="I44" i="2"/>
  <c r="H44" i="2"/>
  <c r="G44" i="2"/>
  <c r="F44" i="2"/>
  <c r="E44" i="2"/>
  <c r="B44" i="2"/>
  <c r="CJ43" i="2"/>
  <c r="CI43" i="2"/>
  <c r="CH43" i="2"/>
  <c r="CG43" i="2"/>
  <c r="CE43" i="2"/>
  <c r="CD43" i="2"/>
  <c r="CB43" i="2"/>
  <c r="CA43" i="2"/>
  <c r="BY43" i="2"/>
  <c r="BX43" i="2"/>
  <c r="BV43" i="2"/>
  <c r="BU43" i="2"/>
  <c r="BS43" i="2"/>
  <c r="BR43" i="2"/>
  <c r="BP43" i="2"/>
  <c r="BO43" i="2"/>
  <c r="BM43" i="2"/>
  <c r="BL43" i="2"/>
  <c r="BJ43" i="2"/>
  <c r="BI43" i="2"/>
  <c r="BG43" i="2"/>
  <c r="BF43" i="2"/>
  <c r="BD43" i="2"/>
  <c r="BC43" i="2"/>
  <c r="BA43" i="2"/>
  <c r="AZ43" i="2"/>
  <c r="AX43" i="2"/>
  <c r="AW43" i="2"/>
  <c r="AU43" i="2"/>
  <c r="AT43" i="2"/>
  <c r="AR43" i="2"/>
  <c r="AQ43" i="2"/>
  <c r="AO43" i="2"/>
  <c r="AN43" i="2"/>
  <c r="AL43" i="2"/>
  <c r="AK43" i="2"/>
  <c r="AI43" i="2"/>
  <c r="AH43" i="2"/>
  <c r="AF43" i="2"/>
  <c r="AE43" i="2"/>
  <c r="AC43" i="2"/>
  <c r="AB43" i="2"/>
  <c r="Z43" i="2"/>
  <c r="L43" i="2" s="1"/>
  <c r="Y43" i="2"/>
  <c r="W43" i="2"/>
  <c r="V43" i="2"/>
  <c r="T43" i="2"/>
  <c r="S43" i="2"/>
  <c r="Q43" i="2"/>
  <c r="I43" i="2" s="1"/>
  <c r="P43" i="2"/>
  <c r="H43" i="2" s="1"/>
  <c r="K43" i="2"/>
  <c r="J43" i="2"/>
  <c r="G43" i="2"/>
  <c r="F43" i="2"/>
  <c r="E43" i="2"/>
  <c r="B43" i="2"/>
  <c r="CJ42" i="2"/>
  <c r="CI42" i="2"/>
  <c r="CH42" i="2"/>
  <c r="CG42" i="2"/>
  <c r="CE42" i="2"/>
  <c r="CD42" i="2"/>
  <c r="CB42" i="2"/>
  <c r="CA42" i="2"/>
  <c r="BY42" i="2"/>
  <c r="BX42" i="2"/>
  <c r="BV42" i="2"/>
  <c r="BU42" i="2"/>
  <c r="BS42" i="2"/>
  <c r="BR42" i="2"/>
  <c r="BP42" i="2"/>
  <c r="BO42" i="2"/>
  <c r="BM42" i="2"/>
  <c r="BL42" i="2"/>
  <c r="BJ42" i="2"/>
  <c r="BI42" i="2"/>
  <c r="BG42" i="2"/>
  <c r="BF42" i="2"/>
  <c r="BD42" i="2"/>
  <c r="BC42" i="2"/>
  <c r="BA42" i="2"/>
  <c r="AZ42" i="2"/>
  <c r="AX42" i="2"/>
  <c r="AW42" i="2"/>
  <c r="AU42" i="2"/>
  <c r="AT42" i="2"/>
  <c r="AR42" i="2"/>
  <c r="AQ42" i="2"/>
  <c r="AO42" i="2"/>
  <c r="AN42" i="2"/>
  <c r="AL42" i="2"/>
  <c r="AK42" i="2"/>
  <c r="AI42" i="2"/>
  <c r="AH42" i="2"/>
  <c r="AF42" i="2"/>
  <c r="AE42" i="2"/>
  <c r="AC42" i="2"/>
  <c r="AB42" i="2"/>
  <c r="Z42" i="2"/>
  <c r="Y42" i="2"/>
  <c r="W42" i="2"/>
  <c r="V42" i="2"/>
  <c r="T42" i="2"/>
  <c r="S42" i="2"/>
  <c r="Q42" i="2"/>
  <c r="I42" i="2" s="1"/>
  <c r="P42" i="2"/>
  <c r="L42" i="2"/>
  <c r="K42" i="2"/>
  <c r="J42" i="2"/>
  <c r="H42" i="2"/>
  <c r="G42" i="2"/>
  <c r="F42" i="2"/>
  <c r="E42" i="2"/>
  <c r="B42" i="2"/>
  <c r="CJ41" i="2"/>
  <c r="CI41" i="2"/>
  <c r="CH41" i="2"/>
  <c r="CG41" i="2"/>
  <c r="CE41" i="2"/>
  <c r="CD41" i="2"/>
  <c r="CB41" i="2"/>
  <c r="CA41" i="2"/>
  <c r="BY41" i="2"/>
  <c r="BX41" i="2"/>
  <c r="BV41" i="2"/>
  <c r="BU41" i="2"/>
  <c r="BS41" i="2"/>
  <c r="BR41" i="2"/>
  <c r="BP41" i="2"/>
  <c r="BO41" i="2"/>
  <c r="BM41" i="2"/>
  <c r="BL41" i="2"/>
  <c r="BJ41" i="2"/>
  <c r="BI41" i="2"/>
  <c r="BG41" i="2"/>
  <c r="BF41" i="2"/>
  <c r="BD41" i="2"/>
  <c r="BC41" i="2"/>
  <c r="BA41" i="2"/>
  <c r="AZ41" i="2"/>
  <c r="AX41" i="2"/>
  <c r="AW41" i="2"/>
  <c r="AU41" i="2"/>
  <c r="AT41" i="2"/>
  <c r="AR41" i="2"/>
  <c r="AQ41" i="2"/>
  <c r="AO41" i="2"/>
  <c r="AN41" i="2"/>
  <c r="AL41" i="2"/>
  <c r="AK41" i="2"/>
  <c r="AI41" i="2"/>
  <c r="AH41" i="2"/>
  <c r="AF41" i="2"/>
  <c r="AE41" i="2"/>
  <c r="AC41" i="2"/>
  <c r="AB41" i="2"/>
  <c r="Z41" i="2"/>
  <c r="Y41" i="2"/>
  <c r="W41" i="2"/>
  <c r="V41" i="2"/>
  <c r="T41" i="2"/>
  <c r="L41" i="2" s="1"/>
  <c r="S41" i="2"/>
  <c r="K41" i="2" s="1"/>
  <c r="Q41" i="2"/>
  <c r="P41" i="2"/>
  <c r="M41" i="2"/>
  <c r="J41" i="2"/>
  <c r="I41" i="2"/>
  <c r="H41" i="2"/>
  <c r="G41" i="2"/>
  <c r="F41" i="2"/>
  <c r="E41" i="2"/>
  <c r="B41" i="2"/>
  <c r="CJ40" i="2"/>
  <c r="CI40" i="2"/>
  <c r="CH40" i="2"/>
  <c r="CG40" i="2"/>
  <c r="CE40" i="2"/>
  <c r="CD40" i="2"/>
  <c r="CB40" i="2"/>
  <c r="CA40" i="2"/>
  <c r="BY40" i="2"/>
  <c r="BX40" i="2"/>
  <c r="BV40" i="2"/>
  <c r="BU40" i="2"/>
  <c r="BS40" i="2"/>
  <c r="BR40" i="2"/>
  <c r="BP40" i="2"/>
  <c r="BO40" i="2"/>
  <c r="BM40" i="2"/>
  <c r="BL40" i="2"/>
  <c r="BJ40" i="2"/>
  <c r="BI40" i="2"/>
  <c r="BG40" i="2"/>
  <c r="BF40" i="2"/>
  <c r="BD40" i="2"/>
  <c r="BC40" i="2"/>
  <c r="BA40" i="2"/>
  <c r="AZ40" i="2"/>
  <c r="AX40" i="2"/>
  <c r="AW40" i="2"/>
  <c r="AU40" i="2"/>
  <c r="AT40" i="2"/>
  <c r="AR40" i="2"/>
  <c r="AQ40" i="2"/>
  <c r="AO40" i="2"/>
  <c r="AN40" i="2"/>
  <c r="AL40" i="2"/>
  <c r="AK40" i="2"/>
  <c r="AI40" i="2"/>
  <c r="AH40" i="2"/>
  <c r="AF40" i="2"/>
  <c r="AE40" i="2"/>
  <c r="AC40" i="2"/>
  <c r="AB40" i="2"/>
  <c r="Z40" i="2"/>
  <c r="Y40" i="2"/>
  <c r="K40" i="2" s="1"/>
  <c r="W40" i="2"/>
  <c r="I40" i="2" s="1"/>
  <c r="V40" i="2"/>
  <c r="T40" i="2"/>
  <c r="L40" i="2" s="1"/>
  <c r="S40" i="2"/>
  <c r="Q40" i="2"/>
  <c r="P40" i="2"/>
  <c r="H40" i="2" s="1"/>
  <c r="J40" i="2"/>
  <c r="G40" i="2"/>
  <c r="F40" i="2"/>
  <c r="E40" i="2"/>
  <c r="B40" i="2"/>
  <c r="CJ39" i="2"/>
  <c r="CI39" i="2"/>
  <c r="CH39" i="2"/>
  <c r="CG39" i="2"/>
  <c r="CE39" i="2"/>
  <c r="CD39" i="2"/>
  <c r="CB39" i="2"/>
  <c r="CA39" i="2"/>
  <c r="BY39" i="2"/>
  <c r="BX39" i="2"/>
  <c r="BV39" i="2"/>
  <c r="BU39" i="2"/>
  <c r="BS39" i="2"/>
  <c r="BR39" i="2"/>
  <c r="BP39" i="2"/>
  <c r="BO39" i="2"/>
  <c r="BM39" i="2"/>
  <c r="BL39" i="2"/>
  <c r="BJ39" i="2"/>
  <c r="BI39" i="2"/>
  <c r="BG39" i="2"/>
  <c r="BF39" i="2"/>
  <c r="BD39" i="2"/>
  <c r="BC39" i="2"/>
  <c r="BA39" i="2"/>
  <c r="AZ39" i="2"/>
  <c r="AX39" i="2"/>
  <c r="AW39" i="2"/>
  <c r="AU39" i="2"/>
  <c r="AT39" i="2"/>
  <c r="AR39" i="2"/>
  <c r="AQ39" i="2"/>
  <c r="AO39" i="2"/>
  <c r="AN39" i="2"/>
  <c r="AL39" i="2"/>
  <c r="AK39" i="2"/>
  <c r="AI39" i="2"/>
  <c r="AH39" i="2"/>
  <c r="AF39" i="2"/>
  <c r="AE39" i="2"/>
  <c r="AC39" i="2"/>
  <c r="AB39" i="2"/>
  <c r="Z39" i="2"/>
  <c r="Y39" i="2"/>
  <c r="W39" i="2"/>
  <c r="V39" i="2"/>
  <c r="T39" i="2"/>
  <c r="L39" i="2" s="1"/>
  <c r="S39" i="2"/>
  <c r="Q39" i="2"/>
  <c r="P39" i="2"/>
  <c r="H39" i="2" s="1"/>
  <c r="K39" i="2"/>
  <c r="J39" i="2"/>
  <c r="I39" i="2"/>
  <c r="G39" i="2"/>
  <c r="F39" i="2"/>
  <c r="E39" i="2"/>
  <c r="B39" i="2"/>
  <c r="CJ38" i="2"/>
  <c r="CI38" i="2"/>
  <c r="CH38" i="2"/>
  <c r="CG38" i="2"/>
  <c r="CE38" i="2"/>
  <c r="CD38" i="2"/>
  <c r="CB38" i="2"/>
  <c r="CA38" i="2"/>
  <c r="BY38" i="2"/>
  <c r="BX38" i="2"/>
  <c r="BV38" i="2"/>
  <c r="BU38" i="2"/>
  <c r="BS38" i="2"/>
  <c r="BR38" i="2"/>
  <c r="BP38" i="2"/>
  <c r="BO38" i="2"/>
  <c r="BM38" i="2"/>
  <c r="BL38" i="2"/>
  <c r="BJ38" i="2"/>
  <c r="BI38" i="2"/>
  <c r="BG38" i="2"/>
  <c r="BF38" i="2"/>
  <c r="BD38" i="2"/>
  <c r="BC38" i="2"/>
  <c r="BA38" i="2"/>
  <c r="AZ38" i="2"/>
  <c r="AX38" i="2"/>
  <c r="AW38" i="2"/>
  <c r="AU38" i="2"/>
  <c r="AT38" i="2"/>
  <c r="AR38" i="2"/>
  <c r="AQ38" i="2"/>
  <c r="AO38" i="2"/>
  <c r="AN38" i="2"/>
  <c r="AL38" i="2"/>
  <c r="AK38" i="2"/>
  <c r="AI38" i="2"/>
  <c r="AH38" i="2"/>
  <c r="AF38" i="2"/>
  <c r="AE38" i="2"/>
  <c r="AC38" i="2"/>
  <c r="AB38" i="2"/>
  <c r="Z38" i="2"/>
  <c r="Y38" i="2"/>
  <c r="W38" i="2"/>
  <c r="V38" i="2"/>
  <c r="T38" i="2"/>
  <c r="S38" i="2"/>
  <c r="K38" i="2" s="1"/>
  <c r="Q38" i="2"/>
  <c r="P38" i="2"/>
  <c r="L38" i="2"/>
  <c r="J38" i="2"/>
  <c r="H38" i="2"/>
  <c r="G38" i="2"/>
  <c r="F38" i="2"/>
  <c r="E38" i="2"/>
  <c r="B38" i="2"/>
  <c r="CJ37" i="2"/>
  <c r="CI37" i="2"/>
  <c r="CH37" i="2"/>
  <c r="CG37" i="2"/>
  <c r="CE37" i="2"/>
  <c r="CD37" i="2"/>
  <c r="CB37" i="2"/>
  <c r="CA37" i="2"/>
  <c r="BY37" i="2"/>
  <c r="BX37" i="2"/>
  <c r="BV37" i="2"/>
  <c r="BU37" i="2"/>
  <c r="BS37" i="2"/>
  <c r="BR37" i="2"/>
  <c r="BP37" i="2"/>
  <c r="BO37" i="2"/>
  <c r="BM37" i="2"/>
  <c r="BL37" i="2"/>
  <c r="BJ37" i="2"/>
  <c r="BI37" i="2"/>
  <c r="BG37" i="2"/>
  <c r="BF37" i="2"/>
  <c r="BD37" i="2"/>
  <c r="BC37" i="2"/>
  <c r="BA37" i="2"/>
  <c r="AZ37" i="2"/>
  <c r="AX37" i="2"/>
  <c r="AW37" i="2"/>
  <c r="AU37" i="2"/>
  <c r="AT37" i="2"/>
  <c r="AR37" i="2"/>
  <c r="AQ37" i="2"/>
  <c r="AO37" i="2"/>
  <c r="AN37" i="2"/>
  <c r="AL37" i="2"/>
  <c r="AK37" i="2"/>
  <c r="AI37" i="2"/>
  <c r="AH37" i="2"/>
  <c r="AF37" i="2"/>
  <c r="AE37" i="2"/>
  <c r="AC37" i="2"/>
  <c r="AB37" i="2"/>
  <c r="Z37" i="2"/>
  <c r="Y37" i="2"/>
  <c r="W37" i="2"/>
  <c r="V37" i="2"/>
  <c r="H37" i="2" s="1"/>
  <c r="T37" i="2"/>
  <c r="S37" i="2"/>
  <c r="K37" i="2" s="1"/>
  <c r="Q37" i="2"/>
  <c r="P37" i="2"/>
  <c r="L37" i="2"/>
  <c r="J37" i="2"/>
  <c r="I37" i="2"/>
  <c r="G37" i="2"/>
  <c r="F37" i="2"/>
  <c r="E37" i="2"/>
  <c r="B37" i="2"/>
  <c r="CJ36" i="2"/>
  <c r="CI36" i="2"/>
  <c r="CH36" i="2"/>
  <c r="CG36" i="2"/>
  <c r="CE36" i="2"/>
  <c r="CD36" i="2"/>
  <c r="CB36" i="2"/>
  <c r="CA36" i="2"/>
  <c r="BY36" i="2"/>
  <c r="BX36" i="2"/>
  <c r="BV36" i="2"/>
  <c r="BU36" i="2"/>
  <c r="BS36" i="2"/>
  <c r="BR36" i="2"/>
  <c r="BP36" i="2"/>
  <c r="BO36" i="2"/>
  <c r="BM36" i="2"/>
  <c r="BL36" i="2"/>
  <c r="BJ36" i="2"/>
  <c r="BI36" i="2"/>
  <c r="BG36" i="2"/>
  <c r="BF36" i="2"/>
  <c r="BD36" i="2"/>
  <c r="BC36" i="2"/>
  <c r="BA36" i="2"/>
  <c r="AZ36" i="2"/>
  <c r="AX36" i="2"/>
  <c r="AW36" i="2"/>
  <c r="AU36" i="2"/>
  <c r="AT36" i="2"/>
  <c r="AR36" i="2"/>
  <c r="AQ36" i="2"/>
  <c r="AO36" i="2"/>
  <c r="AN36" i="2"/>
  <c r="AL36" i="2"/>
  <c r="AK36" i="2"/>
  <c r="AI36" i="2"/>
  <c r="AH36" i="2"/>
  <c r="AF36" i="2"/>
  <c r="AE36" i="2"/>
  <c r="AC36" i="2"/>
  <c r="AB36" i="2"/>
  <c r="Z36" i="2"/>
  <c r="Y36" i="2"/>
  <c r="W36" i="2"/>
  <c r="V36" i="2"/>
  <c r="T36" i="2"/>
  <c r="S36" i="2"/>
  <c r="K36" i="2" s="1"/>
  <c r="Q36" i="2"/>
  <c r="P36" i="2"/>
  <c r="J36" i="2"/>
  <c r="I36" i="2"/>
  <c r="H36" i="2"/>
  <c r="G36" i="2"/>
  <c r="F36" i="2"/>
  <c r="E36" i="2"/>
  <c r="B36" i="2"/>
  <c r="CJ35" i="2"/>
  <c r="CI35" i="2"/>
  <c r="CH35" i="2"/>
  <c r="CG35" i="2"/>
  <c r="CE35" i="2"/>
  <c r="CD35" i="2"/>
  <c r="CB35" i="2"/>
  <c r="CA35" i="2"/>
  <c r="BY35" i="2"/>
  <c r="BX35" i="2"/>
  <c r="BV35" i="2"/>
  <c r="BU35" i="2"/>
  <c r="BS35" i="2"/>
  <c r="BR35" i="2"/>
  <c r="BP35" i="2"/>
  <c r="BO35" i="2"/>
  <c r="BM35" i="2"/>
  <c r="BL35" i="2"/>
  <c r="BJ35" i="2"/>
  <c r="BI35" i="2"/>
  <c r="BG35" i="2"/>
  <c r="BF35" i="2"/>
  <c r="BD35" i="2"/>
  <c r="BC35" i="2"/>
  <c r="BA35" i="2"/>
  <c r="AZ35" i="2"/>
  <c r="AX35" i="2"/>
  <c r="AW35" i="2"/>
  <c r="AU35" i="2"/>
  <c r="AT35" i="2"/>
  <c r="AR35" i="2"/>
  <c r="AQ35" i="2"/>
  <c r="AO35" i="2"/>
  <c r="AN35" i="2"/>
  <c r="AL35" i="2"/>
  <c r="AK35" i="2"/>
  <c r="AI35" i="2"/>
  <c r="AH35" i="2"/>
  <c r="AF35" i="2"/>
  <c r="AE35" i="2"/>
  <c r="AC35" i="2"/>
  <c r="AB35" i="2"/>
  <c r="Z35" i="2"/>
  <c r="L35" i="2" s="1"/>
  <c r="N35" i="2" s="1"/>
  <c r="Y35" i="2"/>
  <c r="W35" i="2"/>
  <c r="V35" i="2"/>
  <c r="T35" i="2"/>
  <c r="S35" i="2"/>
  <c r="Q35" i="2"/>
  <c r="I35" i="2" s="1"/>
  <c r="P35" i="2"/>
  <c r="K35" i="2"/>
  <c r="M35" i="2" s="1"/>
  <c r="J35" i="2"/>
  <c r="G35" i="2"/>
  <c r="F35" i="2"/>
  <c r="E35" i="2"/>
  <c r="B35" i="2"/>
  <c r="CJ34" i="2"/>
  <c r="CI34" i="2"/>
  <c r="CH34" i="2"/>
  <c r="CG34" i="2"/>
  <c r="CE34" i="2"/>
  <c r="CD34" i="2"/>
  <c r="CB34" i="2"/>
  <c r="CA34" i="2"/>
  <c r="BY34" i="2"/>
  <c r="BX34" i="2"/>
  <c r="BV34" i="2"/>
  <c r="BU34" i="2"/>
  <c r="BS34" i="2"/>
  <c r="BR34" i="2"/>
  <c r="BP34" i="2"/>
  <c r="BO34" i="2"/>
  <c r="BM34" i="2"/>
  <c r="BL34" i="2"/>
  <c r="BJ34" i="2"/>
  <c r="BI34" i="2"/>
  <c r="BG34" i="2"/>
  <c r="BF34" i="2"/>
  <c r="BD34" i="2"/>
  <c r="BC34" i="2"/>
  <c r="BA34" i="2"/>
  <c r="AZ34" i="2"/>
  <c r="AX34" i="2"/>
  <c r="AW34" i="2"/>
  <c r="AU34" i="2"/>
  <c r="AT34" i="2"/>
  <c r="AR34" i="2"/>
  <c r="AQ34" i="2"/>
  <c r="AO34" i="2"/>
  <c r="AN34" i="2"/>
  <c r="AL34" i="2"/>
  <c r="AK34" i="2"/>
  <c r="AI34" i="2"/>
  <c r="AH34" i="2"/>
  <c r="AF34" i="2"/>
  <c r="AE34" i="2"/>
  <c r="AC34" i="2"/>
  <c r="AB34" i="2"/>
  <c r="Z34" i="2"/>
  <c r="Y34" i="2"/>
  <c r="W34" i="2"/>
  <c r="V34" i="2"/>
  <c r="T34" i="2"/>
  <c r="S34" i="2"/>
  <c r="Q34" i="2"/>
  <c r="I34" i="2" s="1"/>
  <c r="P34" i="2"/>
  <c r="L34" i="2"/>
  <c r="K34" i="2"/>
  <c r="M34" i="2" s="1"/>
  <c r="J34" i="2"/>
  <c r="H34" i="2"/>
  <c r="G34" i="2"/>
  <c r="F34" i="2"/>
  <c r="E34" i="2"/>
  <c r="B34" i="2"/>
  <c r="CJ33" i="2"/>
  <c r="CI33" i="2"/>
  <c r="CH33" i="2"/>
  <c r="CG33" i="2"/>
  <c r="CE33" i="2"/>
  <c r="CD33" i="2"/>
  <c r="CB33" i="2"/>
  <c r="CA33" i="2"/>
  <c r="BY33" i="2"/>
  <c r="BX33" i="2"/>
  <c r="BV33" i="2"/>
  <c r="BU33" i="2"/>
  <c r="BS33" i="2"/>
  <c r="BR33" i="2"/>
  <c r="BP33" i="2"/>
  <c r="BO33" i="2"/>
  <c r="BM33" i="2"/>
  <c r="BL33" i="2"/>
  <c r="BJ33" i="2"/>
  <c r="BI33" i="2"/>
  <c r="BG33" i="2"/>
  <c r="BF33" i="2"/>
  <c r="BD33" i="2"/>
  <c r="BC33" i="2"/>
  <c r="BA33" i="2"/>
  <c r="AZ33" i="2"/>
  <c r="AX33" i="2"/>
  <c r="AW33" i="2"/>
  <c r="AU33" i="2"/>
  <c r="AT33" i="2"/>
  <c r="AR33" i="2"/>
  <c r="AQ33" i="2"/>
  <c r="AO33" i="2"/>
  <c r="AN33" i="2"/>
  <c r="AL33" i="2"/>
  <c r="AK33" i="2"/>
  <c r="AI33" i="2"/>
  <c r="AH33" i="2"/>
  <c r="AF33" i="2"/>
  <c r="AE33" i="2"/>
  <c r="AC33" i="2"/>
  <c r="AB33" i="2"/>
  <c r="Z33" i="2"/>
  <c r="Y33" i="2"/>
  <c r="W33" i="2"/>
  <c r="V33" i="2"/>
  <c r="T33" i="2"/>
  <c r="L33" i="2" s="1"/>
  <c r="S33" i="2"/>
  <c r="Q33" i="2"/>
  <c r="P33" i="2"/>
  <c r="J33" i="2"/>
  <c r="I33" i="2"/>
  <c r="H33" i="2"/>
  <c r="G33" i="2"/>
  <c r="F33" i="2"/>
  <c r="E33" i="2"/>
  <c r="B33" i="2"/>
  <c r="CJ32" i="2"/>
  <c r="CI32" i="2"/>
  <c r="CH32" i="2"/>
  <c r="CG32" i="2"/>
  <c r="CE32" i="2"/>
  <c r="CD32" i="2"/>
  <c r="CB32" i="2"/>
  <c r="CA32" i="2"/>
  <c r="BY32" i="2"/>
  <c r="BX32" i="2"/>
  <c r="BV32" i="2"/>
  <c r="BU32" i="2"/>
  <c r="BS32" i="2"/>
  <c r="BR32" i="2"/>
  <c r="BP32" i="2"/>
  <c r="BO32" i="2"/>
  <c r="BM32" i="2"/>
  <c r="BL32" i="2"/>
  <c r="BJ32" i="2"/>
  <c r="BI32" i="2"/>
  <c r="BG32" i="2"/>
  <c r="BF32" i="2"/>
  <c r="BD32" i="2"/>
  <c r="BC32" i="2"/>
  <c r="BA32" i="2"/>
  <c r="AZ32" i="2"/>
  <c r="AX32" i="2"/>
  <c r="AW32" i="2"/>
  <c r="AU32" i="2"/>
  <c r="AT32" i="2"/>
  <c r="AR32" i="2"/>
  <c r="AQ32" i="2"/>
  <c r="AO32" i="2"/>
  <c r="AN32" i="2"/>
  <c r="AL32" i="2"/>
  <c r="AK32" i="2"/>
  <c r="AI32" i="2"/>
  <c r="AH32" i="2"/>
  <c r="AF32" i="2"/>
  <c r="AE32" i="2"/>
  <c r="AC32" i="2"/>
  <c r="AB32" i="2"/>
  <c r="Z32" i="2"/>
  <c r="Y32" i="2"/>
  <c r="K32" i="2" s="1"/>
  <c r="W32" i="2"/>
  <c r="I32" i="2" s="1"/>
  <c r="V32" i="2"/>
  <c r="T32" i="2"/>
  <c r="L32" i="2" s="1"/>
  <c r="S32" i="2"/>
  <c r="Q32" i="2"/>
  <c r="P32" i="2"/>
  <c r="H32" i="2" s="1"/>
  <c r="J32" i="2"/>
  <c r="G32" i="2"/>
  <c r="F32" i="2"/>
  <c r="E32" i="2"/>
  <c r="B32" i="2"/>
  <c r="CJ31" i="2"/>
  <c r="CI31" i="2"/>
  <c r="CH31" i="2"/>
  <c r="CG31" i="2"/>
  <c r="CE31" i="2"/>
  <c r="CD31" i="2"/>
  <c r="CB31" i="2"/>
  <c r="CA31" i="2"/>
  <c r="BY31" i="2"/>
  <c r="BX31" i="2"/>
  <c r="BV31" i="2"/>
  <c r="BU31" i="2"/>
  <c r="BS31" i="2"/>
  <c r="BR31" i="2"/>
  <c r="BP31" i="2"/>
  <c r="BO31" i="2"/>
  <c r="BM31" i="2"/>
  <c r="BL31" i="2"/>
  <c r="BJ31" i="2"/>
  <c r="BI31" i="2"/>
  <c r="BG31" i="2"/>
  <c r="BF31" i="2"/>
  <c r="BD31" i="2"/>
  <c r="BC31" i="2"/>
  <c r="BA31" i="2"/>
  <c r="AZ31" i="2"/>
  <c r="AX31" i="2"/>
  <c r="AW31" i="2"/>
  <c r="AU31" i="2"/>
  <c r="AT31" i="2"/>
  <c r="AR31" i="2"/>
  <c r="AQ31" i="2"/>
  <c r="AO31" i="2"/>
  <c r="AN31" i="2"/>
  <c r="AL31" i="2"/>
  <c r="AK31" i="2"/>
  <c r="AI31" i="2"/>
  <c r="AH31" i="2"/>
  <c r="AF31" i="2"/>
  <c r="AE31" i="2"/>
  <c r="AC31" i="2"/>
  <c r="AB31" i="2"/>
  <c r="Z31" i="2"/>
  <c r="Y31" i="2"/>
  <c r="W31" i="2"/>
  <c r="V31" i="2"/>
  <c r="T31" i="2"/>
  <c r="L31" i="2" s="1"/>
  <c r="S31" i="2"/>
  <c r="Q31" i="2"/>
  <c r="P31" i="2"/>
  <c r="H31" i="2" s="1"/>
  <c r="K31" i="2"/>
  <c r="J31" i="2"/>
  <c r="I31" i="2"/>
  <c r="G31" i="2"/>
  <c r="F31" i="2"/>
  <c r="E31" i="2"/>
  <c r="B31" i="2"/>
  <c r="CJ30" i="2"/>
  <c r="CI30" i="2"/>
  <c r="CH30" i="2"/>
  <c r="CG30" i="2"/>
  <c r="CE30" i="2"/>
  <c r="CD30" i="2"/>
  <c r="CB30" i="2"/>
  <c r="CA30" i="2"/>
  <c r="BY30" i="2"/>
  <c r="BX30" i="2"/>
  <c r="BV30" i="2"/>
  <c r="BU30" i="2"/>
  <c r="BS30" i="2"/>
  <c r="BR30" i="2"/>
  <c r="BP30" i="2"/>
  <c r="BO30" i="2"/>
  <c r="BM30" i="2"/>
  <c r="BL30" i="2"/>
  <c r="BJ30" i="2"/>
  <c r="BI30" i="2"/>
  <c r="BG30" i="2"/>
  <c r="BF30" i="2"/>
  <c r="BD30" i="2"/>
  <c r="BC30" i="2"/>
  <c r="BA30" i="2"/>
  <c r="AZ30" i="2"/>
  <c r="AX30" i="2"/>
  <c r="AW30" i="2"/>
  <c r="AU30" i="2"/>
  <c r="AT30" i="2"/>
  <c r="AR30" i="2"/>
  <c r="AQ30" i="2"/>
  <c r="AO30" i="2"/>
  <c r="AN30" i="2"/>
  <c r="AL30" i="2"/>
  <c r="AK30" i="2"/>
  <c r="AI30" i="2"/>
  <c r="AH30" i="2"/>
  <c r="AF30" i="2"/>
  <c r="AE30" i="2"/>
  <c r="AC30" i="2"/>
  <c r="AB30" i="2"/>
  <c r="Z30" i="2"/>
  <c r="Y30" i="2"/>
  <c r="W30" i="2"/>
  <c r="V30" i="2"/>
  <c r="T30" i="2"/>
  <c r="S30" i="2"/>
  <c r="K30" i="2" s="1"/>
  <c r="Q30" i="2"/>
  <c r="P30" i="2"/>
  <c r="L30" i="2"/>
  <c r="J30" i="2"/>
  <c r="H30" i="2"/>
  <c r="G30" i="2"/>
  <c r="F30" i="2"/>
  <c r="E30" i="2"/>
  <c r="B30" i="2"/>
  <c r="CJ29" i="2"/>
  <c r="CI29" i="2"/>
  <c r="CH29" i="2"/>
  <c r="CG29" i="2"/>
  <c r="CE29" i="2"/>
  <c r="CD29" i="2"/>
  <c r="CB29" i="2"/>
  <c r="CA29" i="2"/>
  <c r="BY29" i="2"/>
  <c r="BX29" i="2"/>
  <c r="BV29" i="2"/>
  <c r="BU29" i="2"/>
  <c r="BS29" i="2"/>
  <c r="BR29" i="2"/>
  <c r="BP29" i="2"/>
  <c r="BO29" i="2"/>
  <c r="BM29" i="2"/>
  <c r="BL29" i="2"/>
  <c r="BJ29" i="2"/>
  <c r="BI29" i="2"/>
  <c r="BG29" i="2"/>
  <c r="BF29" i="2"/>
  <c r="BD29" i="2"/>
  <c r="BC29" i="2"/>
  <c r="BA29" i="2"/>
  <c r="AZ29" i="2"/>
  <c r="AX29" i="2"/>
  <c r="AW29" i="2"/>
  <c r="AU29" i="2"/>
  <c r="AT29" i="2"/>
  <c r="AR29" i="2"/>
  <c r="AQ29" i="2"/>
  <c r="AO29" i="2"/>
  <c r="AN29" i="2"/>
  <c r="AL29" i="2"/>
  <c r="AK29" i="2"/>
  <c r="AI29" i="2"/>
  <c r="AH29" i="2"/>
  <c r="AF29" i="2"/>
  <c r="AE29" i="2"/>
  <c r="AC29" i="2"/>
  <c r="AB29" i="2"/>
  <c r="Z29" i="2"/>
  <c r="Y29" i="2"/>
  <c r="W29" i="2"/>
  <c r="V29" i="2"/>
  <c r="H29" i="2" s="1"/>
  <c r="T29" i="2"/>
  <c r="S29" i="2"/>
  <c r="K29" i="2" s="1"/>
  <c r="Q29" i="2"/>
  <c r="P29" i="2"/>
  <c r="L29" i="2"/>
  <c r="J29" i="2"/>
  <c r="I29" i="2"/>
  <c r="G29" i="2"/>
  <c r="F29" i="2"/>
  <c r="E29" i="2"/>
  <c r="B29" i="2"/>
  <c r="CJ28" i="2"/>
  <c r="CI28" i="2"/>
  <c r="CH28" i="2"/>
  <c r="CG28" i="2"/>
  <c r="CE28" i="2"/>
  <c r="CD28" i="2"/>
  <c r="CB28" i="2"/>
  <c r="CA28" i="2"/>
  <c r="BY28" i="2"/>
  <c r="BX28" i="2"/>
  <c r="BV28" i="2"/>
  <c r="BU28" i="2"/>
  <c r="BS28" i="2"/>
  <c r="BR28" i="2"/>
  <c r="BP28" i="2"/>
  <c r="BO28" i="2"/>
  <c r="BM28" i="2"/>
  <c r="BL28" i="2"/>
  <c r="BJ28" i="2"/>
  <c r="BI28" i="2"/>
  <c r="BG28" i="2"/>
  <c r="BF28" i="2"/>
  <c r="BD28" i="2"/>
  <c r="BC28" i="2"/>
  <c r="BA28" i="2"/>
  <c r="AZ28" i="2"/>
  <c r="AX28" i="2"/>
  <c r="AW28" i="2"/>
  <c r="AU28" i="2"/>
  <c r="AT28" i="2"/>
  <c r="AR28" i="2"/>
  <c r="AQ28" i="2"/>
  <c r="AO28" i="2"/>
  <c r="AN28" i="2"/>
  <c r="AL28" i="2"/>
  <c r="AK28" i="2"/>
  <c r="AI28" i="2"/>
  <c r="AH28" i="2"/>
  <c r="AF28" i="2"/>
  <c r="AE28" i="2"/>
  <c r="AC28" i="2"/>
  <c r="AB28" i="2"/>
  <c r="Z28" i="2"/>
  <c r="Y28" i="2"/>
  <c r="W28" i="2"/>
  <c r="V28" i="2"/>
  <c r="T28" i="2"/>
  <c r="S28" i="2"/>
  <c r="K28" i="2" s="1"/>
  <c r="Q28" i="2"/>
  <c r="P28" i="2"/>
  <c r="J28" i="2"/>
  <c r="I28" i="2"/>
  <c r="H28" i="2"/>
  <c r="G28" i="2"/>
  <c r="F28" i="2"/>
  <c r="E28" i="2"/>
  <c r="B28" i="2"/>
  <c r="CJ27" i="2"/>
  <c r="CI27" i="2"/>
  <c r="CH27" i="2"/>
  <c r="CG27" i="2"/>
  <c r="CE27" i="2"/>
  <c r="CD27" i="2"/>
  <c r="CB27" i="2"/>
  <c r="CA27" i="2"/>
  <c r="BY27" i="2"/>
  <c r="BX27" i="2"/>
  <c r="BV27" i="2"/>
  <c r="BU27" i="2"/>
  <c r="BS27" i="2"/>
  <c r="BR27" i="2"/>
  <c r="BP27" i="2"/>
  <c r="BO27" i="2"/>
  <c r="BM27" i="2"/>
  <c r="BL27" i="2"/>
  <c r="BJ27" i="2"/>
  <c r="BI27" i="2"/>
  <c r="BG27" i="2"/>
  <c r="BF27" i="2"/>
  <c r="BD27" i="2"/>
  <c r="BC27" i="2"/>
  <c r="BA27" i="2"/>
  <c r="AZ27" i="2"/>
  <c r="AX27" i="2"/>
  <c r="AW27" i="2"/>
  <c r="AU27" i="2"/>
  <c r="AT27" i="2"/>
  <c r="AR27" i="2"/>
  <c r="AQ27" i="2"/>
  <c r="AO27" i="2"/>
  <c r="AN27" i="2"/>
  <c r="AL27" i="2"/>
  <c r="AK27" i="2"/>
  <c r="AI27" i="2"/>
  <c r="AH27" i="2"/>
  <c r="AF27" i="2"/>
  <c r="AE27" i="2"/>
  <c r="AC27" i="2"/>
  <c r="AB27" i="2"/>
  <c r="Z27" i="2"/>
  <c r="L27" i="2" s="1"/>
  <c r="Y27" i="2"/>
  <c r="W27" i="2"/>
  <c r="V27" i="2"/>
  <c r="T27" i="2"/>
  <c r="S27" i="2"/>
  <c r="Q27" i="2"/>
  <c r="I27" i="2" s="1"/>
  <c r="P27" i="2"/>
  <c r="K27" i="2"/>
  <c r="J27" i="2"/>
  <c r="G27" i="2"/>
  <c r="F27" i="2"/>
  <c r="E27" i="2"/>
  <c r="B27" i="2"/>
  <c r="CJ26" i="2"/>
  <c r="CI26" i="2"/>
  <c r="CH26" i="2"/>
  <c r="CG26" i="2"/>
  <c r="CE26" i="2"/>
  <c r="CD26" i="2"/>
  <c r="CB26" i="2"/>
  <c r="CA26" i="2"/>
  <c r="BY26" i="2"/>
  <c r="BX26" i="2"/>
  <c r="BV26" i="2"/>
  <c r="BU26" i="2"/>
  <c r="BS26" i="2"/>
  <c r="BR26" i="2"/>
  <c r="BP26" i="2"/>
  <c r="BO26" i="2"/>
  <c r="BM26" i="2"/>
  <c r="BL26" i="2"/>
  <c r="BJ26" i="2"/>
  <c r="BI26" i="2"/>
  <c r="BG26" i="2"/>
  <c r="BF26" i="2"/>
  <c r="BD26" i="2"/>
  <c r="BC26" i="2"/>
  <c r="BA26" i="2"/>
  <c r="AZ26" i="2"/>
  <c r="AX26" i="2"/>
  <c r="AW26" i="2"/>
  <c r="AU26" i="2"/>
  <c r="AT26" i="2"/>
  <c r="AR26" i="2"/>
  <c r="AQ26" i="2"/>
  <c r="AO26" i="2"/>
  <c r="AN26" i="2"/>
  <c r="AL26" i="2"/>
  <c r="AK26" i="2"/>
  <c r="AI26" i="2"/>
  <c r="AH26" i="2"/>
  <c r="AF26" i="2"/>
  <c r="AE26" i="2"/>
  <c r="AC26" i="2"/>
  <c r="AB26" i="2"/>
  <c r="Z26" i="2"/>
  <c r="Y26" i="2"/>
  <c r="W26" i="2"/>
  <c r="V26" i="2"/>
  <c r="T26" i="2"/>
  <c r="S26" i="2"/>
  <c r="Q26" i="2"/>
  <c r="I26" i="2" s="1"/>
  <c r="P26" i="2"/>
  <c r="L26" i="2"/>
  <c r="K26" i="2"/>
  <c r="J26" i="2"/>
  <c r="H26" i="2"/>
  <c r="G26" i="2"/>
  <c r="F26" i="2"/>
  <c r="E26" i="2"/>
  <c r="B26" i="2"/>
  <c r="CJ25" i="2"/>
  <c r="CI25" i="2"/>
  <c r="CH25" i="2"/>
  <c r="CG25" i="2"/>
  <c r="CE25" i="2"/>
  <c r="CD25" i="2"/>
  <c r="CB25" i="2"/>
  <c r="CA25" i="2"/>
  <c r="BY25" i="2"/>
  <c r="BX25" i="2"/>
  <c r="BV25" i="2"/>
  <c r="BU25" i="2"/>
  <c r="BS25" i="2"/>
  <c r="BR25" i="2"/>
  <c r="BP25" i="2"/>
  <c r="BO25" i="2"/>
  <c r="BM25" i="2"/>
  <c r="BL25" i="2"/>
  <c r="BJ25" i="2"/>
  <c r="BI25" i="2"/>
  <c r="BG25" i="2"/>
  <c r="BF25" i="2"/>
  <c r="BD25" i="2"/>
  <c r="BC25" i="2"/>
  <c r="BA25" i="2"/>
  <c r="AZ25" i="2"/>
  <c r="AX25" i="2"/>
  <c r="AW25" i="2"/>
  <c r="AU25" i="2"/>
  <c r="AT25" i="2"/>
  <c r="AR25" i="2"/>
  <c r="AQ25" i="2"/>
  <c r="AO25" i="2"/>
  <c r="AN25" i="2"/>
  <c r="AL25" i="2"/>
  <c r="AK25" i="2"/>
  <c r="AI25" i="2"/>
  <c r="AH25" i="2"/>
  <c r="AF25" i="2"/>
  <c r="AE25" i="2"/>
  <c r="AC25" i="2"/>
  <c r="AB25" i="2"/>
  <c r="Z25" i="2"/>
  <c r="Y25" i="2"/>
  <c r="W25" i="2"/>
  <c r="V25" i="2"/>
  <c r="T25" i="2"/>
  <c r="L25" i="2" s="1"/>
  <c r="S25" i="2"/>
  <c r="Q25" i="2"/>
  <c r="P25" i="2"/>
  <c r="J25" i="2"/>
  <c r="I25" i="2"/>
  <c r="H25" i="2"/>
  <c r="G25" i="2"/>
  <c r="F25" i="2"/>
  <c r="E25" i="2"/>
  <c r="B25" i="2"/>
  <c r="CJ24" i="2"/>
  <c r="CI24" i="2"/>
  <c r="CH24" i="2"/>
  <c r="CG24" i="2"/>
  <c r="CE24" i="2"/>
  <c r="CD24" i="2"/>
  <c r="CB24" i="2"/>
  <c r="CA24" i="2"/>
  <c r="BY24" i="2"/>
  <c r="BX24" i="2"/>
  <c r="BV24" i="2"/>
  <c r="BU24" i="2"/>
  <c r="BS24" i="2"/>
  <c r="BR24" i="2"/>
  <c r="BP24" i="2"/>
  <c r="BO24" i="2"/>
  <c r="BM24" i="2"/>
  <c r="BL24" i="2"/>
  <c r="BJ24" i="2"/>
  <c r="BI24" i="2"/>
  <c r="BG24" i="2"/>
  <c r="BF24" i="2"/>
  <c r="BD24" i="2"/>
  <c r="BC24" i="2"/>
  <c r="BA24" i="2"/>
  <c r="AZ24" i="2"/>
  <c r="AX24" i="2"/>
  <c r="AW24" i="2"/>
  <c r="AU24" i="2"/>
  <c r="AT24" i="2"/>
  <c r="AR24" i="2"/>
  <c r="AQ24" i="2"/>
  <c r="AO24" i="2"/>
  <c r="AN24" i="2"/>
  <c r="AL24" i="2"/>
  <c r="AK24" i="2"/>
  <c r="AI24" i="2"/>
  <c r="AH24" i="2"/>
  <c r="AF24" i="2"/>
  <c r="AE24" i="2"/>
  <c r="AC24" i="2"/>
  <c r="AB24" i="2"/>
  <c r="Z24" i="2"/>
  <c r="Y24" i="2"/>
  <c r="K24" i="2" s="1"/>
  <c r="W24" i="2"/>
  <c r="I24" i="2" s="1"/>
  <c r="V24" i="2"/>
  <c r="T24" i="2"/>
  <c r="L24" i="2" s="1"/>
  <c r="S24" i="2"/>
  <c r="Q24" i="2"/>
  <c r="P24" i="2"/>
  <c r="H24" i="2" s="1"/>
  <c r="J24" i="2"/>
  <c r="G24" i="2"/>
  <c r="F24" i="2"/>
  <c r="E24" i="2"/>
  <c r="B24" i="2"/>
  <c r="CJ23" i="2"/>
  <c r="CI23" i="2"/>
  <c r="CH23" i="2"/>
  <c r="CG23" i="2"/>
  <c r="CE23" i="2"/>
  <c r="CD23" i="2"/>
  <c r="CB23" i="2"/>
  <c r="CA23" i="2"/>
  <c r="BY23" i="2"/>
  <c r="BX23" i="2"/>
  <c r="BV23" i="2"/>
  <c r="BU23" i="2"/>
  <c r="BS23" i="2"/>
  <c r="BR23" i="2"/>
  <c r="BP23" i="2"/>
  <c r="BO23" i="2"/>
  <c r="BM23" i="2"/>
  <c r="BL23" i="2"/>
  <c r="BJ23" i="2"/>
  <c r="BI23" i="2"/>
  <c r="BG23" i="2"/>
  <c r="BF23" i="2"/>
  <c r="BD23" i="2"/>
  <c r="BC23" i="2"/>
  <c r="BA23" i="2"/>
  <c r="AZ23" i="2"/>
  <c r="AX23" i="2"/>
  <c r="AW23" i="2"/>
  <c r="AU23" i="2"/>
  <c r="AT23" i="2"/>
  <c r="AR23" i="2"/>
  <c r="AQ23" i="2"/>
  <c r="AO23" i="2"/>
  <c r="AN23" i="2"/>
  <c r="AL23" i="2"/>
  <c r="AK23" i="2"/>
  <c r="AI23" i="2"/>
  <c r="AH23" i="2"/>
  <c r="AF23" i="2"/>
  <c r="AE23" i="2"/>
  <c r="AC23" i="2"/>
  <c r="AB23" i="2"/>
  <c r="Z23" i="2"/>
  <c r="Y23" i="2"/>
  <c r="W23" i="2"/>
  <c r="V23" i="2"/>
  <c r="T23" i="2"/>
  <c r="L23" i="2" s="1"/>
  <c r="S23" i="2"/>
  <c r="Q23" i="2"/>
  <c r="P23" i="2"/>
  <c r="H23" i="2" s="1"/>
  <c r="K23" i="2"/>
  <c r="M23" i="2" s="1"/>
  <c r="J23" i="2"/>
  <c r="I23" i="2"/>
  <c r="G23" i="2"/>
  <c r="F23" i="2"/>
  <c r="E23" i="2"/>
  <c r="B23" i="2"/>
  <c r="CJ22" i="2"/>
  <c r="CI22" i="2"/>
  <c r="CH22" i="2"/>
  <c r="CG22" i="2"/>
  <c r="CE22" i="2"/>
  <c r="CD22" i="2"/>
  <c r="CB22" i="2"/>
  <c r="CA22" i="2"/>
  <c r="BY22" i="2"/>
  <c r="BX22" i="2"/>
  <c r="BV22" i="2"/>
  <c r="BU22" i="2"/>
  <c r="BS22" i="2"/>
  <c r="BR22" i="2"/>
  <c r="BP22" i="2"/>
  <c r="BO22" i="2"/>
  <c r="BM22" i="2"/>
  <c r="BL22" i="2"/>
  <c r="BJ22" i="2"/>
  <c r="BI22" i="2"/>
  <c r="BG22" i="2"/>
  <c r="BF22" i="2"/>
  <c r="BD22" i="2"/>
  <c r="BC22" i="2"/>
  <c r="BA22" i="2"/>
  <c r="AZ22" i="2"/>
  <c r="AX22" i="2"/>
  <c r="AW22" i="2"/>
  <c r="AU22" i="2"/>
  <c r="AT22" i="2"/>
  <c r="AR22" i="2"/>
  <c r="AQ22" i="2"/>
  <c r="AO22" i="2"/>
  <c r="AN22" i="2"/>
  <c r="AL22" i="2"/>
  <c r="AK22" i="2"/>
  <c r="AI22" i="2"/>
  <c r="AH22" i="2"/>
  <c r="AF22" i="2"/>
  <c r="AE22" i="2"/>
  <c r="AC22" i="2"/>
  <c r="AB22" i="2"/>
  <c r="Z22" i="2"/>
  <c r="Y22" i="2"/>
  <c r="W22" i="2"/>
  <c r="V22" i="2"/>
  <c r="T22" i="2"/>
  <c r="S22" i="2"/>
  <c r="K22" i="2" s="1"/>
  <c r="Q22" i="2"/>
  <c r="P22" i="2"/>
  <c r="L22" i="2"/>
  <c r="J22" i="2"/>
  <c r="H22" i="2"/>
  <c r="G22" i="2"/>
  <c r="F22" i="2"/>
  <c r="E22" i="2"/>
  <c r="B22" i="2"/>
  <c r="CJ21" i="2"/>
  <c r="CI21" i="2"/>
  <c r="CH21" i="2"/>
  <c r="CG21" i="2"/>
  <c r="CE21" i="2"/>
  <c r="CD21" i="2"/>
  <c r="CB21" i="2"/>
  <c r="CA21" i="2"/>
  <c r="BY21" i="2"/>
  <c r="BX21" i="2"/>
  <c r="BV21" i="2"/>
  <c r="BU21" i="2"/>
  <c r="BS21" i="2"/>
  <c r="BR21" i="2"/>
  <c r="BP21" i="2"/>
  <c r="BO21" i="2"/>
  <c r="BM21" i="2"/>
  <c r="BL21" i="2"/>
  <c r="BJ21" i="2"/>
  <c r="BI21" i="2"/>
  <c r="BG21" i="2"/>
  <c r="BF21" i="2"/>
  <c r="BD21" i="2"/>
  <c r="BC21" i="2"/>
  <c r="BA21" i="2"/>
  <c r="AZ21" i="2"/>
  <c r="AX21" i="2"/>
  <c r="AW21" i="2"/>
  <c r="AU21" i="2"/>
  <c r="AT21" i="2"/>
  <c r="AR21" i="2"/>
  <c r="AQ21" i="2"/>
  <c r="AO21" i="2"/>
  <c r="AN21" i="2"/>
  <c r="AL21" i="2"/>
  <c r="AK21" i="2"/>
  <c r="AI21" i="2"/>
  <c r="AH21" i="2"/>
  <c r="AF21" i="2"/>
  <c r="AE21" i="2"/>
  <c r="AC21" i="2"/>
  <c r="AB21" i="2"/>
  <c r="Z21" i="2"/>
  <c r="Y21" i="2"/>
  <c r="W21" i="2"/>
  <c r="V21" i="2"/>
  <c r="H21" i="2" s="1"/>
  <c r="T21" i="2"/>
  <c r="S21" i="2"/>
  <c r="K21" i="2" s="1"/>
  <c r="Q21" i="2"/>
  <c r="P21" i="2"/>
  <c r="L21" i="2"/>
  <c r="J21" i="2"/>
  <c r="I21" i="2"/>
  <c r="G21" i="2"/>
  <c r="F21" i="2"/>
  <c r="E21" i="2"/>
  <c r="B21" i="2"/>
  <c r="CJ20" i="2"/>
  <c r="CI20" i="2"/>
  <c r="CH20" i="2"/>
  <c r="CG20" i="2"/>
  <c r="CE20" i="2"/>
  <c r="CD20" i="2"/>
  <c r="CB20" i="2"/>
  <c r="CA20" i="2"/>
  <c r="BY20" i="2"/>
  <c r="BX20" i="2"/>
  <c r="BV20" i="2"/>
  <c r="BU20" i="2"/>
  <c r="BS20" i="2"/>
  <c r="BR20" i="2"/>
  <c r="BP20" i="2"/>
  <c r="BO20" i="2"/>
  <c r="BM20" i="2"/>
  <c r="BL20" i="2"/>
  <c r="BJ20" i="2"/>
  <c r="BI20" i="2"/>
  <c r="BG20" i="2"/>
  <c r="BF20" i="2"/>
  <c r="BD20" i="2"/>
  <c r="BC20" i="2"/>
  <c r="BA20" i="2"/>
  <c r="AZ20" i="2"/>
  <c r="AX20" i="2"/>
  <c r="AW20" i="2"/>
  <c r="AU20" i="2"/>
  <c r="AT20" i="2"/>
  <c r="AR20" i="2"/>
  <c r="AQ20" i="2"/>
  <c r="AO20" i="2"/>
  <c r="AN20" i="2"/>
  <c r="AL20" i="2"/>
  <c r="AK20" i="2"/>
  <c r="AI20" i="2"/>
  <c r="AH20" i="2"/>
  <c r="AF20" i="2"/>
  <c r="AE20" i="2"/>
  <c r="AC20" i="2"/>
  <c r="AB20" i="2"/>
  <c r="Z20" i="2"/>
  <c r="Y20" i="2"/>
  <c r="W20" i="2"/>
  <c r="V20" i="2"/>
  <c r="T20" i="2"/>
  <c r="S20" i="2"/>
  <c r="K20" i="2" s="1"/>
  <c r="Q20" i="2"/>
  <c r="P20" i="2"/>
  <c r="J20" i="2"/>
  <c r="I20" i="2"/>
  <c r="H20" i="2"/>
  <c r="G20" i="2"/>
  <c r="F20" i="2"/>
  <c r="E20" i="2"/>
  <c r="B20" i="2"/>
  <c r="CJ19" i="2"/>
  <c r="CI19" i="2"/>
  <c r="CH19" i="2"/>
  <c r="CG19" i="2"/>
  <c r="CE19" i="2"/>
  <c r="CD19" i="2"/>
  <c r="CB19" i="2"/>
  <c r="CA19" i="2"/>
  <c r="BY19" i="2"/>
  <c r="BX19" i="2"/>
  <c r="BV19" i="2"/>
  <c r="BU19" i="2"/>
  <c r="BS19" i="2"/>
  <c r="BR19" i="2"/>
  <c r="BP19" i="2"/>
  <c r="BO19" i="2"/>
  <c r="BM19" i="2"/>
  <c r="BL19" i="2"/>
  <c r="BJ19" i="2"/>
  <c r="BI19" i="2"/>
  <c r="BG19" i="2"/>
  <c r="BF19" i="2"/>
  <c r="BD19" i="2"/>
  <c r="BC19" i="2"/>
  <c r="BA19" i="2"/>
  <c r="AZ19" i="2"/>
  <c r="AX19" i="2"/>
  <c r="AW19" i="2"/>
  <c r="AU19" i="2"/>
  <c r="AT19" i="2"/>
  <c r="AR19" i="2"/>
  <c r="AQ19" i="2"/>
  <c r="AO19" i="2"/>
  <c r="AN19" i="2"/>
  <c r="AL19" i="2"/>
  <c r="AK19" i="2"/>
  <c r="AI19" i="2"/>
  <c r="AH19" i="2"/>
  <c r="AF19" i="2"/>
  <c r="AE19" i="2"/>
  <c r="AC19" i="2"/>
  <c r="AB19" i="2"/>
  <c r="Z19" i="2"/>
  <c r="L19" i="2" s="1"/>
  <c r="Y19" i="2"/>
  <c r="W19" i="2"/>
  <c r="V19" i="2"/>
  <c r="T19" i="2"/>
  <c r="S19" i="2"/>
  <c r="Q19" i="2"/>
  <c r="I19" i="2" s="1"/>
  <c r="P19" i="2"/>
  <c r="K19" i="2"/>
  <c r="J19" i="2"/>
  <c r="G19" i="2"/>
  <c r="F19" i="2"/>
  <c r="E19" i="2"/>
  <c r="B19" i="2"/>
  <c r="CJ18" i="2"/>
  <c r="CI18" i="2"/>
  <c r="CH18" i="2"/>
  <c r="CG18" i="2"/>
  <c r="CE18" i="2"/>
  <c r="CD18" i="2"/>
  <c r="CB18" i="2"/>
  <c r="CA18" i="2"/>
  <c r="BY18" i="2"/>
  <c r="BX18" i="2"/>
  <c r="BV18" i="2"/>
  <c r="BU18" i="2"/>
  <c r="BS18" i="2"/>
  <c r="BR18" i="2"/>
  <c r="BP18" i="2"/>
  <c r="BO18" i="2"/>
  <c r="BM18" i="2"/>
  <c r="BL18" i="2"/>
  <c r="BJ18" i="2"/>
  <c r="BI18" i="2"/>
  <c r="BG18" i="2"/>
  <c r="BF18" i="2"/>
  <c r="BD18" i="2"/>
  <c r="BC18" i="2"/>
  <c r="BA18" i="2"/>
  <c r="AZ18" i="2"/>
  <c r="AX18" i="2"/>
  <c r="AW18" i="2"/>
  <c r="AU18" i="2"/>
  <c r="AT18" i="2"/>
  <c r="AR18" i="2"/>
  <c r="AQ18" i="2"/>
  <c r="AO18" i="2"/>
  <c r="AN18" i="2"/>
  <c r="AL18" i="2"/>
  <c r="AK18" i="2"/>
  <c r="AI18" i="2"/>
  <c r="AH18" i="2"/>
  <c r="AF18" i="2"/>
  <c r="AE18" i="2"/>
  <c r="AC18" i="2"/>
  <c r="AB18" i="2"/>
  <c r="Z18" i="2"/>
  <c r="Y18" i="2"/>
  <c r="W18" i="2"/>
  <c r="V18" i="2"/>
  <c r="T18" i="2"/>
  <c r="S18" i="2"/>
  <c r="Q18" i="2"/>
  <c r="I18" i="2" s="1"/>
  <c r="P18" i="2"/>
  <c r="L18" i="2"/>
  <c r="K18" i="2"/>
  <c r="J18" i="2"/>
  <c r="H18" i="2"/>
  <c r="G18" i="2"/>
  <c r="F18" i="2"/>
  <c r="E18" i="2"/>
  <c r="B18" i="2"/>
  <c r="CJ17" i="2"/>
  <c r="CI17" i="2"/>
  <c r="CH17" i="2"/>
  <c r="CG17" i="2"/>
  <c r="CE17" i="2"/>
  <c r="CD17" i="2"/>
  <c r="CB17" i="2"/>
  <c r="CA17" i="2"/>
  <c r="BY17" i="2"/>
  <c r="BX17" i="2"/>
  <c r="BV17" i="2"/>
  <c r="BU17" i="2"/>
  <c r="BS17" i="2"/>
  <c r="BR17" i="2"/>
  <c r="BP17" i="2"/>
  <c r="BO17" i="2"/>
  <c r="BM17" i="2"/>
  <c r="BL17" i="2"/>
  <c r="BJ17" i="2"/>
  <c r="BI17" i="2"/>
  <c r="BG17" i="2"/>
  <c r="BF17" i="2"/>
  <c r="BD17" i="2"/>
  <c r="BC17" i="2"/>
  <c r="BA17" i="2"/>
  <c r="AZ17" i="2"/>
  <c r="AX17" i="2"/>
  <c r="AW17" i="2"/>
  <c r="AU17" i="2"/>
  <c r="AT17" i="2"/>
  <c r="AR17" i="2"/>
  <c r="AQ17" i="2"/>
  <c r="AO17" i="2"/>
  <c r="AN17" i="2"/>
  <c r="AL17" i="2"/>
  <c r="AK17" i="2"/>
  <c r="AI17" i="2"/>
  <c r="AH17" i="2"/>
  <c r="AF17" i="2"/>
  <c r="AE17" i="2"/>
  <c r="AC17" i="2"/>
  <c r="AB17" i="2"/>
  <c r="Z17" i="2"/>
  <c r="Y17" i="2"/>
  <c r="W17" i="2"/>
  <c r="V17" i="2"/>
  <c r="T17" i="2"/>
  <c r="L17" i="2" s="1"/>
  <c r="S17" i="2"/>
  <c r="Q17" i="2"/>
  <c r="P17" i="2"/>
  <c r="J17" i="2"/>
  <c r="I17" i="2"/>
  <c r="H17" i="2"/>
  <c r="G17" i="2"/>
  <c r="F17" i="2"/>
  <c r="E17" i="2"/>
  <c r="B17" i="2"/>
  <c r="CJ16" i="2"/>
  <c r="CI16" i="2"/>
  <c r="CH16" i="2"/>
  <c r="CG16" i="2"/>
  <c r="CE16" i="2"/>
  <c r="CD16" i="2"/>
  <c r="CB16" i="2"/>
  <c r="CA16" i="2"/>
  <c r="BY16" i="2"/>
  <c r="BX16" i="2"/>
  <c r="BV16" i="2"/>
  <c r="BU16" i="2"/>
  <c r="BS16" i="2"/>
  <c r="BR16" i="2"/>
  <c r="BP16" i="2"/>
  <c r="BO16" i="2"/>
  <c r="BM16" i="2"/>
  <c r="BL16" i="2"/>
  <c r="BJ16" i="2"/>
  <c r="BI16" i="2"/>
  <c r="BG16" i="2"/>
  <c r="BF16" i="2"/>
  <c r="BD16" i="2"/>
  <c r="BC16" i="2"/>
  <c r="BA16" i="2"/>
  <c r="AZ16" i="2"/>
  <c r="AX16" i="2"/>
  <c r="AW16" i="2"/>
  <c r="AU16" i="2"/>
  <c r="AT16" i="2"/>
  <c r="AR16" i="2"/>
  <c r="AQ16" i="2"/>
  <c r="AO16" i="2"/>
  <c r="AN16" i="2"/>
  <c r="AL16" i="2"/>
  <c r="AK16" i="2"/>
  <c r="AI16" i="2"/>
  <c r="AH16" i="2"/>
  <c r="AF16" i="2"/>
  <c r="AE16" i="2"/>
  <c r="AC16" i="2"/>
  <c r="AB16" i="2"/>
  <c r="Z16" i="2"/>
  <c r="Y16" i="2"/>
  <c r="K16" i="2" s="1"/>
  <c r="W16" i="2"/>
  <c r="I16" i="2" s="1"/>
  <c r="V16" i="2"/>
  <c r="T16" i="2"/>
  <c r="L16" i="2" s="1"/>
  <c r="S16" i="2"/>
  <c r="Q16" i="2"/>
  <c r="P16" i="2"/>
  <c r="H16" i="2" s="1"/>
  <c r="J16" i="2"/>
  <c r="G16" i="2"/>
  <c r="F16" i="2"/>
  <c r="E16" i="2"/>
  <c r="B16" i="2"/>
  <c r="CJ15" i="2"/>
  <c r="CI15" i="2"/>
  <c r="CH15" i="2"/>
  <c r="CG15" i="2"/>
  <c r="CE15" i="2"/>
  <c r="CD15" i="2"/>
  <c r="CB15" i="2"/>
  <c r="CA15" i="2"/>
  <c r="BY15" i="2"/>
  <c r="BX15" i="2"/>
  <c r="BV15" i="2"/>
  <c r="BU15" i="2"/>
  <c r="BS15" i="2"/>
  <c r="BR15" i="2"/>
  <c r="BP15" i="2"/>
  <c r="BO15" i="2"/>
  <c r="BM15" i="2"/>
  <c r="BL15" i="2"/>
  <c r="BJ15" i="2"/>
  <c r="BI15" i="2"/>
  <c r="BG15" i="2"/>
  <c r="BF15" i="2"/>
  <c r="BD15" i="2"/>
  <c r="BC15" i="2"/>
  <c r="BA15" i="2"/>
  <c r="AZ15" i="2"/>
  <c r="AX15" i="2"/>
  <c r="AW15" i="2"/>
  <c r="AU15" i="2"/>
  <c r="AT15" i="2"/>
  <c r="AR15" i="2"/>
  <c r="AQ15" i="2"/>
  <c r="AO15" i="2"/>
  <c r="AN15" i="2"/>
  <c r="AL15" i="2"/>
  <c r="AK15" i="2"/>
  <c r="AI15" i="2"/>
  <c r="AH15" i="2"/>
  <c r="AF15" i="2"/>
  <c r="AE15" i="2"/>
  <c r="AC15" i="2"/>
  <c r="AB15" i="2"/>
  <c r="Z15" i="2"/>
  <c r="Y15" i="2"/>
  <c r="W15" i="2"/>
  <c r="V15" i="2"/>
  <c r="T15" i="2"/>
  <c r="L15" i="2" s="1"/>
  <c r="S15" i="2"/>
  <c r="K15" i="2" s="1"/>
  <c r="Q15" i="2"/>
  <c r="P15" i="2"/>
  <c r="J15" i="2"/>
  <c r="I15" i="2"/>
  <c r="G15" i="2"/>
  <c r="F15" i="2"/>
  <c r="E15" i="2"/>
  <c r="B15" i="2"/>
  <c r="CJ14" i="2"/>
  <c r="CI14" i="2"/>
  <c r="CH14" i="2"/>
  <c r="CG14" i="2"/>
  <c r="CE14" i="2"/>
  <c r="CD14" i="2"/>
  <c r="CB14" i="2"/>
  <c r="CA14" i="2"/>
  <c r="BY14" i="2"/>
  <c r="BX14" i="2"/>
  <c r="BV14" i="2"/>
  <c r="BU14" i="2"/>
  <c r="BS14" i="2"/>
  <c r="BR14" i="2"/>
  <c r="BP14" i="2"/>
  <c r="BO14" i="2"/>
  <c r="BM14" i="2"/>
  <c r="BL14" i="2"/>
  <c r="BJ14" i="2"/>
  <c r="BI14" i="2"/>
  <c r="BG14" i="2"/>
  <c r="BF14" i="2"/>
  <c r="BD14" i="2"/>
  <c r="BC14" i="2"/>
  <c r="BA14" i="2"/>
  <c r="AZ14" i="2"/>
  <c r="AX14" i="2"/>
  <c r="AW14" i="2"/>
  <c r="AU14" i="2"/>
  <c r="AT14" i="2"/>
  <c r="AR14" i="2"/>
  <c r="AQ14" i="2"/>
  <c r="AO14" i="2"/>
  <c r="AN14" i="2"/>
  <c r="AL14" i="2"/>
  <c r="AK14" i="2"/>
  <c r="AI14" i="2"/>
  <c r="AH14" i="2"/>
  <c r="AF14" i="2"/>
  <c r="AE14" i="2"/>
  <c r="AC14" i="2"/>
  <c r="AB14" i="2"/>
  <c r="Z14" i="2"/>
  <c r="L14" i="2" s="1"/>
  <c r="Y14" i="2"/>
  <c r="W14" i="2"/>
  <c r="V14" i="2"/>
  <c r="T14" i="2"/>
  <c r="S14" i="2"/>
  <c r="Q14" i="2"/>
  <c r="P14" i="2"/>
  <c r="H14" i="2" s="1"/>
  <c r="K14" i="2"/>
  <c r="J14" i="2"/>
  <c r="I14" i="2"/>
  <c r="G14" i="2"/>
  <c r="F14" i="2"/>
  <c r="E14" i="2"/>
  <c r="B14" i="2"/>
  <c r="CJ13" i="2"/>
  <c r="CI13" i="2"/>
  <c r="CH13" i="2"/>
  <c r="CG13" i="2"/>
  <c r="CE13" i="2"/>
  <c r="CD13" i="2"/>
  <c r="CB13" i="2"/>
  <c r="CA13" i="2"/>
  <c r="BY13" i="2"/>
  <c r="BX13" i="2"/>
  <c r="BV13" i="2"/>
  <c r="BU13" i="2"/>
  <c r="BS13" i="2"/>
  <c r="BR13" i="2"/>
  <c r="BP13" i="2"/>
  <c r="BO13" i="2"/>
  <c r="BM13" i="2"/>
  <c r="BL13" i="2"/>
  <c r="BJ13" i="2"/>
  <c r="BI13" i="2"/>
  <c r="BG13" i="2"/>
  <c r="BF13" i="2"/>
  <c r="BD13" i="2"/>
  <c r="BC13" i="2"/>
  <c r="BA13" i="2"/>
  <c r="AZ13" i="2"/>
  <c r="AX13" i="2"/>
  <c r="AW13" i="2"/>
  <c r="AU13" i="2"/>
  <c r="AT13" i="2"/>
  <c r="AR13" i="2"/>
  <c r="AQ13" i="2"/>
  <c r="AO13" i="2"/>
  <c r="AN13" i="2"/>
  <c r="AL13" i="2"/>
  <c r="AK13" i="2"/>
  <c r="AI13" i="2"/>
  <c r="AH13" i="2"/>
  <c r="AF13" i="2"/>
  <c r="AE13" i="2"/>
  <c r="AC13" i="2"/>
  <c r="AB13" i="2"/>
  <c r="Z13" i="2"/>
  <c r="Y13" i="2"/>
  <c r="W13" i="2"/>
  <c r="V13" i="2"/>
  <c r="H13" i="2" s="1"/>
  <c r="T13" i="2"/>
  <c r="L13" i="2" s="1"/>
  <c r="S13" i="2"/>
  <c r="Q13" i="2"/>
  <c r="I13" i="2" s="1"/>
  <c r="P13" i="2"/>
  <c r="K13" i="2"/>
  <c r="J13" i="2"/>
  <c r="G13" i="2"/>
  <c r="F13" i="2"/>
  <c r="E13" i="2"/>
  <c r="B13" i="2"/>
  <c r="CJ12" i="2"/>
  <c r="CI12" i="2"/>
  <c r="CH12" i="2"/>
  <c r="CG12" i="2"/>
  <c r="CE12" i="2"/>
  <c r="CD12" i="2"/>
  <c r="CB12" i="2"/>
  <c r="CA12" i="2"/>
  <c r="BY12" i="2"/>
  <c r="BX12" i="2"/>
  <c r="BV12" i="2"/>
  <c r="BU12" i="2"/>
  <c r="BS12" i="2"/>
  <c r="BR12" i="2"/>
  <c r="BP12" i="2"/>
  <c r="BO12" i="2"/>
  <c r="BM12" i="2"/>
  <c r="BL12" i="2"/>
  <c r="BJ12" i="2"/>
  <c r="BI12" i="2"/>
  <c r="BG12" i="2"/>
  <c r="BF12" i="2"/>
  <c r="BD12" i="2"/>
  <c r="BC12" i="2"/>
  <c r="BA12" i="2"/>
  <c r="AZ12" i="2"/>
  <c r="AX12" i="2"/>
  <c r="AW12" i="2"/>
  <c r="AU12" i="2"/>
  <c r="AT12" i="2"/>
  <c r="AR12" i="2"/>
  <c r="AQ12" i="2"/>
  <c r="AO12" i="2"/>
  <c r="AN12" i="2"/>
  <c r="AL12" i="2"/>
  <c r="AK12" i="2"/>
  <c r="AI12" i="2"/>
  <c r="AH12" i="2"/>
  <c r="AF12" i="2"/>
  <c r="AE12" i="2"/>
  <c r="AC12" i="2"/>
  <c r="AB12" i="2"/>
  <c r="Z12" i="2"/>
  <c r="Y12" i="2"/>
  <c r="W12" i="2"/>
  <c r="V12" i="2"/>
  <c r="T12" i="2"/>
  <c r="S12" i="2"/>
  <c r="K12" i="2" s="1"/>
  <c r="Q12" i="2"/>
  <c r="I12" i="2" s="1"/>
  <c r="P12" i="2"/>
  <c r="H12" i="2" s="1"/>
  <c r="J12" i="2"/>
  <c r="G12" i="2"/>
  <c r="F12" i="2"/>
  <c r="E12" i="2"/>
  <c r="B12" i="2"/>
  <c r="CJ11" i="2"/>
  <c r="CI11" i="2"/>
  <c r="CH11" i="2"/>
  <c r="CG11" i="2"/>
  <c r="CE11" i="2"/>
  <c r="CD11" i="2"/>
  <c r="CB11" i="2"/>
  <c r="CA11" i="2"/>
  <c r="BY11" i="2"/>
  <c r="BX11" i="2"/>
  <c r="BV11" i="2"/>
  <c r="BU11" i="2"/>
  <c r="BS11" i="2"/>
  <c r="BR11" i="2"/>
  <c r="BP11" i="2"/>
  <c r="BO11" i="2"/>
  <c r="BM11" i="2"/>
  <c r="BL11" i="2"/>
  <c r="BJ11" i="2"/>
  <c r="BI11" i="2"/>
  <c r="BG11" i="2"/>
  <c r="BF11" i="2"/>
  <c r="BD11" i="2"/>
  <c r="BC11" i="2"/>
  <c r="BA11" i="2"/>
  <c r="AZ11" i="2"/>
  <c r="AX11" i="2"/>
  <c r="AW11" i="2"/>
  <c r="AU11" i="2"/>
  <c r="AT11" i="2"/>
  <c r="AR11" i="2"/>
  <c r="AQ11" i="2"/>
  <c r="AO11" i="2"/>
  <c r="AN11" i="2"/>
  <c r="AL11" i="2"/>
  <c r="AK11" i="2"/>
  <c r="AI11" i="2"/>
  <c r="AH11" i="2"/>
  <c r="AF11" i="2"/>
  <c r="AE11" i="2"/>
  <c r="AC11" i="2"/>
  <c r="AB11" i="2"/>
  <c r="Z11" i="2"/>
  <c r="Y11" i="2"/>
  <c r="W11" i="2"/>
  <c r="V11" i="2"/>
  <c r="T11" i="2"/>
  <c r="S11" i="2"/>
  <c r="Q11" i="2"/>
  <c r="P11" i="2"/>
  <c r="H11" i="2" s="1"/>
  <c r="L11" i="2"/>
  <c r="K11" i="2"/>
  <c r="J11" i="2"/>
  <c r="G11" i="2"/>
  <c r="F11" i="2"/>
  <c r="E11" i="2"/>
  <c r="B11" i="2"/>
  <c r="CJ10" i="2"/>
  <c r="CI10" i="2"/>
  <c r="CH10" i="2"/>
  <c r="CG10" i="2"/>
  <c r="CE10" i="2"/>
  <c r="CD10" i="2"/>
  <c r="CB10" i="2"/>
  <c r="CA10" i="2"/>
  <c r="BY10" i="2"/>
  <c r="BX10" i="2"/>
  <c r="BV10" i="2"/>
  <c r="BU10" i="2"/>
  <c r="BS10" i="2"/>
  <c r="BR10" i="2"/>
  <c r="BP10" i="2"/>
  <c r="BO10" i="2"/>
  <c r="BM10" i="2"/>
  <c r="BL10" i="2"/>
  <c r="BJ10" i="2"/>
  <c r="BI10" i="2"/>
  <c r="BG10" i="2"/>
  <c r="BF10" i="2"/>
  <c r="BD10" i="2"/>
  <c r="BC10" i="2"/>
  <c r="BA10" i="2"/>
  <c r="AZ10" i="2"/>
  <c r="AX10" i="2"/>
  <c r="AW10" i="2"/>
  <c r="AU10" i="2"/>
  <c r="AT10" i="2"/>
  <c r="AR10" i="2"/>
  <c r="AQ10" i="2"/>
  <c r="AO10" i="2"/>
  <c r="AN10" i="2"/>
  <c r="AL10" i="2"/>
  <c r="AK10" i="2"/>
  <c r="AI10" i="2"/>
  <c r="AH10" i="2"/>
  <c r="AF10" i="2"/>
  <c r="AE10" i="2"/>
  <c r="AC10" i="2"/>
  <c r="AB10" i="2"/>
  <c r="Z10" i="2"/>
  <c r="Y10" i="2"/>
  <c r="K10" i="2" s="1"/>
  <c r="W10" i="2"/>
  <c r="V10" i="2"/>
  <c r="T10" i="2"/>
  <c r="S10" i="2"/>
  <c r="Q10" i="2"/>
  <c r="I10" i="2" s="1"/>
  <c r="P10" i="2"/>
  <c r="H10" i="2" s="1"/>
  <c r="L10" i="2"/>
  <c r="J10" i="2"/>
  <c r="G10" i="2"/>
  <c r="F10" i="2"/>
  <c r="E10" i="2"/>
  <c r="B10" i="2"/>
  <c r="CJ9" i="2"/>
  <c r="CI9" i="2"/>
  <c r="CH9" i="2"/>
  <c r="CG9" i="2"/>
  <c r="CE9" i="2"/>
  <c r="CD9" i="2"/>
  <c r="CB9" i="2"/>
  <c r="CA9" i="2"/>
  <c r="BY9" i="2"/>
  <c r="BX9" i="2"/>
  <c r="BV9" i="2"/>
  <c r="BU9" i="2"/>
  <c r="BS9" i="2"/>
  <c r="BR9" i="2"/>
  <c r="BP9" i="2"/>
  <c r="BO9" i="2"/>
  <c r="BM9" i="2"/>
  <c r="BL9" i="2"/>
  <c r="BJ9" i="2"/>
  <c r="BI9" i="2"/>
  <c r="BG9" i="2"/>
  <c r="BF9" i="2"/>
  <c r="BD9" i="2"/>
  <c r="BC9" i="2"/>
  <c r="BA9" i="2"/>
  <c r="AZ9" i="2"/>
  <c r="AX9" i="2"/>
  <c r="AW9" i="2"/>
  <c r="AU9" i="2"/>
  <c r="AT9" i="2"/>
  <c r="AR9" i="2"/>
  <c r="AQ9" i="2"/>
  <c r="AO9" i="2"/>
  <c r="AN9" i="2"/>
  <c r="AL9" i="2"/>
  <c r="AK9" i="2"/>
  <c r="AI9" i="2"/>
  <c r="AH9" i="2"/>
  <c r="AF9" i="2"/>
  <c r="AE9" i="2"/>
  <c r="AC9" i="2"/>
  <c r="AB9" i="2"/>
  <c r="Z9" i="2"/>
  <c r="Y9" i="2"/>
  <c r="W9" i="2"/>
  <c r="I9" i="2" s="1"/>
  <c r="V9" i="2"/>
  <c r="T9" i="2"/>
  <c r="S9" i="2"/>
  <c r="K9" i="2" s="1"/>
  <c r="Q9" i="2"/>
  <c r="P9" i="2"/>
  <c r="H9" i="2" s="1"/>
  <c r="L9" i="2"/>
  <c r="J9" i="2"/>
  <c r="G9" i="2"/>
  <c r="F9" i="2"/>
  <c r="E9" i="2"/>
  <c r="B9" i="2"/>
  <c r="CJ8" i="2"/>
  <c r="CI8" i="2"/>
  <c r="CH8" i="2"/>
  <c r="CG8" i="2"/>
  <c r="CE8" i="2"/>
  <c r="CD8" i="2"/>
  <c r="CB8" i="2"/>
  <c r="CA8" i="2"/>
  <c r="BY8" i="2"/>
  <c r="BX8" i="2"/>
  <c r="BV8" i="2"/>
  <c r="BU8" i="2"/>
  <c r="BS8" i="2"/>
  <c r="BR8" i="2"/>
  <c r="BP8" i="2"/>
  <c r="BO8" i="2"/>
  <c r="BM8" i="2"/>
  <c r="BL8" i="2"/>
  <c r="BJ8" i="2"/>
  <c r="BI8" i="2"/>
  <c r="BG8" i="2"/>
  <c r="BF8" i="2"/>
  <c r="BD8" i="2"/>
  <c r="BC8" i="2"/>
  <c r="BA8" i="2"/>
  <c r="AZ8" i="2"/>
  <c r="AX8" i="2"/>
  <c r="AW8" i="2"/>
  <c r="AU8" i="2"/>
  <c r="AT8" i="2"/>
  <c r="AR8" i="2"/>
  <c r="AQ8" i="2"/>
  <c r="AO8" i="2"/>
  <c r="AN8" i="2"/>
  <c r="AL8" i="2"/>
  <c r="AK8" i="2"/>
  <c r="AI8" i="2"/>
  <c r="AH8" i="2"/>
  <c r="AF8" i="2"/>
  <c r="AE8" i="2"/>
  <c r="AC8" i="2"/>
  <c r="AB8" i="2"/>
  <c r="Z8" i="2"/>
  <c r="Y8" i="2"/>
  <c r="W8" i="2"/>
  <c r="V8" i="2"/>
  <c r="T8" i="2"/>
  <c r="S8" i="2"/>
  <c r="Q8" i="2"/>
  <c r="P8" i="2"/>
  <c r="L8" i="2"/>
  <c r="K8" i="2"/>
  <c r="J8" i="2"/>
  <c r="I8" i="2"/>
  <c r="G8" i="2"/>
  <c r="F8" i="2"/>
  <c r="E8" i="2"/>
  <c r="B8" i="2"/>
  <c r="CJ7" i="2"/>
  <c r="CI7" i="2"/>
  <c r="CH7" i="2"/>
  <c r="CG7" i="2"/>
  <c r="CE7" i="2"/>
  <c r="CD7" i="2"/>
  <c r="CB7" i="2"/>
  <c r="CA7" i="2"/>
  <c r="BY7" i="2"/>
  <c r="BX7" i="2"/>
  <c r="BV7" i="2"/>
  <c r="BU7" i="2"/>
  <c r="BS7" i="2"/>
  <c r="BR7" i="2"/>
  <c r="BP7" i="2"/>
  <c r="BO7" i="2"/>
  <c r="BM7" i="2"/>
  <c r="BL7" i="2"/>
  <c r="BJ7" i="2"/>
  <c r="BI7" i="2"/>
  <c r="BG7" i="2"/>
  <c r="BF7" i="2"/>
  <c r="BD7" i="2"/>
  <c r="BC7" i="2"/>
  <c r="BA7" i="2"/>
  <c r="AZ7" i="2"/>
  <c r="AX7" i="2"/>
  <c r="AW7" i="2"/>
  <c r="AU7" i="2"/>
  <c r="AT7" i="2"/>
  <c r="AR7" i="2"/>
  <c r="AQ7" i="2"/>
  <c r="AO7" i="2"/>
  <c r="AN7" i="2"/>
  <c r="AL7" i="2"/>
  <c r="AK7" i="2"/>
  <c r="AI7" i="2"/>
  <c r="AH7" i="2"/>
  <c r="AF7" i="2"/>
  <c r="AE7" i="2"/>
  <c r="AC7" i="2"/>
  <c r="AB7" i="2"/>
  <c r="Z7" i="2"/>
  <c r="Y7" i="2"/>
  <c r="W7" i="2"/>
  <c r="V7" i="2"/>
  <c r="T7" i="2"/>
  <c r="L7" i="2" s="1"/>
  <c r="S7" i="2"/>
  <c r="Q7" i="2"/>
  <c r="I7" i="2" s="1"/>
  <c r="P7" i="2"/>
  <c r="H7" i="2" s="1"/>
  <c r="K7" i="2"/>
  <c r="J7" i="2"/>
  <c r="G7" i="2"/>
  <c r="F7" i="2"/>
  <c r="E7" i="2"/>
  <c r="B7" i="2"/>
  <c r="CJ6" i="2"/>
  <c r="CI6" i="2"/>
  <c r="CH6" i="2"/>
  <c r="CG6" i="2"/>
  <c r="CE6" i="2"/>
  <c r="CD6" i="2"/>
  <c r="CB6" i="2"/>
  <c r="CA6" i="2"/>
  <c r="BY6" i="2"/>
  <c r="BX6" i="2"/>
  <c r="BV6" i="2"/>
  <c r="BU6" i="2"/>
  <c r="BS6" i="2"/>
  <c r="BR6" i="2"/>
  <c r="BP6" i="2"/>
  <c r="BO6" i="2"/>
  <c r="BM6" i="2"/>
  <c r="BL6" i="2"/>
  <c r="BJ6" i="2"/>
  <c r="BI6" i="2"/>
  <c r="BG6" i="2"/>
  <c r="BF6" i="2"/>
  <c r="BD6" i="2"/>
  <c r="BC6" i="2"/>
  <c r="BA6" i="2"/>
  <c r="AZ6" i="2"/>
  <c r="AX6" i="2"/>
  <c r="AW6" i="2"/>
  <c r="AU6" i="2"/>
  <c r="AT6" i="2"/>
  <c r="AR6" i="2"/>
  <c r="AQ6" i="2"/>
  <c r="AO6" i="2"/>
  <c r="AN6" i="2"/>
  <c r="AL6" i="2"/>
  <c r="AK6" i="2"/>
  <c r="AI6" i="2"/>
  <c r="AH6" i="2"/>
  <c r="AF6" i="2"/>
  <c r="AE6" i="2"/>
  <c r="AC6" i="2"/>
  <c r="AB6" i="2"/>
  <c r="Z6" i="2"/>
  <c r="Y6" i="2"/>
  <c r="W6" i="2"/>
  <c r="V6" i="2"/>
  <c r="T6" i="2"/>
  <c r="S6" i="2"/>
  <c r="Q6" i="2"/>
  <c r="I6" i="2" s="1"/>
  <c r="P6" i="2"/>
  <c r="H6" i="2" s="1"/>
  <c r="L6" i="2"/>
  <c r="K6" i="2"/>
  <c r="J6" i="2"/>
  <c r="G6" i="2"/>
  <c r="F6" i="2"/>
  <c r="E6" i="2"/>
  <c r="B6" i="2"/>
  <c r="CJ5" i="2"/>
  <c r="CI5" i="2"/>
  <c r="CH5" i="2"/>
  <c r="CG5" i="2"/>
  <c r="CE5" i="2"/>
  <c r="CD5" i="2"/>
  <c r="CB5" i="2"/>
  <c r="CA5" i="2"/>
  <c r="BY5" i="2"/>
  <c r="BX5" i="2"/>
  <c r="BV5" i="2"/>
  <c r="BU5" i="2"/>
  <c r="BS5" i="2"/>
  <c r="BR5" i="2"/>
  <c r="BP5" i="2"/>
  <c r="BO5" i="2"/>
  <c r="BM5" i="2"/>
  <c r="BL5" i="2"/>
  <c r="BJ5" i="2"/>
  <c r="BI5" i="2"/>
  <c r="BG5" i="2"/>
  <c r="BF5" i="2"/>
  <c r="BD5" i="2"/>
  <c r="BC5" i="2"/>
  <c r="BA5" i="2"/>
  <c r="AZ5" i="2"/>
  <c r="AX5" i="2"/>
  <c r="AW5" i="2"/>
  <c r="AU5" i="2"/>
  <c r="AT5" i="2"/>
  <c r="AR5" i="2"/>
  <c r="AQ5" i="2"/>
  <c r="AO5" i="2"/>
  <c r="AN5" i="2"/>
  <c r="AL5" i="2"/>
  <c r="AK5" i="2"/>
  <c r="AI5" i="2"/>
  <c r="AH5" i="2"/>
  <c r="AF5" i="2"/>
  <c r="AE5" i="2"/>
  <c r="AC5" i="2"/>
  <c r="AB5" i="2"/>
  <c r="Z5" i="2"/>
  <c r="Y5" i="2"/>
  <c r="W5" i="2"/>
  <c r="V5" i="2"/>
  <c r="T5" i="2"/>
  <c r="S5" i="2"/>
  <c r="K5" i="2" s="1"/>
  <c r="Q5" i="2"/>
  <c r="I5" i="2" s="1"/>
  <c r="P5" i="2"/>
  <c r="H5" i="2" s="1"/>
  <c r="L5" i="2"/>
  <c r="J5" i="2"/>
  <c r="G5" i="2"/>
  <c r="F5" i="2"/>
  <c r="E5" i="2"/>
  <c r="B5" i="2"/>
  <c r="G95" i="1"/>
  <c r="H95" i="1" s="1"/>
  <c r="I95" i="1" s="1"/>
  <c r="I94" i="1"/>
  <c r="G94" i="1"/>
  <c r="H94" i="1" s="1"/>
  <c r="G93" i="1"/>
  <c r="H93" i="1" s="1"/>
  <c r="I93" i="1" s="1"/>
  <c r="G92" i="1"/>
  <c r="H92" i="1" s="1"/>
  <c r="I92" i="1" s="1"/>
  <c r="G91" i="1"/>
  <c r="H91" i="1" s="1"/>
  <c r="I91" i="1" s="1"/>
  <c r="H90" i="1"/>
  <c r="I90" i="1" s="1"/>
  <c r="G90" i="1"/>
  <c r="G89" i="1"/>
  <c r="H89" i="1" s="1"/>
  <c r="I89" i="1" s="1"/>
  <c r="G88" i="1"/>
  <c r="H88" i="1" s="1"/>
  <c r="I88" i="1" s="1"/>
  <c r="G87" i="1"/>
  <c r="H87" i="1" s="1"/>
  <c r="I87" i="1" s="1"/>
  <c r="H86" i="1"/>
  <c r="I86" i="1" s="1"/>
  <c r="G86" i="1"/>
  <c r="G85" i="1"/>
  <c r="H85" i="1" s="1"/>
  <c r="I85" i="1" s="1"/>
  <c r="G84" i="1"/>
  <c r="H84" i="1" s="1"/>
  <c r="I84" i="1" s="1"/>
  <c r="G83" i="1"/>
  <c r="H83" i="1" s="1"/>
  <c r="I83" i="1" s="1"/>
  <c r="H82" i="1"/>
  <c r="I82" i="1" s="1"/>
  <c r="G82" i="1"/>
  <c r="G81" i="1"/>
  <c r="H81" i="1" s="1"/>
  <c r="I81" i="1" s="1"/>
  <c r="G80" i="1"/>
  <c r="H80" i="1" s="1"/>
  <c r="I80" i="1" s="1"/>
  <c r="G79" i="1"/>
  <c r="H79" i="1" s="1"/>
  <c r="I79" i="1" s="1"/>
  <c r="H78" i="1"/>
  <c r="I78" i="1" s="1"/>
  <c r="G78" i="1"/>
  <c r="G77" i="1"/>
  <c r="H77" i="1" s="1"/>
  <c r="I77" i="1" s="1"/>
  <c r="G76" i="1"/>
  <c r="H76" i="1" s="1"/>
  <c r="I76" i="1" s="1"/>
  <c r="G75" i="1"/>
  <c r="H75" i="1" s="1"/>
  <c r="I75" i="1" s="1"/>
  <c r="H74" i="1"/>
  <c r="I74" i="1" s="1"/>
  <c r="G74" i="1"/>
  <c r="G73" i="1"/>
  <c r="H73" i="1" s="1"/>
  <c r="I73" i="1" s="1"/>
  <c r="G72" i="1"/>
  <c r="H72" i="1" s="1"/>
  <c r="I72" i="1" s="1"/>
  <c r="G71" i="1"/>
  <c r="H71" i="1" s="1"/>
  <c r="I71" i="1" s="1"/>
  <c r="H70" i="1"/>
  <c r="I70" i="1" s="1"/>
  <c r="G70" i="1"/>
  <c r="G69" i="1"/>
  <c r="H69" i="1" s="1"/>
  <c r="I69" i="1" s="1"/>
  <c r="G68" i="1"/>
  <c r="H68" i="1" s="1"/>
  <c r="I68" i="1" s="1"/>
  <c r="G67" i="1"/>
  <c r="H67" i="1" s="1"/>
  <c r="I67" i="1" s="1"/>
  <c r="H66" i="1"/>
  <c r="I66" i="1" s="1"/>
  <c r="G66" i="1"/>
  <c r="G65" i="1"/>
  <c r="H65" i="1" s="1"/>
  <c r="I65" i="1" s="1"/>
  <c r="G64" i="1"/>
  <c r="H64" i="1" s="1"/>
  <c r="I64" i="1" s="1"/>
  <c r="G63" i="1"/>
  <c r="H63" i="1" s="1"/>
  <c r="I63" i="1" s="1"/>
  <c r="H62" i="1"/>
  <c r="I62" i="1" s="1"/>
  <c r="G62" i="1"/>
  <c r="G61" i="1"/>
  <c r="H61" i="1" s="1"/>
  <c r="I61" i="1" s="1"/>
  <c r="G60" i="1"/>
  <c r="H60" i="1" s="1"/>
  <c r="I60" i="1" s="1"/>
  <c r="G59" i="1"/>
  <c r="H59" i="1" s="1"/>
  <c r="I59" i="1" s="1"/>
  <c r="H58" i="1"/>
  <c r="I58" i="1" s="1"/>
  <c r="G58" i="1"/>
  <c r="G57" i="1"/>
  <c r="H57" i="1" s="1"/>
  <c r="I57" i="1" s="1"/>
  <c r="G56" i="1"/>
  <c r="H56" i="1" s="1"/>
  <c r="I56" i="1" s="1"/>
  <c r="G55" i="1"/>
  <c r="H55" i="1" s="1"/>
  <c r="I55" i="1" s="1"/>
  <c r="H54" i="1"/>
  <c r="I54" i="1" s="1"/>
  <c r="G54" i="1"/>
  <c r="G53" i="1"/>
  <c r="H53" i="1" s="1"/>
  <c r="I53" i="1" s="1"/>
  <c r="G52" i="1"/>
  <c r="H52" i="1" s="1"/>
  <c r="I52" i="1" s="1"/>
  <c r="G51" i="1"/>
  <c r="H51" i="1" s="1"/>
  <c r="I51" i="1" s="1"/>
  <c r="H50" i="1"/>
  <c r="I50" i="1" s="1"/>
  <c r="G50" i="1"/>
  <c r="G49" i="1"/>
  <c r="H49" i="1" s="1"/>
  <c r="I49" i="1" s="1"/>
  <c r="G48" i="1"/>
  <c r="H48" i="1" s="1"/>
  <c r="I48" i="1" s="1"/>
  <c r="G47" i="1"/>
  <c r="H47" i="1" s="1"/>
  <c r="I47" i="1" s="1"/>
  <c r="H46" i="1"/>
  <c r="I46" i="1" s="1"/>
  <c r="G46" i="1"/>
  <c r="G45" i="1"/>
  <c r="H45" i="1" s="1"/>
  <c r="I45" i="1" s="1"/>
  <c r="G44" i="1"/>
  <c r="H44" i="1" s="1"/>
  <c r="I44" i="1" s="1"/>
  <c r="G43" i="1"/>
  <c r="H43" i="1" s="1"/>
  <c r="I43" i="1" s="1"/>
  <c r="H42" i="1"/>
  <c r="I42" i="1" s="1"/>
  <c r="G42" i="1"/>
  <c r="G41" i="1"/>
  <c r="H41" i="1" s="1"/>
  <c r="I41" i="1" s="1"/>
  <c r="G40" i="1"/>
  <c r="H40" i="1" s="1"/>
  <c r="I40" i="1" s="1"/>
  <c r="G39" i="1"/>
  <c r="H39" i="1" s="1"/>
  <c r="I39" i="1" s="1"/>
  <c r="H38" i="1"/>
  <c r="I38" i="1" s="1"/>
  <c r="G38" i="1"/>
  <c r="G37" i="1"/>
  <c r="H37" i="1" s="1"/>
  <c r="I37" i="1" s="1"/>
  <c r="G36" i="1"/>
  <c r="H36" i="1" s="1"/>
  <c r="I36" i="1" s="1"/>
  <c r="G35" i="1"/>
  <c r="H35" i="1" s="1"/>
  <c r="I35" i="1" s="1"/>
  <c r="H34" i="1"/>
  <c r="I34" i="1" s="1"/>
  <c r="G34" i="1"/>
  <c r="G33" i="1"/>
  <c r="H33" i="1" s="1"/>
  <c r="I33" i="1" s="1"/>
  <c r="G32" i="1"/>
  <c r="H32" i="1" s="1"/>
  <c r="I32" i="1" s="1"/>
  <c r="G31" i="1"/>
  <c r="H31" i="1" s="1"/>
  <c r="I31" i="1" s="1"/>
  <c r="H30" i="1"/>
  <c r="I30" i="1" s="1"/>
  <c r="G30" i="1"/>
  <c r="G29" i="1"/>
  <c r="H29" i="1" s="1"/>
  <c r="I29" i="1" s="1"/>
  <c r="G28" i="1"/>
  <c r="H28" i="1" s="1"/>
  <c r="I28" i="1" s="1"/>
  <c r="G27" i="1"/>
  <c r="H27" i="1" s="1"/>
  <c r="I27" i="1" s="1"/>
  <c r="H26" i="1"/>
  <c r="I26" i="1" s="1"/>
  <c r="G26" i="1"/>
  <c r="G25" i="1"/>
  <c r="H25" i="1" s="1"/>
  <c r="I25" i="1" s="1"/>
  <c r="G24" i="1"/>
  <c r="H24" i="1" s="1"/>
  <c r="I24" i="1" s="1"/>
  <c r="G23" i="1"/>
  <c r="H23" i="1" s="1"/>
  <c r="I23" i="1" s="1"/>
  <c r="H22" i="1"/>
  <c r="I22" i="1" s="1"/>
  <c r="G22" i="1"/>
  <c r="G21" i="1"/>
  <c r="H21" i="1" s="1"/>
  <c r="I21" i="1" s="1"/>
  <c r="G20" i="1"/>
  <c r="H20" i="1" s="1"/>
  <c r="I20" i="1" s="1"/>
  <c r="G19" i="1"/>
  <c r="H19" i="1" s="1"/>
  <c r="I19" i="1" s="1"/>
  <c r="H18" i="1"/>
  <c r="I18" i="1" s="1"/>
  <c r="G18" i="1"/>
  <c r="G17" i="1"/>
  <c r="H17" i="1" s="1"/>
  <c r="I17" i="1" s="1"/>
  <c r="G16" i="1"/>
  <c r="H16" i="1" s="1"/>
  <c r="I16" i="1" s="1"/>
  <c r="G15" i="1"/>
  <c r="H15" i="1" s="1"/>
  <c r="I15" i="1" s="1"/>
  <c r="H14" i="1"/>
  <c r="I14" i="1" s="1"/>
  <c r="G14" i="1"/>
  <c r="G13" i="1"/>
  <c r="H13" i="1" s="1"/>
  <c r="I13" i="1" s="1"/>
  <c r="G12" i="1"/>
  <c r="H12" i="1" s="1"/>
  <c r="I12" i="1" s="1"/>
  <c r="G11" i="1"/>
  <c r="H11" i="1" s="1"/>
  <c r="I11" i="1" s="1"/>
  <c r="H10" i="1"/>
  <c r="I10" i="1" s="1"/>
  <c r="G10" i="1"/>
  <c r="G9" i="1"/>
  <c r="H9" i="1" s="1"/>
  <c r="I9" i="1" s="1"/>
  <c r="G8" i="1"/>
  <c r="H8" i="1" s="1"/>
  <c r="I8" i="1" s="1"/>
  <c r="G7" i="1"/>
  <c r="H7" i="1" s="1"/>
  <c r="I7" i="1" s="1"/>
  <c r="H6" i="1"/>
  <c r="I6" i="1" s="1"/>
  <c r="G6" i="1"/>
  <c r="G5" i="1"/>
  <c r="H5" i="1" s="1"/>
  <c r="I5" i="1" s="1"/>
  <c r="G4" i="1"/>
  <c r="H4" i="1" s="1"/>
  <c r="I4" i="1" s="1"/>
  <c r="F58" i="3" l="1"/>
  <c r="I58" i="3"/>
  <c r="M10" i="2"/>
  <c r="N14" i="2"/>
  <c r="M5" i="2"/>
  <c r="N7" i="2"/>
  <c r="M12" i="2"/>
  <c r="N13" i="2"/>
  <c r="M15" i="2"/>
  <c r="M6" i="2"/>
  <c r="M8" i="2"/>
  <c r="N10" i="2"/>
  <c r="M14" i="2"/>
  <c r="N17" i="2"/>
  <c r="N25" i="2"/>
  <c r="N33" i="2"/>
  <c r="N41" i="2"/>
  <c r="N49" i="2"/>
  <c r="M56" i="2"/>
  <c r="N6" i="2"/>
  <c r="N8" i="2"/>
  <c r="M16" i="2"/>
  <c r="M24" i="2"/>
  <c r="M32" i="2"/>
  <c r="M40" i="2"/>
  <c r="M48" i="2"/>
  <c r="N56" i="2"/>
  <c r="H8" i="2"/>
  <c r="N22" i="2"/>
  <c r="N30" i="2"/>
  <c r="N38" i="2"/>
  <c r="N46" i="2"/>
  <c r="M7" i="2"/>
  <c r="M20" i="2"/>
  <c r="M28" i="2"/>
  <c r="M36" i="2"/>
  <c r="M44" i="2"/>
  <c r="M52" i="2"/>
  <c r="K56" i="3"/>
  <c r="M9" i="2"/>
  <c r="M11" i="2"/>
  <c r="H15" i="2"/>
  <c r="L20" i="2"/>
  <c r="M21" i="2"/>
  <c r="I22" i="2"/>
  <c r="L28" i="2"/>
  <c r="M29" i="2"/>
  <c r="I30" i="2"/>
  <c r="L36" i="2"/>
  <c r="M37" i="2"/>
  <c r="I38" i="2"/>
  <c r="L44" i="2"/>
  <c r="M45" i="2"/>
  <c r="I46" i="2"/>
  <c r="L52" i="2"/>
  <c r="M53" i="2"/>
  <c r="M54" i="2"/>
  <c r="N5" i="2"/>
  <c r="N9" i="2"/>
  <c r="N11" i="2"/>
  <c r="L12" i="2"/>
  <c r="M13" i="2"/>
  <c r="M22" i="2"/>
  <c r="M30" i="2"/>
  <c r="M38" i="2"/>
  <c r="M46" i="2"/>
  <c r="N54" i="2"/>
  <c r="N16" i="2"/>
  <c r="M19" i="2"/>
  <c r="N19" i="2"/>
  <c r="N24" i="2"/>
  <c r="M27" i="2"/>
  <c r="N27" i="2"/>
  <c r="N32" i="2"/>
  <c r="N34" i="2"/>
  <c r="N40" i="2"/>
  <c r="M43" i="2"/>
  <c r="N43" i="2"/>
  <c r="N48" i="2"/>
  <c r="M51" i="2"/>
  <c r="N51" i="2"/>
  <c r="N55" i="2"/>
  <c r="I11" i="2"/>
  <c r="N15" i="2"/>
  <c r="K17" i="2"/>
  <c r="H19" i="2"/>
  <c r="N23" i="2"/>
  <c r="K25" i="2"/>
  <c r="H27" i="2"/>
  <c r="N31" i="2"/>
  <c r="K33" i="2"/>
  <c r="H35" i="2"/>
  <c r="N39" i="2"/>
  <c r="N47" i="2"/>
  <c r="M18" i="2"/>
  <c r="N21" i="2"/>
  <c r="M26" i="2"/>
  <c r="N29" i="2"/>
  <c r="N37" i="2"/>
  <c r="M42" i="2"/>
  <c r="N45" i="2"/>
  <c r="M50" i="2"/>
  <c r="N53" i="2"/>
  <c r="N18" i="2"/>
  <c r="N26" i="2"/>
  <c r="M31" i="2"/>
  <c r="M39" i="2"/>
  <c r="N42" i="2"/>
  <c r="M47" i="2"/>
  <c r="N50" i="2"/>
  <c r="M55" i="2"/>
  <c r="J58" i="3" l="1"/>
  <c r="M33" i="2"/>
  <c r="M17" i="2"/>
  <c r="N44" i="2"/>
  <c r="N28" i="2"/>
  <c r="O56" i="3"/>
  <c r="P56" i="3" s="1"/>
  <c r="M56" i="3"/>
  <c r="M25" i="2"/>
  <c r="N12" i="2"/>
  <c r="L56" i="3"/>
  <c r="N56" i="3" s="1"/>
  <c r="N52" i="2"/>
  <c r="N36" i="2"/>
  <c r="N20" i="2"/>
  <c r="K58" i="3" l="1"/>
  <c r="L58" i="3"/>
  <c r="O58" i="3" l="1"/>
</calcChain>
</file>

<file path=xl/sharedStrings.xml><?xml version="1.0" encoding="utf-8"?>
<sst xmlns="http://schemas.openxmlformats.org/spreadsheetml/2006/main" count="833" uniqueCount="214">
  <si>
    <t>商品マスタ</t>
  </si>
  <si>
    <t>※材料費(円/kg)と単重(kg/個)を入力すると材料原価・粗利が自動計算されます。グループを設定すると月別計画実績のグループが自動入力されます。商品名は変更・削除禁止（廃番の場合はJ列に「廃番」と記入）。</t>
  </si>
  <si>
    <t>商品名</t>
  </si>
  <si>
    <t>グループ</t>
  </si>
  <si>
    <t>単位</t>
  </si>
  <si>
    <t>売値
(円)</t>
  </si>
  <si>
    <t>材料費
(円/kg)</t>
  </si>
  <si>
    <t>単重
(kg/個)</t>
  </si>
  <si>
    <t>材料原価
(円) 自動</t>
  </si>
  <si>
    <t>粗利/枚
(円) 自動</t>
  </si>
  <si>
    <t>粗利率
(%) 自動</t>
  </si>
  <si>
    <t>廃番
フラグ</t>
  </si>
  <si>
    <t>備考</t>
  </si>
  <si>
    <t>57mm上</t>
  </si>
  <si>
    <t>缶バッジ</t>
  </si>
  <si>
    <t>個</t>
  </si>
  <si>
    <t>有効</t>
  </si>
  <si>
    <t>56Φ上蓋</t>
  </si>
  <si>
    <t>38mm上</t>
  </si>
  <si>
    <t>32mm上</t>
  </si>
  <si>
    <t>44mm上</t>
  </si>
  <si>
    <t>長方形ﾊﾞｯｼﾞ上蓋</t>
  </si>
  <si>
    <t>76mm上</t>
  </si>
  <si>
    <t>44x70丸角長方形上</t>
  </si>
  <si>
    <t>長方形53ｘ78mm用</t>
  </si>
  <si>
    <t>57mmﾂﾒ下ﾋﾟﾝ付き</t>
  </si>
  <si>
    <t>54Φ下蓋</t>
  </si>
  <si>
    <t>56Φ下蓋</t>
  </si>
  <si>
    <t>32mm穴下</t>
  </si>
  <si>
    <t>75Φ下蓋</t>
  </si>
  <si>
    <t>57mm穴下</t>
  </si>
  <si>
    <t>57mmﾂﾒ下</t>
  </si>
  <si>
    <t>32mmﾂﾒ下ﾋﾟﾝ付き</t>
  </si>
  <si>
    <t>32mm穴下ﾋﾟﾝ付き</t>
  </si>
  <si>
    <t>44mm穴下ﾋﾟﾝ付き</t>
  </si>
  <si>
    <t>44mmﾂﾒ下ﾋﾟﾝ付き</t>
  </si>
  <si>
    <t>38mmﾂﾒ下ﾋﾟﾝ付き</t>
  </si>
  <si>
    <t>76mmﾂﾒ下</t>
  </si>
  <si>
    <t>44mmﾂﾒ下</t>
  </si>
  <si>
    <t>44x70丸角長方形下</t>
  </si>
  <si>
    <t>38mm穴下</t>
  </si>
  <si>
    <t>32mmﾂﾒ下</t>
  </si>
  <si>
    <t>57mm穴下ﾋﾟﾝ付き</t>
  </si>
  <si>
    <t>76mmﾂﾒ下ﾋﾟﾝ付き</t>
  </si>
  <si>
    <t>ハート穴下</t>
  </si>
  <si>
    <t>57㎜ﾂﾒ下ﾋﾟﾝ付き(ｸﾘｱ)</t>
  </si>
  <si>
    <t>57mm バックパーツ</t>
  </si>
  <si>
    <t>76mm バックパーツ</t>
  </si>
  <si>
    <t>44mm  バックパーツ</t>
  </si>
  <si>
    <t>38㎜ バックパーツ</t>
  </si>
  <si>
    <t>57mm シェル</t>
  </si>
  <si>
    <t>76㎜ シェルパーツ</t>
  </si>
  <si>
    <t>32mm バックパーツ</t>
  </si>
  <si>
    <t>38mm NEW safetypins</t>
  </si>
  <si>
    <t>44mm NEW safetypins</t>
  </si>
  <si>
    <t>57mm NEW safetypins</t>
  </si>
  <si>
    <t>57mmﾌｨﾙﾑ</t>
  </si>
  <si>
    <t>44mmﾌｨﾙﾑ</t>
  </si>
  <si>
    <t>32mmﾌｨﾙﾑ</t>
  </si>
  <si>
    <t>57mmﾎﾛｸﾞﾗﾑﾌｨﾙﾑ</t>
  </si>
  <si>
    <t>Ｏプランジャー</t>
  </si>
  <si>
    <t>昭和以外</t>
  </si>
  <si>
    <t>ＨＢプランジャー</t>
  </si>
  <si>
    <t>ＯⅡプランジャー端曲</t>
  </si>
  <si>
    <t>Ｓ－１プランジャー</t>
  </si>
  <si>
    <t>５０Φ底板</t>
  </si>
  <si>
    <t>５０Φリング金具</t>
  </si>
  <si>
    <t>Ｓ－２プランジャー</t>
  </si>
  <si>
    <t>大型ﾌﾞﾘｷﾌﾟﾗﾝｼﾞｬｰ</t>
  </si>
  <si>
    <t>ＢＨＫスプリング</t>
  </si>
  <si>
    <t>１００Φ底金具</t>
  </si>
  <si>
    <t>１００Φリング金具</t>
  </si>
  <si>
    <t>１００Φ底板</t>
  </si>
  <si>
    <t>Ｎ－６ Ｊリング</t>
  </si>
  <si>
    <t>S-211ｽﾌﾟﾘﾝｸﾞ受け座</t>
  </si>
  <si>
    <t>ネジ金具</t>
  </si>
  <si>
    <t>昭和</t>
  </si>
  <si>
    <t>バルク用金具５Ｒ</t>
  </si>
  <si>
    <t>段付ネジ</t>
  </si>
  <si>
    <t>大型ネジ金具</t>
  </si>
  <si>
    <t>ｶﾞｲﾄﾞ JN951565-H01</t>
  </si>
  <si>
    <t>その他</t>
  </si>
  <si>
    <t>アングル支持金具</t>
  </si>
  <si>
    <t>PEM3-146遮断器用架台</t>
  </si>
  <si>
    <t>ロット棒受け金具</t>
  </si>
  <si>
    <t>ST-14電線止め金具</t>
  </si>
  <si>
    <t>ST-23電線止め金具</t>
  </si>
  <si>
    <t>PEM3-236遮断器用架台</t>
  </si>
  <si>
    <t>PEM3-196遮断器用架台</t>
  </si>
  <si>
    <t>ｸﾗﾝﾌﾟ N678121-H01</t>
  </si>
  <si>
    <t>ｴﾎﾟｷｼ硝子取付金具</t>
  </si>
  <si>
    <t>PEM3-106遮断器用架台</t>
  </si>
  <si>
    <t>ｶﾞｲﾄﾞ JN951565-H03</t>
  </si>
  <si>
    <t>PEM3-82遮断器用架台</t>
  </si>
  <si>
    <t>計器取付金具 Ｍ</t>
  </si>
  <si>
    <t>ｵｻｴｲﾀ JN677996-H05</t>
  </si>
  <si>
    <t>ｸﾗﾝﾌﾟ JN678122-H01</t>
  </si>
  <si>
    <t>ST-35電線止め金具</t>
  </si>
  <si>
    <t>PEM3-86遮断器用架台</t>
  </si>
  <si>
    <t>PEM3-176遮断器用架台</t>
  </si>
  <si>
    <t>9 片サドル</t>
  </si>
  <si>
    <t>ｸﾗﾝﾌﾟ JN678123-H01</t>
  </si>
  <si>
    <t>RH015-1Tr据付ﾍﾞｰｽ</t>
  </si>
  <si>
    <t>ｵｻｴｲﾀ JN677997-H04</t>
  </si>
  <si>
    <t>TPW-1 ﾚﾊﾞｰ(メッキ無)</t>
  </si>
  <si>
    <t>7 片サドル</t>
  </si>
  <si>
    <t>12 片サドル</t>
  </si>
  <si>
    <t>ELTPIU  ﾏﾙｻﾞ軸</t>
  </si>
  <si>
    <t>RH041-1Tr据付ﾍﾞｰｽ</t>
  </si>
  <si>
    <t>三幸プロダクツ株式会社　42期 月別計画実績（2026年6月〜2027年5月）</t>
  </si>
  <si>
    <t>【入力方法】D列=商品名をドロップダウンから選択 → B列グループ・E/F列単価が自動入力 → 各月の計画数量・実績数量を入力 → 売上・粗利が自動計算されます。　実績は「-」入力で0円取引、空白は未入力扱い。</t>
  </si>
  <si>
    <t>工場</t>
  </si>
  <si>
    <t>取引先</t>
  </si>
  <si>
    <t>粗利/枚
(円)</t>
  </si>
  <si>
    <t>年間計画</t>
  </si>
  <si>
    <t>年間実績</t>
  </si>
  <si>
    <t>達成率
売上</t>
  </si>
  <si>
    <t>達成率
粗利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</si>
  <si>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</si>
  <si>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</si>
  <si>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</si>
  <si>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</si>
  <si>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</si>
  <si>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</si>
  <si>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</si>
  <si>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</si>
  <si>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</si>
  <si>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</si>
  <si>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</si>
  <si>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5月</t>
  </si>
  <si>
    <t>計画
数量</t>
  </si>
  <si>
    <t>計画
売上</t>
  </si>
  <si>
    <t>計画
粗利</t>
  </si>
  <si>
    <t>実績
数量</t>
  </si>
  <si>
    <t>実績
売上</t>
  </si>
  <si>
    <t>実績
粗利</t>
  </si>
  <si>
    <t>東大阪</t>
  </si>
  <si>
    <t>昭和プロダクツ</t>
  </si>
  <si>
    <t>金具・ネジ類</t>
  </si>
  <si>
    <t>昭和丸筒</t>
  </si>
  <si>
    <t>昭和化成工業</t>
  </si>
  <si>
    <t>イワサキ</t>
  </si>
  <si>
    <t>三協丸筒</t>
  </si>
  <si>
    <t>向陽エンジニアリング</t>
  </si>
  <si>
    <t>晶立工作所</t>
  </si>
  <si>
    <t>プランジャー・スプリング</t>
  </si>
  <si>
    <t>製作工房タケダ</t>
  </si>
  <si>
    <t>ダイキ</t>
  </si>
  <si>
    <t>下蓋・穴下・ツメ下</t>
  </si>
  <si>
    <t>ノート</t>
  </si>
  <si>
    <t>ベック</t>
  </si>
  <si>
    <t>バックパーツ・シェル</t>
  </si>
  <si>
    <t>松原</t>
  </si>
  <si>
    <t>よつば</t>
  </si>
  <si>
    <t>アニキャン</t>
  </si>
  <si>
    <t>アンフィニ</t>
  </si>
  <si>
    <t>イナバ工芸社</t>
  </si>
  <si>
    <t>エイチアールシー</t>
  </si>
  <si>
    <t>エムズカンパニー</t>
  </si>
  <si>
    <t>オーラルケア</t>
  </si>
  <si>
    <t>キャラバン</t>
  </si>
  <si>
    <t>クリエイト</t>
  </si>
  <si>
    <t>グラビティ</t>
  </si>
  <si>
    <t>グラフィック機材</t>
  </si>
  <si>
    <t>グランサンク</t>
  </si>
  <si>
    <t>ケミカルアーク</t>
  </si>
  <si>
    <t>コクヨ工業滋賀</t>
  </si>
  <si>
    <t>サンワ 川越工場</t>
  </si>
  <si>
    <t>ジーピーセンター</t>
  </si>
  <si>
    <t>セイデンテクノ</t>
  </si>
  <si>
    <t>ナラトデザイン</t>
  </si>
  <si>
    <t>ホビージャパン</t>
  </si>
  <si>
    <t>ミツバ梱包</t>
  </si>
  <si>
    <t>リュミエール</t>
  </si>
  <si>
    <t>㈱ＴＯＲＩＣＯ</t>
  </si>
  <si>
    <t>㈱ｆｕｎｂｏｘ</t>
  </si>
  <si>
    <t>世阿弥Entertainment</t>
  </si>
  <si>
    <t>和光プロセス</t>
  </si>
  <si>
    <t>大東機材</t>
  </si>
  <si>
    <t>大森工業</t>
  </si>
  <si>
    <t>田中旗店</t>
  </si>
  <si>
    <t>福永紙工</t>
  </si>
  <si>
    <t>缶バッジ小売</t>
  </si>
  <si>
    <t>ＪＰ芙蓉</t>
  </si>
  <si>
    <t>ＳＴＹ㈱</t>
  </si>
  <si>
    <t>ｻｻﾞﾝ･ﾃﾞｨ･ｴｽ･ｸﾘｴｲﾄ</t>
  </si>
  <si>
    <t>三菱電機ﾄﾚｰﾃﾞｨﾝｸﾞ</t>
  </si>
  <si>
    <t>京都プレス工業</t>
  </si>
  <si>
    <t>電設資材</t>
  </si>
  <si>
    <t>吉田商事</t>
  </si>
  <si>
    <t>日本ﾄﾞｱｰﾁｴｯｸ製造</t>
  </si>
  <si>
    <t>楠田金属</t>
  </si>
  <si>
    <t>西谷精巧舎</t>
  </si>
  <si>
    <t>三幸プロダクツ株式会社　42期 取引先別年間計画</t>
  </si>
  <si>
    <t>参考期間: 2025年4月〜2026年3月（41期実績） ／ 計画期間: 42期 2026年6月〜2027年5月　　※42期実績は月別計画実績シートの実績入力から自動集計</t>
  </si>
  <si>
    <t>工場/グループ/取引先</t>
  </si>
  <si>
    <t>41期 実績</t>
  </si>
  <si>
    <t>42期 計画</t>
  </si>
  <si>
    <t>42期 実績（自動集計）</t>
  </si>
  <si>
    <t>達成率</t>
  </si>
  <si>
    <t>計画比差異</t>
  </si>
  <si>
    <t>41期実績
数量(個)</t>
  </si>
  <si>
    <t>41期実績
売上(円)</t>
  </si>
  <si>
    <t>41期実績
粗利(円)</t>
  </si>
  <si>
    <t>42期計画
数量(個)</t>
  </si>
  <si>
    <t>42期計画
売上(円)</t>
  </si>
  <si>
    <t>42期計画
粗利(円)</t>
  </si>
  <si>
    <t>42期実績
数量(個)</t>
  </si>
  <si>
    <t>42期実績
売上(円)</t>
  </si>
  <si>
    <t>42期実績
粗利(円)</t>
  </si>
  <si>
    <t>差異額
(実績-計画)</t>
  </si>
  <si>
    <t>差異率</t>
  </si>
  <si>
    <t>【合計】</t>
  </si>
  <si>
    <t>↓ 新規取引先はここから追記（A列=工場、B列=グループ、C列=取引先名）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</si>
</sst>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7" x14ac:knownFonts="1">
    <font>
      <sz val="11"/>
      <color theme="1"/>
      <name val="ＭＳ Ｐゴシック"/>
      <family val="2"/>
      <scheme val="minor"/>
    </font>
    <font>
      <b/>
      <sz val="12"/>
      <color rgb="FFFFFFFF"/>
      <name val="游ゴシック"/>
      <family val="3"/>
      <charset val="128"/>
    </font>
    <font>
      <sz val="8"/>
      <name val="游ゴシック"/>
      <family val="3"/>
      <charset val="128"/>
    </font>
    <font>
      <b/>
      <sz val="9"/>
      <name val="游ゴシック"/>
      <family val="3"/>
      <charset val="128"/>
    </font>
    <font>
      <sz val="9"/>
      <name val="游ゴシック"/>
      <family val="3"/>
      <charset val="128"/>
    </font>
    <font>
      <sz val="9"/>
      <color rgb="FF444444"/>
      <name val="游ゴシック"/>
      <family val="3"/>
      <charset val="128"/>
    </font>
    <font>
      <sz val="6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2F4F8F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5F5F5"/>
      </patternFill>
    </fill>
    <fill>
      <patternFill patternType="solid">
        <fgColor rgb="FFEBF3FB"/>
      </patternFill>
    </fill>
    <fill>
      <patternFill patternType="solid">
        <fgColor rgb="FFEBF9EE"/>
      </patternFill>
    </fill>
    <fill>
      <patternFill patternType="solid">
        <fgColor rgb="FFEEEEEE"/>
      </patternFill>
    </fill>
    <fill>
      <patternFill patternType="solid">
        <fgColor rgb="FFEBF0FA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4" fontId="4" fillId="5" borderId="1" xfId="0" applyNumberFormat="1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center"/>
    </xf>
    <xf numFmtId="4" fontId="5" fillId="6" borderId="1" xfId="0" applyNumberFormat="1" applyFont="1" applyFill="1" applyBorder="1" applyAlignment="1">
      <alignment horizontal="right" vertical="center"/>
    </xf>
    <xf numFmtId="176" fontId="5" fillId="6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49" fontId="5" fillId="6" borderId="1" xfId="0" applyNumberFormat="1" applyFont="1" applyFill="1" applyBorder="1" applyAlignment="1">
      <alignment horizontal="right" vertical="center"/>
    </xf>
    <xf numFmtId="3" fontId="5" fillId="7" borderId="1" xfId="0" applyNumberFormat="1" applyFont="1" applyFill="1" applyBorder="1" applyAlignment="1">
      <alignment horizontal="right" vertical="center"/>
    </xf>
    <xf numFmtId="3" fontId="5" fillId="8" borderId="1" xfId="0" applyNumberFormat="1" applyFont="1" applyFill="1" applyBorder="1" applyAlignment="1">
      <alignment horizontal="right" vertical="center"/>
    </xf>
    <xf numFmtId="176" fontId="5" fillId="8" borderId="1" xfId="0" applyNumberFormat="1" applyFont="1" applyFill="1" applyBorder="1" applyAlignment="1">
      <alignment horizontal="right" vertical="center"/>
    </xf>
    <xf numFmtId="3" fontId="4" fillId="7" borderId="1" xfId="0" applyNumberFormat="1" applyFont="1" applyFill="1" applyBorder="1" applyAlignment="1">
      <alignment horizontal="right" vertical="center"/>
    </xf>
    <xf numFmtId="3" fontId="4" fillId="8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center" vertical="center" wrapText="1"/>
    </xf>
    <xf numFmtId="3" fontId="4" fillId="5" borderId="1" xfId="0" applyNumberFormat="1" applyFont="1" applyFill="1" applyBorder="1" applyAlignment="1">
      <alignment horizontal="right" vertical="center"/>
    </xf>
    <xf numFmtId="3" fontId="5" fillId="6" borderId="1" xfId="0" applyNumberFormat="1" applyFont="1" applyFill="1" applyBorder="1" applyAlignment="1">
      <alignment horizontal="right" vertical="center"/>
    </xf>
    <xf numFmtId="0" fontId="0" fillId="4" borderId="0" xfId="0" applyFill="1"/>
    <xf numFmtId="3" fontId="5" fillId="4" borderId="1" xfId="0" applyNumberFormat="1" applyFont="1" applyFill="1" applyBorder="1" applyAlignment="1">
      <alignment horizontal="right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7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 vertical="center"/>
    </xf>
    <xf numFmtId="0" fontId="0" fillId="4" borderId="0" xfId="0" applyFill="1"/>
    <xf numFmtId="0" fontId="3" fillId="4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6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B4FBFF3-F298-46A0-96EC-FB2180F5ACC9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cddd4033-cf5d-4cb0-b3f9-836559017e17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workbookViewId="0">
      <pane xSplit="1" ySplit="3" topLeftCell="B4" activePane="bottomRight" state="frozen"/>
      <selection pane="topRight"/>
      <selection pane="bottomLeft"/>
      <selection pane="bottomRight" sqref="A1:K1"/>
    </sheetView>
  </sheetViews>
  <sheetFormatPr defaultRowHeight="13.5" x14ac:dyDescent="0.15"/>
  <cols>
    <col min="1" max="1" width="24" customWidth="1"/>
    <col min="2" max="2" width="10" customWidth="1"/>
    <col min="3" max="3" width="6" customWidth="1"/>
    <col min="4" max="4" width="8" customWidth="1"/>
    <col min="5" max="7" width="12" customWidth="1"/>
    <col min="8" max="8" width="10" customWidth="1"/>
    <col min="9" max="10" width="8" customWidth="1"/>
    <col min="11" max="11" width="20" customWidth="1"/>
  </cols>
  <sheetData>
    <row r="1" spans="1:11" ht="21.95" customHeight="1" x14ac:dyDescent="0.15">
      <c r="A1" s="25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ht="30" customHeight="1" x14ac:dyDescent="0.15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</row>
    <row r="3" spans="1:11" ht="31.5" x14ac:dyDescent="0.1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</row>
    <row r="4" spans="1:11" ht="15.75" x14ac:dyDescent="0.15">
      <c r="A4" s="2" t="s">
        <v>13</v>
      </c>
      <c r="B4" s="3" t="s">
        <v>14</v>
      </c>
      <c r="C4" s="3" t="s">
        <v>15</v>
      </c>
      <c r="D4" s="4">
        <v>4.8</v>
      </c>
      <c r="E4" s="5"/>
      <c r="F4" s="5"/>
      <c r="G4" s="6">
        <f>IF(AND(E4&lt;&gt;"",F4&lt;&gt;""),E4*F4,4.36)</f>
        <v>4.3600000000000003</v>
      </c>
      <c r="H4" s="6">
        <f t="shared" ref="H4:H35" si="0">D4-G4</f>
        <v>0.4399999999999995</v>
      </c>
      <c r="I4" s="7">
        <f t="shared" ref="I4:I35" si="1">IFERROR(H4/D4,0)</f>
        <v>9.1666666666666563E-2</v>
      </c>
      <c r="J4" s="3" t="s">
        <v>16</v>
      </c>
      <c r="K4" s="8"/>
    </row>
    <row r="5" spans="1:11" ht="15.75" x14ac:dyDescent="0.15">
      <c r="A5" s="2" t="s">
        <v>17</v>
      </c>
      <c r="B5" s="3" t="s">
        <v>14</v>
      </c>
      <c r="C5" s="3" t="s">
        <v>15</v>
      </c>
      <c r="D5" s="4">
        <v>3.72</v>
      </c>
      <c r="E5" s="5"/>
      <c r="F5" s="5"/>
      <c r="G5" s="6">
        <f>IF(AND(E5&lt;&gt;"",F5&lt;&gt;""),E5*F5,3.38)</f>
        <v>3.38</v>
      </c>
      <c r="H5" s="6">
        <f t="shared" si="0"/>
        <v>0.3400000000000003</v>
      </c>
      <c r="I5" s="7">
        <f t="shared" si="1"/>
        <v>9.1397849462365663E-2</v>
      </c>
      <c r="J5" s="3" t="s">
        <v>16</v>
      </c>
      <c r="K5" s="8"/>
    </row>
    <row r="6" spans="1:11" ht="15.75" x14ac:dyDescent="0.15">
      <c r="A6" s="2" t="s">
        <v>18</v>
      </c>
      <c r="B6" s="3" t="s">
        <v>14</v>
      </c>
      <c r="C6" s="3" t="s">
        <v>15</v>
      </c>
      <c r="D6" s="4">
        <v>4.7699999999999996</v>
      </c>
      <c r="E6" s="5"/>
      <c r="F6" s="5"/>
      <c r="G6" s="6">
        <f>IF(AND(E6&lt;&gt;"",F6&lt;&gt;""),E6*F6,4.34)</f>
        <v>4.34</v>
      </c>
      <c r="H6" s="6">
        <f t="shared" si="0"/>
        <v>0.42999999999999972</v>
      </c>
      <c r="I6" s="7">
        <f t="shared" si="1"/>
        <v>9.0146750524108962E-2</v>
      </c>
      <c r="J6" s="3" t="s">
        <v>16</v>
      </c>
      <c r="K6" s="8"/>
    </row>
    <row r="7" spans="1:11" ht="15.75" x14ac:dyDescent="0.15">
      <c r="A7" s="2" t="s">
        <v>19</v>
      </c>
      <c r="B7" s="3" t="s">
        <v>14</v>
      </c>
      <c r="C7" s="3" t="s">
        <v>15</v>
      </c>
      <c r="D7" s="4">
        <v>3.34</v>
      </c>
      <c r="E7" s="5"/>
      <c r="F7" s="5"/>
      <c r="G7" s="6">
        <f>IF(AND(E7&lt;&gt;"",F7&lt;&gt;""),E7*F7,3.04)</f>
        <v>3.04</v>
      </c>
      <c r="H7" s="6">
        <f t="shared" si="0"/>
        <v>0.29999999999999982</v>
      </c>
      <c r="I7" s="7">
        <f t="shared" si="1"/>
        <v>8.982035928143707E-2</v>
      </c>
      <c r="J7" s="3" t="s">
        <v>16</v>
      </c>
      <c r="K7" s="8"/>
    </row>
    <row r="8" spans="1:11" ht="15.75" x14ac:dyDescent="0.15">
      <c r="A8" s="2" t="s">
        <v>20</v>
      </c>
      <c r="B8" s="3" t="s">
        <v>14</v>
      </c>
      <c r="C8" s="3" t="s">
        <v>15</v>
      </c>
      <c r="D8" s="4">
        <v>3.11</v>
      </c>
      <c r="E8" s="5"/>
      <c r="F8" s="5"/>
      <c r="G8" s="6">
        <f>IF(AND(E8&lt;&gt;"",F8&lt;&gt;""),E8*F8,2.83)</f>
        <v>2.83</v>
      </c>
      <c r="H8" s="6">
        <f t="shared" si="0"/>
        <v>0.2799999999999998</v>
      </c>
      <c r="I8" s="7">
        <f t="shared" si="1"/>
        <v>9.003215434083596E-2</v>
      </c>
      <c r="J8" s="3" t="s">
        <v>16</v>
      </c>
      <c r="K8" s="8"/>
    </row>
    <row r="9" spans="1:11" ht="15.75" x14ac:dyDescent="0.15">
      <c r="A9" s="2" t="s">
        <v>21</v>
      </c>
      <c r="B9" s="3" t="s">
        <v>14</v>
      </c>
      <c r="C9" s="3" t="s">
        <v>15</v>
      </c>
      <c r="D9" s="4">
        <v>5.51</v>
      </c>
      <c r="E9" s="5"/>
      <c r="F9" s="5"/>
      <c r="G9" s="6">
        <f>IF(AND(E9&lt;&gt;"",F9&lt;&gt;""),E9*F9,5.01)</f>
        <v>5.01</v>
      </c>
      <c r="H9" s="6">
        <f t="shared" si="0"/>
        <v>0.5</v>
      </c>
      <c r="I9" s="7">
        <f t="shared" si="1"/>
        <v>9.0744101633393831E-2</v>
      </c>
      <c r="J9" s="3" t="s">
        <v>16</v>
      </c>
      <c r="K9" s="8"/>
    </row>
    <row r="10" spans="1:11" ht="15.75" x14ac:dyDescent="0.15">
      <c r="A10" s="2" t="s">
        <v>22</v>
      </c>
      <c r="B10" s="3" t="s">
        <v>14</v>
      </c>
      <c r="C10" s="3" t="s">
        <v>15</v>
      </c>
      <c r="D10" s="4">
        <v>6.8</v>
      </c>
      <c r="E10" s="5"/>
      <c r="F10" s="5"/>
      <c r="G10" s="6">
        <f>IF(AND(E10&lt;&gt;"",F10&lt;&gt;""),E10*F10,6.18)</f>
        <v>6.18</v>
      </c>
      <c r="H10" s="6">
        <f t="shared" si="0"/>
        <v>0.62000000000000011</v>
      </c>
      <c r="I10" s="7">
        <f t="shared" si="1"/>
        <v>9.1176470588235317E-2</v>
      </c>
      <c r="J10" s="3" t="s">
        <v>16</v>
      </c>
      <c r="K10" s="8"/>
    </row>
    <row r="11" spans="1:11" ht="15.75" x14ac:dyDescent="0.15">
      <c r="A11" s="2" t="s">
        <v>23</v>
      </c>
      <c r="B11" s="3" t="s">
        <v>14</v>
      </c>
      <c r="C11" s="3" t="s">
        <v>15</v>
      </c>
      <c r="D11" s="4">
        <v>5.69</v>
      </c>
      <c r="E11" s="5"/>
      <c r="F11" s="5"/>
      <c r="G11" s="6">
        <f>IF(AND(E11&lt;&gt;"",F11&lt;&gt;""),E11*F11,5.17)</f>
        <v>5.17</v>
      </c>
      <c r="H11" s="6">
        <f t="shared" si="0"/>
        <v>0.52000000000000046</v>
      </c>
      <c r="I11" s="7">
        <f t="shared" si="1"/>
        <v>9.1388400702987774E-2</v>
      </c>
      <c r="J11" s="3" t="s">
        <v>16</v>
      </c>
      <c r="K11" s="8"/>
    </row>
    <row r="12" spans="1:11" ht="15.75" x14ac:dyDescent="0.15">
      <c r="A12" s="2" t="s">
        <v>24</v>
      </c>
      <c r="B12" s="3" t="s">
        <v>14</v>
      </c>
      <c r="C12" s="3" t="s">
        <v>15</v>
      </c>
      <c r="D12" s="4">
        <v>7.84</v>
      </c>
      <c r="E12" s="5"/>
      <c r="F12" s="5"/>
      <c r="G12" s="6">
        <f>IF(AND(E12&lt;&gt;"",F12&lt;&gt;""),E12*F12,7.13)</f>
        <v>7.13</v>
      </c>
      <c r="H12" s="6">
        <f t="shared" si="0"/>
        <v>0.71</v>
      </c>
      <c r="I12" s="7">
        <f t="shared" si="1"/>
        <v>9.0561224489795922E-2</v>
      </c>
      <c r="J12" s="3" t="s">
        <v>16</v>
      </c>
      <c r="K12" s="8"/>
    </row>
    <row r="13" spans="1:11" ht="15.75" x14ac:dyDescent="0.15">
      <c r="A13" s="2" t="s">
        <v>25</v>
      </c>
      <c r="B13" s="3" t="s">
        <v>14</v>
      </c>
      <c r="C13" s="3" t="s">
        <v>15</v>
      </c>
      <c r="D13" s="4">
        <v>12.55</v>
      </c>
      <c r="E13" s="5"/>
      <c r="F13" s="5"/>
      <c r="G13" s="6">
        <f>IF(AND(E13&lt;&gt;"",F13&lt;&gt;""),E13*F13,11.41)</f>
        <v>11.41</v>
      </c>
      <c r="H13" s="6">
        <f t="shared" si="0"/>
        <v>1.1400000000000006</v>
      </c>
      <c r="I13" s="7">
        <f t="shared" si="1"/>
        <v>9.0836653386454219E-2</v>
      </c>
      <c r="J13" s="3" t="s">
        <v>16</v>
      </c>
      <c r="K13" s="8"/>
    </row>
    <row r="14" spans="1:11" ht="15.75" x14ac:dyDescent="0.15">
      <c r="A14" s="2" t="s">
        <v>26</v>
      </c>
      <c r="B14" s="3" t="s">
        <v>14</v>
      </c>
      <c r="C14" s="3" t="s">
        <v>15</v>
      </c>
      <c r="D14" s="4">
        <v>3.72</v>
      </c>
      <c r="E14" s="5"/>
      <c r="F14" s="5"/>
      <c r="G14" s="6">
        <f>IF(AND(E14&lt;&gt;"",F14&lt;&gt;""),E14*F14,3.38)</f>
        <v>3.38</v>
      </c>
      <c r="H14" s="6">
        <f t="shared" si="0"/>
        <v>0.3400000000000003</v>
      </c>
      <c r="I14" s="7">
        <f t="shared" si="1"/>
        <v>9.1397849462365663E-2</v>
      </c>
      <c r="J14" s="3" t="s">
        <v>16</v>
      </c>
      <c r="K14" s="8"/>
    </row>
    <row r="15" spans="1:11" ht="15.75" x14ac:dyDescent="0.15">
      <c r="A15" s="2" t="s">
        <v>27</v>
      </c>
      <c r="B15" s="3" t="s">
        <v>14</v>
      </c>
      <c r="C15" s="3" t="s">
        <v>15</v>
      </c>
      <c r="D15" s="4">
        <v>3.72</v>
      </c>
      <c r="E15" s="5"/>
      <c r="F15" s="5"/>
      <c r="G15" s="6">
        <f>IF(AND(E15&lt;&gt;"",F15&lt;&gt;""),E15*F15,3.38)</f>
        <v>3.38</v>
      </c>
      <c r="H15" s="6">
        <f t="shared" si="0"/>
        <v>0.3400000000000003</v>
      </c>
      <c r="I15" s="7">
        <f t="shared" si="1"/>
        <v>9.1397849462365663E-2</v>
      </c>
      <c r="J15" s="3" t="s">
        <v>16</v>
      </c>
      <c r="K15" s="8"/>
    </row>
    <row r="16" spans="1:11" ht="15.75" x14ac:dyDescent="0.15">
      <c r="A16" s="2" t="s">
        <v>28</v>
      </c>
      <c r="B16" s="3" t="s">
        <v>14</v>
      </c>
      <c r="C16" s="3" t="s">
        <v>15</v>
      </c>
      <c r="D16" s="4">
        <v>3.83</v>
      </c>
      <c r="E16" s="5"/>
      <c r="F16" s="5"/>
      <c r="G16" s="6">
        <f>IF(AND(E16&lt;&gt;"",F16&lt;&gt;""),E16*F16,3.48)</f>
        <v>3.48</v>
      </c>
      <c r="H16" s="6">
        <f t="shared" si="0"/>
        <v>0.35000000000000009</v>
      </c>
      <c r="I16" s="7">
        <f t="shared" si="1"/>
        <v>9.1383812010443891E-2</v>
      </c>
      <c r="J16" s="3" t="s">
        <v>16</v>
      </c>
      <c r="K16" s="8"/>
    </row>
    <row r="17" spans="1:11" ht="15.75" x14ac:dyDescent="0.15">
      <c r="A17" s="2" t="s">
        <v>29</v>
      </c>
      <c r="B17" s="3" t="s">
        <v>14</v>
      </c>
      <c r="C17" s="3" t="s">
        <v>15</v>
      </c>
      <c r="D17" s="4">
        <v>5.28</v>
      </c>
      <c r="E17" s="5"/>
      <c r="F17" s="5"/>
      <c r="G17" s="6">
        <f>IF(AND(E17&lt;&gt;"",F17&lt;&gt;""),E17*F17,4.8)</f>
        <v>4.8</v>
      </c>
      <c r="H17" s="6">
        <f t="shared" si="0"/>
        <v>0.48000000000000043</v>
      </c>
      <c r="I17" s="7">
        <f t="shared" si="1"/>
        <v>9.0909090909090981E-2</v>
      </c>
      <c r="J17" s="3" t="s">
        <v>16</v>
      </c>
      <c r="K17" s="8"/>
    </row>
    <row r="18" spans="1:11" ht="15.75" x14ac:dyDescent="0.15">
      <c r="A18" s="2" t="s">
        <v>30</v>
      </c>
      <c r="B18" s="3" t="s">
        <v>14</v>
      </c>
      <c r="C18" s="3" t="s">
        <v>15</v>
      </c>
      <c r="D18" s="4">
        <v>6.02</v>
      </c>
      <c r="E18" s="5"/>
      <c r="F18" s="5"/>
      <c r="G18" s="6">
        <f>IF(AND(E18&lt;&gt;"",F18&lt;&gt;""),E18*F18,5.47)</f>
        <v>5.47</v>
      </c>
      <c r="H18" s="6">
        <f t="shared" si="0"/>
        <v>0.54999999999999982</v>
      </c>
      <c r="I18" s="7">
        <f t="shared" si="1"/>
        <v>9.136212624584715E-2</v>
      </c>
      <c r="J18" s="3" t="s">
        <v>16</v>
      </c>
      <c r="K18" s="8"/>
    </row>
    <row r="19" spans="1:11" ht="15.75" x14ac:dyDescent="0.15">
      <c r="A19" s="2" t="s">
        <v>31</v>
      </c>
      <c r="B19" s="3" t="s">
        <v>14</v>
      </c>
      <c r="C19" s="3" t="s">
        <v>15</v>
      </c>
      <c r="D19" s="4">
        <v>6.02</v>
      </c>
      <c r="E19" s="5"/>
      <c r="F19" s="5"/>
      <c r="G19" s="6">
        <f>IF(AND(E19&lt;&gt;"",F19&lt;&gt;""),E19*F19,5.47)</f>
        <v>5.47</v>
      </c>
      <c r="H19" s="6">
        <f t="shared" si="0"/>
        <v>0.54999999999999982</v>
      </c>
      <c r="I19" s="7">
        <f t="shared" si="1"/>
        <v>9.136212624584715E-2</v>
      </c>
      <c r="J19" s="3" t="s">
        <v>16</v>
      </c>
      <c r="K19" s="8"/>
    </row>
    <row r="20" spans="1:11" ht="15.75" x14ac:dyDescent="0.15">
      <c r="A20" s="2" t="s">
        <v>32</v>
      </c>
      <c r="B20" s="3" t="s">
        <v>14</v>
      </c>
      <c r="C20" s="3" t="s">
        <v>15</v>
      </c>
      <c r="D20" s="4">
        <v>14.87</v>
      </c>
      <c r="E20" s="5"/>
      <c r="F20" s="5"/>
      <c r="G20" s="6">
        <f>IF(AND(E20&lt;&gt;"",F20&lt;&gt;""),E20*F20,13.52)</f>
        <v>13.52</v>
      </c>
      <c r="H20" s="6">
        <f t="shared" si="0"/>
        <v>1.3499999999999996</v>
      </c>
      <c r="I20" s="7">
        <f t="shared" si="1"/>
        <v>9.0786819098856733E-2</v>
      </c>
      <c r="J20" s="3" t="s">
        <v>16</v>
      </c>
      <c r="K20" s="8"/>
    </row>
    <row r="21" spans="1:11" ht="15.75" x14ac:dyDescent="0.15">
      <c r="A21" s="2" t="s">
        <v>33</v>
      </c>
      <c r="B21" s="3" t="s">
        <v>14</v>
      </c>
      <c r="C21" s="3" t="s">
        <v>15</v>
      </c>
      <c r="D21" s="4">
        <v>14.87</v>
      </c>
      <c r="E21" s="5"/>
      <c r="F21" s="5"/>
      <c r="G21" s="6">
        <f>IF(AND(E21&lt;&gt;"",F21&lt;&gt;""),E21*F21,13.52)</f>
        <v>13.52</v>
      </c>
      <c r="H21" s="6">
        <f t="shared" si="0"/>
        <v>1.3499999999999996</v>
      </c>
      <c r="I21" s="7">
        <f t="shared" si="1"/>
        <v>9.0786819098856733E-2</v>
      </c>
      <c r="J21" s="3" t="s">
        <v>16</v>
      </c>
      <c r="K21" s="8"/>
    </row>
    <row r="22" spans="1:11" ht="15.75" x14ac:dyDescent="0.15">
      <c r="A22" s="2" t="s">
        <v>34</v>
      </c>
      <c r="B22" s="3" t="s">
        <v>14</v>
      </c>
      <c r="C22" s="3" t="s">
        <v>15</v>
      </c>
      <c r="D22" s="4">
        <v>18.420000000000002</v>
      </c>
      <c r="E22" s="5"/>
      <c r="F22" s="5"/>
      <c r="G22" s="6">
        <f>IF(AND(E22&lt;&gt;"",F22&lt;&gt;""),E22*F22,16.75)</f>
        <v>16.75</v>
      </c>
      <c r="H22" s="6">
        <f t="shared" si="0"/>
        <v>1.6700000000000017</v>
      </c>
      <c r="I22" s="7">
        <f t="shared" si="1"/>
        <v>9.0662323561346445E-2</v>
      </c>
      <c r="J22" s="3" t="s">
        <v>16</v>
      </c>
      <c r="K22" s="8"/>
    </row>
    <row r="23" spans="1:11" ht="15.75" x14ac:dyDescent="0.15">
      <c r="A23" s="2" t="s">
        <v>35</v>
      </c>
      <c r="B23" s="3" t="s">
        <v>14</v>
      </c>
      <c r="C23" s="3" t="s">
        <v>15</v>
      </c>
      <c r="D23" s="4">
        <v>18.420000000000002</v>
      </c>
      <c r="E23" s="5"/>
      <c r="F23" s="5"/>
      <c r="G23" s="6">
        <f>IF(AND(E23&lt;&gt;"",F23&lt;&gt;""),E23*F23,16.75)</f>
        <v>16.75</v>
      </c>
      <c r="H23" s="6">
        <f t="shared" si="0"/>
        <v>1.6700000000000017</v>
      </c>
      <c r="I23" s="7">
        <f t="shared" si="1"/>
        <v>9.0662323561346445E-2</v>
      </c>
      <c r="J23" s="3" t="s">
        <v>16</v>
      </c>
      <c r="K23" s="8"/>
    </row>
    <row r="24" spans="1:11" ht="15.75" x14ac:dyDescent="0.15">
      <c r="A24" s="2" t="s">
        <v>36</v>
      </c>
      <c r="B24" s="3" t="s">
        <v>14</v>
      </c>
      <c r="C24" s="3" t="s">
        <v>15</v>
      </c>
      <c r="D24" s="4">
        <v>10.56</v>
      </c>
      <c r="E24" s="5"/>
      <c r="F24" s="5"/>
      <c r="G24" s="6">
        <f>IF(AND(E24&lt;&gt;"",F24&lt;&gt;""),E24*F24,9.6)</f>
        <v>9.6</v>
      </c>
      <c r="H24" s="6">
        <f t="shared" si="0"/>
        <v>0.96000000000000085</v>
      </c>
      <c r="I24" s="7">
        <f t="shared" si="1"/>
        <v>9.0909090909090981E-2</v>
      </c>
      <c r="J24" s="3" t="s">
        <v>16</v>
      </c>
      <c r="K24" s="8"/>
    </row>
    <row r="25" spans="1:11" ht="15.75" x14ac:dyDescent="0.15">
      <c r="A25" s="2" t="s">
        <v>37</v>
      </c>
      <c r="B25" s="3" t="s">
        <v>14</v>
      </c>
      <c r="C25" s="3" t="s">
        <v>15</v>
      </c>
      <c r="D25" s="4">
        <v>9.6</v>
      </c>
      <c r="E25" s="5"/>
      <c r="F25" s="5"/>
      <c r="G25" s="6">
        <f>IF(AND(E25&lt;&gt;"",F25&lt;&gt;""),E25*F25,8.73)</f>
        <v>8.73</v>
      </c>
      <c r="H25" s="6">
        <f t="shared" si="0"/>
        <v>0.86999999999999922</v>
      </c>
      <c r="I25" s="7">
        <f t="shared" si="1"/>
        <v>9.0624999999999928E-2</v>
      </c>
      <c r="J25" s="3" t="s">
        <v>16</v>
      </c>
      <c r="K25" s="8"/>
    </row>
    <row r="26" spans="1:11" ht="15.75" x14ac:dyDescent="0.15">
      <c r="A26" s="2" t="s">
        <v>38</v>
      </c>
      <c r="B26" s="3" t="s">
        <v>14</v>
      </c>
      <c r="C26" s="3" t="s">
        <v>15</v>
      </c>
      <c r="D26" s="4">
        <v>5.24</v>
      </c>
      <c r="E26" s="5"/>
      <c r="F26" s="5"/>
      <c r="G26" s="6">
        <f>IF(AND(E26&lt;&gt;"",F26&lt;&gt;""),E26*F26,4.76)</f>
        <v>4.76</v>
      </c>
      <c r="H26" s="6">
        <f t="shared" si="0"/>
        <v>0.48000000000000043</v>
      </c>
      <c r="I26" s="7">
        <f t="shared" si="1"/>
        <v>9.1603053435114587E-2</v>
      </c>
      <c r="J26" s="3" t="s">
        <v>16</v>
      </c>
      <c r="K26" s="8"/>
    </row>
    <row r="27" spans="1:11" ht="15.75" x14ac:dyDescent="0.15">
      <c r="A27" s="2" t="s">
        <v>39</v>
      </c>
      <c r="B27" s="3" t="s">
        <v>14</v>
      </c>
      <c r="C27" s="3" t="s">
        <v>15</v>
      </c>
      <c r="D27" s="4">
        <v>6.92</v>
      </c>
      <c r="E27" s="5"/>
      <c r="F27" s="5"/>
      <c r="G27" s="6">
        <f>IF(AND(E27&lt;&gt;"",F27&lt;&gt;""),E27*F27,6.29)</f>
        <v>6.29</v>
      </c>
      <c r="H27" s="6">
        <f t="shared" si="0"/>
        <v>0.62999999999999989</v>
      </c>
      <c r="I27" s="7">
        <f t="shared" si="1"/>
        <v>9.1040462427745647E-2</v>
      </c>
      <c r="J27" s="3" t="s">
        <v>16</v>
      </c>
      <c r="K27" s="8"/>
    </row>
    <row r="28" spans="1:11" ht="15.75" x14ac:dyDescent="0.15">
      <c r="A28" s="2" t="s">
        <v>40</v>
      </c>
      <c r="B28" s="3" t="s">
        <v>14</v>
      </c>
      <c r="C28" s="3" t="s">
        <v>15</v>
      </c>
      <c r="D28" s="4">
        <v>7.44</v>
      </c>
      <c r="E28" s="5"/>
      <c r="F28" s="5"/>
      <c r="G28" s="6">
        <f>IF(AND(E28&lt;&gt;"",F28&lt;&gt;""),E28*F28,6.76)</f>
        <v>6.76</v>
      </c>
      <c r="H28" s="6">
        <f t="shared" si="0"/>
        <v>0.6800000000000006</v>
      </c>
      <c r="I28" s="7">
        <f t="shared" si="1"/>
        <v>9.1397849462365663E-2</v>
      </c>
      <c r="J28" s="3" t="s">
        <v>16</v>
      </c>
      <c r="K28" s="8"/>
    </row>
    <row r="29" spans="1:11" ht="15.75" x14ac:dyDescent="0.15">
      <c r="A29" s="2" t="s">
        <v>41</v>
      </c>
      <c r="B29" s="3" t="s">
        <v>14</v>
      </c>
      <c r="C29" s="3" t="s">
        <v>15</v>
      </c>
      <c r="D29" s="4">
        <v>4.58</v>
      </c>
      <c r="E29" s="5"/>
      <c r="F29" s="5"/>
      <c r="G29" s="6">
        <f>IF(AND(E29&lt;&gt;"",F29&lt;&gt;""),E29*F29,4.16)</f>
        <v>4.16</v>
      </c>
      <c r="H29" s="6">
        <f t="shared" si="0"/>
        <v>0.41999999999999993</v>
      </c>
      <c r="I29" s="7">
        <f t="shared" si="1"/>
        <v>9.170305676855893E-2</v>
      </c>
      <c r="J29" s="3" t="s">
        <v>16</v>
      </c>
      <c r="K29" s="8"/>
    </row>
    <row r="30" spans="1:11" ht="15.75" x14ac:dyDescent="0.15">
      <c r="A30" s="2" t="s">
        <v>42</v>
      </c>
      <c r="B30" s="3" t="s">
        <v>14</v>
      </c>
      <c r="C30" s="3" t="s">
        <v>15</v>
      </c>
      <c r="D30" s="4">
        <v>20.68</v>
      </c>
      <c r="E30" s="5"/>
      <c r="F30" s="5"/>
      <c r="G30" s="6">
        <f>IF(AND(E30&lt;&gt;"",F30&lt;&gt;""),E30*F30,18.8)</f>
        <v>18.8</v>
      </c>
      <c r="H30" s="6">
        <f t="shared" si="0"/>
        <v>1.879999999999999</v>
      </c>
      <c r="I30" s="7">
        <f t="shared" si="1"/>
        <v>9.0909090909090856E-2</v>
      </c>
      <c r="J30" s="3" t="s">
        <v>16</v>
      </c>
      <c r="K30" s="8"/>
    </row>
    <row r="31" spans="1:11" ht="15.75" x14ac:dyDescent="0.15">
      <c r="A31" s="2" t="s">
        <v>43</v>
      </c>
      <c r="B31" s="3" t="s">
        <v>14</v>
      </c>
      <c r="C31" s="3" t="s">
        <v>15</v>
      </c>
      <c r="D31" s="4">
        <v>28.75</v>
      </c>
      <c r="E31" s="5"/>
      <c r="F31" s="5"/>
      <c r="G31" s="6">
        <f>IF(AND(E31&lt;&gt;"",F31&lt;&gt;""),E31*F31,26.14)</f>
        <v>26.14</v>
      </c>
      <c r="H31" s="6">
        <f t="shared" si="0"/>
        <v>2.6099999999999994</v>
      </c>
      <c r="I31" s="7">
        <f t="shared" si="1"/>
        <v>9.0782608695652148E-2</v>
      </c>
      <c r="J31" s="3" t="s">
        <v>16</v>
      </c>
      <c r="K31" s="8"/>
    </row>
    <row r="32" spans="1:11" ht="15.75" x14ac:dyDescent="0.15">
      <c r="A32" s="2" t="s">
        <v>44</v>
      </c>
      <c r="B32" s="3" t="s">
        <v>14</v>
      </c>
      <c r="C32" s="3" t="s">
        <v>15</v>
      </c>
      <c r="D32" s="4">
        <v>12.77</v>
      </c>
      <c r="E32" s="5"/>
      <c r="F32" s="5"/>
      <c r="G32" s="6">
        <f>IF(AND(E32&lt;&gt;"",F32&lt;&gt;""),E32*F32,11.61)</f>
        <v>11.61</v>
      </c>
      <c r="H32" s="6">
        <f t="shared" si="0"/>
        <v>1.1600000000000001</v>
      </c>
      <c r="I32" s="7">
        <f t="shared" si="1"/>
        <v>9.0837901331245113E-2</v>
      </c>
      <c r="J32" s="3" t="s">
        <v>16</v>
      </c>
      <c r="K32" s="8"/>
    </row>
    <row r="33" spans="1:11" ht="15.75" x14ac:dyDescent="0.15">
      <c r="A33" s="2" t="s">
        <v>45</v>
      </c>
      <c r="B33" s="3" t="s">
        <v>14</v>
      </c>
      <c r="C33" s="3" t="s">
        <v>15</v>
      </c>
      <c r="D33" s="4">
        <v>22.44</v>
      </c>
      <c r="E33" s="5"/>
      <c r="F33" s="5"/>
      <c r="G33" s="6">
        <f>IF(AND(E33&lt;&gt;"",F33&lt;&gt;""),E33*F33,20.4)</f>
        <v>20.399999999999999</v>
      </c>
      <c r="H33" s="6">
        <f t="shared" si="0"/>
        <v>2.0400000000000027</v>
      </c>
      <c r="I33" s="7">
        <f t="shared" si="1"/>
        <v>9.0909090909091023E-2</v>
      </c>
      <c r="J33" s="3" t="s">
        <v>16</v>
      </c>
      <c r="K33" s="8"/>
    </row>
    <row r="34" spans="1:11" ht="15.75" x14ac:dyDescent="0.15">
      <c r="A34" s="2" t="s">
        <v>46</v>
      </c>
      <c r="B34" s="3" t="s">
        <v>14</v>
      </c>
      <c r="C34" s="3" t="s">
        <v>15</v>
      </c>
      <c r="D34" s="4">
        <v>3.72</v>
      </c>
      <c r="E34" s="5"/>
      <c r="F34" s="5"/>
      <c r="G34" s="6">
        <f>IF(AND(E34&lt;&gt;"",F34&lt;&gt;""),E34*F34,3.38)</f>
        <v>3.38</v>
      </c>
      <c r="H34" s="6">
        <f t="shared" si="0"/>
        <v>0.3400000000000003</v>
      </c>
      <c r="I34" s="7">
        <f t="shared" si="1"/>
        <v>9.1397849462365663E-2</v>
      </c>
      <c r="J34" s="3" t="s">
        <v>16</v>
      </c>
      <c r="K34" s="8"/>
    </row>
    <row r="35" spans="1:11" ht="15.75" x14ac:dyDescent="0.15">
      <c r="A35" s="2" t="s">
        <v>47</v>
      </c>
      <c r="B35" s="3" t="s">
        <v>14</v>
      </c>
      <c r="C35" s="3" t="s">
        <v>15</v>
      </c>
      <c r="D35" s="4">
        <v>5.28</v>
      </c>
      <c r="E35" s="5"/>
      <c r="F35" s="5"/>
      <c r="G35" s="6">
        <f>IF(AND(E35&lt;&gt;"",F35&lt;&gt;""),E35*F35,4.8)</f>
        <v>4.8</v>
      </c>
      <c r="H35" s="6">
        <f t="shared" si="0"/>
        <v>0.48000000000000043</v>
      </c>
      <c r="I35" s="7">
        <f t="shared" si="1"/>
        <v>9.0909090909090981E-2</v>
      </c>
      <c r="J35" s="3" t="s">
        <v>16</v>
      </c>
      <c r="K35" s="8"/>
    </row>
    <row r="36" spans="1:11" ht="15.75" x14ac:dyDescent="0.15">
      <c r="A36" s="2" t="s">
        <v>48</v>
      </c>
      <c r="B36" s="3" t="s">
        <v>14</v>
      </c>
      <c r="C36" s="3" t="s">
        <v>15</v>
      </c>
      <c r="D36" s="4">
        <v>3.11</v>
      </c>
      <c r="E36" s="5"/>
      <c r="F36" s="5"/>
      <c r="G36" s="6">
        <f>IF(AND(E36&lt;&gt;"",F36&lt;&gt;""),E36*F36,2.83)</f>
        <v>2.83</v>
      </c>
      <c r="H36" s="6">
        <f t="shared" ref="H36:H67" si="2">D36-G36</f>
        <v>0.2799999999999998</v>
      </c>
      <c r="I36" s="7">
        <f t="shared" ref="I36:I67" si="3">IFERROR(H36/D36,0)</f>
        <v>9.003215434083596E-2</v>
      </c>
      <c r="J36" s="3" t="s">
        <v>16</v>
      </c>
      <c r="K36" s="8"/>
    </row>
    <row r="37" spans="1:11" ht="15.75" x14ac:dyDescent="0.15">
      <c r="A37" s="2" t="s">
        <v>49</v>
      </c>
      <c r="B37" s="3" t="s">
        <v>14</v>
      </c>
      <c r="C37" s="3" t="s">
        <v>15</v>
      </c>
      <c r="D37" s="4">
        <v>2.85</v>
      </c>
      <c r="E37" s="5"/>
      <c r="F37" s="5"/>
      <c r="G37" s="6">
        <f>IF(AND(E37&lt;&gt;"",F37&lt;&gt;""),E37*F37,2.59)</f>
        <v>2.59</v>
      </c>
      <c r="H37" s="6">
        <f t="shared" si="2"/>
        <v>0.26000000000000023</v>
      </c>
      <c r="I37" s="7">
        <f t="shared" si="3"/>
        <v>9.1228070175438672E-2</v>
      </c>
      <c r="J37" s="3" t="s">
        <v>16</v>
      </c>
      <c r="K37" s="8"/>
    </row>
    <row r="38" spans="1:11" ht="15.75" x14ac:dyDescent="0.15">
      <c r="A38" s="2" t="s">
        <v>50</v>
      </c>
      <c r="B38" s="3" t="s">
        <v>14</v>
      </c>
      <c r="C38" s="3" t="s">
        <v>15</v>
      </c>
      <c r="D38" s="4">
        <v>3.72</v>
      </c>
      <c r="E38" s="5"/>
      <c r="F38" s="5"/>
      <c r="G38" s="6">
        <f>IF(AND(E38&lt;&gt;"",F38&lt;&gt;""),E38*F38,3.38)</f>
        <v>3.38</v>
      </c>
      <c r="H38" s="6">
        <f t="shared" si="2"/>
        <v>0.3400000000000003</v>
      </c>
      <c r="I38" s="7">
        <f t="shared" si="3"/>
        <v>9.1397849462365663E-2</v>
      </c>
      <c r="J38" s="3" t="s">
        <v>16</v>
      </c>
      <c r="K38" s="8"/>
    </row>
    <row r="39" spans="1:11" ht="15.75" x14ac:dyDescent="0.15">
      <c r="A39" s="2" t="s">
        <v>46</v>
      </c>
      <c r="B39" s="3" t="s">
        <v>14</v>
      </c>
      <c r="C39" s="3" t="s">
        <v>15</v>
      </c>
      <c r="D39" s="4">
        <v>3.72</v>
      </c>
      <c r="E39" s="5"/>
      <c r="F39" s="5"/>
      <c r="G39" s="6">
        <f>IF(AND(E39&lt;&gt;"",F39&lt;&gt;""),E39*F39,3.38)</f>
        <v>3.38</v>
      </c>
      <c r="H39" s="6">
        <f t="shared" si="2"/>
        <v>0.3400000000000003</v>
      </c>
      <c r="I39" s="7">
        <f t="shared" si="3"/>
        <v>9.1397849462365663E-2</v>
      </c>
      <c r="J39" s="3" t="s">
        <v>16</v>
      </c>
      <c r="K39" s="8"/>
    </row>
    <row r="40" spans="1:11" ht="15.75" x14ac:dyDescent="0.15">
      <c r="A40" s="2" t="s">
        <v>51</v>
      </c>
      <c r="B40" s="3" t="s">
        <v>14</v>
      </c>
      <c r="C40" s="3" t="s">
        <v>15</v>
      </c>
      <c r="D40" s="4">
        <v>5.28</v>
      </c>
      <c r="E40" s="5"/>
      <c r="F40" s="5"/>
      <c r="G40" s="6">
        <f>IF(AND(E40&lt;&gt;"",F40&lt;&gt;""),E40*F40,4.8)</f>
        <v>4.8</v>
      </c>
      <c r="H40" s="6">
        <f t="shared" si="2"/>
        <v>0.48000000000000043</v>
      </c>
      <c r="I40" s="7">
        <f t="shared" si="3"/>
        <v>9.0909090909090981E-2</v>
      </c>
      <c r="J40" s="3" t="s">
        <v>16</v>
      </c>
      <c r="K40" s="8"/>
    </row>
    <row r="41" spans="1:11" ht="15.75" x14ac:dyDescent="0.15">
      <c r="A41" s="2" t="s">
        <v>52</v>
      </c>
      <c r="B41" s="3" t="s">
        <v>14</v>
      </c>
      <c r="C41" s="3" t="s">
        <v>15</v>
      </c>
      <c r="D41" s="4">
        <v>2.6</v>
      </c>
      <c r="E41" s="5"/>
      <c r="F41" s="5"/>
      <c r="G41" s="6">
        <f>IF(AND(E41&lt;&gt;"",F41&lt;&gt;""),E41*F41,2.36)</f>
        <v>2.36</v>
      </c>
      <c r="H41" s="6">
        <f t="shared" si="2"/>
        <v>0.24000000000000021</v>
      </c>
      <c r="I41" s="7">
        <f t="shared" si="3"/>
        <v>9.2307692307692382E-2</v>
      </c>
      <c r="J41" s="3" t="s">
        <v>16</v>
      </c>
      <c r="K41" s="8"/>
    </row>
    <row r="42" spans="1:11" ht="15.75" x14ac:dyDescent="0.15">
      <c r="A42" s="2" t="s">
        <v>53</v>
      </c>
      <c r="B42" s="3" t="s">
        <v>14</v>
      </c>
      <c r="C42" s="3" t="s">
        <v>15</v>
      </c>
      <c r="D42" s="4">
        <v>4.08</v>
      </c>
      <c r="E42" s="5"/>
      <c r="F42" s="5"/>
      <c r="G42" s="6">
        <f>IF(AND(E42&lt;&gt;"",F42&lt;&gt;""),E42*F42,3.71)</f>
        <v>3.71</v>
      </c>
      <c r="H42" s="6">
        <f t="shared" si="2"/>
        <v>0.37000000000000011</v>
      </c>
      <c r="I42" s="7">
        <f t="shared" si="3"/>
        <v>9.0686274509803946E-2</v>
      </c>
      <c r="J42" s="3" t="s">
        <v>16</v>
      </c>
      <c r="K42" s="8"/>
    </row>
    <row r="43" spans="1:11" ht="15.75" x14ac:dyDescent="0.15">
      <c r="A43" s="2" t="s">
        <v>54</v>
      </c>
      <c r="B43" s="3" t="s">
        <v>14</v>
      </c>
      <c r="C43" s="3" t="s">
        <v>15</v>
      </c>
      <c r="D43" s="4">
        <v>4.3499999999999996</v>
      </c>
      <c r="E43" s="5"/>
      <c r="F43" s="5"/>
      <c r="G43" s="6">
        <f>IF(AND(E43&lt;&gt;"",F43&lt;&gt;""),E43*F43,3.95)</f>
        <v>3.95</v>
      </c>
      <c r="H43" s="6">
        <f t="shared" si="2"/>
        <v>0.39999999999999947</v>
      </c>
      <c r="I43" s="7">
        <f t="shared" si="3"/>
        <v>9.1954022988505635E-2</v>
      </c>
      <c r="J43" s="3" t="s">
        <v>16</v>
      </c>
      <c r="K43" s="8"/>
    </row>
    <row r="44" spans="1:11" ht="15.75" x14ac:dyDescent="0.15">
      <c r="A44" s="2" t="s">
        <v>55</v>
      </c>
      <c r="B44" s="3" t="s">
        <v>14</v>
      </c>
      <c r="C44" s="3" t="s">
        <v>15</v>
      </c>
      <c r="D44" s="4">
        <v>4.95</v>
      </c>
      <c r="E44" s="5"/>
      <c r="F44" s="5"/>
      <c r="G44" s="6">
        <f>IF(AND(E44&lt;&gt;"",F44&lt;&gt;""),E44*F44,4.5)</f>
        <v>4.5</v>
      </c>
      <c r="H44" s="6">
        <f t="shared" si="2"/>
        <v>0.45000000000000018</v>
      </c>
      <c r="I44" s="7">
        <f t="shared" si="3"/>
        <v>9.0909090909090939E-2</v>
      </c>
      <c r="J44" s="3" t="s">
        <v>16</v>
      </c>
      <c r="K44" s="8"/>
    </row>
    <row r="45" spans="1:11" ht="15.75" x14ac:dyDescent="0.15">
      <c r="A45" s="2" t="s">
        <v>56</v>
      </c>
      <c r="B45" s="3" t="s">
        <v>14</v>
      </c>
      <c r="C45" s="3" t="s">
        <v>15</v>
      </c>
      <c r="D45" s="4">
        <v>1.58</v>
      </c>
      <c r="E45" s="5"/>
      <c r="F45" s="5"/>
      <c r="G45" s="6">
        <f>IF(AND(E45&lt;&gt;"",F45&lt;&gt;""),E45*F45,1.44)</f>
        <v>1.44</v>
      </c>
      <c r="H45" s="6">
        <f t="shared" si="2"/>
        <v>0.14000000000000012</v>
      </c>
      <c r="I45" s="7">
        <f t="shared" si="3"/>
        <v>8.860759493670893E-2</v>
      </c>
      <c r="J45" s="3" t="s">
        <v>16</v>
      </c>
      <c r="K45" s="8"/>
    </row>
    <row r="46" spans="1:11" ht="15.75" x14ac:dyDescent="0.15">
      <c r="A46" s="2" t="s">
        <v>57</v>
      </c>
      <c r="B46" s="3" t="s">
        <v>14</v>
      </c>
      <c r="C46" s="3" t="s">
        <v>15</v>
      </c>
      <c r="D46" s="4">
        <v>2.38</v>
      </c>
      <c r="E46" s="5"/>
      <c r="F46" s="5"/>
      <c r="G46" s="6">
        <f>IF(AND(E46&lt;&gt;"",F46&lt;&gt;""),E46*F46,2.16)</f>
        <v>2.16</v>
      </c>
      <c r="H46" s="6">
        <f t="shared" si="2"/>
        <v>0.21999999999999975</v>
      </c>
      <c r="I46" s="7">
        <f t="shared" si="3"/>
        <v>9.243697478991586E-2</v>
      </c>
      <c r="J46" s="3" t="s">
        <v>16</v>
      </c>
      <c r="K46" s="8"/>
    </row>
    <row r="47" spans="1:11" ht="15.75" x14ac:dyDescent="0.15">
      <c r="A47" s="2" t="s">
        <v>58</v>
      </c>
      <c r="B47" s="3" t="s">
        <v>14</v>
      </c>
      <c r="C47" s="3" t="s">
        <v>15</v>
      </c>
      <c r="D47" s="4">
        <v>2.38</v>
      </c>
      <c r="E47" s="5"/>
      <c r="F47" s="5"/>
      <c r="G47" s="6">
        <f>IF(AND(E47&lt;&gt;"",F47&lt;&gt;""),E47*F47,2.16)</f>
        <v>2.16</v>
      </c>
      <c r="H47" s="6">
        <f t="shared" si="2"/>
        <v>0.21999999999999975</v>
      </c>
      <c r="I47" s="7">
        <f t="shared" si="3"/>
        <v>9.243697478991586E-2</v>
      </c>
      <c r="J47" s="3" t="s">
        <v>16</v>
      </c>
      <c r="K47" s="8"/>
    </row>
    <row r="48" spans="1:11" ht="15.75" x14ac:dyDescent="0.15">
      <c r="A48" s="2" t="s">
        <v>59</v>
      </c>
      <c r="B48" s="3" t="s">
        <v>14</v>
      </c>
      <c r="C48" s="3" t="s">
        <v>15</v>
      </c>
      <c r="D48" s="4">
        <v>17.23</v>
      </c>
      <c r="E48" s="5"/>
      <c r="F48" s="5"/>
      <c r="G48" s="6">
        <f>IF(AND(E48&lt;&gt;"",F48&lt;&gt;""),E48*F48,15.66)</f>
        <v>15.66</v>
      </c>
      <c r="H48" s="6">
        <f t="shared" si="2"/>
        <v>1.5700000000000003</v>
      </c>
      <c r="I48" s="7">
        <f t="shared" si="3"/>
        <v>9.1120139291932689E-2</v>
      </c>
      <c r="J48" s="3" t="s">
        <v>16</v>
      </c>
      <c r="K48" s="8"/>
    </row>
    <row r="49" spans="1:11" ht="15.75" x14ac:dyDescent="0.15">
      <c r="A49" s="2" t="s">
        <v>60</v>
      </c>
      <c r="B49" s="3" t="s">
        <v>61</v>
      </c>
      <c r="C49" s="3" t="s">
        <v>15</v>
      </c>
      <c r="D49" s="4">
        <v>6.55</v>
      </c>
      <c r="E49" s="5"/>
      <c r="F49" s="5"/>
      <c r="G49" s="6">
        <f>IF(AND(E49&lt;&gt;"",F49&lt;&gt;""),E49*F49,5.95)</f>
        <v>5.95</v>
      </c>
      <c r="H49" s="6">
        <f t="shared" si="2"/>
        <v>0.59999999999999964</v>
      </c>
      <c r="I49" s="7">
        <f t="shared" si="3"/>
        <v>9.1603053435114448E-2</v>
      </c>
      <c r="J49" s="3" t="s">
        <v>16</v>
      </c>
      <c r="K49" s="8"/>
    </row>
    <row r="50" spans="1:11" ht="15.75" x14ac:dyDescent="0.15">
      <c r="A50" s="2" t="s">
        <v>62</v>
      </c>
      <c r="B50" s="3" t="s">
        <v>61</v>
      </c>
      <c r="C50" s="3" t="s">
        <v>15</v>
      </c>
      <c r="D50" s="4">
        <v>6.98</v>
      </c>
      <c r="E50" s="5"/>
      <c r="F50" s="5"/>
      <c r="G50" s="6">
        <f>IF(AND(E50&lt;&gt;"",F50&lt;&gt;""),E50*F50,6.35)</f>
        <v>6.35</v>
      </c>
      <c r="H50" s="6">
        <f t="shared" si="2"/>
        <v>0.63000000000000078</v>
      </c>
      <c r="I50" s="7">
        <f t="shared" si="3"/>
        <v>9.025787965616057E-2</v>
      </c>
      <c r="J50" s="3" t="s">
        <v>16</v>
      </c>
      <c r="K50" s="8"/>
    </row>
    <row r="51" spans="1:11" ht="15.75" x14ac:dyDescent="0.15">
      <c r="A51" s="2" t="s">
        <v>63</v>
      </c>
      <c r="B51" s="3" t="s">
        <v>61</v>
      </c>
      <c r="C51" s="3" t="s">
        <v>15</v>
      </c>
      <c r="D51" s="4">
        <v>9.09</v>
      </c>
      <c r="E51" s="5"/>
      <c r="F51" s="5"/>
      <c r="G51" s="6">
        <f>IF(AND(E51&lt;&gt;"",F51&lt;&gt;""),E51*F51,8.26)</f>
        <v>8.26</v>
      </c>
      <c r="H51" s="6">
        <f t="shared" si="2"/>
        <v>0.83000000000000007</v>
      </c>
      <c r="I51" s="7">
        <f t="shared" si="3"/>
        <v>9.1309130913091313E-2</v>
      </c>
      <c r="J51" s="3" t="s">
        <v>16</v>
      </c>
      <c r="K51" s="8"/>
    </row>
    <row r="52" spans="1:11" ht="15.75" x14ac:dyDescent="0.15">
      <c r="A52" s="2" t="s">
        <v>64</v>
      </c>
      <c r="B52" s="3" t="s">
        <v>61</v>
      </c>
      <c r="C52" s="3" t="s">
        <v>15</v>
      </c>
      <c r="D52" s="4">
        <v>8.23</v>
      </c>
      <c r="E52" s="5"/>
      <c r="F52" s="5"/>
      <c r="G52" s="6">
        <f>IF(AND(E52&lt;&gt;"",F52&lt;&gt;""),E52*F52,7.48)</f>
        <v>7.48</v>
      </c>
      <c r="H52" s="6">
        <f t="shared" si="2"/>
        <v>0.75</v>
      </c>
      <c r="I52" s="7">
        <f t="shared" si="3"/>
        <v>9.113001215066828E-2</v>
      </c>
      <c r="J52" s="3" t="s">
        <v>16</v>
      </c>
      <c r="K52" s="8"/>
    </row>
    <row r="53" spans="1:11" ht="15.75" x14ac:dyDescent="0.15">
      <c r="A53" s="2" t="s">
        <v>65</v>
      </c>
      <c r="B53" s="3" t="s">
        <v>61</v>
      </c>
      <c r="C53" s="3" t="s">
        <v>15</v>
      </c>
      <c r="D53" s="4">
        <v>12.85</v>
      </c>
      <c r="E53" s="5"/>
      <c r="F53" s="5"/>
      <c r="G53" s="6">
        <f>IF(AND(E53&lt;&gt;"",F53&lt;&gt;""),E53*F53,11.68)</f>
        <v>11.68</v>
      </c>
      <c r="H53" s="6">
        <f t="shared" si="2"/>
        <v>1.17</v>
      </c>
      <c r="I53" s="7">
        <f t="shared" si="3"/>
        <v>9.1050583657587544E-2</v>
      </c>
      <c r="J53" s="3" t="s">
        <v>16</v>
      </c>
      <c r="K53" s="8"/>
    </row>
    <row r="54" spans="1:11" ht="15.75" x14ac:dyDescent="0.15">
      <c r="A54" s="2" t="s">
        <v>66</v>
      </c>
      <c r="B54" s="3" t="s">
        <v>61</v>
      </c>
      <c r="C54" s="3" t="s">
        <v>15</v>
      </c>
      <c r="D54" s="4">
        <v>8.1</v>
      </c>
      <c r="E54" s="5"/>
      <c r="F54" s="5"/>
      <c r="G54" s="6">
        <f>IF(AND(E54&lt;&gt;"",F54&lt;&gt;""),E54*F54,7.36)</f>
        <v>7.36</v>
      </c>
      <c r="H54" s="6">
        <f t="shared" si="2"/>
        <v>0.73999999999999932</v>
      </c>
      <c r="I54" s="7">
        <f t="shared" si="3"/>
        <v>9.1358024691357939E-2</v>
      </c>
      <c r="J54" s="3" t="s">
        <v>16</v>
      </c>
      <c r="K54" s="8"/>
    </row>
    <row r="55" spans="1:11" ht="15.75" x14ac:dyDescent="0.15">
      <c r="A55" s="2" t="s">
        <v>67</v>
      </c>
      <c r="B55" s="3" t="s">
        <v>61</v>
      </c>
      <c r="C55" s="3" t="s">
        <v>15</v>
      </c>
      <c r="D55" s="4">
        <v>8.23</v>
      </c>
      <c r="E55" s="5"/>
      <c r="F55" s="5"/>
      <c r="G55" s="6">
        <f>IF(AND(E55&lt;&gt;"",F55&lt;&gt;""),E55*F55,7.48)</f>
        <v>7.48</v>
      </c>
      <c r="H55" s="6">
        <f t="shared" si="2"/>
        <v>0.75</v>
      </c>
      <c r="I55" s="7">
        <f t="shared" si="3"/>
        <v>9.113001215066828E-2</v>
      </c>
      <c r="J55" s="3" t="s">
        <v>16</v>
      </c>
      <c r="K55" s="8"/>
    </row>
    <row r="56" spans="1:11" ht="15.75" x14ac:dyDescent="0.15">
      <c r="A56" s="2" t="s">
        <v>68</v>
      </c>
      <c r="B56" s="3" t="s">
        <v>61</v>
      </c>
      <c r="C56" s="3" t="s">
        <v>15</v>
      </c>
      <c r="D56" s="4">
        <v>17.350000000000001</v>
      </c>
      <c r="E56" s="5"/>
      <c r="F56" s="5"/>
      <c r="G56" s="6">
        <f>IF(AND(E56&lt;&gt;"",F56&lt;&gt;""),E56*F56,15.77)</f>
        <v>15.77</v>
      </c>
      <c r="H56" s="6">
        <f t="shared" si="2"/>
        <v>1.5800000000000018</v>
      </c>
      <c r="I56" s="7">
        <f t="shared" si="3"/>
        <v>9.1066282420749378E-2</v>
      </c>
      <c r="J56" s="3" t="s">
        <v>16</v>
      </c>
      <c r="K56" s="8"/>
    </row>
    <row r="57" spans="1:11" ht="15.75" x14ac:dyDescent="0.15">
      <c r="A57" s="2" t="s">
        <v>69</v>
      </c>
      <c r="B57" s="3" t="s">
        <v>61</v>
      </c>
      <c r="C57" s="3" t="s">
        <v>15</v>
      </c>
      <c r="D57" s="4">
        <v>6.4</v>
      </c>
      <c r="E57" s="5"/>
      <c r="F57" s="5"/>
      <c r="G57" s="6">
        <f>IF(AND(E57&lt;&gt;"",F57&lt;&gt;""),E57*F57,5.82)</f>
        <v>5.82</v>
      </c>
      <c r="H57" s="6">
        <f t="shared" si="2"/>
        <v>0.58000000000000007</v>
      </c>
      <c r="I57" s="7">
        <f t="shared" si="3"/>
        <v>9.0625000000000011E-2</v>
      </c>
      <c r="J57" s="3" t="s">
        <v>16</v>
      </c>
      <c r="K57" s="8"/>
    </row>
    <row r="58" spans="1:11" ht="15.75" x14ac:dyDescent="0.15">
      <c r="A58" s="2" t="s">
        <v>70</v>
      </c>
      <c r="B58" s="3" t="s">
        <v>61</v>
      </c>
      <c r="C58" s="3" t="s">
        <v>15</v>
      </c>
      <c r="D58" s="4">
        <v>16.09</v>
      </c>
      <c r="E58" s="5"/>
      <c r="F58" s="5"/>
      <c r="G58" s="6">
        <f>IF(AND(E58&lt;&gt;"",F58&lt;&gt;""),E58*F58,14.63)</f>
        <v>14.63</v>
      </c>
      <c r="H58" s="6">
        <f t="shared" si="2"/>
        <v>1.4599999999999991</v>
      </c>
      <c r="I58" s="7">
        <f t="shared" si="3"/>
        <v>9.0739589807333695E-2</v>
      </c>
      <c r="J58" s="3" t="s">
        <v>16</v>
      </c>
      <c r="K58" s="8"/>
    </row>
    <row r="59" spans="1:11" ht="15.75" x14ac:dyDescent="0.15">
      <c r="A59" s="2" t="s">
        <v>71</v>
      </c>
      <c r="B59" s="3" t="s">
        <v>61</v>
      </c>
      <c r="C59" s="3" t="s">
        <v>15</v>
      </c>
      <c r="D59" s="4">
        <v>17.16</v>
      </c>
      <c r="E59" s="5"/>
      <c r="F59" s="5"/>
      <c r="G59" s="6">
        <f>IF(AND(E59&lt;&gt;"",F59&lt;&gt;""),E59*F59,15.6)</f>
        <v>15.6</v>
      </c>
      <c r="H59" s="6">
        <f t="shared" si="2"/>
        <v>1.5600000000000005</v>
      </c>
      <c r="I59" s="7">
        <f t="shared" si="3"/>
        <v>9.0909090909090939E-2</v>
      </c>
      <c r="J59" s="3" t="s">
        <v>16</v>
      </c>
      <c r="K59" s="8"/>
    </row>
    <row r="60" spans="1:11" ht="15.75" x14ac:dyDescent="0.15">
      <c r="A60" s="2" t="s">
        <v>72</v>
      </c>
      <c r="B60" s="3" t="s">
        <v>61</v>
      </c>
      <c r="C60" s="3" t="s">
        <v>15</v>
      </c>
      <c r="D60" s="4">
        <v>57.2</v>
      </c>
      <c r="E60" s="5"/>
      <c r="F60" s="5"/>
      <c r="G60" s="6">
        <f>IF(AND(E60&lt;&gt;"",F60&lt;&gt;""),E60*F60,52)</f>
        <v>52</v>
      </c>
      <c r="H60" s="6">
        <f t="shared" si="2"/>
        <v>5.2000000000000028</v>
      </c>
      <c r="I60" s="7">
        <f t="shared" si="3"/>
        <v>9.0909090909090953E-2</v>
      </c>
      <c r="J60" s="3" t="s">
        <v>16</v>
      </c>
      <c r="K60" s="8"/>
    </row>
    <row r="61" spans="1:11" ht="15.75" x14ac:dyDescent="0.15">
      <c r="A61" s="2" t="s">
        <v>65</v>
      </c>
      <c r="B61" s="3" t="s">
        <v>61</v>
      </c>
      <c r="C61" s="3" t="s">
        <v>15</v>
      </c>
      <c r="D61" s="4">
        <v>12.85</v>
      </c>
      <c r="E61" s="5"/>
      <c r="F61" s="5"/>
      <c r="G61" s="6">
        <f>IF(AND(E61&lt;&gt;"",F61&lt;&gt;""),E61*F61,11.68)</f>
        <v>11.68</v>
      </c>
      <c r="H61" s="6">
        <f t="shared" si="2"/>
        <v>1.17</v>
      </c>
      <c r="I61" s="7">
        <f t="shared" si="3"/>
        <v>9.1050583657587544E-2</v>
      </c>
      <c r="J61" s="3" t="s">
        <v>16</v>
      </c>
      <c r="K61" s="8"/>
    </row>
    <row r="62" spans="1:11" ht="15.75" x14ac:dyDescent="0.15">
      <c r="A62" s="2" t="s">
        <v>73</v>
      </c>
      <c r="B62" s="3" t="s">
        <v>61</v>
      </c>
      <c r="C62" s="3" t="s">
        <v>15</v>
      </c>
      <c r="D62" s="4">
        <v>11.74</v>
      </c>
      <c r="E62" s="5"/>
      <c r="F62" s="5"/>
      <c r="G62" s="6">
        <f>IF(AND(E62&lt;&gt;"",F62&lt;&gt;""),E62*F62,10.67)</f>
        <v>10.67</v>
      </c>
      <c r="H62" s="6">
        <f t="shared" si="2"/>
        <v>1.0700000000000003</v>
      </c>
      <c r="I62" s="7">
        <f t="shared" si="3"/>
        <v>9.1141396933560506E-2</v>
      </c>
      <c r="J62" s="3" t="s">
        <v>16</v>
      </c>
      <c r="K62" s="8"/>
    </row>
    <row r="63" spans="1:11" ht="15.75" x14ac:dyDescent="0.15">
      <c r="A63" s="2" t="s">
        <v>74</v>
      </c>
      <c r="B63" s="3" t="s">
        <v>61</v>
      </c>
      <c r="C63" s="3" t="s">
        <v>15</v>
      </c>
      <c r="D63" s="4">
        <v>39.479999999999997</v>
      </c>
      <c r="E63" s="5"/>
      <c r="F63" s="5"/>
      <c r="G63" s="6">
        <f>IF(AND(E63&lt;&gt;"",F63&lt;&gt;""),E63*F63,35.89)</f>
        <v>35.89</v>
      </c>
      <c r="H63" s="6">
        <f t="shared" si="2"/>
        <v>3.5899999999999963</v>
      </c>
      <c r="I63" s="7">
        <f t="shared" si="3"/>
        <v>9.0932117527862122E-2</v>
      </c>
      <c r="J63" s="3" t="s">
        <v>16</v>
      </c>
      <c r="K63" s="8"/>
    </row>
    <row r="64" spans="1:11" ht="15.75" x14ac:dyDescent="0.15">
      <c r="A64" s="2" t="s">
        <v>75</v>
      </c>
      <c r="B64" s="3" t="s">
        <v>76</v>
      </c>
      <c r="C64" s="3" t="s">
        <v>15</v>
      </c>
      <c r="D64" s="4">
        <v>8.14</v>
      </c>
      <c r="E64" s="5"/>
      <c r="F64" s="5"/>
      <c r="G64" s="6">
        <f>IF(AND(E64&lt;&gt;"",F64&lt;&gt;""),E64*F64,7.4)</f>
        <v>7.4</v>
      </c>
      <c r="H64" s="6">
        <f t="shared" si="2"/>
        <v>0.74000000000000021</v>
      </c>
      <c r="I64" s="7">
        <f t="shared" si="3"/>
        <v>9.0909090909090925E-2</v>
      </c>
      <c r="J64" s="3" t="s">
        <v>16</v>
      </c>
      <c r="K64" s="8"/>
    </row>
    <row r="65" spans="1:11" ht="15.75" x14ac:dyDescent="0.15">
      <c r="A65" s="2" t="s">
        <v>77</v>
      </c>
      <c r="B65" s="3" t="s">
        <v>76</v>
      </c>
      <c r="C65" s="3" t="s">
        <v>15</v>
      </c>
      <c r="D65" s="4">
        <v>13.43</v>
      </c>
      <c r="E65" s="5"/>
      <c r="F65" s="5"/>
      <c r="G65" s="6">
        <f>IF(AND(E65&lt;&gt;"",F65&lt;&gt;""),E65*F65,12.21)</f>
        <v>12.21</v>
      </c>
      <c r="H65" s="6">
        <f t="shared" si="2"/>
        <v>1.2199999999999989</v>
      </c>
      <c r="I65" s="7">
        <f t="shared" si="3"/>
        <v>9.0841399851079585E-2</v>
      </c>
      <c r="J65" s="3" t="s">
        <v>16</v>
      </c>
      <c r="K65" s="8"/>
    </row>
    <row r="66" spans="1:11" ht="15.75" x14ac:dyDescent="0.15">
      <c r="A66" s="2" t="s">
        <v>78</v>
      </c>
      <c r="B66" s="3" t="s">
        <v>76</v>
      </c>
      <c r="C66" s="3" t="s">
        <v>15</v>
      </c>
      <c r="D66" s="4">
        <v>8.14</v>
      </c>
      <c r="E66" s="5"/>
      <c r="F66" s="5"/>
      <c r="G66" s="6">
        <f>IF(AND(E66&lt;&gt;"",F66&lt;&gt;""),E66*F66,7.4)</f>
        <v>7.4</v>
      </c>
      <c r="H66" s="6">
        <f t="shared" si="2"/>
        <v>0.74000000000000021</v>
      </c>
      <c r="I66" s="7">
        <f t="shared" si="3"/>
        <v>9.0909090909090925E-2</v>
      </c>
      <c r="J66" s="3" t="s">
        <v>16</v>
      </c>
      <c r="K66" s="8"/>
    </row>
    <row r="67" spans="1:11" ht="15.75" x14ac:dyDescent="0.15">
      <c r="A67" s="2" t="s">
        <v>79</v>
      </c>
      <c r="B67" s="3" t="s">
        <v>76</v>
      </c>
      <c r="C67" s="3" t="s">
        <v>15</v>
      </c>
      <c r="D67" s="4">
        <v>24.13</v>
      </c>
      <c r="E67" s="5"/>
      <c r="F67" s="5"/>
      <c r="G67" s="6">
        <f>IF(AND(E67&lt;&gt;"",F67&lt;&gt;""),E67*F67,21.94)</f>
        <v>21.94</v>
      </c>
      <c r="H67" s="6">
        <f t="shared" si="2"/>
        <v>2.1899999999999977</v>
      </c>
      <c r="I67" s="7">
        <f t="shared" si="3"/>
        <v>9.0758392043099781E-2</v>
      </c>
      <c r="J67" s="3" t="s">
        <v>16</v>
      </c>
      <c r="K67" s="8"/>
    </row>
    <row r="68" spans="1:11" ht="15.75" x14ac:dyDescent="0.15">
      <c r="A68" s="2" t="s">
        <v>80</v>
      </c>
      <c r="B68" s="3" t="s">
        <v>81</v>
      </c>
      <c r="C68" s="3" t="s">
        <v>15</v>
      </c>
      <c r="D68" s="4">
        <v>76.489999999999995</v>
      </c>
      <c r="E68" s="5"/>
      <c r="F68" s="5"/>
      <c r="G68" s="6">
        <f>IF(AND(E68&lt;&gt;"",F68&lt;&gt;""),E68*F68,69.54)</f>
        <v>69.540000000000006</v>
      </c>
      <c r="H68" s="6">
        <f t="shared" ref="H68:H99" si="4">D68-G68</f>
        <v>6.9499999999999886</v>
      </c>
      <c r="I68" s="7">
        <f t="shared" ref="I68:I99" si="5">IFERROR(H68/D68,0)</f>
        <v>9.0861550529480833E-2</v>
      </c>
      <c r="J68" s="3" t="s">
        <v>16</v>
      </c>
      <c r="K68" s="8"/>
    </row>
    <row r="69" spans="1:11" ht="15.75" x14ac:dyDescent="0.15">
      <c r="A69" s="2" t="s">
        <v>82</v>
      </c>
      <c r="B69" s="3" t="s">
        <v>81</v>
      </c>
      <c r="C69" s="3" t="s">
        <v>15</v>
      </c>
      <c r="D69" s="4">
        <v>30.94</v>
      </c>
      <c r="E69" s="5"/>
      <c r="F69" s="5"/>
      <c r="G69" s="6">
        <f>IF(AND(E69&lt;&gt;"",F69&lt;&gt;""),E69*F69,28.13)</f>
        <v>28.13</v>
      </c>
      <c r="H69" s="6">
        <f t="shared" si="4"/>
        <v>2.8100000000000023</v>
      </c>
      <c r="I69" s="7">
        <f t="shared" si="5"/>
        <v>9.0820943762120299E-2</v>
      </c>
      <c r="J69" s="3" t="s">
        <v>16</v>
      </c>
      <c r="K69" s="8"/>
    </row>
    <row r="70" spans="1:11" ht="15.75" x14ac:dyDescent="0.15">
      <c r="A70" s="2" t="s">
        <v>83</v>
      </c>
      <c r="B70" s="3" t="s">
        <v>81</v>
      </c>
      <c r="C70" s="3" t="s">
        <v>15</v>
      </c>
      <c r="D70" s="4">
        <v>29.88</v>
      </c>
      <c r="E70" s="5"/>
      <c r="F70" s="5"/>
      <c r="G70" s="6">
        <f>IF(AND(E70&lt;&gt;"",F70&lt;&gt;""),E70*F70,27.16)</f>
        <v>27.16</v>
      </c>
      <c r="H70" s="6">
        <f t="shared" si="4"/>
        <v>2.7199999999999989</v>
      </c>
      <c r="I70" s="7">
        <f t="shared" si="5"/>
        <v>9.1030789825970515E-2</v>
      </c>
      <c r="J70" s="3" t="s">
        <v>16</v>
      </c>
      <c r="K70" s="8"/>
    </row>
    <row r="71" spans="1:11" ht="15.75" x14ac:dyDescent="0.15">
      <c r="A71" s="2" t="s">
        <v>84</v>
      </c>
      <c r="B71" s="3" t="s">
        <v>81</v>
      </c>
      <c r="C71" s="3" t="s">
        <v>15</v>
      </c>
      <c r="D71" s="4">
        <v>29.88</v>
      </c>
      <c r="E71" s="5"/>
      <c r="F71" s="5"/>
      <c r="G71" s="6">
        <f>IF(AND(E71&lt;&gt;"",F71&lt;&gt;""),E71*F71,27.16)</f>
        <v>27.16</v>
      </c>
      <c r="H71" s="6">
        <f t="shared" si="4"/>
        <v>2.7199999999999989</v>
      </c>
      <c r="I71" s="7">
        <f t="shared" si="5"/>
        <v>9.1030789825970515E-2</v>
      </c>
      <c r="J71" s="3" t="s">
        <v>16</v>
      </c>
      <c r="K71" s="8"/>
    </row>
    <row r="72" spans="1:11" ht="15.75" x14ac:dyDescent="0.15">
      <c r="A72" s="2" t="s">
        <v>85</v>
      </c>
      <c r="B72" s="3" t="s">
        <v>81</v>
      </c>
      <c r="C72" s="3" t="s">
        <v>15</v>
      </c>
      <c r="D72" s="4">
        <v>76.81</v>
      </c>
      <c r="E72" s="5"/>
      <c r="F72" s="5"/>
      <c r="G72" s="6">
        <f>IF(AND(E72&lt;&gt;"",F72&lt;&gt;""),E72*F72,69.83)</f>
        <v>69.83</v>
      </c>
      <c r="H72" s="6">
        <f t="shared" si="4"/>
        <v>6.980000000000004</v>
      </c>
      <c r="I72" s="7">
        <f t="shared" si="5"/>
        <v>9.087358416872808E-2</v>
      </c>
      <c r="J72" s="3" t="s">
        <v>16</v>
      </c>
      <c r="K72" s="8"/>
    </row>
    <row r="73" spans="1:11" ht="15.75" x14ac:dyDescent="0.15">
      <c r="A73" s="2" t="s">
        <v>86</v>
      </c>
      <c r="B73" s="3" t="s">
        <v>81</v>
      </c>
      <c r="C73" s="3" t="s">
        <v>15</v>
      </c>
      <c r="D73" s="4">
        <v>97.1</v>
      </c>
      <c r="E73" s="5"/>
      <c r="F73" s="5"/>
      <c r="G73" s="6">
        <f>IF(AND(E73&lt;&gt;"",F73&lt;&gt;""),E73*F73,88.27)</f>
        <v>88.27</v>
      </c>
      <c r="H73" s="6">
        <f t="shared" si="4"/>
        <v>8.8299999999999983</v>
      </c>
      <c r="I73" s="7">
        <f t="shared" si="5"/>
        <v>9.0937178166838301E-2</v>
      </c>
      <c r="J73" s="3" t="s">
        <v>16</v>
      </c>
      <c r="K73" s="8"/>
    </row>
    <row r="74" spans="1:11" ht="15.75" x14ac:dyDescent="0.15">
      <c r="A74" s="2" t="s">
        <v>87</v>
      </c>
      <c r="B74" s="3" t="s">
        <v>81</v>
      </c>
      <c r="C74" s="3" t="s">
        <v>15</v>
      </c>
      <c r="D74" s="4">
        <v>56.55</v>
      </c>
      <c r="E74" s="5"/>
      <c r="F74" s="5"/>
      <c r="G74" s="6">
        <f>IF(AND(E74&lt;&gt;"",F74&lt;&gt;""),E74*F74,51.41)</f>
        <v>51.41</v>
      </c>
      <c r="H74" s="6">
        <f t="shared" si="4"/>
        <v>5.1400000000000006</v>
      </c>
      <c r="I74" s="7">
        <f t="shared" si="5"/>
        <v>9.0893015030946087E-2</v>
      </c>
      <c r="J74" s="3" t="s">
        <v>16</v>
      </c>
      <c r="K74" s="8"/>
    </row>
    <row r="75" spans="1:11" ht="15.75" x14ac:dyDescent="0.15">
      <c r="A75" s="2" t="s">
        <v>88</v>
      </c>
      <c r="B75" s="3" t="s">
        <v>81</v>
      </c>
      <c r="C75" s="3" t="s">
        <v>15</v>
      </c>
      <c r="D75" s="4">
        <v>48.02</v>
      </c>
      <c r="E75" s="5"/>
      <c r="F75" s="5"/>
      <c r="G75" s="6">
        <f>IF(AND(E75&lt;&gt;"",F75&lt;&gt;""),E75*F75,43.65)</f>
        <v>43.65</v>
      </c>
      <c r="H75" s="6">
        <f t="shared" si="4"/>
        <v>4.3700000000000045</v>
      </c>
      <c r="I75" s="7">
        <f t="shared" si="5"/>
        <v>9.1003748438150858E-2</v>
      </c>
      <c r="J75" s="3" t="s">
        <v>16</v>
      </c>
      <c r="K75" s="8"/>
    </row>
    <row r="76" spans="1:11" ht="15.75" x14ac:dyDescent="0.15">
      <c r="A76" s="2" t="s">
        <v>89</v>
      </c>
      <c r="B76" s="3" t="s">
        <v>81</v>
      </c>
      <c r="C76" s="3" t="s">
        <v>15</v>
      </c>
      <c r="D76" s="4">
        <v>56.75</v>
      </c>
      <c r="E76" s="5"/>
      <c r="F76" s="5"/>
      <c r="G76" s="6">
        <f>IF(AND(E76&lt;&gt;"",F76&lt;&gt;""),E76*F76,51.59)</f>
        <v>51.59</v>
      </c>
      <c r="H76" s="6">
        <f t="shared" si="4"/>
        <v>5.1599999999999966</v>
      </c>
      <c r="I76" s="7">
        <f t="shared" si="5"/>
        <v>9.0925110132158524E-2</v>
      </c>
      <c r="J76" s="3" t="s">
        <v>16</v>
      </c>
      <c r="K76" s="8"/>
    </row>
    <row r="77" spans="1:11" ht="15.75" x14ac:dyDescent="0.15">
      <c r="A77" s="2" t="s">
        <v>90</v>
      </c>
      <c r="B77" s="3" t="s">
        <v>81</v>
      </c>
      <c r="C77" s="3" t="s">
        <v>15</v>
      </c>
      <c r="D77" s="4">
        <v>61.89</v>
      </c>
      <c r="E77" s="5"/>
      <c r="F77" s="5"/>
      <c r="G77" s="6">
        <f>IF(AND(E77&lt;&gt;"",F77&lt;&gt;""),E77*F77,56.26)</f>
        <v>56.26</v>
      </c>
      <c r="H77" s="6">
        <f t="shared" si="4"/>
        <v>5.6300000000000026</v>
      </c>
      <c r="I77" s="7">
        <f t="shared" si="5"/>
        <v>9.0967846178704195E-2</v>
      </c>
      <c r="J77" s="3" t="s">
        <v>16</v>
      </c>
      <c r="K77" s="8"/>
    </row>
    <row r="78" spans="1:11" ht="15.75" x14ac:dyDescent="0.15">
      <c r="A78" s="2" t="s">
        <v>91</v>
      </c>
      <c r="B78" s="3" t="s">
        <v>81</v>
      </c>
      <c r="C78" s="3" t="s">
        <v>15</v>
      </c>
      <c r="D78" s="4">
        <v>22.41</v>
      </c>
      <c r="E78" s="5"/>
      <c r="F78" s="5"/>
      <c r="G78" s="6">
        <f>IF(AND(E78&lt;&gt;"",F78&lt;&gt;""),E78*F78,20.37)</f>
        <v>20.37</v>
      </c>
      <c r="H78" s="6">
        <f t="shared" si="4"/>
        <v>2.0399999999999991</v>
      </c>
      <c r="I78" s="7">
        <f t="shared" si="5"/>
        <v>9.1030789825970515E-2</v>
      </c>
      <c r="J78" s="3" t="s">
        <v>16</v>
      </c>
      <c r="K78" s="8"/>
    </row>
    <row r="79" spans="1:11" ht="15.75" x14ac:dyDescent="0.15">
      <c r="A79" s="2" t="s">
        <v>92</v>
      </c>
      <c r="B79" s="3" t="s">
        <v>81</v>
      </c>
      <c r="C79" s="3" t="s">
        <v>15</v>
      </c>
      <c r="D79" s="4">
        <v>74.58</v>
      </c>
      <c r="E79" s="5"/>
      <c r="F79" s="5"/>
      <c r="G79" s="6">
        <f>IF(AND(E79&lt;&gt;"",F79&lt;&gt;""),E79*F79,67.8)</f>
        <v>67.8</v>
      </c>
      <c r="H79" s="6">
        <f t="shared" si="4"/>
        <v>6.7800000000000011</v>
      </c>
      <c r="I79" s="7">
        <f t="shared" si="5"/>
        <v>9.0909090909090925E-2</v>
      </c>
      <c r="J79" s="3" t="s">
        <v>16</v>
      </c>
      <c r="K79" s="8"/>
    </row>
    <row r="80" spans="1:11" ht="15.75" x14ac:dyDescent="0.15">
      <c r="A80" s="2" t="s">
        <v>93</v>
      </c>
      <c r="B80" s="3" t="s">
        <v>81</v>
      </c>
      <c r="C80" s="3" t="s">
        <v>15</v>
      </c>
      <c r="D80" s="4">
        <v>18.14</v>
      </c>
      <c r="E80" s="5"/>
      <c r="F80" s="5"/>
      <c r="G80" s="6">
        <f>IF(AND(E80&lt;&gt;"",F80&lt;&gt;""),E80*F80,16.49)</f>
        <v>16.489999999999998</v>
      </c>
      <c r="H80" s="6">
        <f t="shared" si="4"/>
        <v>1.6500000000000021</v>
      </c>
      <c r="I80" s="7">
        <f t="shared" si="5"/>
        <v>9.095920617420078E-2</v>
      </c>
      <c r="J80" s="3" t="s">
        <v>16</v>
      </c>
      <c r="K80" s="8"/>
    </row>
    <row r="81" spans="1:11" ht="15.75" x14ac:dyDescent="0.15">
      <c r="A81" s="2" t="s">
        <v>94</v>
      </c>
      <c r="B81" s="3" t="s">
        <v>81</v>
      </c>
      <c r="C81" s="3" t="s">
        <v>15</v>
      </c>
      <c r="D81" s="4">
        <v>37.35</v>
      </c>
      <c r="E81" s="5"/>
      <c r="F81" s="5"/>
      <c r="G81" s="6">
        <f>IF(AND(E81&lt;&gt;"",F81&lt;&gt;""),E81*F81,33.95)</f>
        <v>33.950000000000003</v>
      </c>
      <c r="H81" s="6">
        <f t="shared" si="4"/>
        <v>3.3999999999999986</v>
      </c>
      <c r="I81" s="7">
        <f t="shared" si="5"/>
        <v>9.1030789825970501E-2</v>
      </c>
      <c r="J81" s="3" t="s">
        <v>16</v>
      </c>
      <c r="K81" s="8"/>
    </row>
    <row r="82" spans="1:11" ht="15.75" x14ac:dyDescent="0.15">
      <c r="A82" s="2" t="s">
        <v>95</v>
      </c>
      <c r="B82" s="3" t="s">
        <v>81</v>
      </c>
      <c r="C82" s="3" t="s">
        <v>15</v>
      </c>
      <c r="D82" s="4">
        <v>29.85</v>
      </c>
      <c r="E82" s="5"/>
      <c r="F82" s="5"/>
      <c r="G82" s="6">
        <f>IF(AND(E82&lt;&gt;"",F82&lt;&gt;""),E82*F82,27.14)</f>
        <v>27.14</v>
      </c>
      <c r="H82" s="6">
        <f t="shared" si="4"/>
        <v>2.7100000000000009</v>
      </c>
      <c r="I82" s="7">
        <f t="shared" si="5"/>
        <v>9.0787269681742069E-2</v>
      </c>
      <c r="J82" s="3" t="s">
        <v>16</v>
      </c>
      <c r="K82" s="8"/>
    </row>
    <row r="83" spans="1:11" ht="15.75" x14ac:dyDescent="0.15">
      <c r="A83" s="2" t="s">
        <v>96</v>
      </c>
      <c r="B83" s="3" t="s">
        <v>81</v>
      </c>
      <c r="C83" s="3" t="s">
        <v>15</v>
      </c>
      <c r="D83" s="4">
        <v>57.31</v>
      </c>
      <c r="E83" s="5"/>
      <c r="F83" s="5"/>
      <c r="G83" s="6">
        <f>IF(AND(E83&lt;&gt;"",F83&lt;&gt;""),E83*F83,52.1)</f>
        <v>52.1</v>
      </c>
      <c r="H83" s="6">
        <f t="shared" si="4"/>
        <v>5.2100000000000009</v>
      </c>
      <c r="I83" s="7">
        <f t="shared" si="5"/>
        <v>9.0909090909090925E-2</v>
      </c>
      <c r="J83" s="3" t="s">
        <v>16</v>
      </c>
      <c r="K83" s="8"/>
    </row>
    <row r="84" spans="1:11" ht="15.75" x14ac:dyDescent="0.15">
      <c r="A84" s="2" t="s">
        <v>97</v>
      </c>
      <c r="B84" s="3" t="s">
        <v>81</v>
      </c>
      <c r="C84" s="3" t="s">
        <v>15</v>
      </c>
      <c r="D84" s="4">
        <v>165.39</v>
      </c>
      <c r="E84" s="5"/>
      <c r="F84" s="5"/>
      <c r="G84" s="6">
        <f>IF(AND(E84&lt;&gt;"",F84&lt;&gt;""),E84*F84,150.35)</f>
        <v>150.35</v>
      </c>
      <c r="H84" s="6">
        <f t="shared" si="4"/>
        <v>15.039999999999992</v>
      </c>
      <c r="I84" s="7">
        <f t="shared" si="5"/>
        <v>9.0936574158050634E-2</v>
      </c>
      <c r="J84" s="3" t="s">
        <v>16</v>
      </c>
      <c r="K84" s="8"/>
    </row>
    <row r="85" spans="1:11" ht="15.75" x14ac:dyDescent="0.15">
      <c r="A85" s="2" t="s">
        <v>98</v>
      </c>
      <c r="B85" s="3" t="s">
        <v>81</v>
      </c>
      <c r="C85" s="3" t="s">
        <v>15</v>
      </c>
      <c r="D85" s="4">
        <v>19.21</v>
      </c>
      <c r="E85" s="5"/>
      <c r="F85" s="5"/>
      <c r="G85" s="6">
        <f>IF(AND(E85&lt;&gt;"",F85&lt;&gt;""),E85*F85,17.46)</f>
        <v>17.46</v>
      </c>
      <c r="H85" s="6">
        <f t="shared" si="4"/>
        <v>1.75</v>
      </c>
      <c r="I85" s="7">
        <f t="shared" si="5"/>
        <v>9.1098386257157729E-2</v>
      </c>
      <c r="J85" s="3" t="s">
        <v>16</v>
      </c>
      <c r="K85" s="8"/>
    </row>
    <row r="86" spans="1:11" ht="15.75" x14ac:dyDescent="0.15">
      <c r="A86" s="2" t="s">
        <v>99</v>
      </c>
      <c r="B86" s="3" t="s">
        <v>81</v>
      </c>
      <c r="C86" s="3" t="s">
        <v>15</v>
      </c>
      <c r="D86" s="4">
        <v>42.68</v>
      </c>
      <c r="E86" s="5"/>
      <c r="F86" s="5"/>
      <c r="G86" s="6">
        <f>IF(AND(E86&lt;&gt;"",F86&lt;&gt;""),E86*F86,38.8)</f>
        <v>38.799999999999997</v>
      </c>
      <c r="H86" s="6">
        <f t="shared" si="4"/>
        <v>3.8800000000000026</v>
      </c>
      <c r="I86" s="7">
        <f t="shared" si="5"/>
        <v>9.0909090909090967E-2</v>
      </c>
      <c r="J86" s="3" t="s">
        <v>16</v>
      </c>
      <c r="K86" s="8"/>
    </row>
    <row r="87" spans="1:11" ht="15.75" x14ac:dyDescent="0.15">
      <c r="A87" s="2" t="s">
        <v>100</v>
      </c>
      <c r="B87" s="3" t="s">
        <v>81</v>
      </c>
      <c r="C87" s="3" t="s">
        <v>15</v>
      </c>
      <c r="D87" s="4">
        <v>3.09</v>
      </c>
      <c r="E87" s="5"/>
      <c r="F87" s="5"/>
      <c r="G87" s="6">
        <f>IF(AND(E87&lt;&gt;"",F87&lt;&gt;""),E87*F87,2.81)</f>
        <v>2.81</v>
      </c>
      <c r="H87" s="6">
        <f t="shared" si="4"/>
        <v>0.2799999999999998</v>
      </c>
      <c r="I87" s="7">
        <f t="shared" si="5"/>
        <v>9.0614886731391522E-2</v>
      </c>
      <c r="J87" s="3" t="s">
        <v>16</v>
      </c>
      <c r="K87" s="8"/>
    </row>
    <row r="88" spans="1:11" ht="15.75" x14ac:dyDescent="0.15">
      <c r="A88" s="2" t="s">
        <v>101</v>
      </c>
      <c r="B88" s="3" t="s">
        <v>81</v>
      </c>
      <c r="C88" s="3" t="s">
        <v>15</v>
      </c>
      <c r="D88" s="4">
        <v>79.569999999999993</v>
      </c>
      <c r="E88" s="5"/>
      <c r="F88" s="5"/>
      <c r="G88" s="6">
        <f>IF(AND(E88&lt;&gt;"",F88&lt;&gt;""),E88*F88,72.34)</f>
        <v>72.34</v>
      </c>
      <c r="H88" s="6">
        <f t="shared" si="4"/>
        <v>7.2299999999999898</v>
      </c>
      <c r="I88" s="7">
        <f t="shared" si="5"/>
        <v>9.0863390725147541E-2</v>
      </c>
      <c r="J88" s="3" t="s">
        <v>16</v>
      </c>
      <c r="K88" s="8"/>
    </row>
    <row r="89" spans="1:11" ht="15.75" x14ac:dyDescent="0.15">
      <c r="A89" s="2" t="s">
        <v>102</v>
      </c>
      <c r="B89" s="3" t="s">
        <v>81</v>
      </c>
      <c r="C89" s="3" t="s">
        <v>15</v>
      </c>
      <c r="D89" s="4">
        <v>84.28</v>
      </c>
      <c r="E89" s="5"/>
      <c r="F89" s="5"/>
      <c r="G89" s="6">
        <f>IF(AND(E89&lt;&gt;"",F89&lt;&gt;""),E89*F89,76.62)</f>
        <v>76.62</v>
      </c>
      <c r="H89" s="6">
        <f t="shared" si="4"/>
        <v>7.6599999999999966</v>
      </c>
      <c r="I89" s="7">
        <f t="shared" si="5"/>
        <v>9.0887517797816758E-2</v>
      </c>
      <c r="J89" s="3" t="s">
        <v>16</v>
      </c>
      <c r="K89" s="8"/>
    </row>
    <row r="90" spans="1:11" ht="15.75" x14ac:dyDescent="0.15">
      <c r="A90" s="2" t="s">
        <v>103</v>
      </c>
      <c r="B90" s="3" t="s">
        <v>81</v>
      </c>
      <c r="C90" s="3" t="s">
        <v>15</v>
      </c>
      <c r="D90" s="4">
        <v>33.57</v>
      </c>
      <c r="E90" s="5"/>
      <c r="F90" s="5"/>
      <c r="G90" s="6">
        <f>IF(AND(E90&lt;&gt;"",F90&lt;&gt;""),E90*F90,30.52)</f>
        <v>30.52</v>
      </c>
      <c r="H90" s="6">
        <f t="shared" si="4"/>
        <v>3.0500000000000007</v>
      </c>
      <c r="I90" s="7">
        <f t="shared" si="5"/>
        <v>9.0854929997021175E-2</v>
      </c>
      <c r="J90" s="3" t="s">
        <v>16</v>
      </c>
      <c r="K90" s="8"/>
    </row>
    <row r="91" spans="1:11" ht="15.75" x14ac:dyDescent="0.15">
      <c r="A91" s="2" t="s">
        <v>104</v>
      </c>
      <c r="B91" s="3" t="s">
        <v>81</v>
      </c>
      <c r="C91" s="3" t="s">
        <v>15</v>
      </c>
      <c r="D91" s="4">
        <v>32.01</v>
      </c>
      <c r="E91" s="5"/>
      <c r="F91" s="5"/>
      <c r="G91" s="6">
        <f>IF(AND(E91&lt;&gt;"",F91&lt;&gt;""),E91*F91,29.1)</f>
        <v>29.1</v>
      </c>
      <c r="H91" s="6">
        <f t="shared" si="4"/>
        <v>2.9099999999999966</v>
      </c>
      <c r="I91" s="7">
        <f t="shared" si="5"/>
        <v>9.0909090909090814E-2</v>
      </c>
      <c r="J91" s="3" t="s">
        <v>16</v>
      </c>
      <c r="K91" s="8"/>
    </row>
    <row r="92" spans="1:11" ht="15.75" x14ac:dyDescent="0.15">
      <c r="A92" s="2" t="s">
        <v>105</v>
      </c>
      <c r="B92" s="3" t="s">
        <v>81</v>
      </c>
      <c r="C92" s="3" t="s">
        <v>15</v>
      </c>
      <c r="D92" s="4">
        <v>2.98</v>
      </c>
      <c r="E92" s="5"/>
      <c r="F92" s="5"/>
      <c r="G92" s="6">
        <f>IF(AND(E92&lt;&gt;"",F92&lt;&gt;""),E92*F92,2.71)</f>
        <v>2.71</v>
      </c>
      <c r="H92" s="6">
        <f t="shared" si="4"/>
        <v>0.27</v>
      </c>
      <c r="I92" s="7">
        <f t="shared" si="5"/>
        <v>9.0604026845637592E-2</v>
      </c>
      <c r="J92" s="3" t="s">
        <v>16</v>
      </c>
      <c r="K92" s="8"/>
    </row>
    <row r="93" spans="1:11" ht="15.75" x14ac:dyDescent="0.15">
      <c r="A93" s="2" t="s">
        <v>106</v>
      </c>
      <c r="B93" s="3" t="s">
        <v>81</v>
      </c>
      <c r="C93" s="3" t="s">
        <v>15</v>
      </c>
      <c r="D93" s="4">
        <v>3.3</v>
      </c>
      <c r="E93" s="5"/>
      <c r="F93" s="5"/>
      <c r="G93" s="6">
        <f>IF(AND(E93&lt;&gt;"",F93&lt;&gt;""),E93*F93,3)</f>
        <v>3</v>
      </c>
      <c r="H93" s="6">
        <f t="shared" si="4"/>
        <v>0.29999999999999982</v>
      </c>
      <c r="I93" s="7">
        <f t="shared" si="5"/>
        <v>9.0909090909090856E-2</v>
      </c>
      <c r="J93" s="3" t="s">
        <v>16</v>
      </c>
      <c r="K93" s="8"/>
    </row>
    <row r="94" spans="1:11" ht="15.75" x14ac:dyDescent="0.15">
      <c r="A94" s="2" t="s">
        <v>107</v>
      </c>
      <c r="B94" s="3" t="s">
        <v>81</v>
      </c>
      <c r="C94" s="3" t="s">
        <v>15</v>
      </c>
      <c r="D94" s="4">
        <v>8.5399999999999991</v>
      </c>
      <c r="E94" s="5"/>
      <c r="F94" s="5"/>
      <c r="G94" s="6">
        <f>IF(AND(E94&lt;&gt;"",F94&lt;&gt;""),E94*F94,7.76)</f>
        <v>7.76</v>
      </c>
      <c r="H94" s="6">
        <f t="shared" si="4"/>
        <v>0.77999999999999936</v>
      </c>
      <c r="I94" s="7">
        <f t="shared" si="5"/>
        <v>9.1334894613583073E-2</v>
      </c>
      <c r="J94" s="3" t="s">
        <v>16</v>
      </c>
      <c r="K94" s="8"/>
    </row>
    <row r="95" spans="1:11" ht="15.75" x14ac:dyDescent="0.15">
      <c r="A95" s="2" t="s">
        <v>108</v>
      </c>
      <c r="B95" s="3" t="s">
        <v>81</v>
      </c>
      <c r="C95" s="3" t="s">
        <v>15</v>
      </c>
      <c r="D95" s="4">
        <v>69.36</v>
      </c>
      <c r="E95" s="5"/>
      <c r="F95" s="5"/>
      <c r="G95" s="6">
        <f>IF(AND(E95&lt;&gt;"",F95&lt;&gt;""),E95*F95,63.05)</f>
        <v>63.05</v>
      </c>
      <c r="H95" s="6">
        <f t="shared" si="4"/>
        <v>6.3100000000000023</v>
      </c>
      <c r="I95" s="7">
        <f t="shared" si="5"/>
        <v>9.0974625144175356E-2</v>
      </c>
      <c r="J95" s="3" t="s">
        <v>16</v>
      </c>
      <c r="K95" s="8"/>
    </row>
  </sheetData>
  <autoFilter ref="A3:K3" xr:uid="{00000000-0009-0000-0000-000000000000}"/>
  <mergeCells count="2">
    <mergeCell ref="A2:K2"/>
    <mergeCell ref="A1:K1"/>
  </mergeCells>
  <phoneticPr fontId="6"/>
  <dataValidations count="2">
    <dataValidation type="list" showErrorMessage="1" errorTitle="入力エラー" error="リストから選択してください" sqref="B4:B500" xr:uid="{00000000-0002-0000-0000-000000000000}">
      <formula1>"昭和,昭和以外,缶バッジ,その他"</formula1>
    </dataValidation>
    <dataValidation type="list" showErrorMessage="1" errorTitle="入力エラー" error="リストから選択してください" sqref="J4:J500" xr:uid="{00000000-0002-0000-0000-000001000000}">
      <formula1>"有効,廃番"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J56"/>
  <sheetViews>
    <sheetView tabSelected="1" workbookViewId="0">
      <pane xSplit="4" ySplit="4" topLeftCell="E5" activePane="bottomRight" state="frozen"/>
      <selection pane="topRight"/>
      <selection pane="bottomLeft"/>
      <selection pane="bottomRight" activeCell="L10" sqref="L10"/>
    </sheetView>
  </sheetViews>
  <sheetFormatPr defaultRowHeight="13.5" outlineLevelCol="1" x14ac:dyDescent="0.15"/>
  <cols>
    <col min="1" max="1" width="8" customWidth="1"/>
    <col min="2" max="2" width="10" customWidth="1"/>
    <col min="3" max="3" width="18" customWidth="1"/>
    <col min="4" max="4" width="22" customWidth="1"/>
    <col min="5" max="6" width="8" customWidth="1"/>
    <col min="7" max="14" width="12" customWidth="1"/>
    <col min="15" max="15" width="9" customWidth="1" outlineLevel="1"/>
    <col min="16" max="17" width="11" customWidth="1" outlineLevel="1"/>
    <col min="18" max="18" width="9" customWidth="1" outlineLevel="1"/>
    <col min="19" max="20" width="11" customWidth="1" outlineLevel="1"/>
    <col min="21" max="21" width="9" customWidth="1" outlineLevel="1"/>
    <col min="22" max="23" width="11" customWidth="1" outlineLevel="1"/>
    <col min="24" max="24" width="9" customWidth="1" outlineLevel="1"/>
    <col min="25" max="26" width="11" customWidth="1" outlineLevel="1"/>
    <col min="27" max="27" width="9" customWidth="1" outlineLevel="1"/>
    <col min="28" max="29" width="11" customWidth="1" outlineLevel="1"/>
    <col min="30" max="30" width="9" customWidth="1" outlineLevel="1"/>
    <col min="31" max="32" width="11" customWidth="1" outlineLevel="1"/>
    <col min="33" max="33" width="9" customWidth="1" outlineLevel="1"/>
    <col min="34" max="35" width="11" customWidth="1" outlineLevel="1"/>
    <col min="36" max="36" width="9" customWidth="1" outlineLevel="1"/>
    <col min="37" max="38" width="11" customWidth="1" outlineLevel="1"/>
    <col min="39" max="39" width="9" customWidth="1" outlineLevel="1"/>
    <col min="40" max="41" width="11" customWidth="1" outlineLevel="1"/>
    <col min="42" max="42" width="9" customWidth="1" outlineLevel="1"/>
    <col min="43" max="44" width="11" customWidth="1" outlineLevel="1"/>
    <col min="45" max="45" width="9" customWidth="1" outlineLevel="1"/>
    <col min="46" max="47" width="11" customWidth="1" outlineLevel="1"/>
    <col min="48" max="48" width="9" customWidth="1" outlineLevel="1"/>
    <col min="49" max="50" width="11" customWidth="1" outlineLevel="1"/>
    <col min="51" max="51" width="9" customWidth="1" outlineLevel="1"/>
    <col min="52" max="53" width="11" customWidth="1" outlineLevel="1"/>
    <col min="54" max="54" width="9" customWidth="1" outlineLevel="1"/>
    <col min="55" max="56" width="11" customWidth="1" outlineLevel="1"/>
    <col min="57" max="57" width="9" customWidth="1" outlineLevel="1"/>
    <col min="58" max="59" width="11" customWidth="1" outlineLevel="1"/>
    <col min="60" max="60" width="9" customWidth="1" outlineLevel="1"/>
    <col min="61" max="62" width="11" customWidth="1" outlineLevel="1"/>
    <col min="63" max="63" width="9" customWidth="1" outlineLevel="1"/>
    <col min="64" max="65" width="11" customWidth="1" outlineLevel="1"/>
    <col min="66" max="66" width="9" customWidth="1" outlineLevel="1"/>
    <col min="67" max="68" width="11" customWidth="1" outlineLevel="1"/>
    <col min="69" max="69" width="9" customWidth="1" outlineLevel="1"/>
    <col min="70" max="71" width="11" customWidth="1" outlineLevel="1"/>
    <col min="72" max="72" width="9" customWidth="1" outlineLevel="1"/>
    <col min="73" max="74" width="11" customWidth="1" outlineLevel="1"/>
    <col min="75" max="75" width="9" customWidth="1" outlineLevel="1"/>
    <col min="76" max="77" width="11" customWidth="1" outlineLevel="1"/>
    <col min="78" max="78" width="9" customWidth="1" outlineLevel="1"/>
    <col min="79" max="80" width="11" customWidth="1" outlineLevel="1"/>
    <col min="81" max="81" width="9" customWidth="1" outlineLevel="1"/>
    <col min="82" max="83" width="11" customWidth="1" outlineLevel="1"/>
    <col min="84" max="84" width="9" customWidth="1" outlineLevel="1"/>
    <col min="85" max="86" width="11" customWidth="1" outlineLevel="1"/>
    <col min="87" max="88" width="1" hidden="1" customWidth="1"/>
  </cols>
  <sheetData>
    <row r="1" spans="1:88" ht="21.95" customHeight="1" x14ac:dyDescent="0.15">
      <c r="A1" s="30" t="s">
        <v>109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</row>
    <row r="2" spans="1:88" ht="39.950000000000003" customHeight="1" x14ac:dyDescent="0.15">
      <c r="A2" s="23" t="s">
        <v>110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</row>
    <row r="3" spans="1:88" ht="31.5" x14ac:dyDescent="0.15">
      <c r="A3" s="1" t="s">
        <v>111</v>
      </c>
      <c r="B3" s="1" t="s">
        <v>3</v>
      </c>
      <c r="C3" s="1" t="s">
        <v>112</v>
      </c>
      <c r="D3" s="1" t="s">
        <v>2</v>
      </c>
      <c r="E3" s="1" t="s">
        <v>5</v>
      </c>
      <c r="F3" s="1" t="s">
        <v>113</v>
      </c>
      <c r="G3" s="29" t="s">
        <v>114</v>
      </c>
      <c r="H3" s="27"/>
      <c r="I3" s="28"/>
      <c r="J3" s="26" t="s">
        <v>115</v>
      </c>
      <c r="K3" s="27"/>
      <c r="L3" s="28"/>
      <c r="M3" s="10" t="s">
        <v>116</v>
      </c>
      <c r="N3" s="10" t="s">
        <v>117</v>
      </c>
      <c r="O3" s="29" t="s">
        <v>118</v>
      </c>
      <c r="P3" s="27"/>
      <c r="Q3" s="28"/>
      <c r="R3" s="26" t="s">
        <v>118</v>
      </c>
      <c r="S3" s="27"/>
      <c r="T3" s="28"/>
      <c r="U3" s="29" t="s">
        <v>119</v>
      </c>
      <c r="V3" s="27"/>
      <c r="W3" s="28"/>
      <c r="X3" s="26" t="s">
        <v>119</v>
      </c>
      <c r="Y3" s="27"/>
      <c r="Z3" s="28"/>
      <c r="AA3" s="29" t="s">
        <v>120</v>
      </c>
      <c r="AB3" s="27"/>
      <c r="AC3" s="28"/>
      <c r="AD3" s="26" t="s">
        <v>120</v>
      </c>
      <c r="AE3" s="27"/>
      <c r="AF3" s="28"/>
      <c r="AG3" s="29" t="s">
        <v>121</v>
      </c>
      <c r="AH3" s="27"/>
      <c r="AI3" s="28"/>
      <c r="AJ3" s="26" t="s">
        <v>121</v>
      </c>
      <c r="AK3" s="27"/>
      <c r="AL3" s="28"/>
      <c r="AM3" s="29" t="s">
        <v>122</v>
      </c>
      <c r="AN3" s="27"/>
      <c r="AO3" s="28"/>
      <c r="AP3" s="26" t="s">
        <v>122</v>
      </c>
      <c r="AQ3" s="27"/>
      <c r="AR3" s="28"/>
      <c r="AS3" s="29" t="s">
        <v>123</v>
      </c>
      <c r="AT3" s="27"/>
      <c r="AU3" s="28"/>
      <c r="AV3" s="26" t="s">
        <v>123</v>
      </c>
      <c r="AW3" s="27"/>
      <c r="AX3" s="28"/>
      <c r="AY3" s="29" t="s">
        <v>124</v>
      </c>
      <c r="AZ3" s="27"/>
      <c r="BA3" s="28"/>
      <c r="BB3" s="26" t="s">
        <v>124</v>
      </c>
      <c r="BC3" s="27"/>
      <c r="BD3" s="28"/>
      <c r="BE3" s="29" t="s">
        <v>125</v>
      </c>
      <c r="BF3" s="27"/>
      <c r="BG3" s="28"/>
      <c r="BH3" s="26" t="s">
        <v>125</v>
      </c>
      <c r="BI3" s="27"/>
      <c r="BJ3" s="28"/>
      <c r="BK3" s="29" t="s">
        <v>126</v>
      </c>
      <c r="BL3" s="27"/>
      <c r="BM3" s="28"/>
      <c r="BN3" s="26" t="s">
        <v>126</v>
      </c>
      <c r="BO3" s="27"/>
      <c r="BP3" s="28"/>
      <c r="BQ3" s="29" t="s">
        <v>127</v>
      </c>
      <c r="BR3" s="27"/>
      <c r="BS3" s="28"/>
      <c r="BT3" s="26" t="s">
        <v>127</v>
      </c>
      <c r="BU3" s="27"/>
      <c r="BV3" s="28"/>
      <c r="BW3" s="29" t="s">
        <v>128</v>
      </c>
      <c r="BX3" s="27"/>
      <c r="BY3" s="28"/>
      <c r="BZ3" s="26" t="s">
        <v>128</v>
      </c>
      <c r="CA3" s="27"/>
      <c r="CB3" s="28"/>
      <c r="CC3" s="29" t="s">
        <v>129</v>
      </c>
      <c r="CD3" s="27"/>
      <c r="CE3" s="28"/>
      <c r="CF3" s="26" t="s">
        <v>129</v>
      </c>
      <c r="CG3" s="27"/>
      <c r="CH3" s="28"/>
    </row>
    <row r="4" spans="1:88" ht="31.5" x14ac:dyDescent="0.15">
      <c r="G4" s="9" t="s">
        <v>130</v>
      </c>
      <c r="H4" s="9" t="s">
        <v>131</v>
      </c>
      <c r="I4" s="9" t="s">
        <v>132</v>
      </c>
      <c r="J4" s="10" t="s">
        <v>133</v>
      </c>
      <c r="K4" s="10" t="s">
        <v>134</v>
      </c>
      <c r="L4" s="10" t="s">
        <v>135</v>
      </c>
      <c r="M4" s="10"/>
      <c r="N4" s="10"/>
      <c r="O4" s="9" t="s">
        <v>130</v>
      </c>
      <c r="P4" s="9" t="s">
        <v>131</v>
      </c>
      <c r="Q4" s="9" t="s">
        <v>132</v>
      </c>
      <c r="R4" s="10" t="s">
        <v>133</v>
      </c>
      <c r="S4" s="10" t="s">
        <v>134</v>
      </c>
      <c r="T4" s="10" t="s">
        <v>135</v>
      </c>
      <c r="U4" s="9" t="s">
        <v>130</v>
      </c>
      <c r="V4" s="9" t="s">
        <v>131</v>
      </c>
      <c r="W4" s="9" t="s">
        <v>132</v>
      </c>
      <c r="X4" s="10" t="s">
        <v>133</v>
      </c>
      <c r="Y4" s="10" t="s">
        <v>134</v>
      </c>
      <c r="Z4" s="10" t="s">
        <v>135</v>
      </c>
      <c r="AA4" s="9" t="s">
        <v>130</v>
      </c>
      <c r="AB4" s="9" t="s">
        <v>131</v>
      </c>
      <c r="AC4" s="9" t="s">
        <v>132</v>
      </c>
      <c r="AD4" s="10" t="s">
        <v>133</v>
      </c>
      <c r="AE4" s="10" t="s">
        <v>134</v>
      </c>
      <c r="AF4" s="10" t="s">
        <v>135</v>
      </c>
      <c r="AG4" s="9" t="s">
        <v>130</v>
      </c>
      <c r="AH4" s="9" t="s">
        <v>131</v>
      </c>
      <c r="AI4" s="9" t="s">
        <v>132</v>
      </c>
      <c r="AJ4" s="10" t="s">
        <v>133</v>
      </c>
      <c r="AK4" s="10" t="s">
        <v>134</v>
      </c>
      <c r="AL4" s="10" t="s">
        <v>135</v>
      </c>
      <c r="AM4" s="9" t="s">
        <v>130</v>
      </c>
      <c r="AN4" s="9" t="s">
        <v>131</v>
      </c>
      <c r="AO4" s="9" t="s">
        <v>132</v>
      </c>
      <c r="AP4" s="10" t="s">
        <v>133</v>
      </c>
      <c r="AQ4" s="10" t="s">
        <v>134</v>
      </c>
      <c r="AR4" s="10" t="s">
        <v>135</v>
      </c>
      <c r="AS4" s="9" t="s">
        <v>130</v>
      </c>
      <c r="AT4" s="9" t="s">
        <v>131</v>
      </c>
      <c r="AU4" s="9" t="s">
        <v>132</v>
      </c>
      <c r="AV4" s="10" t="s">
        <v>133</v>
      </c>
      <c r="AW4" s="10" t="s">
        <v>134</v>
      </c>
      <c r="AX4" s="10" t="s">
        <v>135</v>
      </c>
      <c r="AY4" s="9" t="s">
        <v>130</v>
      </c>
      <c r="AZ4" s="9" t="s">
        <v>131</v>
      </c>
      <c r="BA4" s="9" t="s">
        <v>132</v>
      </c>
      <c r="BB4" s="10" t="s">
        <v>133</v>
      </c>
      <c r="BC4" s="10" t="s">
        <v>134</v>
      </c>
      <c r="BD4" s="10" t="s">
        <v>135</v>
      </c>
      <c r="BE4" s="9" t="s">
        <v>130</v>
      </c>
      <c r="BF4" s="9" t="s">
        <v>131</v>
      </c>
      <c r="BG4" s="9" t="s">
        <v>132</v>
      </c>
      <c r="BH4" s="10" t="s">
        <v>133</v>
      </c>
      <c r="BI4" s="10" t="s">
        <v>134</v>
      </c>
      <c r="BJ4" s="10" t="s">
        <v>135</v>
      </c>
      <c r="BK4" s="9" t="s">
        <v>130</v>
      </c>
      <c r="BL4" s="9" t="s">
        <v>131</v>
      </c>
      <c r="BM4" s="9" t="s">
        <v>132</v>
      </c>
      <c r="BN4" s="10" t="s">
        <v>133</v>
      </c>
      <c r="BO4" s="10" t="s">
        <v>134</v>
      </c>
      <c r="BP4" s="10" t="s">
        <v>135</v>
      </c>
      <c r="BQ4" s="9" t="s">
        <v>130</v>
      </c>
      <c r="BR4" s="9" t="s">
        <v>131</v>
      </c>
      <c r="BS4" s="9" t="s">
        <v>132</v>
      </c>
      <c r="BT4" s="10" t="s">
        <v>133</v>
      </c>
      <c r="BU4" s="10" t="s">
        <v>134</v>
      </c>
      <c r="BV4" s="10" t="s">
        <v>135</v>
      </c>
      <c r="BW4" s="9" t="s">
        <v>130</v>
      </c>
      <c r="BX4" s="9" t="s">
        <v>131</v>
      </c>
      <c r="BY4" s="9" t="s">
        <v>132</v>
      </c>
      <c r="BZ4" s="10" t="s">
        <v>133</v>
      </c>
      <c r="CA4" s="10" t="s">
        <v>134</v>
      </c>
      <c r="CB4" s="10" t="s">
        <v>135</v>
      </c>
      <c r="CC4" s="9" t="s">
        <v>130</v>
      </c>
      <c r="CD4" s="9" t="s">
        <v>131</v>
      </c>
      <c r="CE4" s="9" t="s">
        <v>132</v>
      </c>
      <c r="CF4" s="10" t="s">
        <v>133</v>
      </c>
      <c r="CG4" s="10" t="s">
        <v>134</v>
      </c>
      <c r="CH4" s="10" t="s">
        <v>135</v>
      </c>
    </row>
    <row r="5" spans="1:88" ht="15.75" x14ac:dyDescent="0.15">
      <c r="A5" s="3" t="s">
        <v>136</v>
      </c>
      <c r="B5" s="11" t="str">
        <f>IF(D5="","",IFERROR(VLOOKUP(D5,商品マスタ!$A:$K,2,FALSE),"昭和"))</f>
        <v>昭和</v>
      </c>
      <c r="C5" s="2" t="s">
        <v>137</v>
      </c>
      <c r="D5" s="2" t="s">
        <v>138</v>
      </c>
      <c r="E5" s="6">
        <f>IF(D5="","",IFERROR(VLOOKUP(D5,商品マスタ!$A:$K,4,FALSE),8.14))</f>
        <v>8.14</v>
      </c>
      <c r="F5" s="6">
        <f>IF(D5="","",IFERROR(VLOOKUP(D5,商品マスタ!$A:$K,8,FALSE),0))</f>
        <v>0</v>
      </c>
      <c r="G5" s="12">
        <f t="shared" ref="G5:G36" si="0">SUM(O5,U5,AA5,AG5,AM5,AS5,AY5,BE5,BK5,BQ5,BW5,CC5)</f>
        <v>10</v>
      </c>
      <c r="H5" s="12">
        <f t="shared" ref="H5:H36" si="1">SUM(P5,V5,AB5,AH5,AN5,AT5,AZ5,BF5,BL5,BR5,BX5,CD5)</f>
        <v>81.400000000000006</v>
      </c>
      <c r="I5" s="12">
        <f t="shared" ref="I5:I36" si="2">SUM(Q5,W5,AC5,AI5,AO5,AU5,BA5,BG5,BM5,BS5,BY5,CE5)</f>
        <v>0</v>
      </c>
      <c r="J5" s="13">
        <f t="shared" ref="J5:J36" si="3">SUM(R5,X5,AD5,AJ5,AP5,AV5,BB5,BH5,BN5,BT5,BZ5,CF5)</f>
        <v>0</v>
      </c>
      <c r="K5" s="13">
        <f t="shared" ref="K5:K36" si="4">SUM(S5,Y5,AE5,AK5,AQ5,AW5,BC5,BI5,BO5,BU5,CA5,CG5)</f>
        <v>0</v>
      </c>
      <c r="L5" s="13">
        <f t="shared" ref="L5:L36" si="5">SUM(T5,Z5,AF5,AL5,AR5,AX5,BD5,BJ5,BP5,BV5,CB5,CH5)</f>
        <v>0</v>
      </c>
      <c r="M5" s="14" t="str">
        <f t="shared" ref="M5:M36" si="6">IFERROR(K5/CI5,"")</f>
        <v/>
      </c>
      <c r="N5" s="14" t="str">
        <f t="shared" ref="N5:N36" si="7">IFERROR(L5/CJ5,"")</f>
        <v/>
      </c>
      <c r="O5" s="15">
        <v>10</v>
      </c>
      <c r="P5" s="12">
        <f t="shared" ref="P5:P36" si="8">IF(O5="","",O5*$E5)</f>
        <v>81.400000000000006</v>
      </c>
      <c r="Q5" s="12">
        <f t="shared" ref="Q5:Q36" si="9">IF(O5="","",O5*$F5)</f>
        <v>0</v>
      </c>
      <c r="R5" s="16"/>
      <c r="S5" s="13" t="str">
        <f t="shared" ref="S5:S36" si="10">IF(R5="","",R5*$E5)</f>
        <v/>
      </c>
      <c r="T5" s="13" t="str">
        <f t="shared" ref="T5:T36" si="11">IF(R5="","",R5*$F5)</f>
        <v/>
      </c>
      <c r="U5" s="15"/>
      <c r="V5" s="12" t="str">
        <f t="shared" ref="V5:V36" si="12">IF(U5="","",U5*$E5)</f>
        <v/>
      </c>
      <c r="W5" s="12" t="str">
        <f t="shared" ref="W5:W36" si="13">IF(U5="","",U5*$F5)</f>
        <v/>
      </c>
      <c r="X5" s="16"/>
      <c r="Y5" s="13" t="str">
        <f t="shared" ref="Y5:Y36" si="14">IF(X5="","",X5*$E5)</f>
        <v/>
      </c>
      <c r="Z5" s="13" t="str">
        <f t="shared" ref="Z5:Z36" si="15">IF(X5="","",X5*$F5)</f>
        <v/>
      </c>
      <c r="AA5" s="15"/>
      <c r="AB5" s="12" t="str">
        <f t="shared" ref="AB5:AB36" si="16">IF(AA5="","",AA5*$E5)</f>
        <v/>
      </c>
      <c r="AC5" s="12" t="str">
        <f t="shared" ref="AC5:AC36" si="17">IF(AA5="","",AA5*$F5)</f>
        <v/>
      </c>
      <c r="AD5" s="16"/>
      <c r="AE5" s="13" t="str">
        <f t="shared" ref="AE5:AE36" si="18">IF(AD5="","",AD5*$E5)</f>
        <v/>
      </c>
      <c r="AF5" s="13" t="str">
        <f t="shared" ref="AF5:AF36" si="19">IF(AD5="","",AD5*$F5)</f>
        <v/>
      </c>
      <c r="AG5" s="15"/>
      <c r="AH5" s="12" t="str">
        <f t="shared" ref="AH5:AH36" si="20">IF(AG5="","",AG5*$E5)</f>
        <v/>
      </c>
      <c r="AI5" s="12" t="str">
        <f t="shared" ref="AI5:AI36" si="21">IF(AG5="","",AG5*$F5)</f>
        <v/>
      </c>
      <c r="AJ5" s="16"/>
      <c r="AK5" s="13" t="str">
        <f t="shared" ref="AK5:AK36" si="22">IF(AJ5="","",AJ5*$E5)</f>
        <v/>
      </c>
      <c r="AL5" s="13" t="str">
        <f t="shared" ref="AL5:AL36" si="23">IF(AJ5="","",AJ5*$F5)</f>
        <v/>
      </c>
      <c r="AM5" s="15"/>
      <c r="AN5" s="12" t="str">
        <f t="shared" ref="AN5:AN36" si="24">IF(AM5="","",AM5*$E5)</f>
        <v/>
      </c>
      <c r="AO5" s="12" t="str">
        <f t="shared" ref="AO5:AO36" si="25">IF(AM5="","",AM5*$F5)</f>
        <v/>
      </c>
      <c r="AP5" s="16"/>
      <c r="AQ5" s="13" t="str">
        <f t="shared" ref="AQ5:AQ36" si="26">IF(AP5="","",AP5*$E5)</f>
        <v/>
      </c>
      <c r="AR5" s="13" t="str">
        <f t="shared" ref="AR5:AR36" si="27">IF(AP5="","",AP5*$F5)</f>
        <v/>
      </c>
      <c r="AS5" s="15"/>
      <c r="AT5" s="12" t="str">
        <f t="shared" ref="AT5:AT36" si="28">IF(AS5="","",AS5*$E5)</f>
        <v/>
      </c>
      <c r="AU5" s="12" t="str">
        <f t="shared" ref="AU5:AU36" si="29">IF(AS5="","",AS5*$F5)</f>
        <v/>
      </c>
      <c r="AV5" s="16"/>
      <c r="AW5" s="13" t="str">
        <f t="shared" ref="AW5:AW36" si="30">IF(AV5="","",AV5*$E5)</f>
        <v/>
      </c>
      <c r="AX5" s="13" t="str">
        <f t="shared" ref="AX5:AX36" si="31">IF(AV5="","",AV5*$F5)</f>
        <v/>
      </c>
      <c r="AY5" s="15"/>
      <c r="AZ5" s="12" t="str">
        <f t="shared" ref="AZ5:AZ36" si="32">IF(AY5="","",AY5*$E5)</f>
        <v/>
      </c>
      <c r="BA5" s="12" t="str">
        <f t="shared" ref="BA5:BA36" si="33">IF(AY5="","",AY5*$F5)</f>
        <v/>
      </c>
      <c r="BB5" s="16"/>
      <c r="BC5" s="13" t="str">
        <f t="shared" ref="BC5:BC36" si="34">IF(BB5="","",BB5*$E5)</f>
        <v/>
      </c>
      <c r="BD5" s="13" t="str">
        <f t="shared" ref="BD5:BD36" si="35">IF(BB5="","",BB5*$F5)</f>
        <v/>
      </c>
      <c r="BE5" s="15"/>
      <c r="BF5" s="12" t="str">
        <f t="shared" ref="BF5:BF36" si="36">IF(BE5="","",BE5*$E5)</f>
        <v/>
      </c>
      <c r="BG5" s="12" t="str">
        <f t="shared" ref="BG5:BG36" si="37">IF(BE5="","",BE5*$F5)</f>
        <v/>
      </c>
      <c r="BH5" s="16"/>
      <c r="BI5" s="13" t="str">
        <f t="shared" ref="BI5:BI36" si="38">IF(BH5="","",BH5*$E5)</f>
        <v/>
      </c>
      <c r="BJ5" s="13" t="str">
        <f t="shared" ref="BJ5:BJ36" si="39">IF(BH5="","",BH5*$F5)</f>
        <v/>
      </c>
      <c r="BK5" s="15"/>
      <c r="BL5" s="12" t="str">
        <f t="shared" ref="BL5:BL36" si="40">IF(BK5="","",BK5*$E5)</f>
        <v/>
      </c>
      <c r="BM5" s="12" t="str">
        <f t="shared" ref="BM5:BM36" si="41">IF(BK5="","",BK5*$F5)</f>
        <v/>
      </c>
      <c r="BN5" s="16"/>
      <c r="BO5" s="13" t="str">
        <f t="shared" ref="BO5:BO36" si="42">IF(BN5="","",BN5*$E5)</f>
        <v/>
      </c>
      <c r="BP5" s="13" t="str">
        <f t="shared" ref="BP5:BP36" si="43">IF(BN5="","",BN5*$F5)</f>
        <v/>
      </c>
      <c r="BQ5" s="15"/>
      <c r="BR5" s="12" t="str">
        <f t="shared" ref="BR5:BR36" si="44">IF(BQ5="","",BQ5*$E5)</f>
        <v/>
      </c>
      <c r="BS5" s="12" t="str">
        <f t="shared" ref="BS5:BS36" si="45">IF(BQ5="","",BQ5*$F5)</f>
        <v/>
      </c>
      <c r="BT5" s="16"/>
      <c r="BU5" s="13" t="str">
        <f t="shared" ref="BU5:BU36" si="46">IF(BT5="","",BT5*$E5)</f>
        <v/>
      </c>
      <c r="BV5" s="13" t="str">
        <f t="shared" ref="BV5:BV36" si="47">IF(BT5="","",BT5*$F5)</f>
        <v/>
      </c>
      <c r="BW5" s="15"/>
      <c r="BX5" s="12" t="str">
        <f t="shared" ref="BX5:BX36" si="48">IF(BW5="","",BW5*$E5)</f>
        <v/>
      </c>
      <c r="BY5" s="12" t="str">
        <f t="shared" ref="BY5:BY36" si="49">IF(BW5="","",BW5*$F5)</f>
        <v/>
      </c>
      <c r="BZ5" s="16"/>
      <c r="CA5" s="13" t="str">
        <f t="shared" ref="CA5:CA36" si="50">IF(BZ5="","",BZ5*$E5)</f>
        <v/>
      </c>
      <c r="CB5" s="13" t="str">
        <f t="shared" ref="CB5:CB36" si="51">IF(BZ5="","",BZ5*$F5)</f>
        <v/>
      </c>
      <c r="CC5" s="15"/>
      <c r="CD5" s="12" t="str">
        <f t="shared" ref="CD5:CD36" si="52">IF(CC5="","",CC5*$E5)</f>
        <v/>
      </c>
      <c r="CE5" s="12" t="str">
        <f t="shared" ref="CE5:CE36" si="53">IF(CC5="","",CC5*$F5)</f>
        <v/>
      </c>
      <c r="CF5" s="16"/>
      <c r="CG5" s="13" t="str">
        <f t="shared" ref="CG5:CG36" si="54">IF(CF5="","",CF5*$E5)</f>
        <v/>
      </c>
      <c r="CH5" s="13" t="str">
        <f t="shared" ref="CH5:CH36" si="55">IF(CF5="","",CF5*$F5)</f>
        <v/>
      </c>
      <c r="CI5" s="17">
        <f t="shared" ref="CI5:CI36" si="56">IF(R5&gt;0,P5,0) + IF(X5&gt;0,V5,0) + IF(AD5&gt;0,AB5,0) + IF(AJ5&gt;0,AH5,0) + IF(AP5&gt;0,AN5,0) + IF(AV5&gt;0,AT5,0) + IF(BB5&gt;0,AZ5,0) + IF(BH5&gt;0,BF5,0) + IF(BN5&gt;0,BL5,0) + IF(BT5&gt;0,BR5,0) + IF(BZ5&gt;0,BX5,0) + IF(CF5&gt;0,CD5,0)</f>
        <v>0</v>
      </c>
      <c r="CJ5" s="17">
        <f t="shared" ref="CJ5:CJ36" si="57">IF(R5&gt;0,Q5,0) + IF(X5&gt;0,W5,0) + IF(AD5&gt;0,AC5,0) + IF(AJ5&gt;0,AI5,0) + IF(AP5&gt;0,AO5,0) + IF(AV5&gt;0,AU5,0) + IF(BB5&gt;0,BA5,0) + IF(BH5&gt;0,BG5,0) + IF(BN5&gt;0,BM5,0) + IF(BT5&gt;0,BS5,0) + IF(BZ5&gt;0,BY5,0) + IF(CF5&gt;0,CE5,0)</f>
        <v>0</v>
      </c>
    </row>
    <row r="6" spans="1:88" ht="15.75" x14ac:dyDescent="0.15">
      <c r="A6" s="3" t="s">
        <v>136</v>
      </c>
      <c r="B6" s="11" t="str">
        <f>IF(D6="","",IFERROR(VLOOKUP(D6,商品マスタ!$A:$K,2,FALSE),"昭和"))</f>
        <v>昭和</v>
      </c>
      <c r="C6" s="2" t="s">
        <v>139</v>
      </c>
      <c r="D6" s="2" t="s">
        <v>138</v>
      </c>
      <c r="E6" s="6">
        <f>IF(D6="","",IFERROR(VLOOKUP(D6,商品マスタ!$A:$K,4,FALSE),8.14))</f>
        <v>8.14</v>
      </c>
      <c r="F6" s="6">
        <f>IF(D6="","",IFERROR(VLOOKUP(D6,商品マスタ!$A:$K,8,FALSE),0))</f>
        <v>0</v>
      </c>
      <c r="G6" s="12">
        <f t="shared" si="0"/>
        <v>0</v>
      </c>
      <c r="H6" s="12">
        <f t="shared" si="1"/>
        <v>0</v>
      </c>
      <c r="I6" s="12">
        <f t="shared" si="2"/>
        <v>0</v>
      </c>
      <c r="J6" s="13">
        <f t="shared" si="3"/>
        <v>0</v>
      </c>
      <c r="K6" s="13">
        <f t="shared" si="4"/>
        <v>0</v>
      </c>
      <c r="L6" s="13">
        <f t="shared" si="5"/>
        <v>0</v>
      </c>
      <c r="M6" s="14" t="str">
        <f t="shared" si="6"/>
        <v/>
      </c>
      <c r="N6" s="14" t="str">
        <f t="shared" si="7"/>
        <v/>
      </c>
      <c r="O6" s="15"/>
      <c r="P6" s="12" t="str">
        <f t="shared" si="8"/>
        <v/>
      </c>
      <c r="Q6" s="12" t="str">
        <f t="shared" si="9"/>
        <v/>
      </c>
      <c r="R6" s="16"/>
      <c r="S6" s="13" t="str">
        <f t="shared" si="10"/>
        <v/>
      </c>
      <c r="T6" s="13" t="str">
        <f t="shared" si="11"/>
        <v/>
      </c>
      <c r="U6" s="15"/>
      <c r="V6" s="12" t="str">
        <f t="shared" si="12"/>
        <v/>
      </c>
      <c r="W6" s="12" t="str">
        <f t="shared" si="13"/>
        <v/>
      </c>
      <c r="X6" s="16"/>
      <c r="Y6" s="13" t="str">
        <f t="shared" si="14"/>
        <v/>
      </c>
      <c r="Z6" s="13" t="str">
        <f t="shared" si="15"/>
        <v/>
      </c>
      <c r="AA6" s="15"/>
      <c r="AB6" s="12" t="str">
        <f t="shared" si="16"/>
        <v/>
      </c>
      <c r="AC6" s="12" t="str">
        <f t="shared" si="17"/>
        <v/>
      </c>
      <c r="AD6" s="16"/>
      <c r="AE6" s="13" t="str">
        <f t="shared" si="18"/>
        <v/>
      </c>
      <c r="AF6" s="13" t="str">
        <f t="shared" si="19"/>
        <v/>
      </c>
      <c r="AG6" s="15"/>
      <c r="AH6" s="12" t="str">
        <f t="shared" si="20"/>
        <v/>
      </c>
      <c r="AI6" s="12" t="str">
        <f t="shared" si="21"/>
        <v/>
      </c>
      <c r="AJ6" s="16"/>
      <c r="AK6" s="13" t="str">
        <f t="shared" si="22"/>
        <v/>
      </c>
      <c r="AL6" s="13" t="str">
        <f t="shared" si="23"/>
        <v/>
      </c>
      <c r="AM6" s="15"/>
      <c r="AN6" s="12" t="str">
        <f t="shared" si="24"/>
        <v/>
      </c>
      <c r="AO6" s="12" t="str">
        <f t="shared" si="25"/>
        <v/>
      </c>
      <c r="AP6" s="16"/>
      <c r="AQ6" s="13" t="str">
        <f t="shared" si="26"/>
        <v/>
      </c>
      <c r="AR6" s="13" t="str">
        <f t="shared" si="27"/>
        <v/>
      </c>
      <c r="AS6" s="15"/>
      <c r="AT6" s="12" t="str">
        <f t="shared" si="28"/>
        <v/>
      </c>
      <c r="AU6" s="12" t="str">
        <f t="shared" si="29"/>
        <v/>
      </c>
      <c r="AV6" s="16"/>
      <c r="AW6" s="13" t="str">
        <f t="shared" si="30"/>
        <v/>
      </c>
      <c r="AX6" s="13" t="str">
        <f t="shared" si="31"/>
        <v/>
      </c>
      <c r="AY6" s="15"/>
      <c r="AZ6" s="12" t="str">
        <f t="shared" si="32"/>
        <v/>
      </c>
      <c r="BA6" s="12" t="str">
        <f t="shared" si="33"/>
        <v/>
      </c>
      <c r="BB6" s="16"/>
      <c r="BC6" s="13" t="str">
        <f t="shared" si="34"/>
        <v/>
      </c>
      <c r="BD6" s="13" t="str">
        <f t="shared" si="35"/>
        <v/>
      </c>
      <c r="BE6" s="15"/>
      <c r="BF6" s="12" t="str">
        <f t="shared" si="36"/>
        <v/>
      </c>
      <c r="BG6" s="12" t="str">
        <f t="shared" si="37"/>
        <v/>
      </c>
      <c r="BH6" s="16"/>
      <c r="BI6" s="13" t="str">
        <f t="shared" si="38"/>
        <v/>
      </c>
      <c r="BJ6" s="13" t="str">
        <f t="shared" si="39"/>
        <v/>
      </c>
      <c r="BK6" s="15"/>
      <c r="BL6" s="12" t="str">
        <f t="shared" si="40"/>
        <v/>
      </c>
      <c r="BM6" s="12" t="str">
        <f t="shared" si="41"/>
        <v/>
      </c>
      <c r="BN6" s="16"/>
      <c r="BO6" s="13" t="str">
        <f t="shared" si="42"/>
        <v/>
      </c>
      <c r="BP6" s="13" t="str">
        <f t="shared" si="43"/>
        <v/>
      </c>
      <c r="BQ6" s="15"/>
      <c r="BR6" s="12" t="str">
        <f t="shared" si="44"/>
        <v/>
      </c>
      <c r="BS6" s="12" t="str">
        <f t="shared" si="45"/>
        <v/>
      </c>
      <c r="BT6" s="16"/>
      <c r="BU6" s="13" t="str">
        <f t="shared" si="46"/>
        <v/>
      </c>
      <c r="BV6" s="13" t="str">
        <f t="shared" si="47"/>
        <v/>
      </c>
      <c r="BW6" s="15"/>
      <c r="BX6" s="12" t="str">
        <f t="shared" si="48"/>
        <v/>
      </c>
      <c r="BY6" s="12" t="str">
        <f t="shared" si="49"/>
        <v/>
      </c>
      <c r="BZ6" s="16"/>
      <c r="CA6" s="13" t="str">
        <f t="shared" si="50"/>
        <v/>
      </c>
      <c r="CB6" s="13" t="str">
        <f t="shared" si="51"/>
        <v/>
      </c>
      <c r="CC6" s="15"/>
      <c r="CD6" s="12" t="str">
        <f t="shared" si="52"/>
        <v/>
      </c>
      <c r="CE6" s="12" t="str">
        <f t="shared" si="53"/>
        <v/>
      </c>
      <c r="CF6" s="16"/>
      <c r="CG6" s="13" t="str">
        <f t="shared" si="54"/>
        <v/>
      </c>
      <c r="CH6" s="13" t="str">
        <f t="shared" si="55"/>
        <v/>
      </c>
      <c r="CI6" s="17">
        <f t="shared" si="56"/>
        <v>0</v>
      </c>
      <c r="CJ6" s="17">
        <f t="shared" si="57"/>
        <v>0</v>
      </c>
    </row>
    <row r="7" spans="1:88" ht="15.75" x14ac:dyDescent="0.15">
      <c r="A7" s="3" t="s">
        <v>136</v>
      </c>
      <c r="B7" s="11" t="str">
        <f>IF(D7="","",IFERROR(VLOOKUP(D7,商品マスタ!$A:$K,2,FALSE),"昭和"))</f>
        <v>昭和</v>
      </c>
      <c r="C7" s="2" t="s">
        <v>140</v>
      </c>
      <c r="D7" s="2" t="s">
        <v>81</v>
      </c>
      <c r="E7" s="6">
        <f>IF(D7="","",IFERROR(VLOOKUP(D7,商品マスタ!$A:$K,4,FALSE),0))</f>
        <v>0</v>
      </c>
      <c r="F7" s="6">
        <f>IF(D7="","",IFERROR(VLOOKUP(D7,商品マスタ!$A:$K,8,FALSE),0))</f>
        <v>0</v>
      </c>
      <c r="G7" s="12">
        <f t="shared" si="0"/>
        <v>0</v>
      </c>
      <c r="H7" s="12">
        <f t="shared" si="1"/>
        <v>0</v>
      </c>
      <c r="I7" s="12">
        <f t="shared" si="2"/>
        <v>0</v>
      </c>
      <c r="J7" s="13">
        <f t="shared" si="3"/>
        <v>0</v>
      </c>
      <c r="K7" s="13">
        <f t="shared" si="4"/>
        <v>0</v>
      </c>
      <c r="L7" s="13">
        <f t="shared" si="5"/>
        <v>0</v>
      </c>
      <c r="M7" s="14" t="str">
        <f t="shared" si="6"/>
        <v/>
      </c>
      <c r="N7" s="14" t="str">
        <f t="shared" si="7"/>
        <v/>
      </c>
      <c r="O7" s="15"/>
      <c r="P7" s="12" t="str">
        <f t="shared" si="8"/>
        <v/>
      </c>
      <c r="Q7" s="12" t="str">
        <f t="shared" si="9"/>
        <v/>
      </c>
      <c r="R7" s="16"/>
      <c r="S7" s="13" t="str">
        <f t="shared" si="10"/>
        <v/>
      </c>
      <c r="T7" s="13" t="str">
        <f t="shared" si="11"/>
        <v/>
      </c>
      <c r="U7" s="15"/>
      <c r="V7" s="12" t="str">
        <f t="shared" si="12"/>
        <v/>
      </c>
      <c r="W7" s="12" t="str">
        <f t="shared" si="13"/>
        <v/>
      </c>
      <c r="X7" s="16"/>
      <c r="Y7" s="13" t="str">
        <f t="shared" si="14"/>
        <v/>
      </c>
      <c r="Z7" s="13" t="str">
        <f t="shared" si="15"/>
        <v/>
      </c>
      <c r="AA7" s="15"/>
      <c r="AB7" s="12" t="str">
        <f t="shared" si="16"/>
        <v/>
      </c>
      <c r="AC7" s="12" t="str">
        <f t="shared" si="17"/>
        <v/>
      </c>
      <c r="AD7" s="16"/>
      <c r="AE7" s="13" t="str">
        <f t="shared" si="18"/>
        <v/>
      </c>
      <c r="AF7" s="13" t="str">
        <f t="shared" si="19"/>
        <v/>
      </c>
      <c r="AG7" s="15"/>
      <c r="AH7" s="12" t="str">
        <f t="shared" si="20"/>
        <v/>
      </c>
      <c r="AI7" s="12" t="str">
        <f t="shared" si="21"/>
        <v/>
      </c>
      <c r="AJ7" s="16"/>
      <c r="AK7" s="13" t="str">
        <f t="shared" si="22"/>
        <v/>
      </c>
      <c r="AL7" s="13" t="str">
        <f t="shared" si="23"/>
        <v/>
      </c>
      <c r="AM7" s="15"/>
      <c r="AN7" s="12" t="str">
        <f t="shared" si="24"/>
        <v/>
      </c>
      <c r="AO7" s="12" t="str">
        <f t="shared" si="25"/>
        <v/>
      </c>
      <c r="AP7" s="16"/>
      <c r="AQ7" s="13" t="str">
        <f t="shared" si="26"/>
        <v/>
      </c>
      <c r="AR7" s="13" t="str">
        <f t="shared" si="27"/>
        <v/>
      </c>
      <c r="AS7" s="15"/>
      <c r="AT7" s="12" t="str">
        <f t="shared" si="28"/>
        <v/>
      </c>
      <c r="AU7" s="12" t="str">
        <f t="shared" si="29"/>
        <v/>
      </c>
      <c r="AV7" s="16"/>
      <c r="AW7" s="13" t="str">
        <f t="shared" si="30"/>
        <v/>
      </c>
      <c r="AX7" s="13" t="str">
        <f t="shared" si="31"/>
        <v/>
      </c>
      <c r="AY7" s="15"/>
      <c r="AZ7" s="12" t="str">
        <f t="shared" si="32"/>
        <v/>
      </c>
      <c r="BA7" s="12" t="str">
        <f t="shared" si="33"/>
        <v/>
      </c>
      <c r="BB7" s="16"/>
      <c r="BC7" s="13" t="str">
        <f t="shared" si="34"/>
        <v/>
      </c>
      <c r="BD7" s="13" t="str">
        <f t="shared" si="35"/>
        <v/>
      </c>
      <c r="BE7" s="15"/>
      <c r="BF7" s="12" t="str">
        <f t="shared" si="36"/>
        <v/>
      </c>
      <c r="BG7" s="12" t="str">
        <f t="shared" si="37"/>
        <v/>
      </c>
      <c r="BH7" s="16"/>
      <c r="BI7" s="13" t="str">
        <f t="shared" si="38"/>
        <v/>
      </c>
      <c r="BJ7" s="13" t="str">
        <f t="shared" si="39"/>
        <v/>
      </c>
      <c r="BK7" s="15"/>
      <c r="BL7" s="12" t="str">
        <f t="shared" si="40"/>
        <v/>
      </c>
      <c r="BM7" s="12" t="str">
        <f t="shared" si="41"/>
        <v/>
      </c>
      <c r="BN7" s="16"/>
      <c r="BO7" s="13" t="str">
        <f t="shared" si="42"/>
        <v/>
      </c>
      <c r="BP7" s="13" t="str">
        <f t="shared" si="43"/>
        <v/>
      </c>
      <c r="BQ7" s="15"/>
      <c r="BR7" s="12" t="str">
        <f t="shared" si="44"/>
        <v/>
      </c>
      <c r="BS7" s="12" t="str">
        <f t="shared" si="45"/>
        <v/>
      </c>
      <c r="BT7" s="16"/>
      <c r="BU7" s="13" t="str">
        <f t="shared" si="46"/>
        <v/>
      </c>
      <c r="BV7" s="13" t="str">
        <f t="shared" si="47"/>
        <v/>
      </c>
      <c r="BW7" s="15"/>
      <c r="BX7" s="12" t="str">
        <f t="shared" si="48"/>
        <v/>
      </c>
      <c r="BY7" s="12" t="str">
        <f t="shared" si="49"/>
        <v/>
      </c>
      <c r="BZ7" s="16"/>
      <c r="CA7" s="13" t="str">
        <f t="shared" si="50"/>
        <v/>
      </c>
      <c r="CB7" s="13" t="str">
        <f t="shared" si="51"/>
        <v/>
      </c>
      <c r="CC7" s="15"/>
      <c r="CD7" s="12" t="str">
        <f t="shared" si="52"/>
        <v/>
      </c>
      <c r="CE7" s="12" t="str">
        <f t="shared" si="53"/>
        <v/>
      </c>
      <c r="CF7" s="16"/>
      <c r="CG7" s="13" t="str">
        <f t="shared" si="54"/>
        <v/>
      </c>
      <c r="CH7" s="13" t="str">
        <f t="shared" si="55"/>
        <v/>
      </c>
      <c r="CI7" s="17">
        <f t="shared" si="56"/>
        <v>0</v>
      </c>
      <c r="CJ7" s="17">
        <f t="shared" si="57"/>
        <v>0</v>
      </c>
    </row>
    <row r="8" spans="1:88" ht="15.75" x14ac:dyDescent="0.15">
      <c r="A8" s="3" t="s">
        <v>136</v>
      </c>
      <c r="B8" s="11" t="str">
        <f>IF(D8="","",IFERROR(VLOOKUP(D8,商品マスタ!$A:$K,2,FALSE),"昭和以外"))</f>
        <v>昭和以外</v>
      </c>
      <c r="C8" s="2" t="s">
        <v>141</v>
      </c>
      <c r="D8" s="2" t="s">
        <v>81</v>
      </c>
      <c r="E8" s="6">
        <f>IF(D8="","",IFERROR(VLOOKUP(D8,商品マスタ!$A:$K,4,FALSE),0))</f>
        <v>0</v>
      </c>
      <c r="F8" s="6">
        <f>IF(D8="","",IFERROR(VLOOKUP(D8,商品マスタ!$A:$K,8,FALSE),0))</f>
        <v>0</v>
      </c>
      <c r="G8" s="12">
        <f t="shared" si="0"/>
        <v>0</v>
      </c>
      <c r="H8" s="12">
        <f t="shared" si="1"/>
        <v>0</v>
      </c>
      <c r="I8" s="12">
        <f t="shared" si="2"/>
        <v>0</v>
      </c>
      <c r="J8" s="13">
        <f t="shared" si="3"/>
        <v>0</v>
      </c>
      <c r="K8" s="13">
        <f t="shared" si="4"/>
        <v>0</v>
      </c>
      <c r="L8" s="13">
        <f t="shared" si="5"/>
        <v>0</v>
      </c>
      <c r="M8" s="14" t="str">
        <f t="shared" si="6"/>
        <v/>
      </c>
      <c r="N8" s="14" t="str">
        <f t="shared" si="7"/>
        <v/>
      </c>
      <c r="O8" s="15"/>
      <c r="P8" s="12" t="str">
        <f t="shared" si="8"/>
        <v/>
      </c>
      <c r="Q8" s="12" t="str">
        <f t="shared" si="9"/>
        <v/>
      </c>
      <c r="R8" s="16"/>
      <c r="S8" s="13" t="str">
        <f t="shared" si="10"/>
        <v/>
      </c>
      <c r="T8" s="13" t="str">
        <f t="shared" si="11"/>
        <v/>
      </c>
      <c r="U8" s="15"/>
      <c r="V8" s="12" t="str">
        <f t="shared" si="12"/>
        <v/>
      </c>
      <c r="W8" s="12" t="str">
        <f t="shared" si="13"/>
        <v/>
      </c>
      <c r="X8" s="16"/>
      <c r="Y8" s="13" t="str">
        <f t="shared" si="14"/>
        <v/>
      </c>
      <c r="Z8" s="13" t="str">
        <f t="shared" si="15"/>
        <v/>
      </c>
      <c r="AA8" s="15"/>
      <c r="AB8" s="12" t="str">
        <f t="shared" si="16"/>
        <v/>
      </c>
      <c r="AC8" s="12" t="str">
        <f t="shared" si="17"/>
        <v/>
      </c>
      <c r="AD8" s="16"/>
      <c r="AE8" s="13" t="str">
        <f t="shared" si="18"/>
        <v/>
      </c>
      <c r="AF8" s="13" t="str">
        <f t="shared" si="19"/>
        <v/>
      </c>
      <c r="AG8" s="15"/>
      <c r="AH8" s="12" t="str">
        <f t="shared" si="20"/>
        <v/>
      </c>
      <c r="AI8" s="12" t="str">
        <f t="shared" si="21"/>
        <v/>
      </c>
      <c r="AJ8" s="16"/>
      <c r="AK8" s="13" t="str">
        <f t="shared" si="22"/>
        <v/>
      </c>
      <c r="AL8" s="13" t="str">
        <f t="shared" si="23"/>
        <v/>
      </c>
      <c r="AM8" s="15"/>
      <c r="AN8" s="12" t="str">
        <f t="shared" si="24"/>
        <v/>
      </c>
      <c r="AO8" s="12" t="str">
        <f t="shared" si="25"/>
        <v/>
      </c>
      <c r="AP8" s="16"/>
      <c r="AQ8" s="13" t="str">
        <f t="shared" si="26"/>
        <v/>
      </c>
      <c r="AR8" s="13" t="str">
        <f t="shared" si="27"/>
        <v/>
      </c>
      <c r="AS8" s="15"/>
      <c r="AT8" s="12" t="str">
        <f t="shared" si="28"/>
        <v/>
      </c>
      <c r="AU8" s="12" t="str">
        <f t="shared" si="29"/>
        <v/>
      </c>
      <c r="AV8" s="16"/>
      <c r="AW8" s="13" t="str">
        <f t="shared" si="30"/>
        <v/>
      </c>
      <c r="AX8" s="13" t="str">
        <f t="shared" si="31"/>
        <v/>
      </c>
      <c r="AY8" s="15"/>
      <c r="AZ8" s="12" t="str">
        <f t="shared" si="32"/>
        <v/>
      </c>
      <c r="BA8" s="12" t="str">
        <f t="shared" si="33"/>
        <v/>
      </c>
      <c r="BB8" s="16"/>
      <c r="BC8" s="13" t="str">
        <f t="shared" si="34"/>
        <v/>
      </c>
      <c r="BD8" s="13" t="str">
        <f t="shared" si="35"/>
        <v/>
      </c>
      <c r="BE8" s="15"/>
      <c r="BF8" s="12" t="str">
        <f t="shared" si="36"/>
        <v/>
      </c>
      <c r="BG8" s="12" t="str">
        <f t="shared" si="37"/>
        <v/>
      </c>
      <c r="BH8" s="16"/>
      <c r="BI8" s="13" t="str">
        <f t="shared" si="38"/>
        <v/>
      </c>
      <c r="BJ8" s="13" t="str">
        <f t="shared" si="39"/>
        <v/>
      </c>
      <c r="BK8" s="15"/>
      <c r="BL8" s="12" t="str">
        <f t="shared" si="40"/>
        <v/>
      </c>
      <c r="BM8" s="12" t="str">
        <f t="shared" si="41"/>
        <v/>
      </c>
      <c r="BN8" s="16"/>
      <c r="BO8" s="13" t="str">
        <f t="shared" si="42"/>
        <v/>
      </c>
      <c r="BP8" s="13" t="str">
        <f t="shared" si="43"/>
        <v/>
      </c>
      <c r="BQ8" s="15"/>
      <c r="BR8" s="12" t="str">
        <f t="shared" si="44"/>
        <v/>
      </c>
      <c r="BS8" s="12" t="str">
        <f t="shared" si="45"/>
        <v/>
      </c>
      <c r="BT8" s="16"/>
      <c r="BU8" s="13" t="str">
        <f t="shared" si="46"/>
        <v/>
      </c>
      <c r="BV8" s="13" t="str">
        <f t="shared" si="47"/>
        <v/>
      </c>
      <c r="BW8" s="15"/>
      <c r="BX8" s="12" t="str">
        <f t="shared" si="48"/>
        <v/>
      </c>
      <c r="BY8" s="12" t="str">
        <f t="shared" si="49"/>
        <v/>
      </c>
      <c r="BZ8" s="16"/>
      <c r="CA8" s="13" t="str">
        <f t="shared" si="50"/>
        <v/>
      </c>
      <c r="CB8" s="13" t="str">
        <f t="shared" si="51"/>
        <v/>
      </c>
      <c r="CC8" s="15"/>
      <c r="CD8" s="12" t="str">
        <f t="shared" si="52"/>
        <v/>
      </c>
      <c r="CE8" s="12" t="str">
        <f t="shared" si="53"/>
        <v/>
      </c>
      <c r="CF8" s="16"/>
      <c r="CG8" s="13" t="str">
        <f t="shared" si="54"/>
        <v/>
      </c>
      <c r="CH8" s="13" t="str">
        <f t="shared" si="55"/>
        <v/>
      </c>
      <c r="CI8" s="17">
        <f t="shared" si="56"/>
        <v>0</v>
      </c>
      <c r="CJ8" s="17">
        <f t="shared" si="57"/>
        <v>0</v>
      </c>
    </row>
    <row r="9" spans="1:88" ht="15.75" x14ac:dyDescent="0.15">
      <c r="A9" s="3" t="s">
        <v>136</v>
      </c>
      <c r="B9" s="11" t="str">
        <f>IF(D9="","",IFERROR(VLOOKUP(D9,商品マスタ!$A:$K,2,FALSE),"昭和以外"))</f>
        <v>昭和以外</v>
      </c>
      <c r="C9" s="2" t="s">
        <v>142</v>
      </c>
      <c r="D9" s="2" t="s">
        <v>138</v>
      </c>
      <c r="E9" s="6">
        <f>IF(D9="","",IFERROR(VLOOKUP(D9,商品マスタ!$A:$K,4,FALSE),8.14))</f>
        <v>8.14</v>
      </c>
      <c r="F9" s="6">
        <f>IF(D9="","",IFERROR(VLOOKUP(D9,商品マスタ!$A:$K,8,FALSE),0))</f>
        <v>0</v>
      </c>
      <c r="G9" s="12">
        <f t="shared" si="0"/>
        <v>0</v>
      </c>
      <c r="H9" s="12">
        <f t="shared" si="1"/>
        <v>0</v>
      </c>
      <c r="I9" s="12">
        <f t="shared" si="2"/>
        <v>0</v>
      </c>
      <c r="J9" s="13">
        <f t="shared" si="3"/>
        <v>0</v>
      </c>
      <c r="K9" s="13">
        <f t="shared" si="4"/>
        <v>0</v>
      </c>
      <c r="L9" s="13">
        <f t="shared" si="5"/>
        <v>0</v>
      </c>
      <c r="M9" s="14" t="str">
        <f t="shared" si="6"/>
        <v/>
      </c>
      <c r="N9" s="14" t="str">
        <f t="shared" si="7"/>
        <v/>
      </c>
      <c r="O9" s="15"/>
      <c r="P9" s="12" t="str">
        <f t="shared" si="8"/>
        <v/>
      </c>
      <c r="Q9" s="12" t="str">
        <f t="shared" si="9"/>
        <v/>
      </c>
      <c r="R9" s="16"/>
      <c r="S9" s="13" t="str">
        <f t="shared" si="10"/>
        <v/>
      </c>
      <c r="T9" s="13" t="str">
        <f t="shared" si="11"/>
        <v/>
      </c>
      <c r="U9" s="15"/>
      <c r="V9" s="12" t="str">
        <f t="shared" si="12"/>
        <v/>
      </c>
      <c r="W9" s="12" t="str">
        <f t="shared" si="13"/>
        <v/>
      </c>
      <c r="X9" s="16"/>
      <c r="Y9" s="13" t="str">
        <f t="shared" si="14"/>
        <v/>
      </c>
      <c r="Z9" s="13" t="str">
        <f t="shared" si="15"/>
        <v/>
      </c>
      <c r="AA9" s="15"/>
      <c r="AB9" s="12" t="str">
        <f t="shared" si="16"/>
        <v/>
      </c>
      <c r="AC9" s="12" t="str">
        <f t="shared" si="17"/>
        <v/>
      </c>
      <c r="AD9" s="16"/>
      <c r="AE9" s="13" t="str">
        <f t="shared" si="18"/>
        <v/>
      </c>
      <c r="AF9" s="13" t="str">
        <f t="shared" si="19"/>
        <v/>
      </c>
      <c r="AG9" s="15"/>
      <c r="AH9" s="12" t="str">
        <f t="shared" si="20"/>
        <v/>
      </c>
      <c r="AI9" s="12" t="str">
        <f t="shared" si="21"/>
        <v/>
      </c>
      <c r="AJ9" s="16"/>
      <c r="AK9" s="13" t="str">
        <f t="shared" si="22"/>
        <v/>
      </c>
      <c r="AL9" s="13" t="str">
        <f t="shared" si="23"/>
        <v/>
      </c>
      <c r="AM9" s="15"/>
      <c r="AN9" s="12" t="str">
        <f t="shared" si="24"/>
        <v/>
      </c>
      <c r="AO9" s="12" t="str">
        <f t="shared" si="25"/>
        <v/>
      </c>
      <c r="AP9" s="16"/>
      <c r="AQ9" s="13" t="str">
        <f t="shared" si="26"/>
        <v/>
      </c>
      <c r="AR9" s="13" t="str">
        <f t="shared" si="27"/>
        <v/>
      </c>
      <c r="AS9" s="15"/>
      <c r="AT9" s="12" t="str">
        <f t="shared" si="28"/>
        <v/>
      </c>
      <c r="AU9" s="12" t="str">
        <f t="shared" si="29"/>
        <v/>
      </c>
      <c r="AV9" s="16"/>
      <c r="AW9" s="13" t="str">
        <f t="shared" si="30"/>
        <v/>
      </c>
      <c r="AX9" s="13" t="str">
        <f t="shared" si="31"/>
        <v/>
      </c>
      <c r="AY9" s="15"/>
      <c r="AZ9" s="12" t="str">
        <f t="shared" si="32"/>
        <v/>
      </c>
      <c r="BA9" s="12" t="str">
        <f t="shared" si="33"/>
        <v/>
      </c>
      <c r="BB9" s="16"/>
      <c r="BC9" s="13" t="str">
        <f t="shared" si="34"/>
        <v/>
      </c>
      <c r="BD9" s="13" t="str">
        <f t="shared" si="35"/>
        <v/>
      </c>
      <c r="BE9" s="15"/>
      <c r="BF9" s="12" t="str">
        <f t="shared" si="36"/>
        <v/>
      </c>
      <c r="BG9" s="12" t="str">
        <f t="shared" si="37"/>
        <v/>
      </c>
      <c r="BH9" s="16"/>
      <c r="BI9" s="13" t="str">
        <f t="shared" si="38"/>
        <v/>
      </c>
      <c r="BJ9" s="13" t="str">
        <f t="shared" si="39"/>
        <v/>
      </c>
      <c r="BK9" s="15"/>
      <c r="BL9" s="12" t="str">
        <f t="shared" si="40"/>
        <v/>
      </c>
      <c r="BM9" s="12" t="str">
        <f t="shared" si="41"/>
        <v/>
      </c>
      <c r="BN9" s="16"/>
      <c r="BO9" s="13" t="str">
        <f t="shared" si="42"/>
        <v/>
      </c>
      <c r="BP9" s="13" t="str">
        <f t="shared" si="43"/>
        <v/>
      </c>
      <c r="BQ9" s="15"/>
      <c r="BR9" s="12" t="str">
        <f t="shared" si="44"/>
        <v/>
      </c>
      <c r="BS9" s="12" t="str">
        <f t="shared" si="45"/>
        <v/>
      </c>
      <c r="BT9" s="16"/>
      <c r="BU9" s="13" t="str">
        <f t="shared" si="46"/>
        <v/>
      </c>
      <c r="BV9" s="13" t="str">
        <f t="shared" si="47"/>
        <v/>
      </c>
      <c r="BW9" s="15"/>
      <c r="BX9" s="12" t="str">
        <f t="shared" si="48"/>
        <v/>
      </c>
      <c r="BY9" s="12" t="str">
        <f t="shared" si="49"/>
        <v/>
      </c>
      <c r="BZ9" s="16"/>
      <c r="CA9" s="13" t="str">
        <f t="shared" si="50"/>
        <v/>
      </c>
      <c r="CB9" s="13" t="str">
        <f t="shared" si="51"/>
        <v/>
      </c>
      <c r="CC9" s="15"/>
      <c r="CD9" s="12" t="str">
        <f t="shared" si="52"/>
        <v/>
      </c>
      <c r="CE9" s="12" t="str">
        <f t="shared" si="53"/>
        <v/>
      </c>
      <c r="CF9" s="16"/>
      <c r="CG9" s="13" t="str">
        <f t="shared" si="54"/>
        <v/>
      </c>
      <c r="CH9" s="13" t="str">
        <f t="shared" si="55"/>
        <v/>
      </c>
      <c r="CI9" s="17">
        <f t="shared" si="56"/>
        <v>0</v>
      </c>
      <c r="CJ9" s="17">
        <f t="shared" si="57"/>
        <v>0</v>
      </c>
    </row>
    <row r="10" spans="1:88" ht="15.75" x14ac:dyDescent="0.15">
      <c r="A10" s="3" t="s">
        <v>136</v>
      </c>
      <c r="B10" s="11" t="str">
        <f>IF(D10="","",IFERROR(VLOOKUP(D10,商品マスタ!$A:$K,2,FALSE),"昭和以外"))</f>
        <v>昭和以外</v>
      </c>
      <c r="C10" s="2" t="s">
        <v>143</v>
      </c>
      <c r="D10" s="2" t="s">
        <v>81</v>
      </c>
      <c r="E10" s="6">
        <f>IF(D10="","",IFERROR(VLOOKUP(D10,商品マスタ!$A:$K,4,FALSE),0))</f>
        <v>0</v>
      </c>
      <c r="F10" s="6">
        <f>IF(D10="","",IFERROR(VLOOKUP(D10,商品マスタ!$A:$K,8,FALSE),0))</f>
        <v>0</v>
      </c>
      <c r="G10" s="12">
        <f t="shared" si="0"/>
        <v>0</v>
      </c>
      <c r="H10" s="12">
        <f t="shared" si="1"/>
        <v>0</v>
      </c>
      <c r="I10" s="12">
        <f t="shared" si="2"/>
        <v>0</v>
      </c>
      <c r="J10" s="13">
        <f t="shared" si="3"/>
        <v>0</v>
      </c>
      <c r="K10" s="13">
        <f t="shared" si="4"/>
        <v>0</v>
      </c>
      <c r="L10" s="13">
        <f t="shared" si="5"/>
        <v>0</v>
      </c>
      <c r="M10" s="14" t="str">
        <f t="shared" si="6"/>
        <v/>
      </c>
      <c r="N10" s="14" t="str">
        <f t="shared" si="7"/>
        <v/>
      </c>
      <c r="O10" s="15"/>
      <c r="P10" s="12" t="str">
        <f t="shared" si="8"/>
        <v/>
      </c>
      <c r="Q10" s="12" t="str">
        <f t="shared" si="9"/>
        <v/>
      </c>
      <c r="R10" s="16"/>
      <c r="S10" s="13" t="str">
        <f t="shared" si="10"/>
        <v/>
      </c>
      <c r="T10" s="13" t="str">
        <f t="shared" si="11"/>
        <v/>
      </c>
      <c r="U10" s="15"/>
      <c r="V10" s="12" t="str">
        <f t="shared" si="12"/>
        <v/>
      </c>
      <c r="W10" s="12" t="str">
        <f t="shared" si="13"/>
        <v/>
      </c>
      <c r="X10" s="16"/>
      <c r="Y10" s="13" t="str">
        <f t="shared" si="14"/>
        <v/>
      </c>
      <c r="Z10" s="13" t="str">
        <f t="shared" si="15"/>
        <v/>
      </c>
      <c r="AA10" s="15"/>
      <c r="AB10" s="12" t="str">
        <f t="shared" si="16"/>
        <v/>
      </c>
      <c r="AC10" s="12" t="str">
        <f t="shared" si="17"/>
        <v/>
      </c>
      <c r="AD10" s="16"/>
      <c r="AE10" s="13" t="str">
        <f t="shared" si="18"/>
        <v/>
      </c>
      <c r="AF10" s="13" t="str">
        <f t="shared" si="19"/>
        <v/>
      </c>
      <c r="AG10" s="15"/>
      <c r="AH10" s="12" t="str">
        <f t="shared" si="20"/>
        <v/>
      </c>
      <c r="AI10" s="12" t="str">
        <f t="shared" si="21"/>
        <v/>
      </c>
      <c r="AJ10" s="16"/>
      <c r="AK10" s="13" t="str">
        <f t="shared" si="22"/>
        <v/>
      </c>
      <c r="AL10" s="13" t="str">
        <f t="shared" si="23"/>
        <v/>
      </c>
      <c r="AM10" s="15"/>
      <c r="AN10" s="12" t="str">
        <f t="shared" si="24"/>
        <v/>
      </c>
      <c r="AO10" s="12" t="str">
        <f t="shared" si="25"/>
        <v/>
      </c>
      <c r="AP10" s="16"/>
      <c r="AQ10" s="13" t="str">
        <f t="shared" si="26"/>
        <v/>
      </c>
      <c r="AR10" s="13" t="str">
        <f t="shared" si="27"/>
        <v/>
      </c>
      <c r="AS10" s="15"/>
      <c r="AT10" s="12" t="str">
        <f t="shared" si="28"/>
        <v/>
      </c>
      <c r="AU10" s="12" t="str">
        <f t="shared" si="29"/>
        <v/>
      </c>
      <c r="AV10" s="16"/>
      <c r="AW10" s="13" t="str">
        <f t="shared" si="30"/>
        <v/>
      </c>
      <c r="AX10" s="13" t="str">
        <f t="shared" si="31"/>
        <v/>
      </c>
      <c r="AY10" s="15"/>
      <c r="AZ10" s="12" t="str">
        <f t="shared" si="32"/>
        <v/>
      </c>
      <c r="BA10" s="12" t="str">
        <f t="shared" si="33"/>
        <v/>
      </c>
      <c r="BB10" s="16"/>
      <c r="BC10" s="13" t="str">
        <f t="shared" si="34"/>
        <v/>
      </c>
      <c r="BD10" s="13" t="str">
        <f t="shared" si="35"/>
        <v/>
      </c>
      <c r="BE10" s="15"/>
      <c r="BF10" s="12" t="str">
        <f t="shared" si="36"/>
        <v/>
      </c>
      <c r="BG10" s="12" t="str">
        <f t="shared" si="37"/>
        <v/>
      </c>
      <c r="BH10" s="16"/>
      <c r="BI10" s="13" t="str">
        <f t="shared" si="38"/>
        <v/>
      </c>
      <c r="BJ10" s="13" t="str">
        <f t="shared" si="39"/>
        <v/>
      </c>
      <c r="BK10" s="15"/>
      <c r="BL10" s="12" t="str">
        <f t="shared" si="40"/>
        <v/>
      </c>
      <c r="BM10" s="12" t="str">
        <f t="shared" si="41"/>
        <v/>
      </c>
      <c r="BN10" s="16"/>
      <c r="BO10" s="13" t="str">
        <f t="shared" si="42"/>
        <v/>
      </c>
      <c r="BP10" s="13" t="str">
        <f t="shared" si="43"/>
        <v/>
      </c>
      <c r="BQ10" s="15"/>
      <c r="BR10" s="12" t="str">
        <f t="shared" si="44"/>
        <v/>
      </c>
      <c r="BS10" s="12" t="str">
        <f t="shared" si="45"/>
        <v/>
      </c>
      <c r="BT10" s="16"/>
      <c r="BU10" s="13" t="str">
        <f t="shared" si="46"/>
        <v/>
      </c>
      <c r="BV10" s="13" t="str">
        <f t="shared" si="47"/>
        <v/>
      </c>
      <c r="BW10" s="15"/>
      <c r="BX10" s="12" t="str">
        <f t="shared" si="48"/>
        <v/>
      </c>
      <c r="BY10" s="12" t="str">
        <f t="shared" si="49"/>
        <v/>
      </c>
      <c r="BZ10" s="16"/>
      <c r="CA10" s="13" t="str">
        <f t="shared" si="50"/>
        <v/>
      </c>
      <c r="CB10" s="13" t="str">
        <f t="shared" si="51"/>
        <v/>
      </c>
      <c r="CC10" s="15"/>
      <c r="CD10" s="12" t="str">
        <f t="shared" si="52"/>
        <v/>
      </c>
      <c r="CE10" s="12" t="str">
        <f t="shared" si="53"/>
        <v/>
      </c>
      <c r="CF10" s="16"/>
      <c r="CG10" s="13" t="str">
        <f t="shared" si="54"/>
        <v/>
      </c>
      <c r="CH10" s="13" t="str">
        <f t="shared" si="55"/>
        <v/>
      </c>
      <c r="CI10" s="17">
        <f t="shared" si="56"/>
        <v>0</v>
      </c>
      <c r="CJ10" s="17">
        <f t="shared" si="57"/>
        <v>0</v>
      </c>
    </row>
    <row r="11" spans="1:88" ht="15.75" x14ac:dyDescent="0.15">
      <c r="A11" s="3" t="s">
        <v>136</v>
      </c>
      <c r="B11" s="11" t="str">
        <f>IF(D11="","",IFERROR(VLOOKUP(D11,商品マスタ!$A:$K,2,FALSE),"昭和以外"))</f>
        <v>昭和以外</v>
      </c>
      <c r="C11" s="2" t="s">
        <v>144</v>
      </c>
      <c r="D11" s="2" t="s">
        <v>145</v>
      </c>
      <c r="E11" s="6">
        <f>IF(D11="","",IFERROR(VLOOKUP(D11,商品マスタ!$A:$K,4,FALSE),6.55))</f>
        <v>6.55</v>
      </c>
      <c r="F11" s="6">
        <f>IF(D11="","",IFERROR(VLOOKUP(D11,商品マスタ!$A:$K,8,FALSE),0.599999999999999))</f>
        <v>0.59999999999999898</v>
      </c>
      <c r="G11" s="12">
        <f t="shared" si="0"/>
        <v>0</v>
      </c>
      <c r="H11" s="12">
        <f t="shared" si="1"/>
        <v>0</v>
      </c>
      <c r="I11" s="12">
        <f t="shared" si="2"/>
        <v>0</v>
      </c>
      <c r="J11" s="13">
        <f t="shared" si="3"/>
        <v>0</v>
      </c>
      <c r="K11" s="13">
        <f t="shared" si="4"/>
        <v>0</v>
      </c>
      <c r="L11" s="13">
        <f t="shared" si="5"/>
        <v>0</v>
      </c>
      <c r="M11" s="14" t="str">
        <f t="shared" si="6"/>
        <v/>
      </c>
      <c r="N11" s="14" t="str">
        <f t="shared" si="7"/>
        <v/>
      </c>
      <c r="O11" s="15"/>
      <c r="P11" s="12" t="str">
        <f t="shared" si="8"/>
        <v/>
      </c>
      <c r="Q11" s="12" t="str">
        <f t="shared" si="9"/>
        <v/>
      </c>
      <c r="R11" s="16"/>
      <c r="S11" s="13" t="str">
        <f t="shared" si="10"/>
        <v/>
      </c>
      <c r="T11" s="13" t="str">
        <f t="shared" si="11"/>
        <v/>
      </c>
      <c r="U11" s="15"/>
      <c r="V11" s="12" t="str">
        <f t="shared" si="12"/>
        <v/>
      </c>
      <c r="W11" s="12" t="str">
        <f t="shared" si="13"/>
        <v/>
      </c>
      <c r="X11" s="16"/>
      <c r="Y11" s="13" t="str">
        <f t="shared" si="14"/>
        <v/>
      </c>
      <c r="Z11" s="13" t="str">
        <f t="shared" si="15"/>
        <v/>
      </c>
      <c r="AA11" s="15"/>
      <c r="AB11" s="12" t="str">
        <f t="shared" si="16"/>
        <v/>
      </c>
      <c r="AC11" s="12" t="str">
        <f t="shared" si="17"/>
        <v/>
      </c>
      <c r="AD11" s="16"/>
      <c r="AE11" s="13" t="str">
        <f t="shared" si="18"/>
        <v/>
      </c>
      <c r="AF11" s="13" t="str">
        <f t="shared" si="19"/>
        <v/>
      </c>
      <c r="AG11" s="15"/>
      <c r="AH11" s="12" t="str">
        <f t="shared" si="20"/>
        <v/>
      </c>
      <c r="AI11" s="12" t="str">
        <f t="shared" si="21"/>
        <v/>
      </c>
      <c r="AJ11" s="16"/>
      <c r="AK11" s="13" t="str">
        <f t="shared" si="22"/>
        <v/>
      </c>
      <c r="AL11" s="13" t="str">
        <f t="shared" si="23"/>
        <v/>
      </c>
      <c r="AM11" s="15"/>
      <c r="AN11" s="12" t="str">
        <f t="shared" si="24"/>
        <v/>
      </c>
      <c r="AO11" s="12" t="str">
        <f t="shared" si="25"/>
        <v/>
      </c>
      <c r="AP11" s="16"/>
      <c r="AQ11" s="13" t="str">
        <f t="shared" si="26"/>
        <v/>
      </c>
      <c r="AR11" s="13" t="str">
        <f t="shared" si="27"/>
        <v/>
      </c>
      <c r="AS11" s="15"/>
      <c r="AT11" s="12" t="str">
        <f t="shared" si="28"/>
        <v/>
      </c>
      <c r="AU11" s="12" t="str">
        <f t="shared" si="29"/>
        <v/>
      </c>
      <c r="AV11" s="16"/>
      <c r="AW11" s="13" t="str">
        <f t="shared" si="30"/>
        <v/>
      </c>
      <c r="AX11" s="13" t="str">
        <f t="shared" si="31"/>
        <v/>
      </c>
      <c r="AY11" s="15"/>
      <c r="AZ11" s="12" t="str">
        <f t="shared" si="32"/>
        <v/>
      </c>
      <c r="BA11" s="12" t="str">
        <f t="shared" si="33"/>
        <v/>
      </c>
      <c r="BB11" s="16"/>
      <c r="BC11" s="13" t="str">
        <f t="shared" si="34"/>
        <v/>
      </c>
      <c r="BD11" s="13" t="str">
        <f t="shared" si="35"/>
        <v/>
      </c>
      <c r="BE11" s="15"/>
      <c r="BF11" s="12" t="str">
        <f t="shared" si="36"/>
        <v/>
      </c>
      <c r="BG11" s="12" t="str">
        <f t="shared" si="37"/>
        <v/>
      </c>
      <c r="BH11" s="16"/>
      <c r="BI11" s="13" t="str">
        <f t="shared" si="38"/>
        <v/>
      </c>
      <c r="BJ11" s="13" t="str">
        <f t="shared" si="39"/>
        <v/>
      </c>
      <c r="BK11" s="15"/>
      <c r="BL11" s="12" t="str">
        <f t="shared" si="40"/>
        <v/>
      </c>
      <c r="BM11" s="12" t="str">
        <f t="shared" si="41"/>
        <v/>
      </c>
      <c r="BN11" s="16"/>
      <c r="BO11" s="13" t="str">
        <f t="shared" si="42"/>
        <v/>
      </c>
      <c r="BP11" s="13" t="str">
        <f t="shared" si="43"/>
        <v/>
      </c>
      <c r="BQ11" s="15"/>
      <c r="BR11" s="12" t="str">
        <f t="shared" si="44"/>
        <v/>
      </c>
      <c r="BS11" s="12" t="str">
        <f t="shared" si="45"/>
        <v/>
      </c>
      <c r="BT11" s="16"/>
      <c r="BU11" s="13" t="str">
        <f t="shared" si="46"/>
        <v/>
      </c>
      <c r="BV11" s="13" t="str">
        <f t="shared" si="47"/>
        <v/>
      </c>
      <c r="BW11" s="15"/>
      <c r="BX11" s="12" t="str">
        <f t="shared" si="48"/>
        <v/>
      </c>
      <c r="BY11" s="12" t="str">
        <f t="shared" si="49"/>
        <v/>
      </c>
      <c r="BZ11" s="16"/>
      <c r="CA11" s="13" t="str">
        <f t="shared" si="50"/>
        <v/>
      </c>
      <c r="CB11" s="13" t="str">
        <f t="shared" si="51"/>
        <v/>
      </c>
      <c r="CC11" s="15"/>
      <c r="CD11" s="12" t="str">
        <f t="shared" si="52"/>
        <v/>
      </c>
      <c r="CE11" s="12" t="str">
        <f t="shared" si="53"/>
        <v/>
      </c>
      <c r="CF11" s="16"/>
      <c r="CG11" s="13" t="str">
        <f t="shared" si="54"/>
        <v/>
      </c>
      <c r="CH11" s="13" t="str">
        <f t="shared" si="55"/>
        <v/>
      </c>
      <c r="CI11" s="17">
        <f t="shared" si="56"/>
        <v>0</v>
      </c>
      <c r="CJ11" s="17">
        <f t="shared" si="57"/>
        <v>0</v>
      </c>
    </row>
    <row r="12" spans="1:88" ht="15.75" x14ac:dyDescent="0.15">
      <c r="A12" s="3" t="s">
        <v>136</v>
      </c>
      <c r="B12" s="11" t="str">
        <f>IF(D12="","",IFERROR(VLOOKUP(D12,商品マスタ!$A:$K,2,FALSE),"昭和以外"))</f>
        <v>昭和以外</v>
      </c>
      <c r="C12" s="2" t="s">
        <v>146</v>
      </c>
      <c r="D12" s="2" t="s">
        <v>81</v>
      </c>
      <c r="E12" s="6">
        <f>IF(D12="","",IFERROR(VLOOKUP(D12,商品マスタ!$A:$K,4,FALSE),0))</f>
        <v>0</v>
      </c>
      <c r="F12" s="6">
        <f>IF(D12="","",IFERROR(VLOOKUP(D12,商品マスタ!$A:$K,8,FALSE),0))</f>
        <v>0</v>
      </c>
      <c r="G12" s="12">
        <f t="shared" si="0"/>
        <v>0</v>
      </c>
      <c r="H12" s="12">
        <f t="shared" si="1"/>
        <v>0</v>
      </c>
      <c r="I12" s="12">
        <f t="shared" si="2"/>
        <v>0</v>
      </c>
      <c r="J12" s="13">
        <f t="shared" si="3"/>
        <v>0</v>
      </c>
      <c r="K12" s="13">
        <f t="shared" si="4"/>
        <v>0</v>
      </c>
      <c r="L12" s="13">
        <f t="shared" si="5"/>
        <v>0</v>
      </c>
      <c r="M12" s="14" t="str">
        <f t="shared" si="6"/>
        <v/>
      </c>
      <c r="N12" s="14" t="str">
        <f t="shared" si="7"/>
        <v/>
      </c>
      <c r="O12" s="15"/>
      <c r="P12" s="12" t="str">
        <f t="shared" si="8"/>
        <v/>
      </c>
      <c r="Q12" s="12" t="str">
        <f t="shared" si="9"/>
        <v/>
      </c>
      <c r="R12" s="16"/>
      <c r="S12" s="13" t="str">
        <f t="shared" si="10"/>
        <v/>
      </c>
      <c r="T12" s="13" t="str">
        <f t="shared" si="11"/>
        <v/>
      </c>
      <c r="U12" s="15"/>
      <c r="V12" s="12" t="str">
        <f t="shared" si="12"/>
        <v/>
      </c>
      <c r="W12" s="12" t="str">
        <f t="shared" si="13"/>
        <v/>
      </c>
      <c r="X12" s="16"/>
      <c r="Y12" s="13" t="str">
        <f t="shared" si="14"/>
        <v/>
      </c>
      <c r="Z12" s="13" t="str">
        <f t="shared" si="15"/>
        <v/>
      </c>
      <c r="AA12" s="15"/>
      <c r="AB12" s="12" t="str">
        <f t="shared" si="16"/>
        <v/>
      </c>
      <c r="AC12" s="12" t="str">
        <f t="shared" si="17"/>
        <v/>
      </c>
      <c r="AD12" s="16"/>
      <c r="AE12" s="13" t="str">
        <f t="shared" si="18"/>
        <v/>
      </c>
      <c r="AF12" s="13" t="str">
        <f t="shared" si="19"/>
        <v/>
      </c>
      <c r="AG12" s="15"/>
      <c r="AH12" s="12" t="str">
        <f t="shared" si="20"/>
        <v/>
      </c>
      <c r="AI12" s="12" t="str">
        <f t="shared" si="21"/>
        <v/>
      </c>
      <c r="AJ12" s="16"/>
      <c r="AK12" s="13" t="str">
        <f t="shared" si="22"/>
        <v/>
      </c>
      <c r="AL12" s="13" t="str">
        <f t="shared" si="23"/>
        <v/>
      </c>
      <c r="AM12" s="15"/>
      <c r="AN12" s="12" t="str">
        <f t="shared" si="24"/>
        <v/>
      </c>
      <c r="AO12" s="12" t="str">
        <f t="shared" si="25"/>
        <v/>
      </c>
      <c r="AP12" s="16"/>
      <c r="AQ12" s="13" t="str">
        <f t="shared" si="26"/>
        <v/>
      </c>
      <c r="AR12" s="13" t="str">
        <f t="shared" si="27"/>
        <v/>
      </c>
      <c r="AS12" s="15"/>
      <c r="AT12" s="12" t="str">
        <f t="shared" si="28"/>
        <v/>
      </c>
      <c r="AU12" s="12" t="str">
        <f t="shared" si="29"/>
        <v/>
      </c>
      <c r="AV12" s="16"/>
      <c r="AW12" s="13" t="str">
        <f t="shared" si="30"/>
        <v/>
      </c>
      <c r="AX12" s="13" t="str">
        <f t="shared" si="31"/>
        <v/>
      </c>
      <c r="AY12" s="15"/>
      <c r="AZ12" s="12" t="str">
        <f t="shared" si="32"/>
        <v/>
      </c>
      <c r="BA12" s="12" t="str">
        <f t="shared" si="33"/>
        <v/>
      </c>
      <c r="BB12" s="16"/>
      <c r="BC12" s="13" t="str">
        <f t="shared" si="34"/>
        <v/>
      </c>
      <c r="BD12" s="13" t="str">
        <f t="shared" si="35"/>
        <v/>
      </c>
      <c r="BE12" s="15"/>
      <c r="BF12" s="12" t="str">
        <f t="shared" si="36"/>
        <v/>
      </c>
      <c r="BG12" s="12" t="str">
        <f t="shared" si="37"/>
        <v/>
      </c>
      <c r="BH12" s="16"/>
      <c r="BI12" s="13" t="str">
        <f t="shared" si="38"/>
        <v/>
      </c>
      <c r="BJ12" s="13" t="str">
        <f t="shared" si="39"/>
        <v/>
      </c>
      <c r="BK12" s="15"/>
      <c r="BL12" s="12" t="str">
        <f t="shared" si="40"/>
        <v/>
      </c>
      <c r="BM12" s="12" t="str">
        <f t="shared" si="41"/>
        <v/>
      </c>
      <c r="BN12" s="16"/>
      <c r="BO12" s="13" t="str">
        <f t="shared" si="42"/>
        <v/>
      </c>
      <c r="BP12" s="13" t="str">
        <f t="shared" si="43"/>
        <v/>
      </c>
      <c r="BQ12" s="15"/>
      <c r="BR12" s="12" t="str">
        <f t="shared" si="44"/>
        <v/>
      </c>
      <c r="BS12" s="12" t="str">
        <f t="shared" si="45"/>
        <v/>
      </c>
      <c r="BT12" s="16"/>
      <c r="BU12" s="13" t="str">
        <f t="shared" si="46"/>
        <v/>
      </c>
      <c r="BV12" s="13" t="str">
        <f t="shared" si="47"/>
        <v/>
      </c>
      <c r="BW12" s="15"/>
      <c r="BX12" s="12" t="str">
        <f t="shared" si="48"/>
        <v/>
      </c>
      <c r="BY12" s="12" t="str">
        <f t="shared" si="49"/>
        <v/>
      </c>
      <c r="BZ12" s="16"/>
      <c r="CA12" s="13" t="str">
        <f t="shared" si="50"/>
        <v/>
      </c>
      <c r="CB12" s="13" t="str">
        <f t="shared" si="51"/>
        <v/>
      </c>
      <c r="CC12" s="15"/>
      <c r="CD12" s="12" t="str">
        <f t="shared" si="52"/>
        <v/>
      </c>
      <c r="CE12" s="12" t="str">
        <f t="shared" si="53"/>
        <v/>
      </c>
      <c r="CF12" s="16"/>
      <c r="CG12" s="13" t="str">
        <f t="shared" si="54"/>
        <v/>
      </c>
      <c r="CH12" s="13" t="str">
        <f t="shared" si="55"/>
        <v/>
      </c>
      <c r="CI12" s="17">
        <f t="shared" si="56"/>
        <v>0</v>
      </c>
      <c r="CJ12" s="17">
        <f t="shared" si="57"/>
        <v>0</v>
      </c>
    </row>
    <row r="13" spans="1:88" ht="15.75" x14ac:dyDescent="0.15">
      <c r="A13" s="3" t="s">
        <v>136</v>
      </c>
      <c r="B13" s="11" t="str">
        <f>IF(D13="","",IFERROR(VLOOKUP(D13,商品マスタ!$A:$K,2,FALSE),"缶バッジ"))</f>
        <v>缶バッジ</v>
      </c>
      <c r="C13" s="2" t="s">
        <v>147</v>
      </c>
      <c r="D13" s="2" t="s">
        <v>148</v>
      </c>
      <c r="E13" s="6">
        <f>IF(D13="","",IFERROR(VLOOKUP(D13,商品マスタ!$A:$K,4,FALSE),12.55))</f>
        <v>12.55</v>
      </c>
      <c r="F13" s="6">
        <f>IF(D13="","",IFERROR(VLOOKUP(D13,商品マスタ!$A:$K,8,FALSE),1.14))</f>
        <v>1.1399999999999999</v>
      </c>
      <c r="G13" s="12">
        <f t="shared" si="0"/>
        <v>0</v>
      </c>
      <c r="H13" s="12">
        <f t="shared" si="1"/>
        <v>0</v>
      </c>
      <c r="I13" s="12">
        <f t="shared" si="2"/>
        <v>0</v>
      </c>
      <c r="J13" s="13">
        <f t="shared" si="3"/>
        <v>0</v>
      </c>
      <c r="K13" s="13">
        <f t="shared" si="4"/>
        <v>0</v>
      </c>
      <c r="L13" s="13">
        <f t="shared" si="5"/>
        <v>0</v>
      </c>
      <c r="M13" s="14" t="str">
        <f t="shared" si="6"/>
        <v/>
      </c>
      <c r="N13" s="14" t="str">
        <f t="shared" si="7"/>
        <v/>
      </c>
      <c r="O13" s="15"/>
      <c r="P13" s="12" t="str">
        <f t="shared" si="8"/>
        <v/>
      </c>
      <c r="Q13" s="12" t="str">
        <f t="shared" si="9"/>
        <v/>
      </c>
      <c r="R13" s="16"/>
      <c r="S13" s="13" t="str">
        <f t="shared" si="10"/>
        <v/>
      </c>
      <c r="T13" s="13" t="str">
        <f t="shared" si="11"/>
        <v/>
      </c>
      <c r="U13" s="15"/>
      <c r="V13" s="12" t="str">
        <f t="shared" si="12"/>
        <v/>
      </c>
      <c r="W13" s="12" t="str">
        <f t="shared" si="13"/>
        <v/>
      </c>
      <c r="X13" s="16"/>
      <c r="Y13" s="13" t="str">
        <f t="shared" si="14"/>
        <v/>
      </c>
      <c r="Z13" s="13" t="str">
        <f t="shared" si="15"/>
        <v/>
      </c>
      <c r="AA13" s="15"/>
      <c r="AB13" s="12" t="str">
        <f t="shared" si="16"/>
        <v/>
      </c>
      <c r="AC13" s="12" t="str">
        <f t="shared" si="17"/>
        <v/>
      </c>
      <c r="AD13" s="16"/>
      <c r="AE13" s="13" t="str">
        <f t="shared" si="18"/>
        <v/>
      </c>
      <c r="AF13" s="13" t="str">
        <f t="shared" si="19"/>
        <v/>
      </c>
      <c r="AG13" s="15"/>
      <c r="AH13" s="12" t="str">
        <f t="shared" si="20"/>
        <v/>
      </c>
      <c r="AI13" s="12" t="str">
        <f t="shared" si="21"/>
        <v/>
      </c>
      <c r="AJ13" s="16"/>
      <c r="AK13" s="13" t="str">
        <f t="shared" si="22"/>
        <v/>
      </c>
      <c r="AL13" s="13" t="str">
        <f t="shared" si="23"/>
        <v/>
      </c>
      <c r="AM13" s="15"/>
      <c r="AN13" s="12" t="str">
        <f t="shared" si="24"/>
        <v/>
      </c>
      <c r="AO13" s="12" t="str">
        <f t="shared" si="25"/>
        <v/>
      </c>
      <c r="AP13" s="16"/>
      <c r="AQ13" s="13" t="str">
        <f t="shared" si="26"/>
        <v/>
      </c>
      <c r="AR13" s="13" t="str">
        <f t="shared" si="27"/>
        <v/>
      </c>
      <c r="AS13" s="15"/>
      <c r="AT13" s="12" t="str">
        <f t="shared" si="28"/>
        <v/>
      </c>
      <c r="AU13" s="12" t="str">
        <f t="shared" si="29"/>
        <v/>
      </c>
      <c r="AV13" s="16"/>
      <c r="AW13" s="13" t="str">
        <f t="shared" si="30"/>
        <v/>
      </c>
      <c r="AX13" s="13" t="str">
        <f t="shared" si="31"/>
        <v/>
      </c>
      <c r="AY13" s="15"/>
      <c r="AZ13" s="12" t="str">
        <f t="shared" si="32"/>
        <v/>
      </c>
      <c r="BA13" s="12" t="str">
        <f t="shared" si="33"/>
        <v/>
      </c>
      <c r="BB13" s="16"/>
      <c r="BC13" s="13" t="str">
        <f t="shared" si="34"/>
        <v/>
      </c>
      <c r="BD13" s="13" t="str">
        <f t="shared" si="35"/>
        <v/>
      </c>
      <c r="BE13" s="15"/>
      <c r="BF13" s="12" t="str">
        <f t="shared" si="36"/>
        <v/>
      </c>
      <c r="BG13" s="12" t="str">
        <f t="shared" si="37"/>
        <v/>
      </c>
      <c r="BH13" s="16"/>
      <c r="BI13" s="13" t="str">
        <f t="shared" si="38"/>
        <v/>
      </c>
      <c r="BJ13" s="13" t="str">
        <f t="shared" si="39"/>
        <v/>
      </c>
      <c r="BK13" s="15"/>
      <c r="BL13" s="12" t="str">
        <f t="shared" si="40"/>
        <v/>
      </c>
      <c r="BM13" s="12" t="str">
        <f t="shared" si="41"/>
        <v/>
      </c>
      <c r="BN13" s="16"/>
      <c r="BO13" s="13" t="str">
        <f t="shared" si="42"/>
        <v/>
      </c>
      <c r="BP13" s="13" t="str">
        <f t="shared" si="43"/>
        <v/>
      </c>
      <c r="BQ13" s="15"/>
      <c r="BR13" s="12" t="str">
        <f t="shared" si="44"/>
        <v/>
      </c>
      <c r="BS13" s="12" t="str">
        <f t="shared" si="45"/>
        <v/>
      </c>
      <c r="BT13" s="16"/>
      <c r="BU13" s="13" t="str">
        <f t="shared" si="46"/>
        <v/>
      </c>
      <c r="BV13" s="13" t="str">
        <f t="shared" si="47"/>
        <v/>
      </c>
      <c r="BW13" s="15"/>
      <c r="BX13" s="12" t="str">
        <f t="shared" si="48"/>
        <v/>
      </c>
      <c r="BY13" s="12" t="str">
        <f t="shared" si="49"/>
        <v/>
      </c>
      <c r="BZ13" s="16"/>
      <c r="CA13" s="13" t="str">
        <f t="shared" si="50"/>
        <v/>
      </c>
      <c r="CB13" s="13" t="str">
        <f t="shared" si="51"/>
        <v/>
      </c>
      <c r="CC13" s="15"/>
      <c r="CD13" s="12" t="str">
        <f t="shared" si="52"/>
        <v/>
      </c>
      <c r="CE13" s="12" t="str">
        <f t="shared" si="53"/>
        <v/>
      </c>
      <c r="CF13" s="16"/>
      <c r="CG13" s="13" t="str">
        <f t="shared" si="54"/>
        <v/>
      </c>
      <c r="CH13" s="13" t="str">
        <f t="shared" si="55"/>
        <v/>
      </c>
      <c r="CI13" s="17">
        <f t="shared" si="56"/>
        <v>0</v>
      </c>
      <c r="CJ13" s="17">
        <f t="shared" si="57"/>
        <v>0</v>
      </c>
    </row>
    <row r="14" spans="1:88" ht="15.75" x14ac:dyDescent="0.15">
      <c r="A14" s="3" t="s">
        <v>136</v>
      </c>
      <c r="B14" s="11" t="str">
        <f>IF(D14="","",IFERROR(VLOOKUP(D14,商品マスタ!$A:$K,2,FALSE),"缶バッジ"))</f>
        <v>缶バッジ</v>
      </c>
      <c r="C14" s="2" t="s">
        <v>149</v>
      </c>
      <c r="D14" s="2" t="s">
        <v>148</v>
      </c>
      <c r="E14" s="6">
        <f>IF(D14="","",IFERROR(VLOOKUP(D14,商品マスタ!$A:$K,4,FALSE),12.55))</f>
        <v>12.55</v>
      </c>
      <c r="F14" s="6">
        <f>IF(D14="","",IFERROR(VLOOKUP(D14,商品マスタ!$A:$K,8,FALSE),1.14))</f>
        <v>1.1399999999999999</v>
      </c>
      <c r="G14" s="12">
        <f t="shared" si="0"/>
        <v>0</v>
      </c>
      <c r="H14" s="12">
        <f t="shared" si="1"/>
        <v>0</v>
      </c>
      <c r="I14" s="12">
        <f t="shared" si="2"/>
        <v>0</v>
      </c>
      <c r="J14" s="13">
        <f t="shared" si="3"/>
        <v>0</v>
      </c>
      <c r="K14" s="13">
        <f t="shared" si="4"/>
        <v>0</v>
      </c>
      <c r="L14" s="13">
        <f t="shared" si="5"/>
        <v>0</v>
      </c>
      <c r="M14" s="14" t="str">
        <f t="shared" si="6"/>
        <v/>
      </c>
      <c r="N14" s="14" t="str">
        <f t="shared" si="7"/>
        <v/>
      </c>
      <c r="O14" s="15"/>
      <c r="P14" s="12" t="str">
        <f t="shared" si="8"/>
        <v/>
      </c>
      <c r="Q14" s="12" t="str">
        <f t="shared" si="9"/>
        <v/>
      </c>
      <c r="R14" s="16"/>
      <c r="S14" s="13" t="str">
        <f t="shared" si="10"/>
        <v/>
      </c>
      <c r="T14" s="13" t="str">
        <f t="shared" si="11"/>
        <v/>
      </c>
      <c r="U14" s="15"/>
      <c r="V14" s="12" t="str">
        <f t="shared" si="12"/>
        <v/>
      </c>
      <c r="W14" s="12" t="str">
        <f t="shared" si="13"/>
        <v/>
      </c>
      <c r="X14" s="16"/>
      <c r="Y14" s="13" t="str">
        <f t="shared" si="14"/>
        <v/>
      </c>
      <c r="Z14" s="13" t="str">
        <f t="shared" si="15"/>
        <v/>
      </c>
      <c r="AA14" s="15"/>
      <c r="AB14" s="12" t="str">
        <f t="shared" si="16"/>
        <v/>
      </c>
      <c r="AC14" s="12" t="str">
        <f t="shared" si="17"/>
        <v/>
      </c>
      <c r="AD14" s="16"/>
      <c r="AE14" s="13" t="str">
        <f t="shared" si="18"/>
        <v/>
      </c>
      <c r="AF14" s="13" t="str">
        <f t="shared" si="19"/>
        <v/>
      </c>
      <c r="AG14" s="15"/>
      <c r="AH14" s="12" t="str">
        <f t="shared" si="20"/>
        <v/>
      </c>
      <c r="AI14" s="12" t="str">
        <f t="shared" si="21"/>
        <v/>
      </c>
      <c r="AJ14" s="16"/>
      <c r="AK14" s="13" t="str">
        <f t="shared" si="22"/>
        <v/>
      </c>
      <c r="AL14" s="13" t="str">
        <f t="shared" si="23"/>
        <v/>
      </c>
      <c r="AM14" s="15"/>
      <c r="AN14" s="12" t="str">
        <f t="shared" si="24"/>
        <v/>
      </c>
      <c r="AO14" s="12" t="str">
        <f t="shared" si="25"/>
        <v/>
      </c>
      <c r="AP14" s="16"/>
      <c r="AQ14" s="13" t="str">
        <f t="shared" si="26"/>
        <v/>
      </c>
      <c r="AR14" s="13" t="str">
        <f t="shared" si="27"/>
        <v/>
      </c>
      <c r="AS14" s="15"/>
      <c r="AT14" s="12" t="str">
        <f t="shared" si="28"/>
        <v/>
      </c>
      <c r="AU14" s="12" t="str">
        <f t="shared" si="29"/>
        <v/>
      </c>
      <c r="AV14" s="16"/>
      <c r="AW14" s="13" t="str">
        <f t="shared" si="30"/>
        <v/>
      </c>
      <c r="AX14" s="13" t="str">
        <f t="shared" si="31"/>
        <v/>
      </c>
      <c r="AY14" s="15"/>
      <c r="AZ14" s="12" t="str">
        <f t="shared" si="32"/>
        <v/>
      </c>
      <c r="BA14" s="12" t="str">
        <f t="shared" si="33"/>
        <v/>
      </c>
      <c r="BB14" s="16"/>
      <c r="BC14" s="13" t="str">
        <f t="shared" si="34"/>
        <v/>
      </c>
      <c r="BD14" s="13" t="str">
        <f t="shared" si="35"/>
        <v/>
      </c>
      <c r="BE14" s="15"/>
      <c r="BF14" s="12" t="str">
        <f t="shared" si="36"/>
        <v/>
      </c>
      <c r="BG14" s="12" t="str">
        <f t="shared" si="37"/>
        <v/>
      </c>
      <c r="BH14" s="16"/>
      <c r="BI14" s="13" t="str">
        <f t="shared" si="38"/>
        <v/>
      </c>
      <c r="BJ14" s="13" t="str">
        <f t="shared" si="39"/>
        <v/>
      </c>
      <c r="BK14" s="15"/>
      <c r="BL14" s="12" t="str">
        <f t="shared" si="40"/>
        <v/>
      </c>
      <c r="BM14" s="12" t="str">
        <f t="shared" si="41"/>
        <v/>
      </c>
      <c r="BN14" s="16"/>
      <c r="BO14" s="13" t="str">
        <f t="shared" si="42"/>
        <v/>
      </c>
      <c r="BP14" s="13" t="str">
        <f t="shared" si="43"/>
        <v/>
      </c>
      <c r="BQ14" s="15"/>
      <c r="BR14" s="12" t="str">
        <f t="shared" si="44"/>
        <v/>
      </c>
      <c r="BS14" s="12" t="str">
        <f t="shared" si="45"/>
        <v/>
      </c>
      <c r="BT14" s="16"/>
      <c r="BU14" s="13" t="str">
        <f t="shared" si="46"/>
        <v/>
      </c>
      <c r="BV14" s="13" t="str">
        <f t="shared" si="47"/>
        <v/>
      </c>
      <c r="BW14" s="15"/>
      <c r="BX14" s="12" t="str">
        <f t="shared" si="48"/>
        <v/>
      </c>
      <c r="BY14" s="12" t="str">
        <f t="shared" si="49"/>
        <v/>
      </c>
      <c r="BZ14" s="16"/>
      <c r="CA14" s="13" t="str">
        <f t="shared" si="50"/>
        <v/>
      </c>
      <c r="CB14" s="13" t="str">
        <f t="shared" si="51"/>
        <v/>
      </c>
      <c r="CC14" s="15"/>
      <c r="CD14" s="12" t="str">
        <f t="shared" si="52"/>
        <v/>
      </c>
      <c r="CE14" s="12" t="str">
        <f t="shared" si="53"/>
        <v/>
      </c>
      <c r="CF14" s="16"/>
      <c r="CG14" s="13" t="str">
        <f t="shared" si="54"/>
        <v/>
      </c>
      <c r="CH14" s="13" t="str">
        <f t="shared" si="55"/>
        <v/>
      </c>
      <c r="CI14" s="17">
        <f t="shared" si="56"/>
        <v>0</v>
      </c>
      <c r="CJ14" s="17">
        <f t="shared" si="57"/>
        <v>0</v>
      </c>
    </row>
    <row r="15" spans="1:88" ht="15.75" x14ac:dyDescent="0.15">
      <c r="A15" s="3" t="s">
        <v>136</v>
      </c>
      <c r="B15" s="11" t="str">
        <f>IF(D15="","",IFERROR(VLOOKUP(D15,商品マスタ!$A:$K,2,FALSE),"缶バッジ"))</f>
        <v>缶バッジ</v>
      </c>
      <c r="C15" s="2" t="s">
        <v>150</v>
      </c>
      <c r="D15" s="2" t="s">
        <v>151</v>
      </c>
      <c r="E15" s="6">
        <f>IF(D15="","",IFERROR(VLOOKUP(D15,商品マスタ!$A:$K,4,FALSE),3.72))</f>
        <v>3.72</v>
      </c>
      <c r="F15" s="6">
        <f>IF(D15="","",IFERROR(VLOOKUP(D15,商品マスタ!$A:$K,8,FALSE),0.34))</f>
        <v>0.34</v>
      </c>
      <c r="G15" s="12">
        <f t="shared" si="0"/>
        <v>0</v>
      </c>
      <c r="H15" s="12">
        <f t="shared" si="1"/>
        <v>0</v>
      </c>
      <c r="I15" s="12">
        <f t="shared" si="2"/>
        <v>0</v>
      </c>
      <c r="J15" s="13">
        <f t="shared" si="3"/>
        <v>0</v>
      </c>
      <c r="K15" s="13">
        <f t="shared" si="4"/>
        <v>0</v>
      </c>
      <c r="L15" s="13">
        <f t="shared" si="5"/>
        <v>0</v>
      </c>
      <c r="M15" s="14" t="str">
        <f t="shared" si="6"/>
        <v/>
      </c>
      <c r="N15" s="14" t="str">
        <f t="shared" si="7"/>
        <v/>
      </c>
      <c r="O15" s="15"/>
      <c r="P15" s="12" t="str">
        <f t="shared" si="8"/>
        <v/>
      </c>
      <c r="Q15" s="12" t="str">
        <f t="shared" si="9"/>
        <v/>
      </c>
      <c r="R15" s="16"/>
      <c r="S15" s="13" t="str">
        <f t="shared" si="10"/>
        <v/>
      </c>
      <c r="T15" s="13" t="str">
        <f t="shared" si="11"/>
        <v/>
      </c>
      <c r="U15" s="15"/>
      <c r="V15" s="12" t="str">
        <f t="shared" si="12"/>
        <v/>
      </c>
      <c r="W15" s="12" t="str">
        <f t="shared" si="13"/>
        <v/>
      </c>
      <c r="X15" s="16"/>
      <c r="Y15" s="13" t="str">
        <f t="shared" si="14"/>
        <v/>
      </c>
      <c r="Z15" s="13" t="str">
        <f t="shared" si="15"/>
        <v/>
      </c>
      <c r="AA15" s="15"/>
      <c r="AB15" s="12" t="str">
        <f t="shared" si="16"/>
        <v/>
      </c>
      <c r="AC15" s="12" t="str">
        <f t="shared" si="17"/>
        <v/>
      </c>
      <c r="AD15" s="16"/>
      <c r="AE15" s="13" t="str">
        <f t="shared" si="18"/>
        <v/>
      </c>
      <c r="AF15" s="13" t="str">
        <f t="shared" si="19"/>
        <v/>
      </c>
      <c r="AG15" s="15"/>
      <c r="AH15" s="12" t="str">
        <f t="shared" si="20"/>
        <v/>
      </c>
      <c r="AI15" s="12" t="str">
        <f t="shared" si="21"/>
        <v/>
      </c>
      <c r="AJ15" s="16"/>
      <c r="AK15" s="13" t="str">
        <f t="shared" si="22"/>
        <v/>
      </c>
      <c r="AL15" s="13" t="str">
        <f t="shared" si="23"/>
        <v/>
      </c>
      <c r="AM15" s="15"/>
      <c r="AN15" s="12" t="str">
        <f t="shared" si="24"/>
        <v/>
      </c>
      <c r="AO15" s="12" t="str">
        <f t="shared" si="25"/>
        <v/>
      </c>
      <c r="AP15" s="16"/>
      <c r="AQ15" s="13" t="str">
        <f t="shared" si="26"/>
        <v/>
      </c>
      <c r="AR15" s="13" t="str">
        <f t="shared" si="27"/>
        <v/>
      </c>
      <c r="AS15" s="15"/>
      <c r="AT15" s="12" t="str">
        <f t="shared" si="28"/>
        <v/>
      </c>
      <c r="AU15" s="12" t="str">
        <f t="shared" si="29"/>
        <v/>
      </c>
      <c r="AV15" s="16"/>
      <c r="AW15" s="13" t="str">
        <f t="shared" si="30"/>
        <v/>
      </c>
      <c r="AX15" s="13" t="str">
        <f t="shared" si="31"/>
        <v/>
      </c>
      <c r="AY15" s="15"/>
      <c r="AZ15" s="12" t="str">
        <f t="shared" si="32"/>
        <v/>
      </c>
      <c r="BA15" s="12" t="str">
        <f t="shared" si="33"/>
        <v/>
      </c>
      <c r="BB15" s="16"/>
      <c r="BC15" s="13" t="str">
        <f t="shared" si="34"/>
        <v/>
      </c>
      <c r="BD15" s="13" t="str">
        <f t="shared" si="35"/>
        <v/>
      </c>
      <c r="BE15" s="15"/>
      <c r="BF15" s="12" t="str">
        <f t="shared" si="36"/>
        <v/>
      </c>
      <c r="BG15" s="12" t="str">
        <f t="shared" si="37"/>
        <v/>
      </c>
      <c r="BH15" s="16"/>
      <c r="BI15" s="13" t="str">
        <f t="shared" si="38"/>
        <v/>
      </c>
      <c r="BJ15" s="13" t="str">
        <f t="shared" si="39"/>
        <v/>
      </c>
      <c r="BK15" s="15"/>
      <c r="BL15" s="12" t="str">
        <f t="shared" si="40"/>
        <v/>
      </c>
      <c r="BM15" s="12" t="str">
        <f t="shared" si="41"/>
        <v/>
      </c>
      <c r="BN15" s="16"/>
      <c r="BO15" s="13" t="str">
        <f t="shared" si="42"/>
        <v/>
      </c>
      <c r="BP15" s="13" t="str">
        <f t="shared" si="43"/>
        <v/>
      </c>
      <c r="BQ15" s="15"/>
      <c r="BR15" s="12" t="str">
        <f t="shared" si="44"/>
        <v/>
      </c>
      <c r="BS15" s="12" t="str">
        <f t="shared" si="45"/>
        <v/>
      </c>
      <c r="BT15" s="16"/>
      <c r="BU15" s="13" t="str">
        <f t="shared" si="46"/>
        <v/>
      </c>
      <c r="BV15" s="13" t="str">
        <f t="shared" si="47"/>
        <v/>
      </c>
      <c r="BW15" s="15"/>
      <c r="BX15" s="12" t="str">
        <f t="shared" si="48"/>
        <v/>
      </c>
      <c r="BY15" s="12" t="str">
        <f t="shared" si="49"/>
        <v/>
      </c>
      <c r="BZ15" s="16"/>
      <c r="CA15" s="13" t="str">
        <f t="shared" si="50"/>
        <v/>
      </c>
      <c r="CB15" s="13" t="str">
        <f t="shared" si="51"/>
        <v/>
      </c>
      <c r="CC15" s="15"/>
      <c r="CD15" s="12" t="str">
        <f t="shared" si="52"/>
        <v/>
      </c>
      <c r="CE15" s="12" t="str">
        <f t="shared" si="53"/>
        <v/>
      </c>
      <c r="CF15" s="16"/>
      <c r="CG15" s="13" t="str">
        <f t="shared" si="54"/>
        <v/>
      </c>
      <c r="CH15" s="13" t="str">
        <f t="shared" si="55"/>
        <v/>
      </c>
      <c r="CI15" s="17">
        <f t="shared" si="56"/>
        <v>0</v>
      </c>
      <c r="CJ15" s="17">
        <f t="shared" si="57"/>
        <v>0</v>
      </c>
    </row>
    <row r="16" spans="1:88" ht="15.75" x14ac:dyDescent="0.15">
      <c r="A16" s="3" t="s">
        <v>152</v>
      </c>
      <c r="B16" s="11" t="str">
        <f>IF(D16="","",IFERROR(VLOOKUP(D16,商品マスタ!$A:$K,2,FALSE),"缶バッジ"))</f>
        <v>缶バッジ</v>
      </c>
      <c r="C16" s="2" t="s">
        <v>153</v>
      </c>
      <c r="D16" s="2" t="s">
        <v>148</v>
      </c>
      <c r="E16" s="6">
        <f>IF(D16="","",IFERROR(VLOOKUP(D16,商品マスタ!$A:$K,4,FALSE),12.55))</f>
        <v>12.55</v>
      </c>
      <c r="F16" s="6">
        <f>IF(D16="","",IFERROR(VLOOKUP(D16,商品マスタ!$A:$K,8,FALSE),1.14))</f>
        <v>1.1399999999999999</v>
      </c>
      <c r="G16" s="12">
        <f t="shared" si="0"/>
        <v>0</v>
      </c>
      <c r="H16" s="12">
        <f t="shared" si="1"/>
        <v>0</v>
      </c>
      <c r="I16" s="12">
        <f t="shared" si="2"/>
        <v>0</v>
      </c>
      <c r="J16" s="13">
        <f t="shared" si="3"/>
        <v>0</v>
      </c>
      <c r="K16" s="13">
        <f t="shared" si="4"/>
        <v>0</v>
      </c>
      <c r="L16" s="13">
        <f t="shared" si="5"/>
        <v>0</v>
      </c>
      <c r="M16" s="14" t="str">
        <f t="shared" si="6"/>
        <v/>
      </c>
      <c r="N16" s="14" t="str">
        <f t="shared" si="7"/>
        <v/>
      </c>
      <c r="O16" s="15"/>
      <c r="P16" s="12" t="str">
        <f t="shared" si="8"/>
        <v/>
      </c>
      <c r="Q16" s="12" t="str">
        <f t="shared" si="9"/>
        <v/>
      </c>
      <c r="R16" s="16"/>
      <c r="S16" s="13" t="str">
        <f t="shared" si="10"/>
        <v/>
      </c>
      <c r="T16" s="13" t="str">
        <f t="shared" si="11"/>
        <v/>
      </c>
      <c r="U16" s="15"/>
      <c r="V16" s="12" t="str">
        <f t="shared" si="12"/>
        <v/>
      </c>
      <c r="W16" s="12" t="str">
        <f t="shared" si="13"/>
        <v/>
      </c>
      <c r="X16" s="16"/>
      <c r="Y16" s="13" t="str">
        <f t="shared" si="14"/>
        <v/>
      </c>
      <c r="Z16" s="13" t="str">
        <f t="shared" si="15"/>
        <v/>
      </c>
      <c r="AA16" s="15"/>
      <c r="AB16" s="12" t="str">
        <f t="shared" si="16"/>
        <v/>
      </c>
      <c r="AC16" s="12" t="str">
        <f t="shared" si="17"/>
        <v/>
      </c>
      <c r="AD16" s="16"/>
      <c r="AE16" s="13" t="str">
        <f t="shared" si="18"/>
        <v/>
      </c>
      <c r="AF16" s="13" t="str">
        <f t="shared" si="19"/>
        <v/>
      </c>
      <c r="AG16" s="15"/>
      <c r="AH16" s="12" t="str">
        <f t="shared" si="20"/>
        <v/>
      </c>
      <c r="AI16" s="12" t="str">
        <f t="shared" si="21"/>
        <v/>
      </c>
      <c r="AJ16" s="16"/>
      <c r="AK16" s="13" t="str">
        <f t="shared" si="22"/>
        <v/>
      </c>
      <c r="AL16" s="13" t="str">
        <f t="shared" si="23"/>
        <v/>
      </c>
      <c r="AM16" s="15"/>
      <c r="AN16" s="12" t="str">
        <f t="shared" si="24"/>
        <v/>
      </c>
      <c r="AO16" s="12" t="str">
        <f t="shared" si="25"/>
        <v/>
      </c>
      <c r="AP16" s="16"/>
      <c r="AQ16" s="13" t="str">
        <f t="shared" si="26"/>
        <v/>
      </c>
      <c r="AR16" s="13" t="str">
        <f t="shared" si="27"/>
        <v/>
      </c>
      <c r="AS16" s="15"/>
      <c r="AT16" s="12" t="str">
        <f t="shared" si="28"/>
        <v/>
      </c>
      <c r="AU16" s="12" t="str">
        <f t="shared" si="29"/>
        <v/>
      </c>
      <c r="AV16" s="16"/>
      <c r="AW16" s="13" t="str">
        <f t="shared" si="30"/>
        <v/>
      </c>
      <c r="AX16" s="13" t="str">
        <f t="shared" si="31"/>
        <v/>
      </c>
      <c r="AY16" s="15"/>
      <c r="AZ16" s="12" t="str">
        <f t="shared" si="32"/>
        <v/>
      </c>
      <c r="BA16" s="12" t="str">
        <f t="shared" si="33"/>
        <v/>
      </c>
      <c r="BB16" s="16"/>
      <c r="BC16" s="13" t="str">
        <f t="shared" si="34"/>
        <v/>
      </c>
      <c r="BD16" s="13" t="str">
        <f t="shared" si="35"/>
        <v/>
      </c>
      <c r="BE16" s="15"/>
      <c r="BF16" s="12" t="str">
        <f t="shared" si="36"/>
        <v/>
      </c>
      <c r="BG16" s="12" t="str">
        <f t="shared" si="37"/>
        <v/>
      </c>
      <c r="BH16" s="16"/>
      <c r="BI16" s="13" t="str">
        <f t="shared" si="38"/>
        <v/>
      </c>
      <c r="BJ16" s="13" t="str">
        <f t="shared" si="39"/>
        <v/>
      </c>
      <c r="BK16" s="15"/>
      <c r="BL16" s="12" t="str">
        <f t="shared" si="40"/>
        <v/>
      </c>
      <c r="BM16" s="12" t="str">
        <f t="shared" si="41"/>
        <v/>
      </c>
      <c r="BN16" s="16"/>
      <c r="BO16" s="13" t="str">
        <f t="shared" si="42"/>
        <v/>
      </c>
      <c r="BP16" s="13" t="str">
        <f t="shared" si="43"/>
        <v/>
      </c>
      <c r="BQ16" s="15"/>
      <c r="BR16" s="12" t="str">
        <f t="shared" si="44"/>
        <v/>
      </c>
      <c r="BS16" s="12" t="str">
        <f t="shared" si="45"/>
        <v/>
      </c>
      <c r="BT16" s="16"/>
      <c r="BU16" s="13" t="str">
        <f t="shared" si="46"/>
        <v/>
      </c>
      <c r="BV16" s="13" t="str">
        <f t="shared" si="47"/>
        <v/>
      </c>
      <c r="BW16" s="15"/>
      <c r="BX16" s="12" t="str">
        <f t="shared" si="48"/>
        <v/>
      </c>
      <c r="BY16" s="12" t="str">
        <f t="shared" si="49"/>
        <v/>
      </c>
      <c r="BZ16" s="16"/>
      <c r="CA16" s="13" t="str">
        <f t="shared" si="50"/>
        <v/>
      </c>
      <c r="CB16" s="13" t="str">
        <f t="shared" si="51"/>
        <v/>
      </c>
      <c r="CC16" s="15"/>
      <c r="CD16" s="12" t="str">
        <f t="shared" si="52"/>
        <v/>
      </c>
      <c r="CE16" s="12" t="str">
        <f t="shared" si="53"/>
        <v/>
      </c>
      <c r="CF16" s="16"/>
      <c r="CG16" s="13" t="str">
        <f t="shared" si="54"/>
        <v/>
      </c>
      <c r="CH16" s="13" t="str">
        <f t="shared" si="55"/>
        <v/>
      </c>
      <c r="CI16" s="17">
        <f t="shared" si="56"/>
        <v>0</v>
      </c>
      <c r="CJ16" s="17">
        <f t="shared" si="57"/>
        <v>0</v>
      </c>
    </row>
    <row r="17" spans="1:88" ht="15.75" x14ac:dyDescent="0.15">
      <c r="A17" s="3" t="s">
        <v>152</v>
      </c>
      <c r="B17" s="11" t="str">
        <f>IF(D17="","",IFERROR(VLOOKUP(D17,商品マスタ!$A:$K,2,FALSE),"缶バッジ"))</f>
        <v>缶バッジ</v>
      </c>
      <c r="C17" s="2" t="s">
        <v>154</v>
      </c>
      <c r="D17" s="2" t="s">
        <v>148</v>
      </c>
      <c r="E17" s="6">
        <f>IF(D17="","",IFERROR(VLOOKUP(D17,商品マスタ!$A:$K,4,FALSE),12.55))</f>
        <v>12.55</v>
      </c>
      <c r="F17" s="6">
        <f>IF(D17="","",IFERROR(VLOOKUP(D17,商品マスタ!$A:$K,8,FALSE),1.14))</f>
        <v>1.1399999999999999</v>
      </c>
      <c r="G17" s="12">
        <f t="shared" si="0"/>
        <v>0</v>
      </c>
      <c r="H17" s="12">
        <f t="shared" si="1"/>
        <v>0</v>
      </c>
      <c r="I17" s="12">
        <f t="shared" si="2"/>
        <v>0</v>
      </c>
      <c r="J17" s="13">
        <f t="shared" si="3"/>
        <v>0</v>
      </c>
      <c r="K17" s="13">
        <f t="shared" si="4"/>
        <v>0</v>
      </c>
      <c r="L17" s="13">
        <f t="shared" si="5"/>
        <v>0</v>
      </c>
      <c r="M17" s="14" t="str">
        <f t="shared" si="6"/>
        <v/>
      </c>
      <c r="N17" s="14" t="str">
        <f t="shared" si="7"/>
        <v/>
      </c>
      <c r="O17" s="15"/>
      <c r="P17" s="12" t="str">
        <f t="shared" si="8"/>
        <v/>
      </c>
      <c r="Q17" s="12" t="str">
        <f t="shared" si="9"/>
        <v/>
      </c>
      <c r="R17" s="16"/>
      <c r="S17" s="13" t="str">
        <f t="shared" si="10"/>
        <v/>
      </c>
      <c r="T17" s="13" t="str">
        <f t="shared" si="11"/>
        <v/>
      </c>
      <c r="U17" s="15"/>
      <c r="V17" s="12" t="str">
        <f t="shared" si="12"/>
        <v/>
      </c>
      <c r="W17" s="12" t="str">
        <f t="shared" si="13"/>
        <v/>
      </c>
      <c r="X17" s="16"/>
      <c r="Y17" s="13" t="str">
        <f t="shared" si="14"/>
        <v/>
      </c>
      <c r="Z17" s="13" t="str">
        <f t="shared" si="15"/>
        <v/>
      </c>
      <c r="AA17" s="15"/>
      <c r="AB17" s="12" t="str">
        <f t="shared" si="16"/>
        <v/>
      </c>
      <c r="AC17" s="12" t="str">
        <f t="shared" si="17"/>
        <v/>
      </c>
      <c r="AD17" s="16"/>
      <c r="AE17" s="13" t="str">
        <f t="shared" si="18"/>
        <v/>
      </c>
      <c r="AF17" s="13" t="str">
        <f t="shared" si="19"/>
        <v/>
      </c>
      <c r="AG17" s="15"/>
      <c r="AH17" s="12" t="str">
        <f t="shared" si="20"/>
        <v/>
      </c>
      <c r="AI17" s="12" t="str">
        <f t="shared" si="21"/>
        <v/>
      </c>
      <c r="AJ17" s="16"/>
      <c r="AK17" s="13" t="str">
        <f t="shared" si="22"/>
        <v/>
      </c>
      <c r="AL17" s="13" t="str">
        <f t="shared" si="23"/>
        <v/>
      </c>
      <c r="AM17" s="15"/>
      <c r="AN17" s="12" t="str">
        <f t="shared" si="24"/>
        <v/>
      </c>
      <c r="AO17" s="12" t="str">
        <f t="shared" si="25"/>
        <v/>
      </c>
      <c r="AP17" s="16"/>
      <c r="AQ17" s="13" t="str">
        <f t="shared" si="26"/>
        <v/>
      </c>
      <c r="AR17" s="13" t="str">
        <f t="shared" si="27"/>
        <v/>
      </c>
      <c r="AS17" s="15"/>
      <c r="AT17" s="12" t="str">
        <f t="shared" si="28"/>
        <v/>
      </c>
      <c r="AU17" s="12" t="str">
        <f t="shared" si="29"/>
        <v/>
      </c>
      <c r="AV17" s="16"/>
      <c r="AW17" s="13" t="str">
        <f t="shared" si="30"/>
        <v/>
      </c>
      <c r="AX17" s="13" t="str">
        <f t="shared" si="31"/>
        <v/>
      </c>
      <c r="AY17" s="15"/>
      <c r="AZ17" s="12" t="str">
        <f t="shared" si="32"/>
        <v/>
      </c>
      <c r="BA17" s="12" t="str">
        <f t="shared" si="33"/>
        <v/>
      </c>
      <c r="BB17" s="16"/>
      <c r="BC17" s="13" t="str">
        <f t="shared" si="34"/>
        <v/>
      </c>
      <c r="BD17" s="13" t="str">
        <f t="shared" si="35"/>
        <v/>
      </c>
      <c r="BE17" s="15"/>
      <c r="BF17" s="12" t="str">
        <f t="shared" si="36"/>
        <v/>
      </c>
      <c r="BG17" s="12" t="str">
        <f t="shared" si="37"/>
        <v/>
      </c>
      <c r="BH17" s="16"/>
      <c r="BI17" s="13" t="str">
        <f t="shared" si="38"/>
        <v/>
      </c>
      <c r="BJ17" s="13" t="str">
        <f t="shared" si="39"/>
        <v/>
      </c>
      <c r="BK17" s="15"/>
      <c r="BL17" s="12" t="str">
        <f t="shared" si="40"/>
        <v/>
      </c>
      <c r="BM17" s="12" t="str">
        <f t="shared" si="41"/>
        <v/>
      </c>
      <c r="BN17" s="16"/>
      <c r="BO17" s="13" t="str">
        <f t="shared" si="42"/>
        <v/>
      </c>
      <c r="BP17" s="13" t="str">
        <f t="shared" si="43"/>
        <v/>
      </c>
      <c r="BQ17" s="15"/>
      <c r="BR17" s="12" t="str">
        <f t="shared" si="44"/>
        <v/>
      </c>
      <c r="BS17" s="12" t="str">
        <f t="shared" si="45"/>
        <v/>
      </c>
      <c r="BT17" s="16"/>
      <c r="BU17" s="13" t="str">
        <f t="shared" si="46"/>
        <v/>
      </c>
      <c r="BV17" s="13" t="str">
        <f t="shared" si="47"/>
        <v/>
      </c>
      <c r="BW17" s="15"/>
      <c r="BX17" s="12" t="str">
        <f t="shared" si="48"/>
        <v/>
      </c>
      <c r="BY17" s="12" t="str">
        <f t="shared" si="49"/>
        <v/>
      </c>
      <c r="BZ17" s="16"/>
      <c r="CA17" s="13" t="str">
        <f t="shared" si="50"/>
        <v/>
      </c>
      <c r="CB17" s="13" t="str">
        <f t="shared" si="51"/>
        <v/>
      </c>
      <c r="CC17" s="15"/>
      <c r="CD17" s="12" t="str">
        <f t="shared" si="52"/>
        <v/>
      </c>
      <c r="CE17" s="12" t="str">
        <f t="shared" si="53"/>
        <v/>
      </c>
      <c r="CF17" s="16"/>
      <c r="CG17" s="13" t="str">
        <f t="shared" si="54"/>
        <v/>
      </c>
      <c r="CH17" s="13" t="str">
        <f t="shared" si="55"/>
        <v/>
      </c>
      <c r="CI17" s="17">
        <f t="shared" si="56"/>
        <v>0</v>
      </c>
      <c r="CJ17" s="17">
        <f t="shared" si="57"/>
        <v>0</v>
      </c>
    </row>
    <row r="18" spans="1:88" ht="15.75" x14ac:dyDescent="0.15">
      <c r="A18" s="3" t="s">
        <v>152</v>
      </c>
      <c r="B18" s="11" t="str">
        <f>IF(D18="","",IFERROR(VLOOKUP(D18,商品マスタ!$A:$K,2,FALSE),"缶バッジ"))</f>
        <v>缶バッジ</v>
      </c>
      <c r="C18" s="2" t="s">
        <v>155</v>
      </c>
      <c r="D18" s="2" t="s">
        <v>148</v>
      </c>
      <c r="E18" s="6">
        <f>IF(D18="","",IFERROR(VLOOKUP(D18,商品マスタ!$A:$K,4,FALSE),12.55))</f>
        <v>12.55</v>
      </c>
      <c r="F18" s="6">
        <f>IF(D18="","",IFERROR(VLOOKUP(D18,商品マスタ!$A:$K,8,FALSE),1.14))</f>
        <v>1.1399999999999999</v>
      </c>
      <c r="G18" s="12">
        <f t="shared" si="0"/>
        <v>0</v>
      </c>
      <c r="H18" s="12">
        <f t="shared" si="1"/>
        <v>0</v>
      </c>
      <c r="I18" s="12">
        <f t="shared" si="2"/>
        <v>0</v>
      </c>
      <c r="J18" s="13">
        <f t="shared" si="3"/>
        <v>0</v>
      </c>
      <c r="K18" s="13">
        <f t="shared" si="4"/>
        <v>0</v>
      </c>
      <c r="L18" s="13">
        <f t="shared" si="5"/>
        <v>0</v>
      </c>
      <c r="M18" s="14" t="str">
        <f t="shared" si="6"/>
        <v/>
      </c>
      <c r="N18" s="14" t="str">
        <f t="shared" si="7"/>
        <v/>
      </c>
      <c r="O18" s="15"/>
      <c r="P18" s="12" t="str">
        <f t="shared" si="8"/>
        <v/>
      </c>
      <c r="Q18" s="12" t="str">
        <f t="shared" si="9"/>
        <v/>
      </c>
      <c r="R18" s="16"/>
      <c r="S18" s="13" t="str">
        <f t="shared" si="10"/>
        <v/>
      </c>
      <c r="T18" s="13" t="str">
        <f t="shared" si="11"/>
        <v/>
      </c>
      <c r="U18" s="15"/>
      <c r="V18" s="12" t="str">
        <f t="shared" si="12"/>
        <v/>
      </c>
      <c r="W18" s="12" t="str">
        <f t="shared" si="13"/>
        <v/>
      </c>
      <c r="X18" s="16"/>
      <c r="Y18" s="13" t="str">
        <f t="shared" si="14"/>
        <v/>
      </c>
      <c r="Z18" s="13" t="str">
        <f t="shared" si="15"/>
        <v/>
      </c>
      <c r="AA18" s="15"/>
      <c r="AB18" s="12" t="str">
        <f t="shared" si="16"/>
        <v/>
      </c>
      <c r="AC18" s="12" t="str">
        <f t="shared" si="17"/>
        <v/>
      </c>
      <c r="AD18" s="16"/>
      <c r="AE18" s="13" t="str">
        <f t="shared" si="18"/>
        <v/>
      </c>
      <c r="AF18" s="13" t="str">
        <f t="shared" si="19"/>
        <v/>
      </c>
      <c r="AG18" s="15"/>
      <c r="AH18" s="12" t="str">
        <f t="shared" si="20"/>
        <v/>
      </c>
      <c r="AI18" s="12" t="str">
        <f t="shared" si="21"/>
        <v/>
      </c>
      <c r="AJ18" s="16"/>
      <c r="AK18" s="13" t="str">
        <f t="shared" si="22"/>
        <v/>
      </c>
      <c r="AL18" s="13" t="str">
        <f t="shared" si="23"/>
        <v/>
      </c>
      <c r="AM18" s="15"/>
      <c r="AN18" s="12" t="str">
        <f t="shared" si="24"/>
        <v/>
      </c>
      <c r="AO18" s="12" t="str">
        <f t="shared" si="25"/>
        <v/>
      </c>
      <c r="AP18" s="16"/>
      <c r="AQ18" s="13" t="str">
        <f t="shared" si="26"/>
        <v/>
      </c>
      <c r="AR18" s="13" t="str">
        <f t="shared" si="27"/>
        <v/>
      </c>
      <c r="AS18" s="15"/>
      <c r="AT18" s="12" t="str">
        <f t="shared" si="28"/>
        <v/>
      </c>
      <c r="AU18" s="12" t="str">
        <f t="shared" si="29"/>
        <v/>
      </c>
      <c r="AV18" s="16"/>
      <c r="AW18" s="13" t="str">
        <f t="shared" si="30"/>
        <v/>
      </c>
      <c r="AX18" s="13" t="str">
        <f t="shared" si="31"/>
        <v/>
      </c>
      <c r="AY18" s="15"/>
      <c r="AZ18" s="12" t="str">
        <f t="shared" si="32"/>
        <v/>
      </c>
      <c r="BA18" s="12" t="str">
        <f t="shared" si="33"/>
        <v/>
      </c>
      <c r="BB18" s="16"/>
      <c r="BC18" s="13" t="str">
        <f t="shared" si="34"/>
        <v/>
      </c>
      <c r="BD18" s="13" t="str">
        <f t="shared" si="35"/>
        <v/>
      </c>
      <c r="BE18" s="15"/>
      <c r="BF18" s="12" t="str">
        <f t="shared" si="36"/>
        <v/>
      </c>
      <c r="BG18" s="12" t="str">
        <f t="shared" si="37"/>
        <v/>
      </c>
      <c r="BH18" s="16"/>
      <c r="BI18" s="13" t="str">
        <f t="shared" si="38"/>
        <v/>
      </c>
      <c r="BJ18" s="13" t="str">
        <f t="shared" si="39"/>
        <v/>
      </c>
      <c r="BK18" s="15"/>
      <c r="BL18" s="12" t="str">
        <f t="shared" si="40"/>
        <v/>
      </c>
      <c r="BM18" s="12" t="str">
        <f t="shared" si="41"/>
        <v/>
      </c>
      <c r="BN18" s="16"/>
      <c r="BO18" s="13" t="str">
        <f t="shared" si="42"/>
        <v/>
      </c>
      <c r="BP18" s="13" t="str">
        <f t="shared" si="43"/>
        <v/>
      </c>
      <c r="BQ18" s="15"/>
      <c r="BR18" s="12" t="str">
        <f t="shared" si="44"/>
        <v/>
      </c>
      <c r="BS18" s="12" t="str">
        <f t="shared" si="45"/>
        <v/>
      </c>
      <c r="BT18" s="16"/>
      <c r="BU18" s="13" t="str">
        <f t="shared" si="46"/>
        <v/>
      </c>
      <c r="BV18" s="13" t="str">
        <f t="shared" si="47"/>
        <v/>
      </c>
      <c r="BW18" s="15"/>
      <c r="BX18" s="12" t="str">
        <f t="shared" si="48"/>
        <v/>
      </c>
      <c r="BY18" s="12" t="str">
        <f t="shared" si="49"/>
        <v/>
      </c>
      <c r="BZ18" s="16"/>
      <c r="CA18" s="13" t="str">
        <f t="shared" si="50"/>
        <v/>
      </c>
      <c r="CB18" s="13" t="str">
        <f t="shared" si="51"/>
        <v/>
      </c>
      <c r="CC18" s="15"/>
      <c r="CD18" s="12" t="str">
        <f t="shared" si="52"/>
        <v/>
      </c>
      <c r="CE18" s="12" t="str">
        <f t="shared" si="53"/>
        <v/>
      </c>
      <c r="CF18" s="16"/>
      <c r="CG18" s="13" t="str">
        <f t="shared" si="54"/>
        <v/>
      </c>
      <c r="CH18" s="13" t="str">
        <f t="shared" si="55"/>
        <v/>
      </c>
      <c r="CI18" s="17">
        <f t="shared" si="56"/>
        <v>0</v>
      </c>
      <c r="CJ18" s="17">
        <f t="shared" si="57"/>
        <v>0</v>
      </c>
    </row>
    <row r="19" spans="1:88" ht="15.75" x14ac:dyDescent="0.15">
      <c r="A19" s="3" t="s">
        <v>152</v>
      </c>
      <c r="B19" s="11" t="str">
        <f>IF(D19="","",IFERROR(VLOOKUP(D19,商品マスタ!$A:$K,2,FALSE),"缶バッジ"))</f>
        <v>缶バッジ</v>
      </c>
      <c r="C19" s="2" t="s">
        <v>156</v>
      </c>
      <c r="D19" s="2" t="s">
        <v>148</v>
      </c>
      <c r="E19" s="6">
        <f>IF(D19="","",IFERROR(VLOOKUP(D19,商品マスタ!$A:$K,4,FALSE),12.55))</f>
        <v>12.55</v>
      </c>
      <c r="F19" s="6">
        <f>IF(D19="","",IFERROR(VLOOKUP(D19,商品マスタ!$A:$K,8,FALSE),1.14))</f>
        <v>1.1399999999999999</v>
      </c>
      <c r="G19" s="12">
        <f t="shared" si="0"/>
        <v>0</v>
      </c>
      <c r="H19" s="12">
        <f t="shared" si="1"/>
        <v>0</v>
      </c>
      <c r="I19" s="12">
        <f t="shared" si="2"/>
        <v>0</v>
      </c>
      <c r="J19" s="13">
        <f t="shared" si="3"/>
        <v>0</v>
      </c>
      <c r="K19" s="13">
        <f t="shared" si="4"/>
        <v>0</v>
      </c>
      <c r="L19" s="13">
        <f t="shared" si="5"/>
        <v>0</v>
      </c>
      <c r="M19" s="14" t="str">
        <f t="shared" si="6"/>
        <v/>
      </c>
      <c r="N19" s="14" t="str">
        <f t="shared" si="7"/>
        <v/>
      </c>
      <c r="O19" s="15"/>
      <c r="P19" s="12" t="str">
        <f t="shared" si="8"/>
        <v/>
      </c>
      <c r="Q19" s="12" t="str">
        <f t="shared" si="9"/>
        <v/>
      </c>
      <c r="R19" s="16"/>
      <c r="S19" s="13" t="str">
        <f t="shared" si="10"/>
        <v/>
      </c>
      <c r="T19" s="13" t="str">
        <f t="shared" si="11"/>
        <v/>
      </c>
      <c r="U19" s="15"/>
      <c r="V19" s="12" t="str">
        <f t="shared" si="12"/>
        <v/>
      </c>
      <c r="W19" s="12" t="str">
        <f t="shared" si="13"/>
        <v/>
      </c>
      <c r="X19" s="16"/>
      <c r="Y19" s="13" t="str">
        <f t="shared" si="14"/>
        <v/>
      </c>
      <c r="Z19" s="13" t="str">
        <f t="shared" si="15"/>
        <v/>
      </c>
      <c r="AA19" s="15"/>
      <c r="AB19" s="12" t="str">
        <f t="shared" si="16"/>
        <v/>
      </c>
      <c r="AC19" s="12" t="str">
        <f t="shared" si="17"/>
        <v/>
      </c>
      <c r="AD19" s="16"/>
      <c r="AE19" s="13" t="str">
        <f t="shared" si="18"/>
        <v/>
      </c>
      <c r="AF19" s="13" t="str">
        <f t="shared" si="19"/>
        <v/>
      </c>
      <c r="AG19" s="15"/>
      <c r="AH19" s="12" t="str">
        <f t="shared" si="20"/>
        <v/>
      </c>
      <c r="AI19" s="12" t="str">
        <f t="shared" si="21"/>
        <v/>
      </c>
      <c r="AJ19" s="16"/>
      <c r="AK19" s="13" t="str">
        <f t="shared" si="22"/>
        <v/>
      </c>
      <c r="AL19" s="13" t="str">
        <f t="shared" si="23"/>
        <v/>
      </c>
      <c r="AM19" s="15"/>
      <c r="AN19" s="12" t="str">
        <f t="shared" si="24"/>
        <v/>
      </c>
      <c r="AO19" s="12" t="str">
        <f t="shared" si="25"/>
        <v/>
      </c>
      <c r="AP19" s="16"/>
      <c r="AQ19" s="13" t="str">
        <f t="shared" si="26"/>
        <v/>
      </c>
      <c r="AR19" s="13" t="str">
        <f t="shared" si="27"/>
        <v/>
      </c>
      <c r="AS19" s="15"/>
      <c r="AT19" s="12" t="str">
        <f t="shared" si="28"/>
        <v/>
      </c>
      <c r="AU19" s="12" t="str">
        <f t="shared" si="29"/>
        <v/>
      </c>
      <c r="AV19" s="16"/>
      <c r="AW19" s="13" t="str">
        <f t="shared" si="30"/>
        <v/>
      </c>
      <c r="AX19" s="13" t="str">
        <f t="shared" si="31"/>
        <v/>
      </c>
      <c r="AY19" s="15"/>
      <c r="AZ19" s="12" t="str">
        <f t="shared" si="32"/>
        <v/>
      </c>
      <c r="BA19" s="12" t="str">
        <f t="shared" si="33"/>
        <v/>
      </c>
      <c r="BB19" s="16"/>
      <c r="BC19" s="13" t="str">
        <f t="shared" si="34"/>
        <v/>
      </c>
      <c r="BD19" s="13" t="str">
        <f t="shared" si="35"/>
        <v/>
      </c>
      <c r="BE19" s="15"/>
      <c r="BF19" s="12" t="str">
        <f t="shared" si="36"/>
        <v/>
      </c>
      <c r="BG19" s="12" t="str">
        <f t="shared" si="37"/>
        <v/>
      </c>
      <c r="BH19" s="16"/>
      <c r="BI19" s="13" t="str">
        <f t="shared" si="38"/>
        <v/>
      </c>
      <c r="BJ19" s="13" t="str">
        <f t="shared" si="39"/>
        <v/>
      </c>
      <c r="BK19" s="15"/>
      <c r="BL19" s="12" t="str">
        <f t="shared" si="40"/>
        <v/>
      </c>
      <c r="BM19" s="12" t="str">
        <f t="shared" si="41"/>
        <v/>
      </c>
      <c r="BN19" s="16"/>
      <c r="BO19" s="13" t="str">
        <f t="shared" si="42"/>
        <v/>
      </c>
      <c r="BP19" s="13" t="str">
        <f t="shared" si="43"/>
        <v/>
      </c>
      <c r="BQ19" s="15"/>
      <c r="BR19" s="12" t="str">
        <f t="shared" si="44"/>
        <v/>
      </c>
      <c r="BS19" s="12" t="str">
        <f t="shared" si="45"/>
        <v/>
      </c>
      <c r="BT19" s="16"/>
      <c r="BU19" s="13" t="str">
        <f t="shared" si="46"/>
        <v/>
      </c>
      <c r="BV19" s="13" t="str">
        <f t="shared" si="47"/>
        <v/>
      </c>
      <c r="BW19" s="15"/>
      <c r="BX19" s="12" t="str">
        <f t="shared" si="48"/>
        <v/>
      </c>
      <c r="BY19" s="12" t="str">
        <f t="shared" si="49"/>
        <v/>
      </c>
      <c r="BZ19" s="16"/>
      <c r="CA19" s="13" t="str">
        <f t="shared" si="50"/>
        <v/>
      </c>
      <c r="CB19" s="13" t="str">
        <f t="shared" si="51"/>
        <v/>
      </c>
      <c r="CC19" s="15"/>
      <c r="CD19" s="12" t="str">
        <f t="shared" si="52"/>
        <v/>
      </c>
      <c r="CE19" s="12" t="str">
        <f t="shared" si="53"/>
        <v/>
      </c>
      <c r="CF19" s="16"/>
      <c r="CG19" s="13" t="str">
        <f t="shared" si="54"/>
        <v/>
      </c>
      <c r="CH19" s="13" t="str">
        <f t="shared" si="55"/>
        <v/>
      </c>
      <c r="CI19" s="17">
        <f t="shared" si="56"/>
        <v>0</v>
      </c>
      <c r="CJ19" s="17">
        <f t="shared" si="57"/>
        <v>0</v>
      </c>
    </row>
    <row r="20" spans="1:88" ht="15.75" x14ac:dyDescent="0.15">
      <c r="A20" s="3" t="s">
        <v>152</v>
      </c>
      <c r="B20" s="11" t="str">
        <f>IF(D20="","",IFERROR(VLOOKUP(D20,商品マスタ!$A:$K,2,FALSE),"缶バッジ"))</f>
        <v>缶バッジ</v>
      </c>
      <c r="C20" s="2" t="s">
        <v>157</v>
      </c>
      <c r="D20" s="2" t="s">
        <v>148</v>
      </c>
      <c r="E20" s="6">
        <f>IF(D20="","",IFERROR(VLOOKUP(D20,商品マスタ!$A:$K,4,FALSE),12.55))</f>
        <v>12.55</v>
      </c>
      <c r="F20" s="6">
        <f>IF(D20="","",IFERROR(VLOOKUP(D20,商品マスタ!$A:$K,8,FALSE),1.14))</f>
        <v>1.1399999999999999</v>
      </c>
      <c r="G20" s="12">
        <f t="shared" si="0"/>
        <v>0</v>
      </c>
      <c r="H20" s="12">
        <f t="shared" si="1"/>
        <v>0</v>
      </c>
      <c r="I20" s="12">
        <f t="shared" si="2"/>
        <v>0</v>
      </c>
      <c r="J20" s="13">
        <f t="shared" si="3"/>
        <v>0</v>
      </c>
      <c r="K20" s="13">
        <f t="shared" si="4"/>
        <v>0</v>
      </c>
      <c r="L20" s="13">
        <f t="shared" si="5"/>
        <v>0</v>
      </c>
      <c r="M20" s="14" t="str">
        <f t="shared" si="6"/>
        <v/>
      </c>
      <c r="N20" s="14" t="str">
        <f t="shared" si="7"/>
        <v/>
      </c>
      <c r="O20" s="15"/>
      <c r="P20" s="12" t="str">
        <f t="shared" si="8"/>
        <v/>
      </c>
      <c r="Q20" s="12" t="str">
        <f t="shared" si="9"/>
        <v/>
      </c>
      <c r="R20" s="16"/>
      <c r="S20" s="13" t="str">
        <f t="shared" si="10"/>
        <v/>
      </c>
      <c r="T20" s="13" t="str">
        <f t="shared" si="11"/>
        <v/>
      </c>
      <c r="U20" s="15"/>
      <c r="V20" s="12" t="str">
        <f t="shared" si="12"/>
        <v/>
      </c>
      <c r="W20" s="12" t="str">
        <f t="shared" si="13"/>
        <v/>
      </c>
      <c r="X20" s="16"/>
      <c r="Y20" s="13" t="str">
        <f t="shared" si="14"/>
        <v/>
      </c>
      <c r="Z20" s="13" t="str">
        <f t="shared" si="15"/>
        <v/>
      </c>
      <c r="AA20" s="15"/>
      <c r="AB20" s="12" t="str">
        <f t="shared" si="16"/>
        <v/>
      </c>
      <c r="AC20" s="12" t="str">
        <f t="shared" si="17"/>
        <v/>
      </c>
      <c r="AD20" s="16"/>
      <c r="AE20" s="13" t="str">
        <f t="shared" si="18"/>
        <v/>
      </c>
      <c r="AF20" s="13" t="str">
        <f t="shared" si="19"/>
        <v/>
      </c>
      <c r="AG20" s="15"/>
      <c r="AH20" s="12" t="str">
        <f t="shared" si="20"/>
        <v/>
      </c>
      <c r="AI20" s="12" t="str">
        <f t="shared" si="21"/>
        <v/>
      </c>
      <c r="AJ20" s="16"/>
      <c r="AK20" s="13" t="str">
        <f t="shared" si="22"/>
        <v/>
      </c>
      <c r="AL20" s="13" t="str">
        <f t="shared" si="23"/>
        <v/>
      </c>
      <c r="AM20" s="15"/>
      <c r="AN20" s="12" t="str">
        <f t="shared" si="24"/>
        <v/>
      </c>
      <c r="AO20" s="12" t="str">
        <f t="shared" si="25"/>
        <v/>
      </c>
      <c r="AP20" s="16"/>
      <c r="AQ20" s="13" t="str">
        <f t="shared" si="26"/>
        <v/>
      </c>
      <c r="AR20" s="13" t="str">
        <f t="shared" si="27"/>
        <v/>
      </c>
      <c r="AS20" s="15"/>
      <c r="AT20" s="12" t="str">
        <f t="shared" si="28"/>
        <v/>
      </c>
      <c r="AU20" s="12" t="str">
        <f t="shared" si="29"/>
        <v/>
      </c>
      <c r="AV20" s="16"/>
      <c r="AW20" s="13" t="str">
        <f t="shared" si="30"/>
        <v/>
      </c>
      <c r="AX20" s="13" t="str">
        <f t="shared" si="31"/>
        <v/>
      </c>
      <c r="AY20" s="15"/>
      <c r="AZ20" s="12" t="str">
        <f t="shared" si="32"/>
        <v/>
      </c>
      <c r="BA20" s="12" t="str">
        <f t="shared" si="33"/>
        <v/>
      </c>
      <c r="BB20" s="16"/>
      <c r="BC20" s="13" t="str">
        <f t="shared" si="34"/>
        <v/>
      </c>
      <c r="BD20" s="13" t="str">
        <f t="shared" si="35"/>
        <v/>
      </c>
      <c r="BE20" s="15"/>
      <c r="BF20" s="12" t="str">
        <f t="shared" si="36"/>
        <v/>
      </c>
      <c r="BG20" s="12" t="str">
        <f t="shared" si="37"/>
        <v/>
      </c>
      <c r="BH20" s="16"/>
      <c r="BI20" s="13" t="str">
        <f t="shared" si="38"/>
        <v/>
      </c>
      <c r="BJ20" s="13" t="str">
        <f t="shared" si="39"/>
        <v/>
      </c>
      <c r="BK20" s="15"/>
      <c r="BL20" s="12" t="str">
        <f t="shared" si="40"/>
        <v/>
      </c>
      <c r="BM20" s="12" t="str">
        <f t="shared" si="41"/>
        <v/>
      </c>
      <c r="BN20" s="16"/>
      <c r="BO20" s="13" t="str">
        <f t="shared" si="42"/>
        <v/>
      </c>
      <c r="BP20" s="13" t="str">
        <f t="shared" si="43"/>
        <v/>
      </c>
      <c r="BQ20" s="15"/>
      <c r="BR20" s="12" t="str">
        <f t="shared" si="44"/>
        <v/>
      </c>
      <c r="BS20" s="12" t="str">
        <f t="shared" si="45"/>
        <v/>
      </c>
      <c r="BT20" s="16"/>
      <c r="BU20" s="13" t="str">
        <f t="shared" si="46"/>
        <v/>
      </c>
      <c r="BV20" s="13" t="str">
        <f t="shared" si="47"/>
        <v/>
      </c>
      <c r="BW20" s="15"/>
      <c r="BX20" s="12" t="str">
        <f t="shared" si="48"/>
        <v/>
      </c>
      <c r="BY20" s="12" t="str">
        <f t="shared" si="49"/>
        <v/>
      </c>
      <c r="BZ20" s="16"/>
      <c r="CA20" s="13" t="str">
        <f t="shared" si="50"/>
        <v/>
      </c>
      <c r="CB20" s="13" t="str">
        <f t="shared" si="51"/>
        <v/>
      </c>
      <c r="CC20" s="15"/>
      <c r="CD20" s="12" t="str">
        <f t="shared" si="52"/>
        <v/>
      </c>
      <c r="CE20" s="12" t="str">
        <f t="shared" si="53"/>
        <v/>
      </c>
      <c r="CF20" s="16"/>
      <c r="CG20" s="13" t="str">
        <f t="shared" si="54"/>
        <v/>
      </c>
      <c r="CH20" s="13" t="str">
        <f t="shared" si="55"/>
        <v/>
      </c>
      <c r="CI20" s="17">
        <f t="shared" si="56"/>
        <v>0</v>
      </c>
      <c r="CJ20" s="17">
        <f t="shared" si="57"/>
        <v>0</v>
      </c>
    </row>
    <row r="21" spans="1:88" ht="15.75" x14ac:dyDescent="0.15">
      <c r="A21" s="3" t="s">
        <v>152</v>
      </c>
      <c r="B21" s="11" t="str">
        <f>IF(D21="","",IFERROR(VLOOKUP(D21,商品マスタ!$A:$K,2,FALSE),"缶バッジ"))</f>
        <v>缶バッジ</v>
      </c>
      <c r="C21" s="2" t="s">
        <v>158</v>
      </c>
      <c r="D21" s="2" t="s">
        <v>148</v>
      </c>
      <c r="E21" s="6">
        <f>IF(D21="","",IFERROR(VLOOKUP(D21,商品マスタ!$A:$K,4,FALSE),12.55))</f>
        <v>12.55</v>
      </c>
      <c r="F21" s="6">
        <f>IF(D21="","",IFERROR(VLOOKUP(D21,商品マスタ!$A:$K,8,FALSE),1.14))</f>
        <v>1.1399999999999999</v>
      </c>
      <c r="G21" s="12">
        <f t="shared" si="0"/>
        <v>0</v>
      </c>
      <c r="H21" s="12">
        <f t="shared" si="1"/>
        <v>0</v>
      </c>
      <c r="I21" s="12">
        <f t="shared" si="2"/>
        <v>0</v>
      </c>
      <c r="J21" s="13">
        <f t="shared" si="3"/>
        <v>0</v>
      </c>
      <c r="K21" s="13">
        <f t="shared" si="4"/>
        <v>0</v>
      </c>
      <c r="L21" s="13">
        <f t="shared" si="5"/>
        <v>0</v>
      </c>
      <c r="M21" s="14" t="str">
        <f t="shared" si="6"/>
        <v/>
      </c>
      <c r="N21" s="14" t="str">
        <f t="shared" si="7"/>
        <v/>
      </c>
      <c r="O21" s="15"/>
      <c r="P21" s="12" t="str">
        <f t="shared" si="8"/>
        <v/>
      </c>
      <c r="Q21" s="12" t="str">
        <f t="shared" si="9"/>
        <v/>
      </c>
      <c r="R21" s="16"/>
      <c r="S21" s="13" t="str">
        <f t="shared" si="10"/>
        <v/>
      </c>
      <c r="T21" s="13" t="str">
        <f t="shared" si="11"/>
        <v/>
      </c>
      <c r="U21" s="15"/>
      <c r="V21" s="12" t="str">
        <f t="shared" si="12"/>
        <v/>
      </c>
      <c r="W21" s="12" t="str">
        <f t="shared" si="13"/>
        <v/>
      </c>
      <c r="X21" s="16"/>
      <c r="Y21" s="13" t="str">
        <f t="shared" si="14"/>
        <v/>
      </c>
      <c r="Z21" s="13" t="str">
        <f t="shared" si="15"/>
        <v/>
      </c>
      <c r="AA21" s="15"/>
      <c r="AB21" s="12" t="str">
        <f t="shared" si="16"/>
        <v/>
      </c>
      <c r="AC21" s="12" t="str">
        <f t="shared" si="17"/>
        <v/>
      </c>
      <c r="AD21" s="16"/>
      <c r="AE21" s="13" t="str">
        <f t="shared" si="18"/>
        <v/>
      </c>
      <c r="AF21" s="13" t="str">
        <f t="shared" si="19"/>
        <v/>
      </c>
      <c r="AG21" s="15"/>
      <c r="AH21" s="12" t="str">
        <f t="shared" si="20"/>
        <v/>
      </c>
      <c r="AI21" s="12" t="str">
        <f t="shared" si="21"/>
        <v/>
      </c>
      <c r="AJ21" s="16"/>
      <c r="AK21" s="13" t="str">
        <f t="shared" si="22"/>
        <v/>
      </c>
      <c r="AL21" s="13" t="str">
        <f t="shared" si="23"/>
        <v/>
      </c>
      <c r="AM21" s="15"/>
      <c r="AN21" s="12" t="str">
        <f t="shared" si="24"/>
        <v/>
      </c>
      <c r="AO21" s="12" t="str">
        <f t="shared" si="25"/>
        <v/>
      </c>
      <c r="AP21" s="16"/>
      <c r="AQ21" s="13" t="str">
        <f t="shared" si="26"/>
        <v/>
      </c>
      <c r="AR21" s="13" t="str">
        <f t="shared" si="27"/>
        <v/>
      </c>
      <c r="AS21" s="15"/>
      <c r="AT21" s="12" t="str">
        <f t="shared" si="28"/>
        <v/>
      </c>
      <c r="AU21" s="12" t="str">
        <f t="shared" si="29"/>
        <v/>
      </c>
      <c r="AV21" s="16"/>
      <c r="AW21" s="13" t="str">
        <f t="shared" si="30"/>
        <v/>
      </c>
      <c r="AX21" s="13" t="str">
        <f t="shared" si="31"/>
        <v/>
      </c>
      <c r="AY21" s="15"/>
      <c r="AZ21" s="12" t="str">
        <f t="shared" si="32"/>
        <v/>
      </c>
      <c r="BA21" s="12" t="str">
        <f t="shared" si="33"/>
        <v/>
      </c>
      <c r="BB21" s="16"/>
      <c r="BC21" s="13" t="str">
        <f t="shared" si="34"/>
        <v/>
      </c>
      <c r="BD21" s="13" t="str">
        <f t="shared" si="35"/>
        <v/>
      </c>
      <c r="BE21" s="15"/>
      <c r="BF21" s="12" t="str">
        <f t="shared" si="36"/>
        <v/>
      </c>
      <c r="BG21" s="12" t="str">
        <f t="shared" si="37"/>
        <v/>
      </c>
      <c r="BH21" s="16"/>
      <c r="BI21" s="13" t="str">
        <f t="shared" si="38"/>
        <v/>
      </c>
      <c r="BJ21" s="13" t="str">
        <f t="shared" si="39"/>
        <v/>
      </c>
      <c r="BK21" s="15"/>
      <c r="BL21" s="12" t="str">
        <f t="shared" si="40"/>
        <v/>
      </c>
      <c r="BM21" s="12" t="str">
        <f t="shared" si="41"/>
        <v/>
      </c>
      <c r="BN21" s="16"/>
      <c r="BO21" s="13" t="str">
        <f t="shared" si="42"/>
        <v/>
      </c>
      <c r="BP21" s="13" t="str">
        <f t="shared" si="43"/>
        <v/>
      </c>
      <c r="BQ21" s="15"/>
      <c r="BR21" s="12" t="str">
        <f t="shared" si="44"/>
        <v/>
      </c>
      <c r="BS21" s="12" t="str">
        <f t="shared" si="45"/>
        <v/>
      </c>
      <c r="BT21" s="16"/>
      <c r="BU21" s="13" t="str">
        <f t="shared" si="46"/>
        <v/>
      </c>
      <c r="BV21" s="13" t="str">
        <f t="shared" si="47"/>
        <v/>
      </c>
      <c r="BW21" s="15"/>
      <c r="BX21" s="12" t="str">
        <f t="shared" si="48"/>
        <v/>
      </c>
      <c r="BY21" s="12" t="str">
        <f t="shared" si="49"/>
        <v/>
      </c>
      <c r="BZ21" s="16"/>
      <c r="CA21" s="13" t="str">
        <f t="shared" si="50"/>
        <v/>
      </c>
      <c r="CB21" s="13" t="str">
        <f t="shared" si="51"/>
        <v/>
      </c>
      <c r="CC21" s="15"/>
      <c r="CD21" s="12" t="str">
        <f t="shared" si="52"/>
        <v/>
      </c>
      <c r="CE21" s="12" t="str">
        <f t="shared" si="53"/>
        <v/>
      </c>
      <c r="CF21" s="16"/>
      <c r="CG21" s="13" t="str">
        <f t="shared" si="54"/>
        <v/>
      </c>
      <c r="CH21" s="13" t="str">
        <f t="shared" si="55"/>
        <v/>
      </c>
      <c r="CI21" s="17">
        <f t="shared" si="56"/>
        <v>0</v>
      </c>
      <c r="CJ21" s="17">
        <f t="shared" si="57"/>
        <v>0</v>
      </c>
    </row>
    <row r="22" spans="1:88" ht="15.75" x14ac:dyDescent="0.15">
      <c r="A22" s="3" t="s">
        <v>152</v>
      </c>
      <c r="B22" s="11" t="str">
        <f>IF(D22="","",IFERROR(VLOOKUP(D22,商品マスタ!$A:$K,2,FALSE),"缶バッジ"))</f>
        <v>缶バッジ</v>
      </c>
      <c r="C22" s="2" t="s">
        <v>159</v>
      </c>
      <c r="D22" s="2" t="s">
        <v>148</v>
      </c>
      <c r="E22" s="6">
        <f>IF(D22="","",IFERROR(VLOOKUP(D22,商品マスタ!$A:$K,4,FALSE),12.55))</f>
        <v>12.55</v>
      </c>
      <c r="F22" s="6">
        <f>IF(D22="","",IFERROR(VLOOKUP(D22,商品マスタ!$A:$K,8,FALSE),1.14))</f>
        <v>1.1399999999999999</v>
      </c>
      <c r="G22" s="12">
        <f t="shared" si="0"/>
        <v>0</v>
      </c>
      <c r="H22" s="12">
        <f t="shared" si="1"/>
        <v>0</v>
      </c>
      <c r="I22" s="12">
        <f t="shared" si="2"/>
        <v>0</v>
      </c>
      <c r="J22" s="13">
        <f t="shared" si="3"/>
        <v>0</v>
      </c>
      <c r="K22" s="13">
        <f t="shared" si="4"/>
        <v>0</v>
      </c>
      <c r="L22" s="13">
        <f t="shared" si="5"/>
        <v>0</v>
      </c>
      <c r="M22" s="14" t="str">
        <f t="shared" si="6"/>
        <v/>
      </c>
      <c r="N22" s="14" t="str">
        <f t="shared" si="7"/>
        <v/>
      </c>
      <c r="O22" s="15"/>
      <c r="P22" s="12" t="str">
        <f t="shared" si="8"/>
        <v/>
      </c>
      <c r="Q22" s="12" t="str">
        <f t="shared" si="9"/>
        <v/>
      </c>
      <c r="R22" s="16"/>
      <c r="S22" s="13" t="str">
        <f t="shared" si="10"/>
        <v/>
      </c>
      <c r="T22" s="13" t="str">
        <f t="shared" si="11"/>
        <v/>
      </c>
      <c r="U22" s="15"/>
      <c r="V22" s="12" t="str">
        <f t="shared" si="12"/>
        <v/>
      </c>
      <c r="W22" s="12" t="str">
        <f t="shared" si="13"/>
        <v/>
      </c>
      <c r="X22" s="16"/>
      <c r="Y22" s="13" t="str">
        <f t="shared" si="14"/>
        <v/>
      </c>
      <c r="Z22" s="13" t="str">
        <f t="shared" si="15"/>
        <v/>
      </c>
      <c r="AA22" s="15"/>
      <c r="AB22" s="12" t="str">
        <f t="shared" si="16"/>
        <v/>
      </c>
      <c r="AC22" s="12" t="str">
        <f t="shared" si="17"/>
        <v/>
      </c>
      <c r="AD22" s="16"/>
      <c r="AE22" s="13" t="str">
        <f t="shared" si="18"/>
        <v/>
      </c>
      <c r="AF22" s="13" t="str">
        <f t="shared" si="19"/>
        <v/>
      </c>
      <c r="AG22" s="15"/>
      <c r="AH22" s="12" t="str">
        <f t="shared" si="20"/>
        <v/>
      </c>
      <c r="AI22" s="12" t="str">
        <f t="shared" si="21"/>
        <v/>
      </c>
      <c r="AJ22" s="16"/>
      <c r="AK22" s="13" t="str">
        <f t="shared" si="22"/>
        <v/>
      </c>
      <c r="AL22" s="13" t="str">
        <f t="shared" si="23"/>
        <v/>
      </c>
      <c r="AM22" s="15"/>
      <c r="AN22" s="12" t="str">
        <f t="shared" si="24"/>
        <v/>
      </c>
      <c r="AO22" s="12" t="str">
        <f t="shared" si="25"/>
        <v/>
      </c>
      <c r="AP22" s="16"/>
      <c r="AQ22" s="13" t="str">
        <f t="shared" si="26"/>
        <v/>
      </c>
      <c r="AR22" s="13" t="str">
        <f t="shared" si="27"/>
        <v/>
      </c>
      <c r="AS22" s="15"/>
      <c r="AT22" s="12" t="str">
        <f t="shared" si="28"/>
        <v/>
      </c>
      <c r="AU22" s="12" t="str">
        <f t="shared" si="29"/>
        <v/>
      </c>
      <c r="AV22" s="16"/>
      <c r="AW22" s="13" t="str">
        <f t="shared" si="30"/>
        <v/>
      </c>
      <c r="AX22" s="13" t="str">
        <f t="shared" si="31"/>
        <v/>
      </c>
      <c r="AY22" s="15"/>
      <c r="AZ22" s="12" t="str">
        <f t="shared" si="32"/>
        <v/>
      </c>
      <c r="BA22" s="12" t="str">
        <f t="shared" si="33"/>
        <v/>
      </c>
      <c r="BB22" s="16"/>
      <c r="BC22" s="13" t="str">
        <f t="shared" si="34"/>
        <v/>
      </c>
      <c r="BD22" s="13" t="str">
        <f t="shared" si="35"/>
        <v/>
      </c>
      <c r="BE22" s="15"/>
      <c r="BF22" s="12" t="str">
        <f t="shared" si="36"/>
        <v/>
      </c>
      <c r="BG22" s="12" t="str">
        <f t="shared" si="37"/>
        <v/>
      </c>
      <c r="BH22" s="16"/>
      <c r="BI22" s="13" t="str">
        <f t="shared" si="38"/>
        <v/>
      </c>
      <c r="BJ22" s="13" t="str">
        <f t="shared" si="39"/>
        <v/>
      </c>
      <c r="BK22" s="15"/>
      <c r="BL22" s="12" t="str">
        <f t="shared" si="40"/>
        <v/>
      </c>
      <c r="BM22" s="12" t="str">
        <f t="shared" si="41"/>
        <v/>
      </c>
      <c r="BN22" s="16"/>
      <c r="BO22" s="13" t="str">
        <f t="shared" si="42"/>
        <v/>
      </c>
      <c r="BP22" s="13" t="str">
        <f t="shared" si="43"/>
        <v/>
      </c>
      <c r="BQ22" s="15"/>
      <c r="BR22" s="12" t="str">
        <f t="shared" si="44"/>
        <v/>
      </c>
      <c r="BS22" s="12" t="str">
        <f t="shared" si="45"/>
        <v/>
      </c>
      <c r="BT22" s="16"/>
      <c r="BU22" s="13" t="str">
        <f t="shared" si="46"/>
        <v/>
      </c>
      <c r="BV22" s="13" t="str">
        <f t="shared" si="47"/>
        <v/>
      </c>
      <c r="BW22" s="15"/>
      <c r="BX22" s="12" t="str">
        <f t="shared" si="48"/>
        <v/>
      </c>
      <c r="BY22" s="12" t="str">
        <f t="shared" si="49"/>
        <v/>
      </c>
      <c r="BZ22" s="16"/>
      <c r="CA22" s="13" t="str">
        <f t="shared" si="50"/>
        <v/>
      </c>
      <c r="CB22" s="13" t="str">
        <f t="shared" si="51"/>
        <v/>
      </c>
      <c r="CC22" s="15"/>
      <c r="CD22" s="12" t="str">
        <f t="shared" si="52"/>
        <v/>
      </c>
      <c r="CE22" s="12" t="str">
        <f t="shared" si="53"/>
        <v/>
      </c>
      <c r="CF22" s="16"/>
      <c r="CG22" s="13" t="str">
        <f t="shared" si="54"/>
        <v/>
      </c>
      <c r="CH22" s="13" t="str">
        <f t="shared" si="55"/>
        <v/>
      </c>
      <c r="CI22" s="17">
        <f t="shared" si="56"/>
        <v>0</v>
      </c>
      <c r="CJ22" s="17">
        <f t="shared" si="57"/>
        <v>0</v>
      </c>
    </row>
    <row r="23" spans="1:88" ht="15.75" x14ac:dyDescent="0.15">
      <c r="A23" s="3" t="s">
        <v>152</v>
      </c>
      <c r="B23" s="11" t="str">
        <f>IF(D23="","",IFERROR(VLOOKUP(D23,商品マスタ!$A:$K,2,FALSE),"缶バッジ"))</f>
        <v>缶バッジ</v>
      </c>
      <c r="C23" s="2" t="s">
        <v>160</v>
      </c>
      <c r="D23" s="2" t="s">
        <v>148</v>
      </c>
      <c r="E23" s="6">
        <f>IF(D23="","",IFERROR(VLOOKUP(D23,商品マスタ!$A:$K,4,FALSE),12.55))</f>
        <v>12.55</v>
      </c>
      <c r="F23" s="6">
        <f>IF(D23="","",IFERROR(VLOOKUP(D23,商品マスタ!$A:$K,8,FALSE),1.14))</f>
        <v>1.1399999999999999</v>
      </c>
      <c r="G23" s="12">
        <f t="shared" si="0"/>
        <v>0</v>
      </c>
      <c r="H23" s="12">
        <f t="shared" si="1"/>
        <v>0</v>
      </c>
      <c r="I23" s="12">
        <f t="shared" si="2"/>
        <v>0</v>
      </c>
      <c r="J23" s="13">
        <f t="shared" si="3"/>
        <v>0</v>
      </c>
      <c r="K23" s="13">
        <f t="shared" si="4"/>
        <v>0</v>
      </c>
      <c r="L23" s="13">
        <f t="shared" si="5"/>
        <v>0</v>
      </c>
      <c r="M23" s="14" t="str">
        <f t="shared" si="6"/>
        <v/>
      </c>
      <c r="N23" s="14" t="str">
        <f t="shared" si="7"/>
        <v/>
      </c>
      <c r="O23" s="15"/>
      <c r="P23" s="12" t="str">
        <f t="shared" si="8"/>
        <v/>
      </c>
      <c r="Q23" s="12" t="str">
        <f t="shared" si="9"/>
        <v/>
      </c>
      <c r="R23" s="16"/>
      <c r="S23" s="13" t="str">
        <f t="shared" si="10"/>
        <v/>
      </c>
      <c r="T23" s="13" t="str">
        <f t="shared" si="11"/>
        <v/>
      </c>
      <c r="U23" s="15"/>
      <c r="V23" s="12" t="str">
        <f t="shared" si="12"/>
        <v/>
      </c>
      <c r="W23" s="12" t="str">
        <f t="shared" si="13"/>
        <v/>
      </c>
      <c r="X23" s="16"/>
      <c r="Y23" s="13" t="str">
        <f t="shared" si="14"/>
        <v/>
      </c>
      <c r="Z23" s="13" t="str">
        <f t="shared" si="15"/>
        <v/>
      </c>
      <c r="AA23" s="15"/>
      <c r="AB23" s="12" t="str">
        <f t="shared" si="16"/>
        <v/>
      </c>
      <c r="AC23" s="12" t="str">
        <f t="shared" si="17"/>
        <v/>
      </c>
      <c r="AD23" s="16"/>
      <c r="AE23" s="13" t="str">
        <f t="shared" si="18"/>
        <v/>
      </c>
      <c r="AF23" s="13" t="str">
        <f t="shared" si="19"/>
        <v/>
      </c>
      <c r="AG23" s="15"/>
      <c r="AH23" s="12" t="str">
        <f t="shared" si="20"/>
        <v/>
      </c>
      <c r="AI23" s="12" t="str">
        <f t="shared" si="21"/>
        <v/>
      </c>
      <c r="AJ23" s="16"/>
      <c r="AK23" s="13" t="str">
        <f t="shared" si="22"/>
        <v/>
      </c>
      <c r="AL23" s="13" t="str">
        <f t="shared" si="23"/>
        <v/>
      </c>
      <c r="AM23" s="15"/>
      <c r="AN23" s="12" t="str">
        <f t="shared" si="24"/>
        <v/>
      </c>
      <c r="AO23" s="12" t="str">
        <f t="shared" si="25"/>
        <v/>
      </c>
      <c r="AP23" s="16"/>
      <c r="AQ23" s="13" t="str">
        <f t="shared" si="26"/>
        <v/>
      </c>
      <c r="AR23" s="13" t="str">
        <f t="shared" si="27"/>
        <v/>
      </c>
      <c r="AS23" s="15"/>
      <c r="AT23" s="12" t="str">
        <f t="shared" si="28"/>
        <v/>
      </c>
      <c r="AU23" s="12" t="str">
        <f t="shared" si="29"/>
        <v/>
      </c>
      <c r="AV23" s="16"/>
      <c r="AW23" s="13" t="str">
        <f t="shared" si="30"/>
        <v/>
      </c>
      <c r="AX23" s="13" t="str">
        <f t="shared" si="31"/>
        <v/>
      </c>
      <c r="AY23" s="15"/>
      <c r="AZ23" s="12" t="str">
        <f t="shared" si="32"/>
        <v/>
      </c>
      <c r="BA23" s="12" t="str">
        <f t="shared" si="33"/>
        <v/>
      </c>
      <c r="BB23" s="16"/>
      <c r="BC23" s="13" t="str">
        <f t="shared" si="34"/>
        <v/>
      </c>
      <c r="BD23" s="13" t="str">
        <f t="shared" si="35"/>
        <v/>
      </c>
      <c r="BE23" s="15"/>
      <c r="BF23" s="12" t="str">
        <f t="shared" si="36"/>
        <v/>
      </c>
      <c r="BG23" s="12" t="str">
        <f t="shared" si="37"/>
        <v/>
      </c>
      <c r="BH23" s="16"/>
      <c r="BI23" s="13" t="str">
        <f t="shared" si="38"/>
        <v/>
      </c>
      <c r="BJ23" s="13" t="str">
        <f t="shared" si="39"/>
        <v/>
      </c>
      <c r="BK23" s="15"/>
      <c r="BL23" s="12" t="str">
        <f t="shared" si="40"/>
        <v/>
      </c>
      <c r="BM23" s="12" t="str">
        <f t="shared" si="41"/>
        <v/>
      </c>
      <c r="BN23" s="16"/>
      <c r="BO23" s="13" t="str">
        <f t="shared" si="42"/>
        <v/>
      </c>
      <c r="BP23" s="13" t="str">
        <f t="shared" si="43"/>
        <v/>
      </c>
      <c r="BQ23" s="15"/>
      <c r="BR23" s="12" t="str">
        <f t="shared" si="44"/>
        <v/>
      </c>
      <c r="BS23" s="12" t="str">
        <f t="shared" si="45"/>
        <v/>
      </c>
      <c r="BT23" s="16"/>
      <c r="BU23" s="13" t="str">
        <f t="shared" si="46"/>
        <v/>
      </c>
      <c r="BV23" s="13" t="str">
        <f t="shared" si="47"/>
        <v/>
      </c>
      <c r="BW23" s="15"/>
      <c r="BX23" s="12" t="str">
        <f t="shared" si="48"/>
        <v/>
      </c>
      <c r="BY23" s="12" t="str">
        <f t="shared" si="49"/>
        <v/>
      </c>
      <c r="BZ23" s="16"/>
      <c r="CA23" s="13" t="str">
        <f t="shared" si="50"/>
        <v/>
      </c>
      <c r="CB23" s="13" t="str">
        <f t="shared" si="51"/>
        <v/>
      </c>
      <c r="CC23" s="15"/>
      <c r="CD23" s="12" t="str">
        <f t="shared" si="52"/>
        <v/>
      </c>
      <c r="CE23" s="12" t="str">
        <f t="shared" si="53"/>
        <v/>
      </c>
      <c r="CF23" s="16"/>
      <c r="CG23" s="13" t="str">
        <f t="shared" si="54"/>
        <v/>
      </c>
      <c r="CH23" s="13" t="str">
        <f t="shared" si="55"/>
        <v/>
      </c>
      <c r="CI23" s="17">
        <f t="shared" si="56"/>
        <v>0</v>
      </c>
      <c r="CJ23" s="17">
        <f t="shared" si="57"/>
        <v>0</v>
      </c>
    </row>
    <row r="24" spans="1:88" ht="15.75" x14ac:dyDescent="0.15">
      <c r="A24" s="3" t="s">
        <v>152</v>
      </c>
      <c r="B24" s="11" t="str">
        <f>IF(D24="","",IFERROR(VLOOKUP(D24,商品マスタ!$A:$K,2,FALSE),"缶バッジ"))</f>
        <v>缶バッジ</v>
      </c>
      <c r="C24" s="2" t="s">
        <v>161</v>
      </c>
      <c r="D24" s="2" t="s">
        <v>148</v>
      </c>
      <c r="E24" s="6">
        <f>IF(D24="","",IFERROR(VLOOKUP(D24,商品マスタ!$A:$K,4,FALSE),12.55))</f>
        <v>12.55</v>
      </c>
      <c r="F24" s="6">
        <f>IF(D24="","",IFERROR(VLOOKUP(D24,商品マスタ!$A:$K,8,FALSE),1.14))</f>
        <v>1.1399999999999999</v>
      </c>
      <c r="G24" s="12">
        <f t="shared" si="0"/>
        <v>0</v>
      </c>
      <c r="H24" s="12">
        <f t="shared" si="1"/>
        <v>0</v>
      </c>
      <c r="I24" s="12">
        <f t="shared" si="2"/>
        <v>0</v>
      </c>
      <c r="J24" s="13">
        <f t="shared" si="3"/>
        <v>0</v>
      </c>
      <c r="K24" s="13">
        <f t="shared" si="4"/>
        <v>0</v>
      </c>
      <c r="L24" s="13">
        <f t="shared" si="5"/>
        <v>0</v>
      </c>
      <c r="M24" s="14" t="str">
        <f t="shared" si="6"/>
        <v/>
      </c>
      <c r="N24" s="14" t="str">
        <f t="shared" si="7"/>
        <v/>
      </c>
      <c r="O24" s="15"/>
      <c r="P24" s="12" t="str">
        <f t="shared" si="8"/>
        <v/>
      </c>
      <c r="Q24" s="12" t="str">
        <f t="shared" si="9"/>
        <v/>
      </c>
      <c r="R24" s="16"/>
      <c r="S24" s="13" t="str">
        <f t="shared" si="10"/>
        <v/>
      </c>
      <c r="T24" s="13" t="str">
        <f t="shared" si="11"/>
        <v/>
      </c>
      <c r="U24" s="15"/>
      <c r="V24" s="12" t="str">
        <f t="shared" si="12"/>
        <v/>
      </c>
      <c r="W24" s="12" t="str">
        <f t="shared" si="13"/>
        <v/>
      </c>
      <c r="X24" s="16"/>
      <c r="Y24" s="13" t="str">
        <f t="shared" si="14"/>
        <v/>
      </c>
      <c r="Z24" s="13" t="str">
        <f t="shared" si="15"/>
        <v/>
      </c>
      <c r="AA24" s="15"/>
      <c r="AB24" s="12" t="str">
        <f t="shared" si="16"/>
        <v/>
      </c>
      <c r="AC24" s="12" t="str">
        <f t="shared" si="17"/>
        <v/>
      </c>
      <c r="AD24" s="16"/>
      <c r="AE24" s="13" t="str">
        <f t="shared" si="18"/>
        <v/>
      </c>
      <c r="AF24" s="13" t="str">
        <f t="shared" si="19"/>
        <v/>
      </c>
      <c r="AG24" s="15"/>
      <c r="AH24" s="12" t="str">
        <f t="shared" si="20"/>
        <v/>
      </c>
      <c r="AI24" s="12" t="str">
        <f t="shared" si="21"/>
        <v/>
      </c>
      <c r="AJ24" s="16"/>
      <c r="AK24" s="13" t="str">
        <f t="shared" si="22"/>
        <v/>
      </c>
      <c r="AL24" s="13" t="str">
        <f t="shared" si="23"/>
        <v/>
      </c>
      <c r="AM24" s="15"/>
      <c r="AN24" s="12" t="str">
        <f t="shared" si="24"/>
        <v/>
      </c>
      <c r="AO24" s="12" t="str">
        <f t="shared" si="25"/>
        <v/>
      </c>
      <c r="AP24" s="16"/>
      <c r="AQ24" s="13" t="str">
        <f t="shared" si="26"/>
        <v/>
      </c>
      <c r="AR24" s="13" t="str">
        <f t="shared" si="27"/>
        <v/>
      </c>
      <c r="AS24" s="15"/>
      <c r="AT24" s="12" t="str">
        <f t="shared" si="28"/>
        <v/>
      </c>
      <c r="AU24" s="12" t="str">
        <f t="shared" si="29"/>
        <v/>
      </c>
      <c r="AV24" s="16"/>
      <c r="AW24" s="13" t="str">
        <f t="shared" si="30"/>
        <v/>
      </c>
      <c r="AX24" s="13" t="str">
        <f t="shared" si="31"/>
        <v/>
      </c>
      <c r="AY24" s="15"/>
      <c r="AZ24" s="12" t="str">
        <f t="shared" si="32"/>
        <v/>
      </c>
      <c r="BA24" s="12" t="str">
        <f t="shared" si="33"/>
        <v/>
      </c>
      <c r="BB24" s="16"/>
      <c r="BC24" s="13" t="str">
        <f t="shared" si="34"/>
        <v/>
      </c>
      <c r="BD24" s="13" t="str">
        <f t="shared" si="35"/>
        <v/>
      </c>
      <c r="BE24" s="15"/>
      <c r="BF24" s="12" t="str">
        <f t="shared" si="36"/>
        <v/>
      </c>
      <c r="BG24" s="12" t="str">
        <f t="shared" si="37"/>
        <v/>
      </c>
      <c r="BH24" s="16"/>
      <c r="BI24" s="13" t="str">
        <f t="shared" si="38"/>
        <v/>
      </c>
      <c r="BJ24" s="13" t="str">
        <f t="shared" si="39"/>
        <v/>
      </c>
      <c r="BK24" s="15"/>
      <c r="BL24" s="12" t="str">
        <f t="shared" si="40"/>
        <v/>
      </c>
      <c r="BM24" s="12" t="str">
        <f t="shared" si="41"/>
        <v/>
      </c>
      <c r="BN24" s="16"/>
      <c r="BO24" s="13" t="str">
        <f t="shared" si="42"/>
        <v/>
      </c>
      <c r="BP24" s="13" t="str">
        <f t="shared" si="43"/>
        <v/>
      </c>
      <c r="BQ24" s="15"/>
      <c r="BR24" s="12" t="str">
        <f t="shared" si="44"/>
        <v/>
      </c>
      <c r="BS24" s="12" t="str">
        <f t="shared" si="45"/>
        <v/>
      </c>
      <c r="BT24" s="16"/>
      <c r="BU24" s="13" t="str">
        <f t="shared" si="46"/>
        <v/>
      </c>
      <c r="BV24" s="13" t="str">
        <f t="shared" si="47"/>
        <v/>
      </c>
      <c r="BW24" s="15"/>
      <c r="BX24" s="12" t="str">
        <f t="shared" si="48"/>
        <v/>
      </c>
      <c r="BY24" s="12" t="str">
        <f t="shared" si="49"/>
        <v/>
      </c>
      <c r="BZ24" s="16"/>
      <c r="CA24" s="13" t="str">
        <f t="shared" si="50"/>
        <v/>
      </c>
      <c r="CB24" s="13" t="str">
        <f t="shared" si="51"/>
        <v/>
      </c>
      <c r="CC24" s="15"/>
      <c r="CD24" s="12" t="str">
        <f t="shared" si="52"/>
        <v/>
      </c>
      <c r="CE24" s="12" t="str">
        <f t="shared" si="53"/>
        <v/>
      </c>
      <c r="CF24" s="16"/>
      <c r="CG24" s="13" t="str">
        <f t="shared" si="54"/>
        <v/>
      </c>
      <c r="CH24" s="13" t="str">
        <f t="shared" si="55"/>
        <v/>
      </c>
      <c r="CI24" s="17">
        <f t="shared" si="56"/>
        <v>0</v>
      </c>
      <c r="CJ24" s="17">
        <f t="shared" si="57"/>
        <v>0</v>
      </c>
    </row>
    <row r="25" spans="1:88" ht="15.75" x14ac:dyDescent="0.15">
      <c r="A25" s="3" t="s">
        <v>152</v>
      </c>
      <c r="B25" s="11" t="str">
        <f>IF(D25="","",IFERROR(VLOOKUP(D25,商品マスタ!$A:$K,2,FALSE),"缶バッジ"))</f>
        <v>缶バッジ</v>
      </c>
      <c r="C25" s="2" t="s">
        <v>162</v>
      </c>
      <c r="D25" s="2" t="s">
        <v>148</v>
      </c>
      <c r="E25" s="6">
        <f>IF(D25="","",IFERROR(VLOOKUP(D25,商品マスタ!$A:$K,4,FALSE),12.55))</f>
        <v>12.55</v>
      </c>
      <c r="F25" s="6">
        <f>IF(D25="","",IFERROR(VLOOKUP(D25,商品マスタ!$A:$K,8,FALSE),1.14))</f>
        <v>1.1399999999999999</v>
      </c>
      <c r="G25" s="12">
        <f t="shared" si="0"/>
        <v>0</v>
      </c>
      <c r="H25" s="12">
        <f t="shared" si="1"/>
        <v>0</v>
      </c>
      <c r="I25" s="12">
        <f t="shared" si="2"/>
        <v>0</v>
      </c>
      <c r="J25" s="13">
        <f t="shared" si="3"/>
        <v>0</v>
      </c>
      <c r="K25" s="13">
        <f t="shared" si="4"/>
        <v>0</v>
      </c>
      <c r="L25" s="13">
        <f t="shared" si="5"/>
        <v>0</v>
      </c>
      <c r="M25" s="14" t="str">
        <f t="shared" si="6"/>
        <v/>
      </c>
      <c r="N25" s="14" t="str">
        <f t="shared" si="7"/>
        <v/>
      </c>
      <c r="O25" s="15"/>
      <c r="P25" s="12" t="str">
        <f t="shared" si="8"/>
        <v/>
      </c>
      <c r="Q25" s="12" t="str">
        <f t="shared" si="9"/>
        <v/>
      </c>
      <c r="R25" s="16"/>
      <c r="S25" s="13" t="str">
        <f t="shared" si="10"/>
        <v/>
      </c>
      <c r="T25" s="13" t="str">
        <f t="shared" si="11"/>
        <v/>
      </c>
      <c r="U25" s="15"/>
      <c r="V25" s="12" t="str">
        <f t="shared" si="12"/>
        <v/>
      </c>
      <c r="W25" s="12" t="str">
        <f t="shared" si="13"/>
        <v/>
      </c>
      <c r="X25" s="16"/>
      <c r="Y25" s="13" t="str">
        <f t="shared" si="14"/>
        <v/>
      </c>
      <c r="Z25" s="13" t="str">
        <f t="shared" si="15"/>
        <v/>
      </c>
      <c r="AA25" s="15"/>
      <c r="AB25" s="12" t="str">
        <f t="shared" si="16"/>
        <v/>
      </c>
      <c r="AC25" s="12" t="str">
        <f t="shared" si="17"/>
        <v/>
      </c>
      <c r="AD25" s="16"/>
      <c r="AE25" s="13" t="str">
        <f t="shared" si="18"/>
        <v/>
      </c>
      <c r="AF25" s="13" t="str">
        <f t="shared" si="19"/>
        <v/>
      </c>
      <c r="AG25" s="15"/>
      <c r="AH25" s="12" t="str">
        <f t="shared" si="20"/>
        <v/>
      </c>
      <c r="AI25" s="12" t="str">
        <f t="shared" si="21"/>
        <v/>
      </c>
      <c r="AJ25" s="16"/>
      <c r="AK25" s="13" t="str">
        <f t="shared" si="22"/>
        <v/>
      </c>
      <c r="AL25" s="13" t="str">
        <f t="shared" si="23"/>
        <v/>
      </c>
      <c r="AM25" s="15"/>
      <c r="AN25" s="12" t="str">
        <f t="shared" si="24"/>
        <v/>
      </c>
      <c r="AO25" s="12" t="str">
        <f t="shared" si="25"/>
        <v/>
      </c>
      <c r="AP25" s="16"/>
      <c r="AQ25" s="13" t="str">
        <f t="shared" si="26"/>
        <v/>
      </c>
      <c r="AR25" s="13" t="str">
        <f t="shared" si="27"/>
        <v/>
      </c>
      <c r="AS25" s="15"/>
      <c r="AT25" s="12" t="str">
        <f t="shared" si="28"/>
        <v/>
      </c>
      <c r="AU25" s="12" t="str">
        <f t="shared" si="29"/>
        <v/>
      </c>
      <c r="AV25" s="16"/>
      <c r="AW25" s="13" t="str">
        <f t="shared" si="30"/>
        <v/>
      </c>
      <c r="AX25" s="13" t="str">
        <f t="shared" si="31"/>
        <v/>
      </c>
      <c r="AY25" s="15"/>
      <c r="AZ25" s="12" t="str">
        <f t="shared" si="32"/>
        <v/>
      </c>
      <c r="BA25" s="12" t="str">
        <f t="shared" si="33"/>
        <v/>
      </c>
      <c r="BB25" s="16"/>
      <c r="BC25" s="13" t="str">
        <f t="shared" si="34"/>
        <v/>
      </c>
      <c r="BD25" s="13" t="str">
        <f t="shared" si="35"/>
        <v/>
      </c>
      <c r="BE25" s="15"/>
      <c r="BF25" s="12" t="str">
        <f t="shared" si="36"/>
        <v/>
      </c>
      <c r="BG25" s="12" t="str">
        <f t="shared" si="37"/>
        <v/>
      </c>
      <c r="BH25" s="16"/>
      <c r="BI25" s="13" t="str">
        <f t="shared" si="38"/>
        <v/>
      </c>
      <c r="BJ25" s="13" t="str">
        <f t="shared" si="39"/>
        <v/>
      </c>
      <c r="BK25" s="15"/>
      <c r="BL25" s="12" t="str">
        <f t="shared" si="40"/>
        <v/>
      </c>
      <c r="BM25" s="12" t="str">
        <f t="shared" si="41"/>
        <v/>
      </c>
      <c r="BN25" s="16"/>
      <c r="BO25" s="13" t="str">
        <f t="shared" si="42"/>
        <v/>
      </c>
      <c r="BP25" s="13" t="str">
        <f t="shared" si="43"/>
        <v/>
      </c>
      <c r="BQ25" s="15"/>
      <c r="BR25" s="12" t="str">
        <f t="shared" si="44"/>
        <v/>
      </c>
      <c r="BS25" s="12" t="str">
        <f t="shared" si="45"/>
        <v/>
      </c>
      <c r="BT25" s="16"/>
      <c r="BU25" s="13" t="str">
        <f t="shared" si="46"/>
        <v/>
      </c>
      <c r="BV25" s="13" t="str">
        <f t="shared" si="47"/>
        <v/>
      </c>
      <c r="BW25" s="15"/>
      <c r="BX25" s="12" t="str">
        <f t="shared" si="48"/>
        <v/>
      </c>
      <c r="BY25" s="12" t="str">
        <f t="shared" si="49"/>
        <v/>
      </c>
      <c r="BZ25" s="16"/>
      <c r="CA25" s="13" t="str">
        <f t="shared" si="50"/>
        <v/>
      </c>
      <c r="CB25" s="13" t="str">
        <f t="shared" si="51"/>
        <v/>
      </c>
      <c r="CC25" s="15"/>
      <c r="CD25" s="12" t="str">
        <f t="shared" si="52"/>
        <v/>
      </c>
      <c r="CE25" s="12" t="str">
        <f t="shared" si="53"/>
        <v/>
      </c>
      <c r="CF25" s="16"/>
      <c r="CG25" s="13" t="str">
        <f t="shared" si="54"/>
        <v/>
      </c>
      <c r="CH25" s="13" t="str">
        <f t="shared" si="55"/>
        <v/>
      </c>
      <c r="CI25" s="17">
        <f t="shared" si="56"/>
        <v>0</v>
      </c>
      <c r="CJ25" s="17">
        <f t="shared" si="57"/>
        <v>0</v>
      </c>
    </row>
    <row r="26" spans="1:88" ht="15.75" x14ac:dyDescent="0.15">
      <c r="A26" s="3" t="s">
        <v>152</v>
      </c>
      <c r="B26" s="11" t="str">
        <f>IF(D26="","",IFERROR(VLOOKUP(D26,商品マスタ!$A:$K,2,FALSE),"缶バッジ"))</f>
        <v>缶バッジ</v>
      </c>
      <c r="C26" s="2" t="s">
        <v>163</v>
      </c>
      <c r="D26" s="2" t="s">
        <v>148</v>
      </c>
      <c r="E26" s="6">
        <f>IF(D26="","",IFERROR(VLOOKUP(D26,商品マスタ!$A:$K,4,FALSE),12.55))</f>
        <v>12.55</v>
      </c>
      <c r="F26" s="6">
        <f>IF(D26="","",IFERROR(VLOOKUP(D26,商品マスタ!$A:$K,8,FALSE),1.14))</f>
        <v>1.1399999999999999</v>
      </c>
      <c r="G26" s="12">
        <f t="shared" si="0"/>
        <v>0</v>
      </c>
      <c r="H26" s="12">
        <f t="shared" si="1"/>
        <v>0</v>
      </c>
      <c r="I26" s="12">
        <f t="shared" si="2"/>
        <v>0</v>
      </c>
      <c r="J26" s="13">
        <f t="shared" si="3"/>
        <v>0</v>
      </c>
      <c r="K26" s="13">
        <f t="shared" si="4"/>
        <v>0</v>
      </c>
      <c r="L26" s="13">
        <f t="shared" si="5"/>
        <v>0</v>
      </c>
      <c r="M26" s="14" t="str">
        <f t="shared" si="6"/>
        <v/>
      </c>
      <c r="N26" s="14" t="str">
        <f t="shared" si="7"/>
        <v/>
      </c>
      <c r="O26" s="15"/>
      <c r="P26" s="12" t="str">
        <f t="shared" si="8"/>
        <v/>
      </c>
      <c r="Q26" s="12" t="str">
        <f t="shared" si="9"/>
        <v/>
      </c>
      <c r="R26" s="16"/>
      <c r="S26" s="13" t="str">
        <f t="shared" si="10"/>
        <v/>
      </c>
      <c r="T26" s="13" t="str">
        <f t="shared" si="11"/>
        <v/>
      </c>
      <c r="U26" s="15"/>
      <c r="V26" s="12" t="str">
        <f t="shared" si="12"/>
        <v/>
      </c>
      <c r="W26" s="12" t="str">
        <f t="shared" si="13"/>
        <v/>
      </c>
      <c r="X26" s="16"/>
      <c r="Y26" s="13" t="str">
        <f t="shared" si="14"/>
        <v/>
      </c>
      <c r="Z26" s="13" t="str">
        <f t="shared" si="15"/>
        <v/>
      </c>
      <c r="AA26" s="15"/>
      <c r="AB26" s="12" t="str">
        <f t="shared" si="16"/>
        <v/>
      </c>
      <c r="AC26" s="12" t="str">
        <f t="shared" si="17"/>
        <v/>
      </c>
      <c r="AD26" s="16"/>
      <c r="AE26" s="13" t="str">
        <f t="shared" si="18"/>
        <v/>
      </c>
      <c r="AF26" s="13" t="str">
        <f t="shared" si="19"/>
        <v/>
      </c>
      <c r="AG26" s="15"/>
      <c r="AH26" s="12" t="str">
        <f t="shared" si="20"/>
        <v/>
      </c>
      <c r="AI26" s="12" t="str">
        <f t="shared" si="21"/>
        <v/>
      </c>
      <c r="AJ26" s="16"/>
      <c r="AK26" s="13" t="str">
        <f t="shared" si="22"/>
        <v/>
      </c>
      <c r="AL26" s="13" t="str">
        <f t="shared" si="23"/>
        <v/>
      </c>
      <c r="AM26" s="15"/>
      <c r="AN26" s="12" t="str">
        <f t="shared" si="24"/>
        <v/>
      </c>
      <c r="AO26" s="12" t="str">
        <f t="shared" si="25"/>
        <v/>
      </c>
      <c r="AP26" s="16"/>
      <c r="AQ26" s="13" t="str">
        <f t="shared" si="26"/>
        <v/>
      </c>
      <c r="AR26" s="13" t="str">
        <f t="shared" si="27"/>
        <v/>
      </c>
      <c r="AS26" s="15"/>
      <c r="AT26" s="12" t="str">
        <f t="shared" si="28"/>
        <v/>
      </c>
      <c r="AU26" s="12" t="str">
        <f t="shared" si="29"/>
        <v/>
      </c>
      <c r="AV26" s="16"/>
      <c r="AW26" s="13" t="str">
        <f t="shared" si="30"/>
        <v/>
      </c>
      <c r="AX26" s="13" t="str">
        <f t="shared" si="31"/>
        <v/>
      </c>
      <c r="AY26" s="15"/>
      <c r="AZ26" s="12" t="str">
        <f t="shared" si="32"/>
        <v/>
      </c>
      <c r="BA26" s="12" t="str">
        <f t="shared" si="33"/>
        <v/>
      </c>
      <c r="BB26" s="16"/>
      <c r="BC26" s="13" t="str">
        <f t="shared" si="34"/>
        <v/>
      </c>
      <c r="BD26" s="13" t="str">
        <f t="shared" si="35"/>
        <v/>
      </c>
      <c r="BE26" s="15"/>
      <c r="BF26" s="12" t="str">
        <f t="shared" si="36"/>
        <v/>
      </c>
      <c r="BG26" s="12" t="str">
        <f t="shared" si="37"/>
        <v/>
      </c>
      <c r="BH26" s="16"/>
      <c r="BI26" s="13" t="str">
        <f t="shared" si="38"/>
        <v/>
      </c>
      <c r="BJ26" s="13" t="str">
        <f t="shared" si="39"/>
        <v/>
      </c>
      <c r="BK26" s="15"/>
      <c r="BL26" s="12" t="str">
        <f t="shared" si="40"/>
        <v/>
      </c>
      <c r="BM26" s="12" t="str">
        <f t="shared" si="41"/>
        <v/>
      </c>
      <c r="BN26" s="16"/>
      <c r="BO26" s="13" t="str">
        <f t="shared" si="42"/>
        <v/>
      </c>
      <c r="BP26" s="13" t="str">
        <f t="shared" si="43"/>
        <v/>
      </c>
      <c r="BQ26" s="15"/>
      <c r="BR26" s="12" t="str">
        <f t="shared" si="44"/>
        <v/>
      </c>
      <c r="BS26" s="12" t="str">
        <f t="shared" si="45"/>
        <v/>
      </c>
      <c r="BT26" s="16"/>
      <c r="BU26" s="13" t="str">
        <f t="shared" si="46"/>
        <v/>
      </c>
      <c r="BV26" s="13" t="str">
        <f t="shared" si="47"/>
        <v/>
      </c>
      <c r="BW26" s="15"/>
      <c r="BX26" s="12" t="str">
        <f t="shared" si="48"/>
        <v/>
      </c>
      <c r="BY26" s="12" t="str">
        <f t="shared" si="49"/>
        <v/>
      </c>
      <c r="BZ26" s="16"/>
      <c r="CA26" s="13" t="str">
        <f t="shared" si="50"/>
        <v/>
      </c>
      <c r="CB26" s="13" t="str">
        <f t="shared" si="51"/>
        <v/>
      </c>
      <c r="CC26" s="15"/>
      <c r="CD26" s="12" t="str">
        <f t="shared" si="52"/>
        <v/>
      </c>
      <c r="CE26" s="12" t="str">
        <f t="shared" si="53"/>
        <v/>
      </c>
      <c r="CF26" s="16"/>
      <c r="CG26" s="13" t="str">
        <f t="shared" si="54"/>
        <v/>
      </c>
      <c r="CH26" s="13" t="str">
        <f t="shared" si="55"/>
        <v/>
      </c>
      <c r="CI26" s="17">
        <f t="shared" si="56"/>
        <v>0</v>
      </c>
      <c r="CJ26" s="17">
        <f t="shared" si="57"/>
        <v>0</v>
      </c>
    </row>
    <row r="27" spans="1:88" ht="15.75" x14ac:dyDescent="0.15">
      <c r="A27" s="3" t="s">
        <v>152</v>
      </c>
      <c r="B27" s="11" t="str">
        <f>IF(D27="","",IFERROR(VLOOKUP(D27,商品マスタ!$A:$K,2,FALSE),"缶バッジ"))</f>
        <v>缶バッジ</v>
      </c>
      <c r="C27" s="2" t="s">
        <v>164</v>
      </c>
      <c r="D27" s="2" t="s">
        <v>148</v>
      </c>
      <c r="E27" s="6">
        <f>IF(D27="","",IFERROR(VLOOKUP(D27,商品マスタ!$A:$K,4,FALSE),12.55))</f>
        <v>12.55</v>
      </c>
      <c r="F27" s="6">
        <f>IF(D27="","",IFERROR(VLOOKUP(D27,商品マスタ!$A:$K,8,FALSE),1.14))</f>
        <v>1.1399999999999999</v>
      </c>
      <c r="G27" s="12">
        <f t="shared" si="0"/>
        <v>0</v>
      </c>
      <c r="H27" s="12">
        <f t="shared" si="1"/>
        <v>0</v>
      </c>
      <c r="I27" s="12">
        <f t="shared" si="2"/>
        <v>0</v>
      </c>
      <c r="J27" s="13">
        <f t="shared" si="3"/>
        <v>0</v>
      </c>
      <c r="K27" s="13">
        <f t="shared" si="4"/>
        <v>0</v>
      </c>
      <c r="L27" s="13">
        <f t="shared" si="5"/>
        <v>0</v>
      </c>
      <c r="M27" s="14" t="str">
        <f t="shared" si="6"/>
        <v/>
      </c>
      <c r="N27" s="14" t="str">
        <f t="shared" si="7"/>
        <v/>
      </c>
      <c r="O27" s="15"/>
      <c r="P27" s="12" t="str">
        <f t="shared" si="8"/>
        <v/>
      </c>
      <c r="Q27" s="12" t="str">
        <f t="shared" si="9"/>
        <v/>
      </c>
      <c r="R27" s="16"/>
      <c r="S27" s="13" t="str">
        <f t="shared" si="10"/>
        <v/>
      </c>
      <c r="T27" s="13" t="str">
        <f t="shared" si="11"/>
        <v/>
      </c>
      <c r="U27" s="15"/>
      <c r="V27" s="12" t="str">
        <f t="shared" si="12"/>
        <v/>
      </c>
      <c r="W27" s="12" t="str">
        <f t="shared" si="13"/>
        <v/>
      </c>
      <c r="X27" s="16"/>
      <c r="Y27" s="13" t="str">
        <f t="shared" si="14"/>
        <v/>
      </c>
      <c r="Z27" s="13" t="str">
        <f t="shared" si="15"/>
        <v/>
      </c>
      <c r="AA27" s="15"/>
      <c r="AB27" s="12" t="str">
        <f t="shared" si="16"/>
        <v/>
      </c>
      <c r="AC27" s="12" t="str">
        <f t="shared" si="17"/>
        <v/>
      </c>
      <c r="AD27" s="16"/>
      <c r="AE27" s="13" t="str">
        <f t="shared" si="18"/>
        <v/>
      </c>
      <c r="AF27" s="13" t="str">
        <f t="shared" si="19"/>
        <v/>
      </c>
      <c r="AG27" s="15"/>
      <c r="AH27" s="12" t="str">
        <f t="shared" si="20"/>
        <v/>
      </c>
      <c r="AI27" s="12" t="str">
        <f t="shared" si="21"/>
        <v/>
      </c>
      <c r="AJ27" s="16"/>
      <c r="AK27" s="13" t="str">
        <f t="shared" si="22"/>
        <v/>
      </c>
      <c r="AL27" s="13" t="str">
        <f t="shared" si="23"/>
        <v/>
      </c>
      <c r="AM27" s="15"/>
      <c r="AN27" s="12" t="str">
        <f t="shared" si="24"/>
        <v/>
      </c>
      <c r="AO27" s="12" t="str">
        <f t="shared" si="25"/>
        <v/>
      </c>
      <c r="AP27" s="16"/>
      <c r="AQ27" s="13" t="str">
        <f t="shared" si="26"/>
        <v/>
      </c>
      <c r="AR27" s="13" t="str">
        <f t="shared" si="27"/>
        <v/>
      </c>
      <c r="AS27" s="15"/>
      <c r="AT27" s="12" t="str">
        <f t="shared" si="28"/>
        <v/>
      </c>
      <c r="AU27" s="12" t="str">
        <f t="shared" si="29"/>
        <v/>
      </c>
      <c r="AV27" s="16"/>
      <c r="AW27" s="13" t="str">
        <f t="shared" si="30"/>
        <v/>
      </c>
      <c r="AX27" s="13" t="str">
        <f t="shared" si="31"/>
        <v/>
      </c>
      <c r="AY27" s="15"/>
      <c r="AZ27" s="12" t="str">
        <f t="shared" si="32"/>
        <v/>
      </c>
      <c r="BA27" s="12" t="str">
        <f t="shared" si="33"/>
        <v/>
      </c>
      <c r="BB27" s="16"/>
      <c r="BC27" s="13" t="str">
        <f t="shared" si="34"/>
        <v/>
      </c>
      <c r="BD27" s="13" t="str">
        <f t="shared" si="35"/>
        <v/>
      </c>
      <c r="BE27" s="15"/>
      <c r="BF27" s="12" t="str">
        <f t="shared" si="36"/>
        <v/>
      </c>
      <c r="BG27" s="12" t="str">
        <f t="shared" si="37"/>
        <v/>
      </c>
      <c r="BH27" s="16"/>
      <c r="BI27" s="13" t="str">
        <f t="shared" si="38"/>
        <v/>
      </c>
      <c r="BJ27" s="13" t="str">
        <f t="shared" si="39"/>
        <v/>
      </c>
      <c r="BK27" s="15"/>
      <c r="BL27" s="12" t="str">
        <f t="shared" si="40"/>
        <v/>
      </c>
      <c r="BM27" s="12" t="str">
        <f t="shared" si="41"/>
        <v/>
      </c>
      <c r="BN27" s="16"/>
      <c r="BO27" s="13" t="str">
        <f t="shared" si="42"/>
        <v/>
      </c>
      <c r="BP27" s="13" t="str">
        <f t="shared" si="43"/>
        <v/>
      </c>
      <c r="BQ27" s="15"/>
      <c r="BR27" s="12" t="str">
        <f t="shared" si="44"/>
        <v/>
      </c>
      <c r="BS27" s="12" t="str">
        <f t="shared" si="45"/>
        <v/>
      </c>
      <c r="BT27" s="16"/>
      <c r="BU27" s="13" t="str">
        <f t="shared" si="46"/>
        <v/>
      </c>
      <c r="BV27" s="13" t="str">
        <f t="shared" si="47"/>
        <v/>
      </c>
      <c r="BW27" s="15"/>
      <c r="BX27" s="12" t="str">
        <f t="shared" si="48"/>
        <v/>
      </c>
      <c r="BY27" s="12" t="str">
        <f t="shared" si="49"/>
        <v/>
      </c>
      <c r="BZ27" s="16"/>
      <c r="CA27" s="13" t="str">
        <f t="shared" si="50"/>
        <v/>
      </c>
      <c r="CB27" s="13" t="str">
        <f t="shared" si="51"/>
        <v/>
      </c>
      <c r="CC27" s="15"/>
      <c r="CD27" s="12" t="str">
        <f t="shared" si="52"/>
        <v/>
      </c>
      <c r="CE27" s="12" t="str">
        <f t="shared" si="53"/>
        <v/>
      </c>
      <c r="CF27" s="16"/>
      <c r="CG27" s="13" t="str">
        <f t="shared" si="54"/>
        <v/>
      </c>
      <c r="CH27" s="13" t="str">
        <f t="shared" si="55"/>
        <v/>
      </c>
      <c r="CI27" s="17">
        <f t="shared" si="56"/>
        <v>0</v>
      </c>
      <c r="CJ27" s="17">
        <f t="shared" si="57"/>
        <v>0</v>
      </c>
    </row>
    <row r="28" spans="1:88" ht="15.75" x14ac:dyDescent="0.15">
      <c r="A28" s="3" t="s">
        <v>152</v>
      </c>
      <c r="B28" s="11" t="str">
        <f>IF(D28="","",IFERROR(VLOOKUP(D28,商品マスタ!$A:$K,2,FALSE),"缶バッジ"))</f>
        <v>缶バッジ</v>
      </c>
      <c r="C28" s="2" t="s">
        <v>165</v>
      </c>
      <c r="D28" s="2" t="s">
        <v>148</v>
      </c>
      <c r="E28" s="6">
        <f>IF(D28="","",IFERROR(VLOOKUP(D28,商品マスタ!$A:$K,4,FALSE),12.55))</f>
        <v>12.55</v>
      </c>
      <c r="F28" s="6">
        <f>IF(D28="","",IFERROR(VLOOKUP(D28,商品マスタ!$A:$K,8,FALSE),1.14))</f>
        <v>1.1399999999999999</v>
      </c>
      <c r="G28" s="12">
        <f t="shared" si="0"/>
        <v>0</v>
      </c>
      <c r="H28" s="12">
        <f t="shared" si="1"/>
        <v>0</v>
      </c>
      <c r="I28" s="12">
        <f t="shared" si="2"/>
        <v>0</v>
      </c>
      <c r="J28" s="13">
        <f t="shared" si="3"/>
        <v>0</v>
      </c>
      <c r="K28" s="13">
        <f t="shared" si="4"/>
        <v>0</v>
      </c>
      <c r="L28" s="13">
        <f t="shared" si="5"/>
        <v>0</v>
      </c>
      <c r="M28" s="14" t="str">
        <f t="shared" si="6"/>
        <v/>
      </c>
      <c r="N28" s="14" t="str">
        <f t="shared" si="7"/>
        <v/>
      </c>
      <c r="O28" s="15"/>
      <c r="P28" s="12" t="str">
        <f t="shared" si="8"/>
        <v/>
      </c>
      <c r="Q28" s="12" t="str">
        <f t="shared" si="9"/>
        <v/>
      </c>
      <c r="R28" s="16"/>
      <c r="S28" s="13" t="str">
        <f t="shared" si="10"/>
        <v/>
      </c>
      <c r="T28" s="13" t="str">
        <f t="shared" si="11"/>
        <v/>
      </c>
      <c r="U28" s="15"/>
      <c r="V28" s="12" t="str">
        <f t="shared" si="12"/>
        <v/>
      </c>
      <c r="W28" s="12" t="str">
        <f t="shared" si="13"/>
        <v/>
      </c>
      <c r="X28" s="16"/>
      <c r="Y28" s="13" t="str">
        <f t="shared" si="14"/>
        <v/>
      </c>
      <c r="Z28" s="13" t="str">
        <f t="shared" si="15"/>
        <v/>
      </c>
      <c r="AA28" s="15"/>
      <c r="AB28" s="12" t="str">
        <f t="shared" si="16"/>
        <v/>
      </c>
      <c r="AC28" s="12" t="str">
        <f t="shared" si="17"/>
        <v/>
      </c>
      <c r="AD28" s="16"/>
      <c r="AE28" s="13" t="str">
        <f t="shared" si="18"/>
        <v/>
      </c>
      <c r="AF28" s="13" t="str">
        <f t="shared" si="19"/>
        <v/>
      </c>
      <c r="AG28" s="15"/>
      <c r="AH28" s="12" t="str">
        <f t="shared" si="20"/>
        <v/>
      </c>
      <c r="AI28" s="12" t="str">
        <f t="shared" si="21"/>
        <v/>
      </c>
      <c r="AJ28" s="16"/>
      <c r="AK28" s="13" t="str">
        <f t="shared" si="22"/>
        <v/>
      </c>
      <c r="AL28" s="13" t="str">
        <f t="shared" si="23"/>
        <v/>
      </c>
      <c r="AM28" s="15"/>
      <c r="AN28" s="12" t="str">
        <f t="shared" si="24"/>
        <v/>
      </c>
      <c r="AO28" s="12" t="str">
        <f t="shared" si="25"/>
        <v/>
      </c>
      <c r="AP28" s="16"/>
      <c r="AQ28" s="13" t="str">
        <f t="shared" si="26"/>
        <v/>
      </c>
      <c r="AR28" s="13" t="str">
        <f t="shared" si="27"/>
        <v/>
      </c>
      <c r="AS28" s="15"/>
      <c r="AT28" s="12" t="str">
        <f t="shared" si="28"/>
        <v/>
      </c>
      <c r="AU28" s="12" t="str">
        <f t="shared" si="29"/>
        <v/>
      </c>
      <c r="AV28" s="16"/>
      <c r="AW28" s="13" t="str">
        <f t="shared" si="30"/>
        <v/>
      </c>
      <c r="AX28" s="13" t="str">
        <f t="shared" si="31"/>
        <v/>
      </c>
      <c r="AY28" s="15"/>
      <c r="AZ28" s="12" t="str">
        <f t="shared" si="32"/>
        <v/>
      </c>
      <c r="BA28" s="12" t="str">
        <f t="shared" si="33"/>
        <v/>
      </c>
      <c r="BB28" s="16"/>
      <c r="BC28" s="13" t="str">
        <f t="shared" si="34"/>
        <v/>
      </c>
      <c r="BD28" s="13" t="str">
        <f t="shared" si="35"/>
        <v/>
      </c>
      <c r="BE28" s="15"/>
      <c r="BF28" s="12" t="str">
        <f t="shared" si="36"/>
        <v/>
      </c>
      <c r="BG28" s="12" t="str">
        <f t="shared" si="37"/>
        <v/>
      </c>
      <c r="BH28" s="16"/>
      <c r="BI28" s="13" t="str">
        <f t="shared" si="38"/>
        <v/>
      </c>
      <c r="BJ28" s="13" t="str">
        <f t="shared" si="39"/>
        <v/>
      </c>
      <c r="BK28" s="15"/>
      <c r="BL28" s="12" t="str">
        <f t="shared" si="40"/>
        <v/>
      </c>
      <c r="BM28" s="12" t="str">
        <f t="shared" si="41"/>
        <v/>
      </c>
      <c r="BN28" s="16"/>
      <c r="BO28" s="13" t="str">
        <f t="shared" si="42"/>
        <v/>
      </c>
      <c r="BP28" s="13" t="str">
        <f t="shared" si="43"/>
        <v/>
      </c>
      <c r="BQ28" s="15"/>
      <c r="BR28" s="12" t="str">
        <f t="shared" si="44"/>
        <v/>
      </c>
      <c r="BS28" s="12" t="str">
        <f t="shared" si="45"/>
        <v/>
      </c>
      <c r="BT28" s="16"/>
      <c r="BU28" s="13" t="str">
        <f t="shared" si="46"/>
        <v/>
      </c>
      <c r="BV28" s="13" t="str">
        <f t="shared" si="47"/>
        <v/>
      </c>
      <c r="BW28" s="15"/>
      <c r="BX28" s="12" t="str">
        <f t="shared" si="48"/>
        <v/>
      </c>
      <c r="BY28" s="12" t="str">
        <f t="shared" si="49"/>
        <v/>
      </c>
      <c r="BZ28" s="16"/>
      <c r="CA28" s="13" t="str">
        <f t="shared" si="50"/>
        <v/>
      </c>
      <c r="CB28" s="13" t="str">
        <f t="shared" si="51"/>
        <v/>
      </c>
      <c r="CC28" s="15"/>
      <c r="CD28" s="12" t="str">
        <f t="shared" si="52"/>
        <v/>
      </c>
      <c r="CE28" s="12" t="str">
        <f t="shared" si="53"/>
        <v/>
      </c>
      <c r="CF28" s="16"/>
      <c r="CG28" s="13" t="str">
        <f t="shared" si="54"/>
        <v/>
      </c>
      <c r="CH28" s="13" t="str">
        <f t="shared" si="55"/>
        <v/>
      </c>
      <c r="CI28" s="17">
        <f t="shared" si="56"/>
        <v>0</v>
      </c>
      <c r="CJ28" s="17">
        <f t="shared" si="57"/>
        <v>0</v>
      </c>
    </row>
    <row r="29" spans="1:88" ht="15.75" x14ac:dyDescent="0.15">
      <c r="A29" s="3" t="s">
        <v>152</v>
      </c>
      <c r="B29" s="11" t="str">
        <f>IF(D29="","",IFERROR(VLOOKUP(D29,商品マスタ!$A:$K,2,FALSE),"缶バッジ"))</f>
        <v>缶バッジ</v>
      </c>
      <c r="C29" s="2" t="s">
        <v>166</v>
      </c>
      <c r="D29" s="2" t="s">
        <v>148</v>
      </c>
      <c r="E29" s="6">
        <f>IF(D29="","",IFERROR(VLOOKUP(D29,商品マスタ!$A:$K,4,FALSE),12.55))</f>
        <v>12.55</v>
      </c>
      <c r="F29" s="6">
        <f>IF(D29="","",IFERROR(VLOOKUP(D29,商品マスタ!$A:$K,8,FALSE),1.14))</f>
        <v>1.1399999999999999</v>
      </c>
      <c r="G29" s="12">
        <f t="shared" si="0"/>
        <v>0</v>
      </c>
      <c r="H29" s="12">
        <f t="shared" si="1"/>
        <v>0</v>
      </c>
      <c r="I29" s="12">
        <f t="shared" si="2"/>
        <v>0</v>
      </c>
      <c r="J29" s="13">
        <f t="shared" si="3"/>
        <v>0</v>
      </c>
      <c r="K29" s="13">
        <f t="shared" si="4"/>
        <v>0</v>
      </c>
      <c r="L29" s="13">
        <f t="shared" si="5"/>
        <v>0</v>
      </c>
      <c r="M29" s="14" t="str">
        <f t="shared" si="6"/>
        <v/>
      </c>
      <c r="N29" s="14" t="str">
        <f t="shared" si="7"/>
        <v/>
      </c>
      <c r="O29" s="15"/>
      <c r="P29" s="12" t="str">
        <f t="shared" si="8"/>
        <v/>
      </c>
      <c r="Q29" s="12" t="str">
        <f t="shared" si="9"/>
        <v/>
      </c>
      <c r="R29" s="16"/>
      <c r="S29" s="13" t="str">
        <f t="shared" si="10"/>
        <v/>
      </c>
      <c r="T29" s="13" t="str">
        <f t="shared" si="11"/>
        <v/>
      </c>
      <c r="U29" s="15"/>
      <c r="V29" s="12" t="str">
        <f t="shared" si="12"/>
        <v/>
      </c>
      <c r="W29" s="12" t="str">
        <f t="shared" si="13"/>
        <v/>
      </c>
      <c r="X29" s="16"/>
      <c r="Y29" s="13" t="str">
        <f t="shared" si="14"/>
        <v/>
      </c>
      <c r="Z29" s="13" t="str">
        <f t="shared" si="15"/>
        <v/>
      </c>
      <c r="AA29" s="15"/>
      <c r="AB29" s="12" t="str">
        <f t="shared" si="16"/>
        <v/>
      </c>
      <c r="AC29" s="12" t="str">
        <f t="shared" si="17"/>
        <v/>
      </c>
      <c r="AD29" s="16"/>
      <c r="AE29" s="13" t="str">
        <f t="shared" si="18"/>
        <v/>
      </c>
      <c r="AF29" s="13" t="str">
        <f t="shared" si="19"/>
        <v/>
      </c>
      <c r="AG29" s="15"/>
      <c r="AH29" s="12" t="str">
        <f t="shared" si="20"/>
        <v/>
      </c>
      <c r="AI29" s="12" t="str">
        <f t="shared" si="21"/>
        <v/>
      </c>
      <c r="AJ29" s="16"/>
      <c r="AK29" s="13" t="str">
        <f t="shared" si="22"/>
        <v/>
      </c>
      <c r="AL29" s="13" t="str">
        <f t="shared" si="23"/>
        <v/>
      </c>
      <c r="AM29" s="15"/>
      <c r="AN29" s="12" t="str">
        <f t="shared" si="24"/>
        <v/>
      </c>
      <c r="AO29" s="12" t="str">
        <f t="shared" si="25"/>
        <v/>
      </c>
      <c r="AP29" s="16"/>
      <c r="AQ29" s="13" t="str">
        <f t="shared" si="26"/>
        <v/>
      </c>
      <c r="AR29" s="13" t="str">
        <f t="shared" si="27"/>
        <v/>
      </c>
      <c r="AS29" s="15"/>
      <c r="AT29" s="12" t="str">
        <f t="shared" si="28"/>
        <v/>
      </c>
      <c r="AU29" s="12" t="str">
        <f t="shared" si="29"/>
        <v/>
      </c>
      <c r="AV29" s="16"/>
      <c r="AW29" s="13" t="str">
        <f t="shared" si="30"/>
        <v/>
      </c>
      <c r="AX29" s="13" t="str">
        <f t="shared" si="31"/>
        <v/>
      </c>
      <c r="AY29" s="15"/>
      <c r="AZ29" s="12" t="str">
        <f t="shared" si="32"/>
        <v/>
      </c>
      <c r="BA29" s="12" t="str">
        <f t="shared" si="33"/>
        <v/>
      </c>
      <c r="BB29" s="16"/>
      <c r="BC29" s="13" t="str">
        <f t="shared" si="34"/>
        <v/>
      </c>
      <c r="BD29" s="13" t="str">
        <f t="shared" si="35"/>
        <v/>
      </c>
      <c r="BE29" s="15"/>
      <c r="BF29" s="12" t="str">
        <f t="shared" si="36"/>
        <v/>
      </c>
      <c r="BG29" s="12" t="str">
        <f t="shared" si="37"/>
        <v/>
      </c>
      <c r="BH29" s="16"/>
      <c r="BI29" s="13" t="str">
        <f t="shared" si="38"/>
        <v/>
      </c>
      <c r="BJ29" s="13" t="str">
        <f t="shared" si="39"/>
        <v/>
      </c>
      <c r="BK29" s="15"/>
      <c r="BL29" s="12" t="str">
        <f t="shared" si="40"/>
        <v/>
      </c>
      <c r="BM29" s="12" t="str">
        <f t="shared" si="41"/>
        <v/>
      </c>
      <c r="BN29" s="16"/>
      <c r="BO29" s="13" t="str">
        <f t="shared" si="42"/>
        <v/>
      </c>
      <c r="BP29" s="13" t="str">
        <f t="shared" si="43"/>
        <v/>
      </c>
      <c r="BQ29" s="15"/>
      <c r="BR29" s="12" t="str">
        <f t="shared" si="44"/>
        <v/>
      </c>
      <c r="BS29" s="12" t="str">
        <f t="shared" si="45"/>
        <v/>
      </c>
      <c r="BT29" s="16"/>
      <c r="BU29" s="13" t="str">
        <f t="shared" si="46"/>
        <v/>
      </c>
      <c r="BV29" s="13" t="str">
        <f t="shared" si="47"/>
        <v/>
      </c>
      <c r="BW29" s="15"/>
      <c r="BX29" s="12" t="str">
        <f t="shared" si="48"/>
        <v/>
      </c>
      <c r="BY29" s="12" t="str">
        <f t="shared" si="49"/>
        <v/>
      </c>
      <c r="BZ29" s="16"/>
      <c r="CA29" s="13" t="str">
        <f t="shared" si="50"/>
        <v/>
      </c>
      <c r="CB29" s="13" t="str">
        <f t="shared" si="51"/>
        <v/>
      </c>
      <c r="CC29" s="15"/>
      <c r="CD29" s="12" t="str">
        <f t="shared" si="52"/>
        <v/>
      </c>
      <c r="CE29" s="12" t="str">
        <f t="shared" si="53"/>
        <v/>
      </c>
      <c r="CF29" s="16"/>
      <c r="CG29" s="13" t="str">
        <f t="shared" si="54"/>
        <v/>
      </c>
      <c r="CH29" s="13" t="str">
        <f t="shared" si="55"/>
        <v/>
      </c>
      <c r="CI29" s="17">
        <f t="shared" si="56"/>
        <v>0</v>
      </c>
      <c r="CJ29" s="17">
        <f t="shared" si="57"/>
        <v>0</v>
      </c>
    </row>
    <row r="30" spans="1:88" ht="15.75" x14ac:dyDescent="0.15">
      <c r="A30" s="3" t="s">
        <v>152</v>
      </c>
      <c r="B30" s="11" t="str">
        <f>IF(D30="","",IFERROR(VLOOKUP(D30,商品マスタ!$A:$K,2,FALSE),"缶バッジ"))</f>
        <v>缶バッジ</v>
      </c>
      <c r="C30" s="2" t="s">
        <v>167</v>
      </c>
      <c r="D30" s="2" t="s">
        <v>148</v>
      </c>
      <c r="E30" s="6">
        <f>IF(D30="","",IFERROR(VLOOKUP(D30,商品マスタ!$A:$K,4,FALSE),12.55))</f>
        <v>12.55</v>
      </c>
      <c r="F30" s="6">
        <f>IF(D30="","",IFERROR(VLOOKUP(D30,商品マスタ!$A:$K,8,FALSE),1.14))</f>
        <v>1.1399999999999999</v>
      </c>
      <c r="G30" s="12">
        <f t="shared" si="0"/>
        <v>0</v>
      </c>
      <c r="H30" s="12">
        <f t="shared" si="1"/>
        <v>0</v>
      </c>
      <c r="I30" s="12">
        <f t="shared" si="2"/>
        <v>0</v>
      </c>
      <c r="J30" s="13">
        <f t="shared" si="3"/>
        <v>0</v>
      </c>
      <c r="K30" s="13">
        <f t="shared" si="4"/>
        <v>0</v>
      </c>
      <c r="L30" s="13">
        <f t="shared" si="5"/>
        <v>0</v>
      </c>
      <c r="M30" s="14" t="str">
        <f t="shared" si="6"/>
        <v/>
      </c>
      <c r="N30" s="14" t="str">
        <f t="shared" si="7"/>
        <v/>
      </c>
      <c r="O30" s="15"/>
      <c r="P30" s="12" t="str">
        <f t="shared" si="8"/>
        <v/>
      </c>
      <c r="Q30" s="12" t="str">
        <f t="shared" si="9"/>
        <v/>
      </c>
      <c r="R30" s="16"/>
      <c r="S30" s="13" t="str">
        <f t="shared" si="10"/>
        <v/>
      </c>
      <c r="T30" s="13" t="str">
        <f t="shared" si="11"/>
        <v/>
      </c>
      <c r="U30" s="15"/>
      <c r="V30" s="12" t="str">
        <f t="shared" si="12"/>
        <v/>
      </c>
      <c r="W30" s="12" t="str">
        <f t="shared" si="13"/>
        <v/>
      </c>
      <c r="X30" s="16"/>
      <c r="Y30" s="13" t="str">
        <f t="shared" si="14"/>
        <v/>
      </c>
      <c r="Z30" s="13" t="str">
        <f t="shared" si="15"/>
        <v/>
      </c>
      <c r="AA30" s="15"/>
      <c r="AB30" s="12" t="str">
        <f t="shared" si="16"/>
        <v/>
      </c>
      <c r="AC30" s="12" t="str">
        <f t="shared" si="17"/>
        <v/>
      </c>
      <c r="AD30" s="16"/>
      <c r="AE30" s="13" t="str">
        <f t="shared" si="18"/>
        <v/>
      </c>
      <c r="AF30" s="13" t="str">
        <f t="shared" si="19"/>
        <v/>
      </c>
      <c r="AG30" s="15"/>
      <c r="AH30" s="12" t="str">
        <f t="shared" si="20"/>
        <v/>
      </c>
      <c r="AI30" s="12" t="str">
        <f t="shared" si="21"/>
        <v/>
      </c>
      <c r="AJ30" s="16"/>
      <c r="AK30" s="13" t="str">
        <f t="shared" si="22"/>
        <v/>
      </c>
      <c r="AL30" s="13" t="str">
        <f t="shared" si="23"/>
        <v/>
      </c>
      <c r="AM30" s="15"/>
      <c r="AN30" s="12" t="str">
        <f t="shared" si="24"/>
        <v/>
      </c>
      <c r="AO30" s="12" t="str">
        <f t="shared" si="25"/>
        <v/>
      </c>
      <c r="AP30" s="16"/>
      <c r="AQ30" s="13" t="str">
        <f t="shared" si="26"/>
        <v/>
      </c>
      <c r="AR30" s="13" t="str">
        <f t="shared" si="27"/>
        <v/>
      </c>
      <c r="AS30" s="15"/>
      <c r="AT30" s="12" t="str">
        <f t="shared" si="28"/>
        <v/>
      </c>
      <c r="AU30" s="12" t="str">
        <f t="shared" si="29"/>
        <v/>
      </c>
      <c r="AV30" s="16"/>
      <c r="AW30" s="13" t="str">
        <f t="shared" si="30"/>
        <v/>
      </c>
      <c r="AX30" s="13" t="str">
        <f t="shared" si="31"/>
        <v/>
      </c>
      <c r="AY30" s="15"/>
      <c r="AZ30" s="12" t="str">
        <f t="shared" si="32"/>
        <v/>
      </c>
      <c r="BA30" s="12" t="str">
        <f t="shared" si="33"/>
        <v/>
      </c>
      <c r="BB30" s="16"/>
      <c r="BC30" s="13" t="str">
        <f t="shared" si="34"/>
        <v/>
      </c>
      <c r="BD30" s="13" t="str">
        <f t="shared" si="35"/>
        <v/>
      </c>
      <c r="BE30" s="15"/>
      <c r="BF30" s="12" t="str">
        <f t="shared" si="36"/>
        <v/>
      </c>
      <c r="BG30" s="12" t="str">
        <f t="shared" si="37"/>
        <v/>
      </c>
      <c r="BH30" s="16"/>
      <c r="BI30" s="13" t="str">
        <f t="shared" si="38"/>
        <v/>
      </c>
      <c r="BJ30" s="13" t="str">
        <f t="shared" si="39"/>
        <v/>
      </c>
      <c r="BK30" s="15"/>
      <c r="BL30" s="12" t="str">
        <f t="shared" si="40"/>
        <v/>
      </c>
      <c r="BM30" s="12" t="str">
        <f t="shared" si="41"/>
        <v/>
      </c>
      <c r="BN30" s="16"/>
      <c r="BO30" s="13" t="str">
        <f t="shared" si="42"/>
        <v/>
      </c>
      <c r="BP30" s="13" t="str">
        <f t="shared" si="43"/>
        <v/>
      </c>
      <c r="BQ30" s="15"/>
      <c r="BR30" s="12" t="str">
        <f t="shared" si="44"/>
        <v/>
      </c>
      <c r="BS30" s="12" t="str">
        <f t="shared" si="45"/>
        <v/>
      </c>
      <c r="BT30" s="16"/>
      <c r="BU30" s="13" t="str">
        <f t="shared" si="46"/>
        <v/>
      </c>
      <c r="BV30" s="13" t="str">
        <f t="shared" si="47"/>
        <v/>
      </c>
      <c r="BW30" s="15"/>
      <c r="BX30" s="12" t="str">
        <f t="shared" si="48"/>
        <v/>
      </c>
      <c r="BY30" s="12" t="str">
        <f t="shared" si="49"/>
        <v/>
      </c>
      <c r="BZ30" s="16"/>
      <c r="CA30" s="13" t="str">
        <f t="shared" si="50"/>
        <v/>
      </c>
      <c r="CB30" s="13" t="str">
        <f t="shared" si="51"/>
        <v/>
      </c>
      <c r="CC30" s="15"/>
      <c r="CD30" s="12" t="str">
        <f t="shared" si="52"/>
        <v/>
      </c>
      <c r="CE30" s="12" t="str">
        <f t="shared" si="53"/>
        <v/>
      </c>
      <c r="CF30" s="16"/>
      <c r="CG30" s="13" t="str">
        <f t="shared" si="54"/>
        <v/>
      </c>
      <c r="CH30" s="13" t="str">
        <f t="shared" si="55"/>
        <v/>
      </c>
      <c r="CI30" s="17">
        <f t="shared" si="56"/>
        <v>0</v>
      </c>
      <c r="CJ30" s="17">
        <f t="shared" si="57"/>
        <v>0</v>
      </c>
    </row>
    <row r="31" spans="1:88" ht="15.75" x14ac:dyDescent="0.15">
      <c r="A31" s="3" t="s">
        <v>152</v>
      </c>
      <c r="B31" s="11" t="str">
        <f>IF(D31="","",IFERROR(VLOOKUP(D31,商品マスタ!$A:$K,2,FALSE),"缶バッジ"))</f>
        <v>缶バッジ</v>
      </c>
      <c r="C31" s="2" t="s">
        <v>168</v>
      </c>
      <c r="D31" s="2" t="s">
        <v>148</v>
      </c>
      <c r="E31" s="6">
        <f>IF(D31="","",IFERROR(VLOOKUP(D31,商品マスタ!$A:$K,4,FALSE),12.55))</f>
        <v>12.55</v>
      </c>
      <c r="F31" s="6">
        <f>IF(D31="","",IFERROR(VLOOKUP(D31,商品マスタ!$A:$K,8,FALSE),1.14))</f>
        <v>1.1399999999999999</v>
      </c>
      <c r="G31" s="12">
        <f t="shared" si="0"/>
        <v>0</v>
      </c>
      <c r="H31" s="12">
        <f t="shared" si="1"/>
        <v>0</v>
      </c>
      <c r="I31" s="12">
        <f t="shared" si="2"/>
        <v>0</v>
      </c>
      <c r="J31" s="13">
        <f t="shared" si="3"/>
        <v>0</v>
      </c>
      <c r="K31" s="13">
        <f t="shared" si="4"/>
        <v>0</v>
      </c>
      <c r="L31" s="13">
        <f t="shared" si="5"/>
        <v>0</v>
      </c>
      <c r="M31" s="14" t="str">
        <f t="shared" si="6"/>
        <v/>
      </c>
      <c r="N31" s="14" t="str">
        <f t="shared" si="7"/>
        <v/>
      </c>
      <c r="O31" s="15"/>
      <c r="P31" s="12" t="str">
        <f t="shared" si="8"/>
        <v/>
      </c>
      <c r="Q31" s="12" t="str">
        <f t="shared" si="9"/>
        <v/>
      </c>
      <c r="R31" s="16"/>
      <c r="S31" s="13" t="str">
        <f t="shared" si="10"/>
        <v/>
      </c>
      <c r="T31" s="13" t="str">
        <f t="shared" si="11"/>
        <v/>
      </c>
      <c r="U31" s="15"/>
      <c r="V31" s="12" t="str">
        <f t="shared" si="12"/>
        <v/>
      </c>
      <c r="W31" s="12" t="str">
        <f t="shared" si="13"/>
        <v/>
      </c>
      <c r="X31" s="16"/>
      <c r="Y31" s="13" t="str">
        <f t="shared" si="14"/>
        <v/>
      </c>
      <c r="Z31" s="13" t="str">
        <f t="shared" si="15"/>
        <v/>
      </c>
      <c r="AA31" s="15"/>
      <c r="AB31" s="12" t="str">
        <f t="shared" si="16"/>
        <v/>
      </c>
      <c r="AC31" s="12" t="str">
        <f t="shared" si="17"/>
        <v/>
      </c>
      <c r="AD31" s="16"/>
      <c r="AE31" s="13" t="str">
        <f t="shared" si="18"/>
        <v/>
      </c>
      <c r="AF31" s="13" t="str">
        <f t="shared" si="19"/>
        <v/>
      </c>
      <c r="AG31" s="15"/>
      <c r="AH31" s="12" t="str">
        <f t="shared" si="20"/>
        <v/>
      </c>
      <c r="AI31" s="12" t="str">
        <f t="shared" si="21"/>
        <v/>
      </c>
      <c r="AJ31" s="16"/>
      <c r="AK31" s="13" t="str">
        <f t="shared" si="22"/>
        <v/>
      </c>
      <c r="AL31" s="13" t="str">
        <f t="shared" si="23"/>
        <v/>
      </c>
      <c r="AM31" s="15"/>
      <c r="AN31" s="12" t="str">
        <f t="shared" si="24"/>
        <v/>
      </c>
      <c r="AO31" s="12" t="str">
        <f t="shared" si="25"/>
        <v/>
      </c>
      <c r="AP31" s="16"/>
      <c r="AQ31" s="13" t="str">
        <f t="shared" si="26"/>
        <v/>
      </c>
      <c r="AR31" s="13" t="str">
        <f t="shared" si="27"/>
        <v/>
      </c>
      <c r="AS31" s="15"/>
      <c r="AT31" s="12" t="str">
        <f t="shared" si="28"/>
        <v/>
      </c>
      <c r="AU31" s="12" t="str">
        <f t="shared" si="29"/>
        <v/>
      </c>
      <c r="AV31" s="16"/>
      <c r="AW31" s="13" t="str">
        <f t="shared" si="30"/>
        <v/>
      </c>
      <c r="AX31" s="13" t="str">
        <f t="shared" si="31"/>
        <v/>
      </c>
      <c r="AY31" s="15"/>
      <c r="AZ31" s="12" t="str">
        <f t="shared" si="32"/>
        <v/>
      </c>
      <c r="BA31" s="12" t="str">
        <f t="shared" si="33"/>
        <v/>
      </c>
      <c r="BB31" s="16"/>
      <c r="BC31" s="13" t="str">
        <f t="shared" si="34"/>
        <v/>
      </c>
      <c r="BD31" s="13" t="str">
        <f t="shared" si="35"/>
        <v/>
      </c>
      <c r="BE31" s="15"/>
      <c r="BF31" s="12" t="str">
        <f t="shared" si="36"/>
        <v/>
      </c>
      <c r="BG31" s="12" t="str">
        <f t="shared" si="37"/>
        <v/>
      </c>
      <c r="BH31" s="16"/>
      <c r="BI31" s="13" t="str">
        <f t="shared" si="38"/>
        <v/>
      </c>
      <c r="BJ31" s="13" t="str">
        <f t="shared" si="39"/>
        <v/>
      </c>
      <c r="BK31" s="15"/>
      <c r="BL31" s="12" t="str">
        <f t="shared" si="40"/>
        <v/>
      </c>
      <c r="BM31" s="12" t="str">
        <f t="shared" si="41"/>
        <v/>
      </c>
      <c r="BN31" s="16"/>
      <c r="BO31" s="13" t="str">
        <f t="shared" si="42"/>
        <v/>
      </c>
      <c r="BP31" s="13" t="str">
        <f t="shared" si="43"/>
        <v/>
      </c>
      <c r="BQ31" s="15"/>
      <c r="BR31" s="12" t="str">
        <f t="shared" si="44"/>
        <v/>
      </c>
      <c r="BS31" s="12" t="str">
        <f t="shared" si="45"/>
        <v/>
      </c>
      <c r="BT31" s="16"/>
      <c r="BU31" s="13" t="str">
        <f t="shared" si="46"/>
        <v/>
      </c>
      <c r="BV31" s="13" t="str">
        <f t="shared" si="47"/>
        <v/>
      </c>
      <c r="BW31" s="15"/>
      <c r="BX31" s="12" t="str">
        <f t="shared" si="48"/>
        <v/>
      </c>
      <c r="BY31" s="12" t="str">
        <f t="shared" si="49"/>
        <v/>
      </c>
      <c r="BZ31" s="16"/>
      <c r="CA31" s="13" t="str">
        <f t="shared" si="50"/>
        <v/>
      </c>
      <c r="CB31" s="13" t="str">
        <f t="shared" si="51"/>
        <v/>
      </c>
      <c r="CC31" s="15"/>
      <c r="CD31" s="12" t="str">
        <f t="shared" si="52"/>
        <v/>
      </c>
      <c r="CE31" s="12" t="str">
        <f t="shared" si="53"/>
        <v/>
      </c>
      <c r="CF31" s="16"/>
      <c r="CG31" s="13" t="str">
        <f t="shared" si="54"/>
        <v/>
      </c>
      <c r="CH31" s="13" t="str">
        <f t="shared" si="55"/>
        <v/>
      </c>
      <c r="CI31" s="17">
        <f t="shared" si="56"/>
        <v>0</v>
      </c>
      <c r="CJ31" s="17">
        <f t="shared" si="57"/>
        <v>0</v>
      </c>
    </row>
    <row r="32" spans="1:88" ht="15.75" x14ac:dyDescent="0.15">
      <c r="A32" s="3" t="s">
        <v>152</v>
      </c>
      <c r="B32" s="11" t="str">
        <f>IF(D32="","",IFERROR(VLOOKUP(D32,商品マスタ!$A:$K,2,FALSE),"缶バッジ"))</f>
        <v>缶バッジ</v>
      </c>
      <c r="C32" s="2" t="s">
        <v>169</v>
      </c>
      <c r="D32" s="2" t="s">
        <v>148</v>
      </c>
      <c r="E32" s="6">
        <f>IF(D32="","",IFERROR(VLOOKUP(D32,商品マスタ!$A:$K,4,FALSE),12.55))</f>
        <v>12.55</v>
      </c>
      <c r="F32" s="6">
        <f>IF(D32="","",IFERROR(VLOOKUP(D32,商品マスタ!$A:$K,8,FALSE),1.14))</f>
        <v>1.1399999999999999</v>
      </c>
      <c r="G32" s="12">
        <f t="shared" si="0"/>
        <v>0</v>
      </c>
      <c r="H32" s="12">
        <f t="shared" si="1"/>
        <v>0</v>
      </c>
      <c r="I32" s="12">
        <f t="shared" si="2"/>
        <v>0</v>
      </c>
      <c r="J32" s="13">
        <f t="shared" si="3"/>
        <v>0</v>
      </c>
      <c r="K32" s="13">
        <f t="shared" si="4"/>
        <v>0</v>
      </c>
      <c r="L32" s="13">
        <f t="shared" si="5"/>
        <v>0</v>
      </c>
      <c r="M32" s="14" t="str">
        <f t="shared" si="6"/>
        <v/>
      </c>
      <c r="N32" s="14" t="str">
        <f t="shared" si="7"/>
        <v/>
      </c>
      <c r="O32" s="15"/>
      <c r="P32" s="12" t="str">
        <f t="shared" si="8"/>
        <v/>
      </c>
      <c r="Q32" s="12" t="str">
        <f t="shared" si="9"/>
        <v/>
      </c>
      <c r="R32" s="16"/>
      <c r="S32" s="13" t="str">
        <f t="shared" si="10"/>
        <v/>
      </c>
      <c r="T32" s="13" t="str">
        <f t="shared" si="11"/>
        <v/>
      </c>
      <c r="U32" s="15"/>
      <c r="V32" s="12" t="str">
        <f t="shared" si="12"/>
        <v/>
      </c>
      <c r="W32" s="12" t="str">
        <f t="shared" si="13"/>
        <v/>
      </c>
      <c r="X32" s="16"/>
      <c r="Y32" s="13" t="str">
        <f t="shared" si="14"/>
        <v/>
      </c>
      <c r="Z32" s="13" t="str">
        <f t="shared" si="15"/>
        <v/>
      </c>
      <c r="AA32" s="15"/>
      <c r="AB32" s="12" t="str">
        <f t="shared" si="16"/>
        <v/>
      </c>
      <c r="AC32" s="12" t="str">
        <f t="shared" si="17"/>
        <v/>
      </c>
      <c r="AD32" s="16"/>
      <c r="AE32" s="13" t="str">
        <f t="shared" si="18"/>
        <v/>
      </c>
      <c r="AF32" s="13" t="str">
        <f t="shared" si="19"/>
        <v/>
      </c>
      <c r="AG32" s="15"/>
      <c r="AH32" s="12" t="str">
        <f t="shared" si="20"/>
        <v/>
      </c>
      <c r="AI32" s="12" t="str">
        <f t="shared" si="21"/>
        <v/>
      </c>
      <c r="AJ32" s="16"/>
      <c r="AK32" s="13" t="str">
        <f t="shared" si="22"/>
        <v/>
      </c>
      <c r="AL32" s="13" t="str">
        <f t="shared" si="23"/>
        <v/>
      </c>
      <c r="AM32" s="15"/>
      <c r="AN32" s="12" t="str">
        <f t="shared" si="24"/>
        <v/>
      </c>
      <c r="AO32" s="12" t="str">
        <f t="shared" si="25"/>
        <v/>
      </c>
      <c r="AP32" s="16"/>
      <c r="AQ32" s="13" t="str">
        <f t="shared" si="26"/>
        <v/>
      </c>
      <c r="AR32" s="13" t="str">
        <f t="shared" si="27"/>
        <v/>
      </c>
      <c r="AS32" s="15"/>
      <c r="AT32" s="12" t="str">
        <f t="shared" si="28"/>
        <v/>
      </c>
      <c r="AU32" s="12" t="str">
        <f t="shared" si="29"/>
        <v/>
      </c>
      <c r="AV32" s="16"/>
      <c r="AW32" s="13" t="str">
        <f t="shared" si="30"/>
        <v/>
      </c>
      <c r="AX32" s="13" t="str">
        <f t="shared" si="31"/>
        <v/>
      </c>
      <c r="AY32" s="15"/>
      <c r="AZ32" s="12" t="str">
        <f t="shared" si="32"/>
        <v/>
      </c>
      <c r="BA32" s="12" t="str">
        <f t="shared" si="33"/>
        <v/>
      </c>
      <c r="BB32" s="16"/>
      <c r="BC32" s="13" t="str">
        <f t="shared" si="34"/>
        <v/>
      </c>
      <c r="BD32" s="13" t="str">
        <f t="shared" si="35"/>
        <v/>
      </c>
      <c r="BE32" s="15"/>
      <c r="BF32" s="12" t="str">
        <f t="shared" si="36"/>
        <v/>
      </c>
      <c r="BG32" s="12" t="str">
        <f t="shared" si="37"/>
        <v/>
      </c>
      <c r="BH32" s="16"/>
      <c r="BI32" s="13" t="str">
        <f t="shared" si="38"/>
        <v/>
      </c>
      <c r="BJ32" s="13" t="str">
        <f t="shared" si="39"/>
        <v/>
      </c>
      <c r="BK32" s="15"/>
      <c r="BL32" s="12" t="str">
        <f t="shared" si="40"/>
        <v/>
      </c>
      <c r="BM32" s="12" t="str">
        <f t="shared" si="41"/>
        <v/>
      </c>
      <c r="BN32" s="16"/>
      <c r="BO32" s="13" t="str">
        <f t="shared" si="42"/>
        <v/>
      </c>
      <c r="BP32" s="13" t="str">
        <f t="shared" si="43"/>
        <v/>
      </c>
      <c r="BQ32" s="15"/>
      <c r="BR32" s="12" t="str">
        <f t="shared" si="44"/>
        <v/>
      </c>
      <c r="BS32" s="12" t="str">
        <f t="shared" si="45"/>
        <v/>
      </c>
      <c r="BT32" s="16"/>
      <c r="BU32" s="13" t="str">
        <f t="shared" si="46"/>
        <v/>
      </c>
      <c r="BV32" s="13" t="str">
        <f t="shared" si="47"/>
        <v/>
      </c>
      <c r="BW32" s="15"/>
      <c r="BX32" s="12" t="str">
        <f t="shared" si="48"/>
        <v/>
      </c>
      <c r="BY32" s="12" t="str">
        <f t="shared" si="49"/>
        <v/>
      </c>
      <c r="BZ32" s="16"/>
      <c r="CA32" s="13" t="str">
        <f t="shared" si="50"/>
        <v/>
      </c>
      <c r="CB32" s="13" t="str">
        <f t="shared" si="51"/>
        <v/>
      </c>
      <c r="CC32" s="15"/>
      <c r="CD32" s="12" t="str">
        <f t="shared" si="52"/>
        <v/>
      </c>
      <c r="CE32" s="12" t="str">
        <f t="shared" si="53"/>
        <v/>
      </c>
      <c r="CF32" s="16"/>
      <c r="CG32" s="13" t="str">
        <f t="shared" si="54"/>
        <v/>
      </c>
      <c r="CH32" s="13" t="str">
        <f t="shared" si="55"/>
        <v/>
      </c>
      <c r="CI32" s="17">
        <f t="shared" si="56"/>
        <v>0</v>
      </c>
      <c r="CJ32" s="17">
        <f t="shared" si="57"/>
        <v>0</v>
      </c>
    </row>
    <row r="33" spans="1:88" ht="15.75" x14ac:dyDescent="0.15">
      <c r="A33" s="3" t="s">
        <v>152</v>
      </c>
      <c r="B33" s="11" t="str">
        <f>IF(D33="","",IFERROR(VLOOKUP(D33,商品マスタ!$A:$K,2,FALSE),"缶バッジ"))</f>
        <v>缶バッジ</v>
      </c>
      <c r="C33" s="2" t="s">
        <v>170</v>
      </c>
      <c r="D33" s="2" t="s">
        <v>148</v>
      </c>
      <c r="E33" s="6">
        <f>IF(D33="","",IFERROR(VLOOKUP(D33,商品マスタ!$A:$K,4,FALSE),12.55))</f>
        <v>12.55</v>
      </c>
      <c r="F33" s="6">
        <f>IF(D33="","",IFERROR(VLOOKUP(D33,商品マスタ!$A:$K,8,FALSE),1.14))</f>
        <v>1.1399999999999999</v>
      </c>
      <c r="G33" s="12">
        <f t="shared" si="0"/>
        <v>0</v>
      </c>
      <c r="H33" s="12">
        <f t="shared" si="1"/>
        <v>0</v>
      </c>
      <c r="I33" s="12">
        <f t="shared" si="2"/>
        <v>0</v>
      </c>
      <c r="J33" s="13">
        <f t="shared" si="3"/>
        <v>0</v>
      </c>
      <c r="K33" s="13">
        <f t="shared" si="4"/>
        <v>0</v>
      </c>
      <c r="L33" s="13">
        <f t="shared" si="5"/>
        <v>0</v>
      </c>
      <c r="M33" s="14" t="str">
        <f t="shared" si="6"/>
        <v/>
      </c>
      <c r="N33" s="14" t="str">
        <f t="shared" si="7"/>
        <v/>
      </c>
      <c r="O33" s="15"/>
      <c r="P33" s="12" t="str">
        <f t="shared" si="8"/>
        <v/>
      </c>
      <c r="Q33" s="12" t="str">
        <f t="shared" si="9"/>
        <v/>
      </c>
      <c r="R33" s="16"/>
      <c r="S33" s="13" t="str">
        <f t="shared" si="10"/>
        <v/>
      </c>
      <c r="T33" s="13" t="str">
        <f t="shared" si="11"/>
        <v/>
      </c>
      <c r="U33" s="15"/>
      <c r="V33" s="12" t="str">
        <f t="shared" si="12"/>
        <v/>
      </c>
      <c r="W33" s="12" t="str">
        <f t="shared" si="13"/>
        <v/>
      </c>
      <c r="X33" s="16"/>
      <c r="Y33" s="13" t="str">
        <f t="shared" si="14"/>
        <v/>
      </c>
      <c r="Z33" s="13" t="str">
        <f t="shared" si="15"/>
        <v/>
      </c>
      <c r="AA33" s="15"/>
      <c r="AB33" s="12" t="str">
        <f t="shared" si="16"/>
        <v/>
      </c>
      <c r="AC33" s="12" t="str">
        <f t="shared" si="17"/>
        <v/>
      </c>
      <c r="AD33" s="16"/>
      <c r="AE33" s="13" t="str">
        <f t="shared" si="18"/>
        <v/>
      </c>
      <c r="AF33" s="13" t="str">
        <f t="shared" si="19"/>
        <v/>
      </c>
      <c r="AG33" s="15"/>
      <c r="AH33" s="12" t="str">
        <f t="shared" si="20"/>
        <v/>
      </c>
      <c r="AI33" s="12" t="str">
        <f t="shared" si="21"/>
        <v/>
      </c>
      <c r="AJ33" s="16"/>
      <c r="AK33" s="13" t="str">
        <f t="shared" si="22"/>
        <v/>
      </c>
      <c r="AL33" s="13" t="str">
        <f t="shared" si="23"/>
        <v/>
      </c>
      <c r="AM33" s="15"/>
      <c r="AN33" s="12" t="str">
        <f t="shared" si="24"/>
        <v/>
      </c>
      <c r="AO33" s="12" t="str">
        <f t="shared" si="25"/>
        <v/>
      </c>
      <c r="AP33" s="16"/>
      <c r="AQ33" s="13" t="str">
        <f t="shared" si="26"/>
        <v/>
      </c>
      <c r="AR33" s="13" t="str">
        <f t="shared" si="27"/>
        <v/>
      </c>
      <c r="AS33" s="15"/>
      <c r="AT33" s="12" t="str">
        <f t="shared" si="28"/>
        <v/>
      </c>
      <c r="AU33" s="12" t="str">
        <f t="shared" si="29"/>
        <v/>
      </c>
      <c r="AV33" s="16"/>
      <c r="AW33" s="13" t="str">
        <f t="shared" si="30"/>
        <v/>
      </c>
      <c r="AX33" s="13" t="str">
        <f t="shared" si="31"/>
        <v/>
      </c>
      <c r="AY33" s="15"/>
      <c r="AZ33" s="12" t="str">
        <f t="shared" si="32"/>
        <v/>
      </c>
      <c r="BA33" s="12" t="str">
        <f t="shared" si="33"/>
        <v/>
      </c>
      <c r="BB33" s="16"/>
      <c r="BC33" s="13" t="str">
        <f t="shared" si="34"/>
        <v/>
      </c>
      <c r="BD33" s="13" t="str">
        <f t="shared" si="35"/>
        <v/>
      </c>
      <c r="BE33" s="15"/>
      <c r="BF33" s="12" t="str">
        <f t="shared" si="36"/>
        <v/>
      </c>
      <c r="BG33" s="12" t="str">
        <f t="shared" si="37"/>
        <v/>
      </c>
      <c r="BH33" s="16"/>
      <c r="BI33" s="13" t="str">
        <f t="shared" si="38"/>
        <v/>
      </c>
      <c r="BJ33" s="13" t="str">
        <f t="shared" si="39"/>
        <v/>
      </c>
      <c r="BK33" s="15"/>
      <c r="BL33" s="12" t="str">
        <f t="shared" si="40"/>
        <v/>
      </c>
      <c r="BM33" s="12" t="str">
        <f t="shared" si="41"/>
        <v/>
      </c>
      <c r="BN33" s="16"/>
      <c r="BO33" s="13" t="str">
        <f t="shared" si="42"/>
        <v/>
      </c>
      <c r="BP33" s="13" t="str">
        <f t="shared" si="43"/>
        <v/>
      </c>
      <c r="BQ33" s="15"/>
      <c r="BR33" s="12" t="str">
        <f t="shared" si="44"/>
        <v/>
      </c>
      <c r="BS33" s="12" t="str">
        <f t="shared" si="45"/>
        <v/>
      </c>
      <c r="BT33" s="16"/>
      <c r="BU33" s="13" t="str">
        <f t="shared" si="46"/>
        <v/>
      </c>
      <c r="BV33" s="13" t="str">
        <f t="shared" si="47"/>
        <v/>
      </c>
      <c r="BW33" s="15"/>
      <c r="BX33" s="12" t="str">
        <f t="shared" si="48"/>
        <v/>
      </c>
      <c r="BY33" s="12" t="str">
        <f t="shared" si="49"/>
        <v/>
      </c>
      <c r="BZ33" s="16"/>
      <c r="CA33" s="13" t="str">
        <f t="shared" si="50"/>
        <v/>
      </c>
      <c r="CB33" s="13" t="str">
        <f t="shared" si="51"/>
        <v/>
      </c>
      <c r="CC33" s="15"/>
      <c r="CD33" s="12" t="str">
        <f t="shared" si="52"/>
        <v/>
      </c>
      <c r="CE33" s="12" t="str">
        <f t="shared" si="53"/>
        <v/>
      </c>
      <c r="CF33" s="16"/>
      <c r="CG33" s="13" t="str">
        <f t="shared" si="54"/>
        <v/>
      </c>
      <c r="CH33" s="13" t="str">
        <f t="shared" si="55"/>
        <v/>
      </c>
      <c r="CI33" s="17">
        <f t="shared" si="56"/>
        <v>0</v>
      </c>
      <c r="CJ33" s="17">
        <f t="shared" si="57"/>
        <v>0</v>
      </c>
    </row>
    <row r="34" spans="1:88" ht="15.75" x14ac:dyDescent="0.15">
      <c r="A34" s="3" t="s">
        <v>152</v>
      </c>
      <c r="B34" s="11" t="str">
        <f>IF(D34="","",IFERROR(VLOOKUP(D34,商品マスタ!$A:$K,2,FALSE),"缶バッジ"))</f>
        <v>缶バッジ</v>
      </c>
      <c r="C34" s="2" t="s">
        <v>149</v>
      </c>
      <c r="D34" s="2" t="s">
        <v>148</v>
      </c>
      <c r="E34" s="6">
        <f>IF(D34="","",IFERROR(VLOOKUP(D34,商品マスタ!$A:$K,4,FALSE),12.55))</f>
        <v>12.55</v>
      </c>
      <c r="F34" s="6">
        <f>IF(D34="","",IFERROR(VLOOKUP(D34,商品マスタ!$A:$K,8,FALSE),1.14))</f>
        <v>1.1399999999999999</v>
      </c>
      <c r="G34" s="12">
        <f t="shared" si="0"/>
        <v>0</v>
      </c>
      <c r="H34" s="12">
        <f t="shared" si="1"/>
        <v>0</v>
      </c>
      <c r="I34" s="12">
        <f t="shared" si="2"/>
        <v>0</v>
      </c>
      <c r="J34" s="13">
        <f t="shared" si="3"/>
        <v>0</v>
      </c>
      <c r="K34" s="13">
        <f t="shared" si="4"/>
        <v>0</v>
      </c>
      <c r="L34" s="13">
        <f t="shared" si="5"/>
        <v>0</v>
      </c>
      <c r="M34" s="14" t="str">
        <f t="shared" si="6"/>
        <v/>
      </c>
      <c r="N34" s="14" t="str">
        <f t="shared" si="7"/>
        <v/>
      </c>
      <c r="O34" s="15"/>
      <c r="P34" s="12" t="str">
        <f t="shared" si="8"/>
        <v/>
      </c>
      <c r="Q34" s="12" t="str">
        <f t="shared" si="9"/>
        <v/>
      </c>
      <c r="R34" s="16"/>
      <c r="S34" s="13" t="str">
        <f t="shared" si="10"/>
        <v/>
      </c>
      <c r="T34" s="13" t="str">
        <f t="shared" si="11"/>
        <v/>
      </c>
      <c r="U34" s="15"/>
      <c r="V34" s="12" t="str">
        <f t="shared" si="12"/>
        <v/>
      </c>
      <c r="W34" s="12" t="str">
        <f t="shared" si="13"/>
        <v/>
      </c>
      <c r="X34" s="16"/>
      <c r="Y34" s="13" t="str">
        <f t="shared" si="14"/>
        <v/>
      </c>
      <c r="Z34" s="13" t="str">
        <f t="shared" si="15"/>
        <v/>
      </c>
      <c r="AA34" s="15"/>
      <c r="AB34" s="12" t="str">
        <f t="shared" si="16"/>
        <v/>
      </c>
      <c r="AC34" s="12" t="str">
        <f t="shared" si="17"/>
        <v/>
      </c>
      <c r="AD34" s="16"/>
      <c r="AE34" s="13" t="str">
        <f t="shared" si="18"/>
        <v/>
      </c>
      <c r="AF34" s="13" t="str">
        <f t="shared" si="19"/>
        <v/>
      </c>
      <c r="AG34" s="15"/>
      <c r="AH34" s="12" t="str">
        <f t="shared" si="20"/>
        <v/>
      </c>
      <c r="AI34" s="12" t="str">
        <f t="shared" si="21"/>
        <v/>
      </c>
      <c r="AJ34" s="16"/>
      <c r="AK34" s="13" t="str">
        <f t="shared" si="22"/>
        <v/>
      </c>
      <c r="AL34" s="13" t="str">
        <f t="shared" si="23"/>
        <v/>
      </c>
      <c r="AM34" s="15"/>
      <c r="AN34" s="12" t="str">
        <f t="shared" si="24"/>
        <v/>
      </c>
      <c r="AO34" s="12" t="str">
        <f t="shared" si="25"/>
        <v/>
      </c>
      <c r="AP34" s="16"/>
      <c r="AQ34" s="13" t="str">
        <f t="shared" si="26"/>
        <v/>
      </c>
      <c r="AR34" s="13" t="str">
        <f t="shared" si="27"/>
        <v/>
      </c>
      <c r="AS34" s="15"/>
      <c r="AT34" s="12" t="str">
        <f t="shared" si="28"/>
        <v/>
      </c>
      <c r="AU34" s="12" t="str">
        <f t="shared" si="29"/>
        <v/>
      </c>
      <c r="AV34" s="16"/>
      <c r="AW34" s="13" t="str">
        <f t="shared" si="30"/>
        <v/>
      </c>
      <c r="AX34" s="13" t="str">
        <f t="shared" si="31"/>
        <v/>
      </c>
      <c r="AY34" s="15"/>
      <c r="AZ34" s="12" t="str">
        <f t="shared" si="32"/>
        <v/>
      </c>
      <c r="BA34" s="12" t="str">
        <f t="shared" si="33"/>
        <v/>
      </c>
      <c r="BB34" s="16"/>
      <c r="BC34" s="13" t="str">
        <f t="shared" si="34"/>
        <v/>
      </c>
      <c r="BD34" s="13" t="str">
        <f t="shared" si="35"/>
        <v/>
      </c>
      <c r="BE34" s="15"/>
      <c r="BF34" s="12" t="str">
        <f t="shared" si="36"/>
        <v/>
      </c>
      <c r="BG34" s="12" t="str">
        <f t="shared" si="37"/>
        <v/>
      </c>
      <c r="BH34" s="16"/>
      <c r="BI34" s="13" t="str">
        <f t="shared" si="38"/>
        <v/>
      </c>
      <c r="BJ34" s="13" t="str">
        <f t="shared" si="39"/>
        <v/>
      </c>
      <c r="BK34" s="15"/>
      <c r="BL34" s="12" t="str">
        <f t="shared" si="40"/>
        <v/>
      </c>
      <c r="BM34" s="12" t="str">
        <f t="shared" si="41"/>
        <v/>
      </c>
      <c r="BN34" s="16"/>
      <c r="BO34" s="13" t="str">
        <f t="shared" si="42"/>
        <v/>
      </c>
      <c r="BP34" s="13" t="str">
        <f t="shared" si="43"/>
        <v/>
      </c>
      <c r="BQ34" s="15"/>
      <c r="BR34" s="12" t="str">
        <f t="shared" si="44"/>
        <v/>
      </c>
      <c r="BS34" s="12" t="str">
        <f t="shared" si="45"/>
        <v/>
      </c>
      <c r="BT34" s="16"/>
      <c r="BU34" s="13" t="str">
        <f t="shared" si="46"/>
        <v/>
      </c>
      <c r="BV34" s="13" t="str">
        <f t="shared" si="47"/>
        <v/>
      </c>
      <c r="BW34" s="15"/>
      <c r="BX34" s="12" t="str">
        <f t="shared" si="48"/>
        <v/>
      </c>
      <c r="BY34" s="12" t="str">
        <f t="shared" si="49"/>
        <v/>
      </c>
      <c r="BZ34" s="16"/>
      <c r="CA34" s="13" t="str">
        <f t="shared" si="50"/>
        <v/>
      </c>
      <c r="CB34" s="13" t="str">
        <f t="shared" si="51"/>
        <v/>
      </c>
      <c r="CC34" s="15"/>
      <c r="CD34" s="12" t="str">
        <f t="shared" si="52"/>
        <v/>
      </c>
      <c r="CE34" s="12" t="str">
        <f t="shared" si="53"/>
        <v/>
      </c>
      <c r="CF34" s="16"/>
      <c r="CG34" s="13" t="str">
        <f t="shared" si="54"/>
        <v/>
      </c>
      <c r="CH34" s="13" t="str">
        <f t="shared" si="55"/>
        <v/>
      </c>
      <c r="CI34" s="17">
        <f t="shared" si="56"/>
        <v>0</v>
      </c>
      <c r="CJ34" s="17">
        <f t="shared" si="57"/>
        <v>0</v>
      </c>
    </row>
    <row r="35" spans="1:88" ht="15.75" x14ac:dyDescent="0.15">
      <c r="A35" s="3" t="s">
        <v>152</v>
      </c>
      <c r="B35" s="11" t="str">
        <f>IF(D35="","",IFERROR(VLOOKUP(D35,商品マスタ!$A:$K,2,FALSE),"缶バッジ"))</f>
        <v>缶バッジ</v>
      </c>
      <c r="C35" s="2" t="s">
        <v>150</v>
      </c>
      <c r="D35" s="2" t="s">
        <v>148</v>
      </c>
      <c r="E35" s="6">
        <f>IF(D35="","",IFERROR(VLOOKUP(D35,商品マスタ!$A:$K,4,FALSE),12.55))</f>
        <v>12.55</v>
      </c>
      <c r="F35" s="6">
        <f>IF(D35="","",IFERROR(VLOOKUP(D35,商品マスタ!$A:$K,8,FALSE),1.14))</f>
        <v>1.1399999999999999</v>
      </c>
      <c r="G35" s="12">
        <f t="shared" si="0"/>
        <v>0</v>
      </c>
      <c r="H35" s="12">
        <f t="shared" si="1"/>
        <v>0</v>
      </c>
      <c r="I35" s="12">
        <f t="shared" si="2"/>
        <v>0</v>
      </c>
      <c r="J35" s="13">
        <f t="shared" si="3"/>
        <v>0</v>
      </c>
      <c r="K35" s="13">
        <f t="shared" si="4"/>
        <v>0</v>
      </c>
      <c r="L35" s="13">
        <f t="shared" si="5"/>
        <v>0</v>
      </c>
      <c r="M35" s="14" t="str">
        <f t="shared" si="6"/>
        <v/>
      </c>
      <c r="N35" s="14" t="str">
        <f t="shared" si="7"/>
        <v/>
      </c>
      <c r="O35" s="15"/>
      <c r="P35" s="12" t="str">
        <f t="shared" si="8"/>
        <v/>
      </c>
      <c r="Q35" s="12" t="str">
        <f t="shared" si="9"/>
        <v/>
      </c>
      <c r="R35" s="16"/>
      <c r="S35" s="13" t="str">
        <f t="shared" si="10"/>
        <v/>
      </c>
      <c r="T35" s="13" t="str">
        <f t="shared" si="11"/>
        <v/>
      </c>
      <c r="U35" s="15"/>
      <c r="V35" s="12" t="str">
        <f t="shared" si="12"/>
        <v/>
      </c>
      <c r="W35" s="12" t="str">
        <f t="shared" si="13"/>
        <v/>
      </c>
      <c r="X35" s="16"/>
      <c r="Y35" s="13" t="str">
        <f t="shared" si="14"/>
        <v/>
      </c>
      <c r="Z35" s="13" t="str">
        <f t="shared" si="15"/>
        <v/>
      </c>
      <c r="AA35" s="15"/>
      <c r="AB35" s="12" t="str">
        <f t="shared" si="16"/>
        <v/>
      </c>
      <c r="AC35" s="12" t="str">
        <f t="shared" si="17"/>
        <v/>
      </c>
      <c r="AD35" s="16"/>
      <c r="AE35" s="13" t="str">
        <f t="shared" si="18"/>
        <v/>
      </c>
      <c r="AF35" s="13" t="str">
        <f t="shared" si="19"/>
        <v/>
      </c>
      <c r="AG35" s="15"/>
      <c r="AH35" s="12" t="str">
        <f t="shared" si="20"/>
        <v/>
      </c>
      <c r="AI35" s="12" t="str">
        <f t="shared" si="21"/>
        <v/>
      </c>
      <c r="AJ35" s="16"/>
      <c r="AK35" s="13" t="str">
        <f t="shared" si="22"/>
        <v/>
      </c>
      <c r="AL35" s="13" t="str">
        <f t="shared" si="23"/>
        <v/>
      </c>
      <c r="AM35" s="15"/>
      <c r="AN35" s="12" t="str">
        <f t="shared" si="24"/>
        <v/>
      </c>
      <c r="AO35" s="12" t="str">
        <f t="shared" si="25"/>
        <v/>
      </c>
      <c r="AP35" s="16"/>
      <c r="AQ35" s="13" t="str">
        <f t="shared" si="26"/>
        <v/>
      </c>
      <c r="AR35" s="13" t="str">
        <f t="shared" si="27"/>
        <v/>
      </c>
      <c r="AS35" s="15"/>
      <c r="AT35" s="12" t="str">
        <f t="shared" si="28"/>
        <v/>
      </c>
      <c r="AU35" s="12" t="str">
        <f t="shared" si="29"/>
        <v/>
      </c>
      <c r="AV35" s="16"/>
      <c r="AW35" s="13" t="str">
        <f t="shared" si="30"/>
        <v/>
      </c>
      <c r="AX35" s="13" t="str">
        <f t="shared" si="31"/>
        <v/>
      </c>
      <c r="AY35" s="15"/>
      <c r="AZ35" s="12" t="str">
        <f t="shared" si="32"/>
        <v/>
      </c>
      <c r="BA35" s="12" t="str">
        <f t="shared" si="33"/>
        <v/>
      </c>
      <c r="BB35" s="16"/>
      <c r="BC35" s="13" t="str">
        <f t="shared" si="34"/>
        <v/>
      </c>
      <c r="BD35" s="13" t="str">
        <f t="shared" si="35"/>
        <v/>
      </c>
      <c r="BE35" s="15"/>
      <c r="BF35" s="12" t="str">
        <f t="shared" si="36"/>
        <v/>
      </c>
      <c r="BG35" s="12" t="str">
        <f t="shared" si="37"/>
        <v/>
      </c>
      <c r="BH35" s="16"/>
      <c r="BI35" s="13" t="str">
        <f t="shared" si="38"/>
        <v/>
      </c>
      <c r="BJ35" s="13" t="str">
        <f t="shared" si="39"/>
        <v/>
      </c>
      <c r="BK35" s="15"/>
      <c r="BL35" s="12" t="str">
        <f t="shared" si="40"/>
        <v/>
      </c>
      <c r="BM35" s="12" t="str">
        <f t="shared" si="41"/>
        <v/>
      </c>
      <c r="BN35" s="16"/>
      <c r="BO35" s="13" t="str">
        <f t="shared" si="42"/>
        <v/>
      </c>
      <c r="BP35" s="13" t="str">
        <f t="shared" si="43"/>
        <v/>
      </c>
      <c r="BQ35" s="15"/>
      <c r="BR35" s="12" t="str">
        <f t="shared" si="44"/>
        <v/>
      </c>
      <c r="BS35" s="12" t="str">
        <f t="shared" si="45"/>
        <v/>
      </c>
      <c r="BT35" s="16"/>
      <c r="BU35" s="13" t="str">
        <f t="shared" si="46"/>
        <v/>
      </c>
      <c r="BV35" s="13" t="str">
        <f t="shared" si="47"/>
        <v/>
      </c>
      <c r="BW35" s="15"/>
      <c r="BX35" s="12" t="str">
        <f t="shared" si="48"/>
        <v/>
      </c>
      <c r="BY35" s="12" t="str">
        <f t="shared" si="49"/>
        <v/>
      </c>
      <c r="BZ35" s="16"/>
      <c r="CA35" s="13" t="str">
        <f t="shared" si="50"/>
        <v/>
      </c>
      <c r="CB35" s="13" t="str">
        <f t="shared" si="51"/>
        <v/>
      </c>
      <c r="CC35" s="15"/>
      <c r="CD35" s="12" t="str">
        <f t="shared" si="52"/>
        <v/>
      </c>
      <c r="CE35" s="12" t="str">
        <f t="shared" si="53"/>
        <v/>
      </c>
      <c r="CF35" s="16"/>
      <c r="CG35" s="13" t="str">
        <f t="shared" si="54"/>
        <v/>
      </c>
      <c r="CH35" s="13" t="str">
        <f t="shared" si="55"/>
        <v/>
      </c>
      <c r="CI35" s="17">
        <f t="shared" si="56"/>
        <v>0</v>
      </c>
      <c r="CJ35" s="17">
        <f t="shared" si="57"/>
        <v>0</v>
      </c>
    </row>
    <row r="36" spans="1:88" ht="15.75" x14ac:dyDescent="0.15">
      <c r="A36" s="3" t="s">
        <v>152</v>
      </c>
      <c r="B36" s="11" t="str">
        <f>IF(D36="","",IFERROR(VLOOKUP(D36,商品マスタ!$A:$K,2,FALSE),"缶バッジ"))</f>
        <v>缶バッジ</v>
      </c>
      <c r="C36" s="2" t="s">
        <v>171</v>
      </c>
      <c r="D36" s="2" t="s">
        <v>148</v>
      </c>
      <c r="E36" s="6">
        <f>IF(D36="","",IFERROR(VLOOKUP(D36,商品マスタ!$A:$K,4,FALSE),12.55))</f>
        <v>12.55</v>
      </c>
      <c r="F36" s="6">
        <f>IF(D36="","",IFERROR(VLOOKUP(D36,商品マスタ!$A:$K,8,FALSE),1.14))</f>
        <v>1.1399999999999999</v>
      </c>
      <c r="G36" s="12">
        <f t="shared" si="0"/>
        <v>0</v>
      </c>
      <c r="H36" s="12">
        <f t="shared" si="1"/>
        <v>0</v>
      </c>
      <c r="I36" s="12">
        <f t="shared" si="2"/>
        <v>0</v>
      </c>
      <c r="J36" s="13">
        <f t="shared" si="3"/>
        <v>0</v>
      </c>
      <c r="K36" s="13">
        <f t="shared" si="4"/>
        <v>0</v>
      </c>
      <c r="L36" s="13">
        <f t="shared" si="5"/>
        <v>0</v>
      </c>
      <c r="M36" s="14" t="str">
        <f t="shared" si="6"/>
        <v/>
      </c>
      <c r="N36" s="14" t="str">
        <f t="shared" si="7"/>
        <v/>
      </c>
      <c r="O36" s="15"/>
      <c r="P36" s="12" t="str">
        <f t="shared" si="8"/>
        <v/>
      </c>
      <c r="Q36" s="12" t="str">
        <f t="shared" si="9"/>
        <v/>
      </c>
      <c r="R36" s="16"/>
      <c r="S36" s="13" t="str">
        <f t="shared" si="10"/>
        <v/>
      </c>
      <c r="T36" s="13" t="str">
        <f t="shared" si="11"/>
        <v/>
      </c>
      <c r="U36" s="15"/>
      <c r="V36" s="12" t="str">
        <f t="shared" si="12"/>
        <v/>
      </c>
      <c r="W36" s="12" t="str">
        <f t="shared" si="13"/>
        <v/>
      </c>
      <c r="X36" s="16"/>
      <c r="Y36" s="13" t="str">
        <f t="shared" si="14"/>
        <v/>
      </c>
      <c r="Z36" s="13" t="str">
        <f t="shared" si="15"/>
        <v/>
      </c>
      <c r="AA36" s="15"/>
      <c r="AB36" s="12" t="str">
        <f t="shared" si="16"/>
        <v/>
      </c>
      <c r="AC36" s="12" t="str">
        <f t="shared" si="17"/>
        <v/>
      </c>
      <c r="AD36" s="16"/>
      <c r="AE36" s="13" t="str">
        <f t="shared" si="18"/>
        <v/>
      </c>
      <c r="AF36" s="13" t="str">
        <f t="shared" si="19"/>
        <v/>
      </c>
      <c r="AG36" s="15"/>
      <c r="AH36" s="12" t="str">
        <f t="shared" si="20"/>
        <v/>
      </c>
      <c r="AI36" s="12" t="str">
        <f t="shared" si="21"/>
        <v/>
      </c>
      <c r="AJ36" s="16"/>
      <c r="AK36" s="13" t="str">
        <f t="shared" si="22"/>
        <v/>
      </c>
      <c r="AL36" s="13" t="str">
        <f t="shared" si="23"/>
        <v/>
      </c>
      <c r="AM36" s="15"/>
      <c r="AN36" s="12" t="str">
        <f t="shared" si="24"/>
        <v/>
      </c>
      <c r="AO36" s="12" t="str">
        <f t="shared" si="25"/>
        <v/>
      </c>
      <c r="AP36" s="16"/>
      <c r="AQ36" s="13" t="str">
        <f t="shared" si="26"/>
        <v/>
      </c>
      <c r="AR36" s="13" t="str">
        <f t="shared" si="27"/>
        <v/>
      </c>
      <c r="AS36" s="15"/>
      <c r="AT36" s="12" t="str">
        <f t="shared" si="28"/>
        <v/>
      </c>
      <c r="AU36" s="12" t="str">
        <f t="shared" si="29"/>
        <v/>
      </c>
      <c r="AV36" s="16"/>
      <c r="AW36" s="13" t="str">
        <f t="shared" si="30"/>
        <v/>
      </c>
      <c r="AX36" s="13" t="str">
        <f t="shared" si="31"/>
        <v/>
      </c>
      <c r="AY36" s="15"/>
      <c r="AZ36" s="12" t="str">
        <f t="shared" si="32"/>
        <v/>
      </c>
      <c r="BA36" s="12" t="str">
        <f t="shared" si="33"/>
        <v/>
      </c>
      <c r="BB36" s="16"/>
      <c r="BC36" s="13" t="str">
        <f t="shared" si="34"/>
        <v/>
      </c>
      <c r="BD36" s="13" t="str">
        <f t="shared" si="35"/>
        <v/>
      </c>
      <c r="BE36" s="15"/>
      <c r="BF36" s="12" t="str">
        <f t="shared" si="36"/>
        <v/>
      </c>
      <c r="BG36" s="12" t="str">
        <f t="shared" si="37"/>
        <v/>
      </c>
      <c r="BH36" s="16"/>
      <c r="BI36" s="13" t="str">
        <f t="shared" si="38"/>
        <v/>
      </c>
      <c r="BJ36" s="13" t="str">
        <f t="shared" si="39"/>
        <v/>
      </c>
      <c r="BK36" s="15"/>
      <c r="BL36" s="12" t="str">
        <f t="shared" si="40"/>
        <v/>
      </c>
      <c r="BM36" s="12" t="str">
        <f t="shared" si="41"/>
        <v/>
      </c>
      <c r="BN36" s="16"/>
      <c r="BO36" s="13" t="str">
        <f t="shared" si="42"/>
        <v/>
      </c>
      <c r="BP36" s="13" t="str">
        <f t="shared" si="43"/>
        <v/>
      </c>
      <c r="BQ36" s="15"/>
      <c r="BR36" s="12" t="str">
        <f t="shared" si="44"/>
        <v/>
      </c>
      <c r="BS36" s="12" t="str">
        <f t="shared" si="45"/>
        <v/>
      </c>
      <c r="BT36" s="16"/>
      <c r="BU36" s="13" t="str">
        <f t="shared" si="46"/>
        <v/>
      </c>
      <c r="BV36" s="13" t="str">
        <f t="shared" si="47"/>
        <v/>
      </c>
      <c r="BW36" s="15"/>
      <c r="BX36" s="12" t="str">
        <f t="shared" si="48"/>
        <v/>
      </c>
      <c r="BY36" s="12" t="str">
        <f t="shared" si="49"/>
        <v/>
      </c>
      <c r="BZ36" s="16"/>
      <c r="CA36" s="13" t="str">
        <f t="shared" si="50"/>
        <v/>
      </c>
      <c r="CB36" s="13" t="str">
        <f t="shared" si="51"/>
        <v/>
      </c>
      <c r="CC36" s="15"/>
      <c r="CD36" s="12" t="str">
        <f t="shared" si="52"/>
        <v/>
      </c>
      <c r="CE36" s="12" t="str">
        <f t="shared" si="53"/>
        <v/>
      </c>
      <c r="CF36" s="16"/>
      <c r="CG36" s="13" t="str">
        <f t="shared" si="54"/>
        <v/>
      </c>
      <c r="CH36" s="13" t="str">
        <f t="shared" si="55"/>
        <v/>
      </c>
      <c r="CI36" s="17">
        <f t="shared" si="56"/>
        <v>0</v>
      </c>
      <c r="CJ36" s="17">
        <f t="shared" si="57"/>
        <v>0</v>
      </c>
    </row>
    <row r="37" spans="1:88" ht="15.75" x14ac:dyDescent="0.15">
      <c r="A37" s="3" t="s">
        <v>152</v>
      </c>
      <c r="B37" s="11" t="str">
        <f>IF(D37="","",IFERROR(VLOOKUP(D37,商品マスタ!$A:$K,2,FALSE),"缶バッジ"))</f>
        <v>缶バッジ</v>
      </c>
      <c r="C37" s="2" t="s">
        <v>172</v>
      </c>
      <c r="D37" s="2" t="s">
        <v>148</v>
      </c>
      <c r="E37" s="6">
        <f>IF(D37="","",IFERROR(VLOOKUP(D37,商品マスタ!$A:$K,4,FALSE),12.55))</f>
        <v>12.55</v>
      </c>
      <c r="F37" s="6">
        <f>IF(D37="","",IFERROR(VLOOKUP(D37,商品マスタ!$A:$K,8,FALSE),1.14))</f>
        <v>1.1399999999999999</v>
      </c>
      <c r="G37" s="12">
        <f t="shared" ref="G37:G56" si="58">SUM(O37,U37,AA37,AG37,AM37,AS37,AY37,BE37,BK37,BQ37,BW37,CC37)</f>
        <v>0</v>
      </c>
      <c r="H37" s="12">
        <f t="shared" ref="H37:H56" si="59">SUM(P37,V37,AB37,AH37,AN37,AT37,AZ37,BF37,BL37,BR37,BX37,CD37)</f>
        <v>0</v>
      </c>
      <c r="I37" s="12">
        <f t="shared" ref="I37:I56" si="60">SUM(Q37,W37,AC37,AI37,AO37,AU37,BA37,BG37,BM37,BS37,BY37,CE37)</f>
        <v>0</v>
      </c>
      <c r="J37" s="13">
        <f t="shared" ref="J37:J56" si="61">SUM(R37,X37,AD37,AJ37,AP37,AV37,BB37,BH37,BN37,BT37,BZ37,CF37)</f>
        <v>0</v>
      </c>
      <c r="K37" s="13">
        <f t="shared" ref="K37:K56" si="62">SUM(S37,Y37,AE37,AK37,AQ37,AW37,BC37,BI37,BO37,BU37,CA37,CG37)</f>
        <v>0</v>
      </c>
      <c r="L37" s="13">
        <f t="shared" ref="L37:L56" si="63">SUM(T37,Z37,AF37,AL37,AR37,AX37,BD37,BJ37,BP37,BV37,CB37,CH37)</f>
        <v>0</v>
      </c>
      <c r="M37" s="14" t="str">
        <f t="shared" ref="M37:M56" si="64">IFERROR(K37/CI37,"")</f>
        <v/>
      </c>
      <c r="N37" s="14" t="str">
        <f t="shared" ref="N37:N56" si="65">IFERROR(L37/CJ37,"")</f>
        <v/>
      </c>
      <c r="O37" s="15"/>
      <c r="P37" s="12" t="str">
        <f t="shared" ref="P37:P68" si="66">IF(O37="","",O37*$E37)</f>
        <v/>
      </c>
      <c r="Q37" s="12" t="str">
        <f t="shared" ref="Q37:Q56" si="67">IF(O37="","",O37*$F37)</f>
        <v/>
      </c>
      <c r="R37" s="16"/>
      <c r="S37" s="13" t="str">
        <f t="shared" ref="S37:S68" si="68">IF(R37="","",R37*$E37)</f>
        <v/>
      </c>
      <c r="T37" s="13" t="str">
        <f t="shared" ref="T37:T56" si="69">IF(R37="","",R37*$F37)</f>
        <v/>
      </c>
      <c r="U37" s="15"/>
      <c r="V37" s="12" t="str">
        <f t="shared" ref="V37:V68" si="70">IF(U37="","",U37*$E37)</f>
        <v/>
      </c>
      <c r="W37" s="12" t="str">
        <f t="shared" ref="W37:W56" si="71">IF(U37="","",U37*$F37)</f>
        <v/>
      </c>
      <c r="X37" s="16"/>
      <c r="Y37" s="13" t="str">
        <f t="shared" ref="Y37:Y68" si="72">IF(X37="","",X37*$E37)</f>
        <v/>
      </c>
      <c r="Z37" s="13" t="str">
        <f t="shared" ref="Z37:Z56" si="73">IF(X37="","",X37*$F37)</f>
        <v/>
      </c>
      <c r="AA37" s="15"/>
      <c r="AB37" s="12" t="str">
        <f t="shared" ref="AB37:AB68" si="74">IF(AA37="","",AA37*$E37)</f>
        <v/>
      </c>
      <c r="AC37" s="12" t="str">
        <f t="shared" ref="AC37:AC56" si="75">IF(AA37="","",AA37*$F37)</f>
        <v/>
      </c>
      <c r="AD37" s="16"/>
      <c r="AE37" s="13" t="str">
        <f t="shared" ref="AE37:AE68" si="76">IF(AD37="","",AD37*$E37)</f>
        <v/>
      </c>
      <c r="AF37" s="13" t="str">
        <f t="shared" ref="AF37:AF56" si="77">IF(AD37="","",AD37*$F37)</f>
        <v/>
      </c>
      <c r="AG37" s="15"/>
      <c r="AH37" s="12" t="str">
        <f t="shared" ref="AH37:AH68" si="78">IF(AG37="","",AG37*$E37)</f>
        <v/>
      </c>
      <c r="AI37" s="12" t="str">
        <f t="shared" ref="AI37:AI56" si="79">IF(AG37="","",AG37*$F37)</f>
        <v/>
      </c>
      <c r="AJ37" s="16"/>
      <c r="AK37" s="13" t="str">
        <f t="shared" ref="AK37:AK68" si="80">IF(AJ37="","",AJ37*$E37)</f>
        <v/>
      </c>
      <c r="AL37" s="13" t="str">
        <f t="shared" ref="AL37:AL56" si="81">IF(AJ37="","",AJ37*$F37)</f>
        <v/>
      </c>
      <c r="AM37" s="15"/>
      <c r="AN37" s="12" t="str">
        <f t="shared" ref="AN37:AN68" si="82">IF(AM37="","",AM37*$E37)</f>
        <v/>
      </c>
      <c r="AO37" s="12" t="str">
        <f t="shared" ref="AO37:AO56" si="83">IF(AM37="","",AM37*$F37)</f>
        <v/>
      </c>
      <c r="AP37" s="16"/>
      <c r="AQ37" s="13" t="str">
        <f t="shared" ref="AQ37:AQ68" si="84">IF(AP37="","",AP37*$E37)</f>
        <v/>
      </c>
      <c r="AR37" s="13" t="str">
        <f t="shared" ref="AR37:AR56" si="85">IF(AP37="","",AP37*$F37)</f>
        <v/>
      </c>
      <c r="AS37" s="15"/>
      <c r="AT37" s="12" t="str">
        <f t="shared" ref="AT37:AT68" si="86">IF(AS37="","",AS37*$E37)</f>
        <v/>
      </c>
      <c r="AU37" s="12" t="str">
        <f t="shared" ref="AU37:AU56" si="87">IF(AS37="","",AS37*$F37)</f>
        <v/>
      </c>
      <c r="AV37" s="16"/>
      <c r="AW37" s="13" t="str">
        <f t="shared" ref="AW37:AW68" si="88">IF(AV37="","",AV37*$E37)</f>
        <v/>
      </c>
      <c r="AX37" s="13" t="str">
        <f t="shared" ref="AX37:AX56" si="89">IF(AV37="","",AV37*$F37)</f>
        <v/>
      </c>
      <c r="AY37" s="15"/>
      <c r="AZ37" s="12" t="str">
        <f t="shared" ref="AZ37:AZ68" si="90">IF(AY37="","",AY37*$E37)</f>
        <v/>
      </c>
      <c r="BA37" s="12" t="str">
        <f t="shared" ref="BA37:BA56" si="91">IF(AY37="","",AY37*$F37)</f>
        <v/>
      </c>
      <c r="BB37" s="16"/>
      <c r="BC37" s="13" t="str">
        <f t="shared" ref="BC37:BC68" si="92">IF(BB37="","",BB37*$E37)</f>
        <v/>
      </c>
      <c r="BD37" s="13" t="str">
        <f t="shared" ref="BD37:BD56" si="93">IF(BB37="","",BB37*$F37)</f>
        <v/>
      </c>
      <c r="BE37" s="15"/>
      <c r="BF37" s="12" t="str">
        <f t="shared" ref="BF37:BF68" si="94">IF(BE37="","",BE37*$E37)</f>
        <v/>
      </c>
      <c r="BG37" s="12" t="str">
        <f t="shared" ref="BG37:BG56" si="95">IF(BE37="","",BE37*$F37)</f>
        <v/>
      </c>
      <c r="BH37" s="16"/>
      <c r="BI37" s="13" t="str">
        <f t="shared" ref="BI37:BI68" si="96">IF(BH37="","",BH37*$E37)</f>
        <v/>
      </c>
      <c r="BJ37" s="13" t="str">
        <f t="shared" ref="BJ37:BJ56" si="97">IF(BH37="","",BH37*$F37)</f>
        <v/>
      </c>
      <c r="BK37" s="15"/>
      <c r="BL37" s="12" t="str">
        <f t="shared" ref="BL37:BL68" si="98">IF(BK37="","",BK37*$E37)</f>
        <v/>
      </c>
      <c r="BM37" s="12" t="str">
        <f t="shared" ref="BM37:BM56" si="99">IF(BK37="","",BK37*$F37)</f>
        <v/>
      </c>
      <c r="BN37" s="16"/>
      <c r="BO37" s="13" t="str">
        <f t="shared" ref="BO37:BO68" si="100">IF(BN37="","",BN37*$E37)</f>
        <v/>
      </c>
      <c r="BP37" s="13" t="str">
        <f t="shared" ref="BP37:BP56" si="101">IF(BN37="","",BN37*$F37)</f>
        <v/>
      </c>
      <c r="BQ37" s="15"/>
      <c r="BR37" s="12" t="str">
        <f t="shared" ref="BR37:BR68" si="102">IF(BQ37="","",BQ37*$E37)</f>
        <v/>
      </c>
      <c r="BS37" s="12" t="str">
        <f t="shared" ref="BS37:BS56" si="103">IF(BQ37="","",BQ37*$F37)</f>
        <v/>
      </c>
      <c r="BT37" s="16"/>
      <c r="BU37" s="13" t="str">
        <f t="shared" ref="BU37:BU68" si="104">IF(BT37="","",BT37*$E37)</f>
        <v/>
      </c>
      <c r="BV37" s="13" t="str">
        <f t="shared" ref="BV37:BV56" si="105">IF(BT37="","",BT37*$F37)</f>
        <v/>
      </c>
      <c r="BW37" s="15"/>
      <c r="BX37" s="12" t="str">
        <f t="shared" ref="BX37:BX68" si="106">IF(BW37="","",BW37*$E37)</f>
        <v/>
      </c>
      <c r="BY37" s="12" t="str">
        <f t="shared" ref="BY37:BY56" si="107">IF(BW37="","",BW37*$F37)</f>
        <v/>
      </c>
      <c r="BZ37" s="16"/>
      <c r="CA37" s="13" t="str">
        <f t="shared" ref="CA37:CA68" si="108">IF(BZ37="","",BZ37*$E37)</f>
        <v/>
      </c>
      <c r="CB37" s="13" t="str">
        <f t="shared" ref="CB37:CB56" si="109">IF(BZ37="","",BZ37*$F37)</f>
        <v/>
      </c>
      <c r="CC37" s="15"/>
      <c r="CD37" s="12" t="str">
        <f t="shared" ref="CD37:CD68" si="110">IF(CC37="","",CC37*$E37)</f>
        <v/>
      </c>
      <c r="CE37" s="12" t="str">
        <f t="shared" ref="CE37:CE56" si="111">IF(CC37="","",CC37*$F37)</f>
        <v/>
      </c>
      <c r="CF37" s="16"/>
      <c r="CG37" s="13" t="str">
        <f t="shared" ref="CG37:CG68" si="112">IF(CF37="","",CF37*$E37)</f>
        <v/>
      </c>
      <c r="CH37" s="13" t="str">
        <f t="shared" ref="CH37:CH56" si="113">IF(CF37="","",CF37*$F37)</f>
        <v/>
      </c>
      <c r="CI37" s="17">
        <f t="shared" ref="CI37:CI56" si="114">IF(R37&gt;0,P37,0) + IF(X37&gt;0,V37,0) + IF(AD37&gt;0,AB37,0) + IF(AJ37&gt;0,AH37,0) + IF(AP37&gt;0,AN37,0) + IF(AV37&gt;0,AT37,0) + IF(BB37&gt;0,AZ37,0) + IF(BH37&gt;0,BF37,0) + IF(BN37&gt;0,BL37,0) + IF(BT37&gt;0,BR37,0) + IF(BZ37&gt;0,BX37,0) + IF(CF37&gt;0,CD37,0)</f>
        <v>0</v>
      </c>
      <c r="CJ37" s="17">
        <f t="shared" ref="CJ37:CJ56" si="115">IF(R37&gt;0,Q37,0) + IF(X37&gt;0,W37,0) + IF(AD37&gt;0,AC37,0) + IF(AJ37&gt;0,AI37,0) + IF(AP37&gt;0,AO37,0) + IF(AV37&gt;0,AU37,0) + IF(BB37&gt;0,BA37,0) + IF(BH37&gt;0,BG37,0) + IF(BN37&gt;0,BM37,0) + IF(BT37&gt;0,BS37,0) + IF(BZ37&gt;0,BY37,0) + IF(CF37&gt;0,CE37,0)</f>
        <v>0</v>
      </c>
    </row>
    <row r="38" spans="1:88" ht="15.75" x14ac:dyDescent="0.15">
      <c r="A38" s="3" t="s">
        <v>152</v>
      </c>
      <c r="B38" s="11" t="str">
        <f>IF(D38="","",IFERROR(VLOOKUP(D38,商品マスタ!$A:$K,2,FALSE),"缶バッジ"))</f>
        <v>缶バッジ</v>
      </c>
      <c r="C38" s="2" t="s">
        <v>173</v>
      </c>
      <c r="D38" s="2" t="s">
        <v>148</v>
      </c>
      <c r="E38" s="6">
        <f>IF(D38="","",IFERROR(VLOOKUP(D38,商品マスタ!$A:$K,4,FALSE),12.55))</f>
        <v>12.55</v>
      </c>
      <c r="F38" s="6">
        <f>IF(D38="","",IFERROR(VLOOKUP(D38,商品マスタ!$A:$K,8,FALSE),1.14))</f>
        <v>1.1399999999999999</v>
      </c>
      <c r="G38" s="12">
        <f t="shared" si="58"/>
        <v>0</v>
      </c>
      <c r="H38" s="12">
        <f t="shared" si="59"/>
        <v>0</v>
      </c>
      <c r="I38" s="12">
        <f t="shared" si="60"/>
        <v>0</v>
      </c>
      <c r="J38" s="13">
        <f t="shared" si="61"/>
        <v>0</v>
      </c>
      <c r="K38" s="13">
        <f t="shared" si="62"/>
        <v>0</v>
      </c>
      <c r="L38" s="13">
        <f t="shared" si="63"/>
        <v>0</v>
      </c>
      <c r="M38" s="14" t="str">
        <f t="shared" si="64"/>
        <v/>
      </c>
      <c r="N38" s="14" t="str">
        <f t="shared" si="65"/>
        <v/>
      </c>
      <c r="O38" s="15"/>
      <c r="P38" s="12" t="str">
        <f t="shared" si="66"/>
        <v/>
      </c>
      <c r="Q38" s="12" t="str">
        <f t="shared" si="67"/>
        <v/>
      </c>
      <c r="R38" s="16"/>
      <c r="S38" s="13" t="str">
        <f t="shared" si="68"/>
        <v/>
      </c>
      <c r="T38" s="13" t="str">
        <f t="shared" si="69"/>
        <v/>
      </c>
      <c r="U38" s="15"/>
      <c r="V38" s="12" t="str">
        <f t="shared" si="70"/>
        <v/>
      </c>
      <c r="W38" s="12" t="str">
        <f t="shared" si="71"/>
        <v/>
      </c>
      <c r="X38" s="16"/>
      <c r="Y38" s="13" t="str">
        <f t="shared" si="72"/>
        <v/>
      </c>
      <c r="Z38" s="13" t="str">
        <f t="shared" si="73"/>
        <v/>
      </c>
      <c r="AA38" s="15"/>
      <c r="AB38" s="12" t="str">
        <f t="shared" si="74"/>
        <v/>
      </c>
      <c r="AC38" s="12" t="str">
        <f t="shared" si="75"/>
        <v/>
      </c>
      <c r="AD38" s="16"/>
      <c r="AE38" s="13" t="str">
        <f t="shared" si="76"/>
        <v/>
      </c>
      <c r="AF38" s="13" t="str">
        <f t="shared" si="77"/>
        <v/>
      </c>
      <c r="AG38" s="15"/>
      <c r="AH38" s="12" t="str">
        <f t="shared" si="78"/>
        <v/>
      </c>
      <c r="AI38" s="12" t="str">
        <f t="shared" si="79"/>
        <v/>
      </c>
      <c r="AJ38" s="16"/>
      <c r="AK38" s="13" t="str">
        <f t="shared" si="80"/>
        <v/>
      </c>
      <c r="AL38" s="13" t="str">
        <f t="shared" si="81"/>
        <v/>
      </c>
      <c r="AM38" s="15"/>
      <c r="AN38" s="12" t="str">
        <f t="shared" si="82"/>
        <v/>
      </c>
      <c r="AO38" s="12" t="str">
        <f t="shared" si="83"/>
        <v/>
      </c>
      <c r="AP38" s="16"/>
      <c r="AQ38" s="13" t="str">
        <f t="shared" si="84"/>
        <v/>
      </c>
      <c r="AR38" s="13" t="str">
        <f t="shared" si="85"/>
        <v/>
      </c>
      <c r="AS38" s="15"/>
      <c r="AT38" s="12" t="str">
        <f t="shared" si="86"/>
        <v/>
      </c>
      <c r="AU38" s="12" t="str">
        <f t="shared" si="87"/>
        <v/>
      </c>
      <c r="AV38" s="16"/>
      <c r="AW38" s="13" t="str">
        <f t="shared" si="88"/>
        <v/>
      </c>
      <c r="AX38" s="13" t="str">
        <f t="shared" si="89"/>
        <v/>
      </c>
      <c r="AY38" s="15"/>
      <c r="AZ38" s="12" t="str">
        <f t="shared" si="90"/>
        <v/>
      </c>
      <c r="BA38" s="12" t="str">
        <f t="shared" si="91"/>
        <v/>
      </c>
      <c r="BB38" s="16"/>
      <c r="BC38" s="13" t="str">
        <f t="shared" si="92"/>
        <v/>
      </c>
      <c r="BD38" s="13" t="str">
        <f t="shared" si="93"/>
        <v/>
      </c>
      <c r="BE38" s="15"/>
      <c r="BF38" s="12" t="str">
        <f t="shared" si="94"/>
        <v/>
      </c>
      <c r="BG38" s="12" t="str">
        <f t="shared" si="95"/>
        <v/>
      </c>
      <c r="BH38" s="16"/>
      <c r="BI38" s="13" t="str">
        <f t="shared" si="96"/>
        <v/>
      </c>
      <c r="BJ38" s="13" t="str">
        <f t="shared" si="97"/>
        <v/>
      </c>
      <c r="BK38" s="15"/>
      <c r="BL38" s="12" t="str">
        <f t="shared" si="98"/>
        <v/>
      </c>
      <c r="BM38" s="12" t="str">
        <f t="shared" si="99"/>
        <v/>
      </c>
      <c r="BN38" s="16"/>
      <c r="BO38" s="13" t="str">
        <f t="shared" si="100"/>
        <v/>
      </c>
      <c r="BP38" s="13" t="str">
        <f t="shared" si="101"/>
        <v/>
      </c>
      <c r="BQ38" s="15"/>
      <c r="BR38" s="12" t="str">
        <f t="shared" si="102"/>
        <v/>
      </c>
      <c r="BS38" s="12" t="str">
        <f t="shared" si="103"/>
        <v/>
      </c>
      <c r="BT38" s="16"/>
      <c r="BU38" s="13" t="str">
        <f t="shared" si="104"/>
        <v/>
      </c>
      <c r="BV38" s="13" t="str">
        <f t="shared" si="105"/>
        <v/>
      </c>
      <c r="BW38" s="15"/>
      <c r="BX38" s="12" t="str">
        <f t="shared" si="106"/>
        <v/>
      </c>
      <c r="BY38" s="12" t="str">
        <f t="shared" si="107"/>
        <v/>
      </c>
      <c r="BZ38" s="16"/>
      <c r="CA38" s="13" t="str">
        <f t="shared" si="108"/>
        <v/>
      </c>
      <c r="CB38" s="13" t="str">
        <f t="shared" si="109"/>
        <v/>
      </c>
      <c r="CC38" s="15"/>
      <c r="CD38" s="12" t="str">
        <f t="shared" si="110"/>
        <v/>
      </c>
      <c r="CE38" s="12" t="str">
        <f t="shared" si="111"/>
        <v/>
      </c>
      <c r="CF38" s="16"/>
      <c r="CG38" s="13" t="str">
        <f t="shared" si="112"/>
        <v/>
      </c>
      <c r="CH38" s="13" t="str">
        <f t="shared" si="113"/>
        <v/>
      </c>
      <c r="CI38" s="17">
        <f t="shared" si="114"/>
        <v>0</v>
      </c>
      <c r="CJ38" s="17">
        <f t="shared" si="115"/>
        <v>0</v>
      </c>
    </row>
    <row r="39" spans="1:88" ht="15.75" x14ac:dyDescent="0.15">
      <c r="A39" s="3" t="s">
        <v>152</v>
      </c>
      <c r="B39" s="11" t="str">
        <f>IF(D39="","",IFERROR(VLOOKUP(D39,商品マスタ!$A:$K,2,FALSE),"缶バッジ"))</f>
        <v>缶バッジ</v>
      </c>
      <c r="C39" s="2" t="s">
        <v>174</v>
      </c>
      <c r="D39" s="2" t="s">
        <v>148</v>
      </c>
      <c r="E39" s="6">
        <f>IF(D39="","",IFERROR(VLOOKUP(D39,商品マスタ!$A:$K,4,FALSE),12.55))</f>
        <v>12.55</v>
      </c>
      <c r="F39" s="6">
        <f>IF(D39="","",IFERROR(VLOOKUP(D39,商品マスタ!$A:$K,8,FALSE),1.14))</f>
        <v>1.1399999999999999</v>
      </c>
      <c r="G39" s="12">
        <f t="shared" si="58"/>
        <v>0</v>
      </c>
      <c r="H39" s="12">
        <f t="shared" si="59"/>
        <v>0</v>
      </c>
      <c r="I39" s="12">
        <f t="shared" si="60"/>
        <v>0</v>
      </c>
      <c r="J39" s="13">
        <f t="shared" si="61"/>
        <v>0</v>
      </c>
      <c r="K39" s="13">
        <f t="shared" si="62"/>
        <v>0</v>
      </c>
      <c r="L39" s="13">
        <f t="shared" si="63"/>
        <v>0</v>
      </c>
      <c r="M39" s="14" t="str">
        <f t="shared" si="64"/>
        <v/>
      </c>
      <c r="N39" s="14" t="str">
        <f t="shared" si="65"/>
        <v/>
      </c>
      <c r="O39" s="15"/>
      <c r="P39" s="12" t="str">
        <f t="shared" si="66"/>
        <v/>
      </c>
      <c r="Q39" s="12" t="str">
        <f t="shared" si="67"/>
        <v/>
      </c>
      <c r="R39" s="16"/>
      <c r="S39" s="13" t="str">
        <f t="shared" si="68"/>
        <v/>
      </c>
      <c r="T39" s="13" t="str">
        <f t="shared" si="69"/>
        <v/>
      </c>
      <c r="U39" s="15"/>
      <c r="V39" s="12" t="str">
        <f t="shared" si="70"/>
        <v/>
      </c>
      <c r="W39" s="12" t="str">
        <f t="shared" si="71"/>
        <v/>
      </c>
      <c r="X39" s="16"/>
      <c r="Y39" s="13" t="str">
        <f t="shared" si="72"/>
        <v/>
      </c>
      <c r="Z39" s="13" t="str">
        <f t="shared" si="73"/>
        <v/>
      </c>
      <c r="AA39" s="15"/>
      <c r="AB39" s="12" t="str">
        <f t="shared" si="74"/>
        <v/>
      </c>
      <c r="AC39" s="12" t="str">
        <f t="shared" si="75"/>
        <v/>
      </c>
      <c r="AD39" s="16"/>
      <c r="AE39" s="13" t="str">
        <f t="shared" si="76"/>
        <v/>
      </c>
      <c r="AF39" s="13" t="str">
        <f t="shared" si="77"/>
        <v/>
      </c>
      <c r="AG39" s="15"/>
      <c r="AH39" s="12" t="str">
        <f t="shared" si="78"/>
        <v/>
      </c>
      <c r="AI39" s="12" t="str">
        <f t="shared" si="79"/>
        <v/>
      </c>
      <c r="AJ39" s="16"/>
      <c r="AK39" s="13" t="str">
        <f t="shared" si="80"/>
        <v/>
      </c>
      <c r="AL39" s="13" t="str">
        <f t="shared" si="81"/>
        <v/>
      </c>
      <c r="AM39" s="15"/>
      <c r="AN39" s="12" t="str">
        <f t="shared" si="82"/>
        <v/>
      </c>
      <c r="AO39" s="12" t="str">
        <f t="shared" si="83"/>
        <v/>
      </c>
      <c r="AP39" s="16"/>
      <c r="AQ39" s="13" t="str">
        <f t="shared" si="84"/>
        <v/>
      </c>
      <c r="AR39" s="13" t="str">
        <f t="shared" si="85"/>
        <v/>
      </c>
      <c r="AS39" s="15"/>
      <c r="AT39" s="12" t="str">
        <f t="shared" si="86"/>
        <v/>
      </c>
      <c r="AU39" s="12" t="str">
        <f t="shared" si="87"/>
        <v/>
      </c>
      <c r="AV39" s="16"/>
      <c r="AW39" s="13" t="str">
        <f t="shared" si="88"/>
        <v/>
      </c>
      <c r="AX39" s="13" t="str">
        <f t="shared" si="89"/>
        <v/>
      </c>
      <c r="AY39" s="15"/>
      <c r="AZ39" s="12" t="str">
        <f t="shared" si="90"/>
        <v/>
      </c>
      <c r="BA39" s="12" t="str">
        <f t="shared" si="91"/>
        <v/>
      </c>
      <c r="BB39" s="16"/>
      <c r="BC39" s="13" t="str">
        <f t="shared" si="92"/>
        <v/>
      </c>
      <c r="BD39" s="13" t="str">
        <f t="shared" si="93"/>
        <v/>
      </c>
      <c r="BE39" s="15"/>
      <c r="BF39" s="12" t="str">
        <f t="shared" si="94"/>
        <v/>
      </c>
      <c r="BG39" s="12" t="str">
        <f t="shared" si="95"/>
        <v/>
      </c>
      <c r="BH39" s="16"/>
      <c r="BI39" s="13" t="str">
        <f t="shared" si="96"/>
        <v/>
      </c>
      <c r="BJ39" s="13" t="str">
        <f t="shared" si="97"/>
        <v/>
      </c>
      <c r="BK39" s="15"/>
      <c r="BL39" s="12" t="str">
        <f t="shared" si="98"/>
        <v/>
      </c>
      <c r="BM39" s="12" t="str">
        <f t="shared" si="99"/>
        <v/>
      </c>
      <c r="BN39" s="16"/>
      <c r="BO39" s="13" t="str">
        <f t="shared" si="100"/>
        <v/>
      </c>
      <c r="BP39" s="13" t="str">
        <f t="shared" si="101"/>
        <v/>
      </c>
      <c r="BQ39" s="15"/>
      <c r="BR39" s="12" t="str">
        <f t="shared" si="102"/>
        <v/>
      </c>
      <c r="BS39" s="12" t="str">
        <f t="shared" si="103"/>
        <v/>
      </c>
      <c r="BT39" s="16"/>
      <c r="BU39" s="13" t="str">
        <f t="shared" si="104"/>
        <v/>
      </c>
      <c r="BV39" s="13" t="str">
        <f t="shared" si="105"/>
        <v/>
      </c>
      <c r="BW39" s="15"/>
      <c r="BX39" s="12" t="str">
        <f t="shared" si="106"/>
        <v/>
      </c>
      <c r="BY39" s="12" t="str">
        <f t="shared" si="107"/>
        <v/>
      </c>
      <c r="BZ39" s="16"/>
      <c r="CA39" s="13" t="str">
        <f t="shared" si="108"/>
        <v/>
      </c>
      <c r="CB39" s="13" t="str">
        <f t="shared" si="109"/>
        <v/>
      </c>
      <c r="CC39" s="15"/>
      <c r="CD39" s="12" t="str">
        <f t="shared" si="110"/>
        <v/>
      </c>
      <c r="CE39" s="12" t="str">
        <f t="shared" si="111"/>
        <v/>
      </c>
      <c r="CF39" s="16"/>
      <c r="CG39" s="13" t="str">
        <f t="shared" si="112"/>
        <v/>
      </c>
      <c r="CH39" s="13" t="str">
        <f t="shared" si="113"/>
        <v/>
      </c>
      <c r="CI39" s="17">
        <f t="shared" si="114"/>
        <v>0</v>
      </c>
      <c r="CJ39" s="17">
        <f t="shared" si="115"/>
        <v>0</v>
      </c>
    </row>
    <row r="40" spans="1:88" ht="15.75" x14ac:dyDescent="0.15">
      <c r="A40" s="3" t="s">
        <v>152</v>
      </c>
      <c r="B40" s="11" t="str">
        <f>IF(D40="","",IFERROR(VLOOKUP(D40,商品マスタ!$A:$K,2,FALSE),"缶バッジ"))</f>
        <v>缶バッジ</v>
      </c>
      <c r="C40" s="2" t="s">
        <v>175</v>
      </c>
      <c r="D40" s="2" t="s">
        <v>148</v>
      </c>
      <c r="E40" s="6">
        <f>IF(D40="","",IFERROR(VLOOKUP(D40,商品マスタ!$A:$K,4,FALSE),12.55))</f>
        <v>12.55</v>
      </c>
      <c r="F40" s="6">
        <f>IF(D40="","",IFERROR(VLOOKUP(D40,商品マスタ!$A:$K,8,FALSE),1.14))</f>
        <v>1.1399999999999999</v>
      </c>
      <c r="G40" s="12">
        <f t="shared" si="58"/>
        <v>0</v>
      </c>
      <c r="H40" s="12">
        <f t="shared" si="59"/>
        <v>0</v>
      </c>
      <c r="I40" s="12">
        <f t="shared" si="60"/>
        <v>0</v>
      </c>
      <c r="J40" s="13">
        <f t="shared" si="61"/>
        <v>0</v>
      </c>
      <c r="K40" s="13">
        <f t="shared" si="62"/>
        <v>0</v>
      </c>
      <c r="L40" s="13">
        <f t="shared" si="63"/>
        <v>0</v>
      </c>
      <c r="M40" s="14" t="str">
        <f t="shared" si="64"/>
        <v/>
      </c>
      <c r="N40" s="14" t="str">
        <f t="shared" si="65"/>
        <v/>
      </c>
      <c r="O40" s="15"/>
      <c r="P40" s="12" t="str">
        <f t="shared" si="66"/>
        <v/>
      </c>
      <c r="Q40" s="12" t="str">
        <f t="shared" si="67"/>
        <v/>
      </c>
      <c r="R40" s="16"/>
      <c r="S40" s="13" t="str">
        <f t="shared" si="68"/>
        <v/>
      </c>
      <c r="T40" s="13" t="str">
        <f t="shared" si="69"/>
        <v/>
      </c>
      <c r="U40" s="15"/>
      <c r="V40" s="12" t="str">
        <f t="shared" si="70"/>
        <v/>
      </c>
      <c r="W40" s="12" t="str">
        <f t="shared" si="71"/>
        <v/>
      </c>
      <c r="X40" s="16"/>
      <c r="Y40" s="13" t="str">
        <f t="shared" si="72"/>
        <v/>
      </c>
      <c r="Z40" s="13" t="str">
        <f t="shared" si="73"/>
        <v/>
      </c>
      <c r="AA40" s="15"/>
      <c r="AB40" s="12" t="str">
        <f t="shared" si="74"/>
        <v/>
      </c>
      <c r="AC40" s="12" t="str">
        <f t="shared" si="75"/>
        <v/>
      </c>
      <c r="AD40" s="16"/>
      <c r="AE40" s="13" t="str">
        <f t="shared" si="76"/>
        <v/>
      </c>
      <c r="AF40" s="13" t="str">
        <f t="shared" si="77"/>
        <v/>
      </c>
      <c r="AG40" s="15"/>
      <c r="AH40" s="12" t="str">
        <f t="shared" si="78"/>
        <v/>
      </c>
      <c r="AI40" s="12" t="str">
        <f t="shared" si="79"/>
        <v/>
      </c>
      <c r="AJ40" s="16"/>
      <c r="AK40" s="13" t="str">
        <f t="shared" si="80"/>
        <v/>
      </c>
      <c r="AL40" s="13" t="str">
        <f t="shared" si="81"/>
        <v/>
      </c>
      <c r="AM40" s="15"/>
      <c r="AN40" s="12" t="str">
        <f t="shared" si="82"/>
        <v/>
      </c>
      <c r="AO40" s="12" t="str">
        <f t="shared" si="83"/>
        <v/>
      </c>
      <c r="AP40" s="16"/>
      <c r="AQ40" s="13" t="str">
        <f t="shared" si="84"/>
        <v/>
      </c>
      <c r="AR40" s="13" t="str">
        <f t="shared" si="85"/>
        <v/>
      </c>
      <c r="AS40" s="15"/>
      <c r="AT40" s="12" t="str">
        <f t="shared" si="86"/>
        <v/>
      </c>
      <c r="AU40" s="12" t="str">
        <f t="shared" si="87"/>
        <v/>
      </c>
      <c r="AV40" s="16"/>
      <c r="AW40" s="13" t="str">
        <f t="shared" si="88"/>
        <v/>
      </c>
      <c r="AX40" s="13" t="str">
        <f t="shared" si="89"/>
        <v/>
      </c>
      <c r="AY40" s="15"/>
      <c r="AZ40" s="12" t="str">
        <f t="shared" si="90"/>
        <v/>
      </c>
      <c r="BA40" s="12" t="str">
        <f t="shared" si="91"/>
        <v/>
      </c>
      <c r="BB40" s="16"/>
      <c r="BC40" s="13" t="str">
        <f t="shared" si="92"/>
        <v/>
      </c>
      <c r="BD40" s="13" t="str">
        <f t="shared" si="93"/>
        <v/>
      </c>
      <c r="BE40" s="15"/>
      <c r="BF40" s="12" t="str">
        <f t="shared" si="94"/>
        <v/>
      </c>
      <c r="BG40" s="12" t="str">
        <f t="shared" si="95"/>
        <v/>
      </c>
      <c r="BH40" s="16"/>
      <c r="BI40" s="13" t="str">
        <f t="shared" si="96"/>
        <v/>
      </c>
      <c r="BJ40" s="13" t="str">
        <f t="shared" si="97"/>
        <v/>
      </c>
      <c r="BK40" s="15"/>
      <c r="BL40" s="12" t="str">
        <f t="shared" si="98"/>
        <v/>
      </c>
      <c r="BM40" s="12" t="str">
        <f t="shared" si="99"/>
        <v/>
      </c>
      <c r="BN40" s="16"/>
      <c r="BO40" s="13" t="str">
        <f t="shared" si="100"/>
        <v/>
      </c>
      <c r="BP40" s="13" t="str">
        <f t="shared" si="101"/>
        <v/>
      </c>
      <c r="BQ40" s="15"/>
      <c r="BR40" s="12" t="str">
        <f t="shared" si="102"/>
        <v/>
      </c>
      <c r="BS40" s="12" t="str">
        <f t="shared" si="103"/>
        <v/>
      </c>
      <c r="BT40" s="16"/>
      <c r="BU40" s="13" t="str">
        <f t="shared" si="104"/>
        <v/>
      </c>
      <c r="BV40" s="13" t="str">
        <f t="shared" si="105"/>
        <v/>
      </c>
      <c r="BW40" s="15"/>
      <c r="BX40" s="12" t="str">
        <f t="shared" si="106"/>
        <v/>
      </c>
      <c r="BY40" s="12" t="str">
        <f t="shared" si="107"/>
        <v/>
      </c>
      <c r="BZ40" s="16"/>
      <c r="CA40" s="13" t="str">
        <f t="shared" si="108"/>
        <v/>
      </c>
      <c r="CB40" s="13" t="str">
        <f t="shared" si="109"/>
        <v/>
      </c>
      <c r="CC40" s="15"/>
      <c r="CD40" s="12" t="str">
        <f t="shared" si="110"/>
        <v/>
      </c>
      <c r="CE40" s="12" t="str">
        <f t="shared" si="111"/>
        <v/>
      </c>
      <c r="CF40" s="16"/>
      <c r="CG40" s="13" t="str">
        <f t="shared" si="112"/>
        <v/>
      </c>
      <c r="CH40" s="13" t="str">
        <f t="shared" si="113"/>
        <v/>
      </c>
      <c r="CI40" s="17">
        <f t="shared" si="114"/>
        <v>0</v>
      </c>
      <c r="CJ40" s="17">
        <f t="shared" si="115"/>
        <v>0</v>
      </c>
    </row>
    <row r="41" spans="1:88" ht="15.75" x14ac:dyDescent="0.15">
      <c r="A41" s="3" t="s">
        <v>152</v>
      </c>
      <c r="B41" s="11" t="str">
        <f>IF(D41="","",IFERROR(VLOOKUP(D41,商品マスタ!$A:$K,2,FALSE),"缶バッジ"))</f>
        <v>缶バッジ</v>
      </c>
      <c r="C41" s="2" t="s">
        <v>176</v>
      </c>
      <c r="D41" s="2" t="s">
        <v>148</v>
      </c>
      <c r="E41" s="6">
        <f>IF(D41="","",IFERROR(VLOOKUP(D41,商品マスタ!$A:$K,4,FALSE),12.55))</f>
        <v>12.55</v>
      </c>
      <c r="F41" s="6">
        <f>IF(D41="","",IFERROR(VLOOKUP(D41,商品マスタ!$A:$K,8,FALSE),1.14))</f>
        <v>1.1399999999999999</v>
      </c>
      <c r="G41" s="12">
        <f t="shared" si="58"/>
        <v>0</v>
      </c>
      <c r="H41" s="12">
        <f t="shared" si="59"/>
        <v>0</v>
      </c>
      <c r="I41" s="12">
        <f t="shared" si="60"/>
        <v>0</v>
      </c>
      <c r="J41" s="13">
        <f t="shared" si="61"/>
        <v>0</v>
      </c>
      <c r="K41" s="13">
        <f t="shared" si="62"/>
        <v>0</v>
      </c>
      <c r="L41" s="13">
        <f t="shared" si="63"/>
        <v>0</v>
      </c>
      <c r="M41" s="14" t="str">
        <f t="shared" si="64"/>
        <v/>
      </c>
      <c r="N41" s="14" t="str">
        <f t="shared" si="65"/>
        <v/>
      </c>
      <c r="O41" s="15"/>
      <c r="P41" s="12" t="str">
        <f t="shared" si="66"/>
        <v/>
      </c>
      <c r="Q41" s="12" t="str">
        <f t="shared" si="67"/>
        <v/>
      </c>
      <c r="R41" s="16"/>
      <c r="S41" s="13" t="str">
        <f t="shared" si="68"/>
        <v/>
      </c>
      <c r="T41" s="13" t="str">
        <f t="shared" si="69"/>
        <v/>
      </c>
      <c r="U41" s="15"/>
      <c r="V41" s="12" t="str">
        <f t="shared" si="70"/>
        <v/>
      </c>
      <c r="W41" s="12" t="str">
        <f t="shared" si="71"/>
        <v/>
      </c>
      <c r="X41" s="16"/>
      <c r="Y41" s="13" t="str">
        <f t="shared" si="72"/>
        <v/>
      </c>
      <c r="Z41" s="13" t="str">
        <f t="shared" si="73"/>
        <v/>
      </c>
      <c r="AA41" s="15"/>
      <c r="AB41" s="12" t="str">
        <f t="shared" si="74"/>
        <v/>
      </c>
      <c r="AC41" s="12" t="str">
        <f t="shared" si="75"/>
        <v/>
      </c>
      <c r="AD41" s="16"/>
      <c r="AE41" s="13" t="str">
        <f t="shared" si="76"/>
        <v/>
      </c>
      <c r="AF41" s="13" t="str">
        <f t="shared" si="77"/>
        <v/>
      </c>
      <c r="AG41" s="15"/>
      <c r="AH41" s="12" t="str">
        <f t="shared" si="78"/>
        <v/>
      </c>
      <c r="AI41" s="12" t="str">
        <f t="shared" si="79"/>
        <v/>
      </c>
      <c r="AJ41" s="16"/>
      <c r="AK41" s="13" t="str">
        <f t="shared" si="80"/>
        <v/>
      </c>
      <c r="AL41" s="13" t="str">
        <f t="shared" si="81"/>
        <v/>
      </c>
      <c r="AM41" s="15"/>
      <c r="AN41" s="12" t="str">
        <f t="shared" si="82"/>
        <v/>
      </c>
      <c r="AO41" s="12" t="str">
        <f t="shared" si="83"/>
        <v/>
      </c>
      <c r="AP41" s="16"/>
      <c r="AQ41" s="13" t="str">
        <f t="shared" si="84"/>
        <v/>
      </c>
      <c r="AR41" s="13" t="str">
        <f t="shared" si="85"/>
        <v/>
      </c>
      <c r="AS41" s="15"/>
      <c r="AT41" s="12" t="str">
        <f t="shared" si="86"/>
        <v/>
      </c>
      <c r="AU41" s="12" t="str">
        <f t="shared" si="87"/>
        <v/>
      </c>
      <c r="AV41" s="16"/>
      <c r="AW41" s="13" t="str">
        <f t="shared" si="88"/>
        <v/>
      </c>
      <c r="AX41" s="13" t="str">
        <f t="shared" si="89"/>
        <v/>
      </c>
      <c r="AY41" s="15"/>
      <c r="AZ41" s="12" t="str">
        <f t="shared" si="90"/>
        <v/>
      </c>
      <c r="BA41" s="12" t="str">
        <f t="shared" si="91"/>
        <v/>
      </c>
      <c r="BB41" s="16"/>
      <c r="BC41" s="13" t="str">
        <f t="shared" si="92"/>
        <v/>
      </c>
      <c r="BD41" s="13" t="str">
        <f t="shared" si="93"/>
        <v/>
      </c>
      <c r="BE41" s="15"/>
      <c r="BF41" s="12" t="str">
        <f t="shared" si="94"/>
        <v/>
      </c>
      <c r="BG41" s="12" t="str">
        <f t="shared" si="95"/>
        <v/>
      </c>
      <c r="BH41" s="16"/>
      <c r="BI41" s="13" t="str">
        <f t="shared" si="96"/>
        <v/>
      </c>
      <c r="BJ41" s="13" t="str">
        <f t="shared" si="97"/>
        <v/>
      </c>
      <c r="BK41" s="15"/>
      <c r="BL41" s="12" t="str">
        <f t="shared" si="98"/>
        <v/>
      </c>
      <c r="BM41" s="12" t="str">
        <f t="shared" si="99"/>
        <v/>
      </c>
      <c r="BN41" s="16"/>
      <c r="BO41" s="13" t="str">
        <f t="shared" si="100"/>
        <v/>
      </c>
      <c r="BP41" s="13" t="str">
        <f t="shared" si="101"/>
        <v/>
      </c>
      <c r="BQ41" s="15"/>
      <c r="BR41" s="12" t="str">
        <f t="shared" si="102"/>
        <v/>
      </c>
      <c r="BS41" s="12" t="str">
        <f t="shared" si="103"/>
        <v/>
      </c>
      <c r="BT41" s="16"/>
      <c r="BU41" s="13" t="str">
        <f t="shared" si="104"/>
        <v/>
      </c>
      <c r="BV41" s="13" t="str">
        <f t="shared" si="105"/>
        <v/>
      </c>
      <c r="BW41" s="15"/>
      <c r="BX41" s="12" t="str">
        <f t="shared" si="106"/>
        <v/>
      </c>
      <c r="BY41" s="12" t="str">
        <f t="shared" si="107"/>
        <v/>
      </c>
      <c r="BZ41" s="16"/>
      <c r="CA41" s="13" t="str">
        <f t="shared" si="108"/>
        <v/>
      </c>
      <c r="CB41" s="13" t="str">
        <f t="shared" si="109"/>
        <v/>
      </c>
      <c r="CC41" s="15"/>
      <c r="CD41" s="12" t="str">
        <f t="shared" si="110"/>
        <v/>
      </c>
      <c r="CE41" s="12" t="str">
        <f t="shared" si="111"/>
        <v/>
      </c>
      <c r="CF41" s="16"/>
      <c r="CG41" s="13" t="str">
        <f t="shared" si="112"/>
        <v/>
      </c>
      <c r="CH41" s="13" t="str">
        <f t="shared" si="113"/>
        <v/>
      </c>
      <c r="CI41" s="17">
        <f t="shared" si="114"/>
        <v>0</v>
      </c>
      <c r="CJ41" s="17">
        <f t="shared" si="115"/>
        <v>0</v>
      </c>
    </row>
    <row r="42" spans="1:88" ht="15.75" x14ac:dyDescent="0.15">
      <c r="A42" s="3" t="s">
        <v>152</v>
      </c>
      <c r="B42" s="11" t="str">
        <f>IF(D42="","",IFERROR(VLOOKUP(D42,商品マスタ!$A:$K,2,FALSE),"缶バッジ"))</f>
        <v>缶バッジ</v>
      </c>
      <c r="C42" s="2" t="s">
        <v>177</v>
      </c>
      <c r="D42" s="2" t="s">
        <v>148</v>
      </c>
      <c r="E42" s="6">
        <f>IF(D42="","",IFERROR(VLOOKUP(D42,商品マスタ!$A:$K,4,FALSE),12.55))</f>
        <v>12.55</v>
      </c>
      <c r="F42" s="6">
        <f>IF(D42="","",IFERROR(VLOOKUP(D42,商品マスタ!$A:$K,8,FALSE),1.14))</f>
        <v>1.1399999999999999</v>
      </c>
      <c r="G42" s="12">
        <f t="shared" si="58"/>
        <v>0</v>
      </c>
      <c r="H42" s="12">
        <f t="shared" si="59"/>
        <v>0</v>
      </c>
      <c r="I42" s="12">
        <f t="shared" si="60"/>
        <v>0</v>
      </c>
      <c r="J42" s="13">
        <f t="shared" si="61"/>
        <v>0</v>
      </c>
      <c r="K42" s="13">
        <f t="shared" si="62"/>
        <v>0</v>
      </c>
      <c r="L42" s="13">
        <f t="shared" si="63"/>
        <v>0</v>
      </c>
      <c r="M42" s="14" t="str">
        <f t="shared" si="64"/>
        <v/>
      </c>
      <c r="N42" s="14" t="str">
        <f t="shared" si="65"/>
        <v/>
      </c>
      <c r="O42" s="15"/>
      <c r="P42" s="12" t="str">
        <f t="shared" si="66"/>
        <v/>
      </c>
      <c r="Q42" s="12" t="str">
        <f t="shared" si="67"/>
        <v/>
      </c>
      <c r="R42" s="16"/>
      <c r="S42" s="13" t="str">
        <f t="shared" si="68"/>
        <v/>
      </c>
      <c r="T42" s="13" t="str">
        <f t="shared" si="69"/>
        <v/>
      </c>
      <c r="U42" s="15"/>
      <c r="V42" s="12" t="str">
        <f t="shared" si="70"/>
        <v/>
      </c>
      <c r="W42" s="12" t="str">
        <f t="shared" si="71"/>
        <v/>
      </c>
      <c r="X42" s="16"/>
      <c r="Y42" s="13" t="str">
        <f t="shared" si="72"/>
        <v/>
      </c>
      <c r="Z42" s="13" t="str">
        <f t="shared" si="73"/>
        <v/>
      </c>
      <c r="AA42" s="15"/>
      <c r="AB42" s="12" t="str">
        <f t="shared" si="74"/>
        <v/>
      </c>
      <c r="AC42" s="12" t="str">
        <f t="shared" si="75"/>
        <v/>
      </c>
      <c r="AD42" s="16"/>
      <c r="AE42" s="13" t="str">
        <f t="shared" si="76"/>
        <v/>
      </c>
      <c r="AF42" s="13" t="str">
        <f t="shared" si="77"/>
        <v/>
      </c>
      <c r="AG42" s="15"/>
      <c r="AH42" s="12" t="str">
        <f t="shared" si="78"/>
        <v/>
      </c>
      <c r="AI42" s="12" t="str">
        <f t="shared" si="79"/>
        <v/>
      </c>
      <c r="AJ42" s="16"/>
      <c r="AK42" s="13" t="str">
        <f t="shared" si="80"/>
        <v/>
      </c>
      <c r="AL42" s="13" t="str">
        <f t="shared" si="81"/>
        <v/>
      </c>
      <c r="AM42" s="15"/>
      <c r="AN42" s="12" t="str">
        <f t="shared" si="82"/>
        <v/>
      </c>
      <c r="AO42" s="12" t="str">
        <f t="shared" si="83"/>
        <v/>
      </c>
      <c r="AP42" s="16"/>
      <c r="AQ42" s="13" t="str">
        <f t="shared" si="84"/>
        <v/>
      </c>
      <c r="AR42" s="13" t="str">
        <f t="shared" si="85"/>
        <v/>
      </c>
      <c r="AS42" s="15"/>
      <c r="AT42" s="12" t="str">
        <f t="shared" si="86"/>
        <v/>
      </c>
      <c r="AU42" s="12" t="str">
        <f t="shared" si="87"/>
        <v/>
      </c>
      <c r="AV42" s="16"/>
      <c r="AW42" s="13" t="str">
        <f t="shared" si="88"/>
        <v/>
      </c>
      <c r="AX42" s="13" t="str">
        <f t="shared" si="89"/>
        <v/>
      </c>
      <c r="AY42" s="15"/>
      <c r="AZ42" s="12" t="str">
        <f t="shared" si="90"/>
        <v/>
      </c>
      <c r="BA42" s="12" t="str">
        <f t="shared" si="91"/>
        <v/>
      </c>
      <c r="BB42" s="16"/>
      <c r="BC42" s="13" t="str">
        <f t="shared" si="92"/>
        <v/>
      </c>
      <c r="BD42" s="13" t="str">
        <f t="shared" si="93"/>
        <v/>
      </c>
      <c r="BE42" s="15"/>
      <c r="BF42" s="12" t="str">
        <f t="shared" si="94"/>
        <v/>
      </c>
      <c r="BG42" s="12" t="str">
        <f t="shared" si="95"/>
        <v/>
      </c>
      <c r="BH42" s="16"/>
      <c r="BI42" s="13" t="str">
        <f t="shared" si="96"/>
        <v/>
      </c>
      <c r="BJ42" s="13" t="str">
        <f t="shared" si="97"/>
        <v/>
      </c>
      <c r="BK42" s="15"/>
      <c r="BL42" s="12" t="str">
        <f t="shared" si="98"/>
        <v/>
      </c>
      <c r="BM42" s="12" t="str">
        <f t="shared" si="99"/>
        <v/>
      </c>
      <c r="BN42" s="16"/>
      <c r="BO42" s="13" t="str">
        <f t="shared" si="100"/>
        <v/>
      </c>
      <c r="BP42" s="13" t="str">
        <f t="shared" si="101"/>
        <v/>
      </c>
      <c r="BQ42" s="15"/>
      <c r="BR42" s="12" t="str">
        <f t="shared" si="102"/>
        <v/>
      </c>
      <c r="BS42" s="12" t="str">
        <f t="shared" si="103"/>
        <v/>
      </c>
      <c r="BT42" s="16"/>
      <c r="BU42" s="13" t="str">
        <f t="shared" si="104"/>
        <v/>
      </c>
      <c r="BV42" s="13" t="str">
        <f t="shared" si="105"/>
        <v/>
      </c>
      <c r="BW42" s="15"/>
      <c r="BX42" s="12" t="str">
        <f t="shared" si="106"/>
        <v/>
      </c>
      <c r="BY42" s="12" t="str">
        <f t="shared" si="107"/>
        <v/>
      </c>
      <c r="BZ42" s="16"/>
      <c r="CA42" s="13" t="str">
        <f t="shared" si="108"/>
        <v/>
      </c>
      <c r="CB42" s="13" t="str">
        <f t="shared" si="109"/>
        <v/>
      </c>
      <c r="CC42" s="15"/>
      <c r="CD42" s="12" t="str">
        <f t="shared" si="110"/>
        <v/>
      </c>
      <c r="CE42" s="12" t="str">
        <f t="shared" si="111"/>
        <v/>
      </c>
      <c r="CF42" s="16"/>
      <c r="CG42" s="13" t="str">
        <f t="shared" si="112"/>
        <v/>
      </c>
      <c r="CH42" s="13" t="str">
        <f t="shared" si="113"/>
        <v/>
      </c>
      <c r="CI42" s="17">
        <f t="shared" si="114"/>
        <v>0</v>
      </c>
      <c r="CJ42" s="17">
        <f t="shared" si="115"/>
        <v>0</v>
      </c>
    </row>
    <row r="43" spans="1:88" ht="15.75" x14ac:dyDescent="0.15">
      <c r="A43" s="3" t="s">
        <v>152</v>
      </c>
      <c r="B43" s="11" t="str">
        <f>IF(D43="","",IFERROR(VLOOKUP(D43,商品マスタ!$A:$K,2,FALSE),"缶バッジ"))</f>
        <v>缶バッジ</v>
      </c>
      <c r="C43" s="2" t="s">
        <v>178</v>
      </c>
      <c r="D43" s="2" t="s">
        <v>148</v>
      </c>
      <c r="E43" s="6">
        <f>IF(D43="","",IFERROR(VLOOKUP(D43,商品マスタ!$A:$K,4,FALSE),12.55))</f>
        <v>12.55</v>
      </c>
      <c r="F43" s="6">
        <f>IF(D43="","",IFERROR(VLOOKUP(D43,商品マスタ!$A:$K,8,FALSE),1.14))</f>
        <v>1.1399999999999999</v>
      </c>
      <c r="G43" s="12">
        <f t="shared" si="58"/>
        <v>0</v>
      </c>
      <c r="H43" s="12">
        <f t="shared" si="59"/>
        <v>0</v>
      </c>
      <c r="I43" s="12">
        <f t="shared" si="60"/>
        <v>0</v>
      </c>
      <c r="J43" s="13">
        <f t="shared" si="61"/>
        <v>0</v>
      </c>
      <c r="K43" s="13">
        <f t="shared" si="62"/>
        <v>0</v>
      </c>
      <c r="L43" s="13">
        <f t="shared" si="63"/>
        <v>0</v>
      </c>
      <c r="M43" s="14" t="str">
        <f t="shared" si="64"/>
        <v/>
      </c>
      <c r="N43" s="14" t="str">
        <f t="shared" si="65"/>
        <v/>
      </c>
      <c r="O43" s="15"/>
      <c r="P43" s="12" t="str">
        <f t="shared" si="66"/>
        <v/>
      </c>
      <c r="Q43" s="12" t="str">
        <f t="shared" si="67"/>
        <v/>
      </c>
      <c r="R43" s="16"/>
      <c r="S43" s="13" t="str">
        <f t="shared" si="68"/>
        <v/>
      </c>
      <c r="T43" s="13" t="str">
        <f t="shared" si="69"/>
        <v/>
      </c>
      <c r="U43" s="15"/>
      <c r="V43" s="12" t="str">
        <f t="shared" si="70"/>
        <v/>
      </c>
      <c r="W43" s="12" t="str">
        <f t="shared" si="71"/>
        <v/>
      </c>
      <c r="X43" s="16"/>
      <c r="Y43" s="13" t="str">
        <f t="shared" si="72"/>
        <v/>
      </c>
      <c r="Z43" s="13" t="str">
        <f t="shared" si="73"/>
        <v/>
      </c>
      <c r="AA43" s="15"/>
      <c r="AB43" s="12" t="str">
        <f t="shared" si="74"/>
        <v/>
      </c>
      <c r="AC43" s="12" t="str">
        <f t="shared" si="75"/>
        <v/>
      </c>
      <c r="AD43" s="16"/>
      <c r="AE43" s="13" t="str">
        <f t="shared" si="76"/>
        <v/>
      </c>
      <c r="AF43" s="13" t="str">
        <f t="shared" si="77"/>
        <v/>
      </c>
      <c r="AG43" s="15"/>
      <c r="AH43" s="12" t="str">
        <f t="shared" si="78"/>
        <v/>
      </c>
      <c r="AI43" s="12" t="str">
        <f t="shared" si="79"/>
        <v/>
      </c>
      <c r="AJ43" s="16"/>
      <c r="AK43" s="13" t="str">
        <f t="shared" si="80"/>
        <v/>
      </c>
      <c r="AL43" s="13" t="str">
        <f t="shared" si="81"/>
        <v/>
      </c>
      <c r="AM43" s="15"/>
      <c r="AN43" s="12" t="str">
        <f t="shared" si="82"/>
        <v/>
      </c>
      <c r="AO43" s="12" t="str">
        <f t="shared" si="83"/>
        <v/>
      </c>
      <c r="AP43" s="16"/>
      <c r="AQ43" s="13" t="str">
        <f t="shared" si="84"/>
        <v/>
      </c>
      <c r="AR43" s="13" t="str">
        <f t="shared" si="85"/>
        <v/>
      </c>
      <c r="AS43" s="15"/>
      <c r="AT43" s="12" t="str">
        <f t="shared" si="86"/>
        <v/>
      </c>
      <c r="AU43" s="12" t="str">
        <f t="shared" si="87"/>
        <v/>
      </c>
      <c r="AV43" s="16"/>
      <c r="AW43" s="13" t="str">
        <f t="shared" si="88"/>
        <v/>
      </c>
      <c r="AX43" s="13" t="str">
        <f t="shared" si="89"/>
        <v/>
      </c>
      <c r="AY43" s="15"/>
      <c r="AZ43" s="12" t="str">
        <f t="shared" si="90"/>
        <v/>
      </c>
      <c r="BA43" s="12" t="str">
        <f t="shared" si="91"/>
        <v/>
      </c>
      <c r="BB43" s="16"/>
      <c r="BC43" s="13" t="str">
        <f t="shared" si="92"/>
        <v/>
      </c>
      <c r="BD43" s="13" t="str">
        <f t="shared" si="93"/>
        <v/>
      </c>
      <c r="BE43" s="15"/>
      <c r="BF43" s="12" t="str">
        <f t="shared" si="94"/>
        <v/>
      </c>
      <c r="BG43" s="12" t="str">
        <f t="shared" si="95"/>
        <v/>
      </c>
      <c r="BH43" s="16"/>
      <c r="BI43" s="13" t="str">
        <f t="shared" si="96"/>
        <v/>
      </c>
      <c r="BJ43" s="13" t="str">
        <f t="shared" si="97"/>
        <v/>
      </c>
      <c r="BK43" s="15"/>
      <c r="BL43" s="12" t="str">
        <f t="shared" si="98"/>
        <v/>
      </c>
      <c r="BM43" s="12" t="str">
        <f t="shared" si="99"/>
        <v/>
      </c>
      <c r="BN43" s="16"/>
      <c r="BO43" s="13" t="str">
        <f t="shared" si="100"/>
        <v/>
      </c>
      <c r="BP43" s="13" t="str">
        <f t="shared" si="101"/>
        <v/>
      </c>
      <c r="BQ43" s="15"/>
      <c r="BR43" s="12" t="str">
        <f t="shared" si="102"/>
        <v/>
      </c>
      <c r="BS43" s="12" t="str">
        <f t="shared" si="103"/>
        <v/>
      </c>
      <c r="BT43" s="16"/>
      <c r="BU43" s="13" t="str">
        <f t="shared" si="104"/>
        <v/>
      </c>
      <c r="BV43" s="13" t="str">
        <f t="shared" si="105"/>
        <v/>
      </c>
      <c r="BW43" s="15"/>
      <c r="BX43" s="12" t="str">
        <f t="shared" si="106"/>
        <v/>
      </c>
      <c r="BY43" s="12" t="str">
        <f t="shared" si="107"/>
        <v/>
      </c>
      <c r="BZ43" s="16"/>
      <c r="CA43" s="13" t="str">
        <f t="shared" si="108"/>
        <v/>
      </c>
      <c r="CB43" s="13" t="str">
        <f t="shared" si="109"/>
        <v/>
      </c>
      <c r="CC43" s="15"/>
      <c r="CD43" s="12" t="str">
        <f t="shared" si="110"/>
        <v/>
      </c>
      <c r="CE43" s="12" t="str">
        <f t="shared" si="111"/>
        <v/>
      </c>
      <c r="CF43" s="16"/>
      <c r="CG43" s="13" t="str">
        <f t="shared" si="112"/>
        <v/>
      </c>
      <c r="CH43" s="13" t="str">
        <f t="shared" si="113"/>
        <v/>
      </c>
      <c r="CI43" s="17">
        <f t="shared" si="114"/>
        <v>0</v>
      </c>
      <c r="CJ43" s="17">
        <f t="shared" si="115"/>
        <v>0</v>
      </c>
    </row>
    <row r="44" spans="1:88" ht="15.75" x14ac:dyDescent="0.15">
      <c r="A44" s="3" t="s">
        <v>152</v>
      </c>
      <c r="B44" s="11" t="str">
        <f>IF(D44="","",IFERROR(VLOOKUP(D44,商品マスタ!$A:$K,2,FALSE),"缶バッジ"))</f>
        <v>缶バッジ</v>
      </c>
      <c r="C44" s="2" t="s">
        <v>179</v>
      </c>
      <c r="D44" s="2" t="s">
        <v>148</v>
      </c>
      <c r="E44" s="6">
        <f>IF(D44="","",IFERROR(VLOOKUP(D44,商品マスタ!$A:$K,4,FALSE),12.55))</f>
        <v>12.55</v>
      </c>
      <c r="F44" s="6">
        <f>IF(D44="","",IFERROR(VLOOKUP(D44,商品マスタ!$A:$K,8,FALSE),1.14))</f>
        <v>1.1399999999999999</v>
      </c>
      <c r="G44" s="12">
        <f t="shared" si="58"/>
        <v>0</v>
      </c>
      <c r="H44" s="12">
        <f t="shared" si="59"/>
        <v>0</v>
      </c>
      <c r="I44" s="12">
        <f t="shared" si="60"/>
        <v>0</v>
      </c>
      <c r="J44" s="13">
        <f t="shared" si="61"/>
        <v>0</v>
      </c>
      <c r="K44" s="13">
        <f t="shared" si="62"/>
        <v>0</v>
      </c>
      <c r="L44" s="13">
        <f t="shared" si="63"/>
        <v>0</v>
      </c>
      <c r="M44" s="14" t="str">
        <f t="shared" si="64"/>
        <v/>
      </c>
      <c r="N44" s="14" t="str">
        <f t="shared" si="65"/>
        <v/>
      </c>
      <c r="O44" s="15"/>
      <c r="P44" s="12" t="str">
        <f t="shared" si="66"/>
        <v/>
      </c>
      <c r="Q44" s="12" t="str">
        <f t="shared" si="67"/>
        <v/>
      </c>
      <c r="R44" s="16"/>
      <c r="S44" s="13" t="str">
        <f t="shared" si="68"/>
        <v/>
      </c>
      <c r="T44" s="13" t="str">
        <f t="shared" si="69"/>
        <v/>
      </c>
      <c r="U44" s="15"/>
      <c r="V44" s="12" t="str">
        <f t="shared" si="70"/>
        <v/>
      </c>
      <c r="W44" s="12" t="str">
        <f t="shared" si="71"/>
        <v/>
      </c>
      <c r="X44" s="16"/>
      <c r="Y44" s="13" t="str">
        <f t="shared" si="72"/>
        <v/>
      </c>
      <c r="Z44" s="13" t="str">
        <f t="shared" si="73"/>
        <v/>
      </c>
      <c r="AA44" s="15"/>
      <c r="AB44" s="12" t="str">
        <f t="shared" si="74"/>
        <v/>
      </c>
      <c r="AC44" s="12" t="str">
        <f t="shared" si="75"/>
        <v/>
      </c>
      <c r="AD44" s="16"/>
      <c r="AE44" s="13" t="str">
        <f t="shared" si="76"/>
        <v/>
      </c>
      <c r="AF44" s="13" t="str">
        <f t="shared" si="77"/>
        <v/>
      </c>
      <c r="AG44" s="15"/>
      <c r="AH44" s="12" t="str">
        <f t="shared" si="78"/>
        <v/>
      </c>
      <c r="AI44" s="12" t="str">
        <f t="shared" si="79"/>
        <v/>
      </c>
      <c r="AJ44" s="16"/>
      <c r="AK44" s="13" t="str">
        <f t="shared" si="80"/>
        <v/>
      </c>
      <c r="AL44" s="13" t="str">
        <f t="shared" si="81"/>
        <v/>
      </c>
      <c r="AM44" s="15"/>
      <c r="AN44" s="12" t="str">
        <f t="shared" si="82"/>
        <v/>
      </c>
      <c r="AO44" s="12" t="str">
        <f t="shared" si="83"/>
        <v/>
      </c>
      <c r="AP44" s="16"/>
      <c r="AQ44" s="13" t="str">
        <f t="shared" si="84"/>
        <v/>
      </c>
      <c r="AR44" s="13" t="str">
        <f t="shared" si="85"/>
        <v/>
      </c>
      <c r="AS44" s="15"/>
      <c r="AT44" s="12" t="str">
        <f t="shared" si="86"/>
        <v/>
      </c>
      <c r="AU44" s="12" t="str">
        <f t="shared" si="87"/>
        <v/>
      </c>
      <c r="AV44" s="16"/>
      <c r="AW44" s="13" t="str">
        <f t="shared" si="88"/>
        <v/>
      </c>
      <c r="AX44" s="13" t="str">
        <f t="shared" si="89"/>
        <v/>
      </c>
      <c r="AY44" s="15"/>
      <c r="AZ44" s="12" t="str">
        <f t="shared" si="90"/>
        <v/>
      </c>
      <c r="BA44" s="12" t="str">
        <f t="shared" si="91"/>
        <v/>
      </c>
      <c r="BB44" s="16"/>
      <c r="BC44" s="13" t="str">
        <f t="shared" si="92"/>
        <v/>
      </c>
      <c r="BD44" s="13" t="str">
        <f t="shared" si="93"/>
        <v/>
      </c>
      <c r="BE44" s="15"/>
      <c r="BF44" s="12" t="str">
        <f t="shared" si="94"/>
        <v/>
      </c>
      <c r="BG44" s="12" t="str">
        <f t="shared" si="95"/>
        <v/>
      </c>
      <c r="BH44" s="16"/>
      <c r="BI44" s="13" t="str">
        <f t="shared" si="96"/>
        <v/>
      </c>
      <c r="BJ44" s="13" t="str">
        <f t="shared" si="97"/>
        <v/>
      </c>
      <c r="BK44" s="15"/>
      <c r="BL44" s="12" t="str">
        <f t="shared" si="98"/>
        <v/>
      </c>
      <c r="BM44" s="12" t="str">
        <f t="shared" si="99"/>
        <v/>
      </c>
      <c r="BN44" s="16"/>
      <c r="BO44" s="13" t="str">
        <f t="shared" si="100"/>
        <v/>
      </c>
      <c r="BP44" s="13" t="str">
        <f t="shared" si="101"/>
        <v/>
      </c>
      <c r="BQ44" s="15"/>
      <c r="BR44" s="12" t="str">
        <f t="shared" si="102"/>
        <v/>
      </c>
      <c r="BS44" s="12" t="str">
        <f t="shared" si="103"/>
        <v/>
      </c>
      <c r="BT44" s="16"/>
      <c r="BU44" s="13" t="str">
        <f t="shared" si="104"/>
        <v/>
      </c>
      <c r="BV44" s="13" t="str">
        <f t="shared" si="105"/>
        <v/>
      </c>
      <c r="BW44" s="15"/>
      <c r="BX44" s="12" t="str">
        <f t="shared" si="106"/>
        <v/>
      </c>
      <c r="BY44" s="12" t="str">
        <f t="shared" si="107"/>
        <v/>
      </c>
      <c r="BZ44" s="16"/>
      <c r="CA44" s="13" t="str">
        <f t="shared" si="108"/>
        <v/>
      </c>
      <c r="CB44" s="13" t="str">
        <f t="shared" si="109"/>
        <v/>
      </c>
      <c r="CC44" s="15"/>
      <c r="CD44" s="12" t="str">
        <f t="shared" si="110"/>
        <v/>
      </c>
      <c r="CE44" s="12" t="str">
        <f t="shared" si="111"/>
        <v/>
      </c>
      <c r="CF44" s="16"/>
      <c r="CG44" s="13" t="str">
        <f t="shared" si="112"/>
        <v/>
      </c>
      <c r="CH44" s="13" t="str">
        <f t="shared" si="113"/>
        <v/>
      </c>
      <c r="CI44" s="17">
        <f t="shared" si="114"/>
        <v>0</v>
      </c>
      <c r="CJ44" s="17">
        <f t="shared" si="115"/>
        <v>0</v>
      </c>
    </row>
    <row r="45" spans="1:88" ht="15.75" x14ac:dyDescent="0.15">
      <c r="A45" s="3" t="s">
        <v>152</v>
      </c>
      <c r="B45" s="11" t="str">
        <f>IF(D45="","",IFERROR(VLOOKUP(D45,商品マスタ!$A:$K,2,FALSE),"缶バッジ"))</f>
        <v>缶バッジ</v>
      </c>
      <c r="C45" s="2" t="s">
        <v>180</v>
      </c>
      <c r="D45" s="2" t="s">
        <v>148</v>
      </c>
      <c r="E45" s="6">
        <f>IF(D45="","",IFERROR(VLOOKUP(D45,商品マスタ!$A:$K,4,FALSE),12.55))</f>
        <v>12.55</v>
      </c>
      <c r="F45" s="6">
        <f>IF(D45="","",IFERROR(VLOOKUP(D45,商品マスタ!$A:$K,8,FALSE),1.14))</f>
        <v>1.1399999999999999</v>
      </c>
      <c r="G45" s="12">
        <f t="shared" si="58"/>
        <v>0</v>
      </c>
      <c r="H45" s="12">
        <f t="shared" si="59"/>
        <v>0</v>
      </c>
      <c r="I45" s="12">
        <f t="shared" si="60"/>
        <v>0</v>
      </c>
      <c r="J45" s="13">
        <f t="shared" si="61"/>
        <v>0</v>
      </c>
      <c r="K45" s="13">
        <f t="shared" si="62"/>
        <v>0</v>
      </c>
      <c r="L45" s="13">
        <f t="shared" si="63"/>
        <v>0</v>
      </c>
      <c r="M45" s="14" t="str">
        <f t="shared" si="64"/>
        <v/>
      </c>
      <c r="N45" s="14" t="str">
        <f t="shared" si="65"/>
        <v/>
      </c>
      <c r="O45" s="15"/>
      <c r="P45" s="12" t="str">
        <f t="shared" si="66"/>
        <v/>
      </c>
      <c r="Q45" s="12" t="str">
        <f t="shared" si="67"/>
        <v/>
      </c>
      <c r="R45" s="16"/>
      <c r="S45" s="13" t="str">
        <f t="shared" si="68"/>
        <v/>
      </c>
      <c r="T45" s="13" t="str">
        <f t="shared" si="69"/>
        <v/>
      </c>
      <c r="U45" s="15"/>
      <c r="V45" s="12" t="str">
        <f t="shared" si="70"/>
        <v/>
      </c>
      <c r="W45" s="12" t="str">
        <f t="shared" si="71"/>
        <v/>
      </c>
      <c r="X45" s="16"/>
      <c r="Y45" s="13" t="str">
        <f t="shared" si="72"/>
        <v/>
      </c>
      <c r="Z45" s="13" t="str">
        <f t="shared" si="73"/>
        <v/>
      </c>
      <c r="AA45" s="15"/>
      <c r="AB45" s="12" t="str">
        <f t="shared" si="74"/>
        <v/>
      </c>
      <c r="AC45" s="12" t="str">
        <f t="shared" si="75"/>
        <v/>
      </c>
      <c r="AD45" s="16"/>
      <c r="AE45" s="13" t="str">
        <f t="shared" si="76"/>
        <v/>
      </c>
      <c r="AF45" s="13" t="str">
        <f t="shared" si="77"/>
        <v/>
      </c>
      <c r="AG45" s="15"/>
      <c r="AH45" s="12" t="str">
        <f t="shared" si="78"/>
        <v/>
      </c>
      <c r="AI45" s="12" t="str">
        <f t="shared" si="79"/>
        <v/>
      </c>
      <c r="AJ45" s="16"/>
      <c r="AK45" s="13" t="str">
        <f t="shared" si="80"/>
        <v/>
      </c>
      <c r="AL45" s="13" t="str">
        <f t="shared" si="81"/>
        <v/>
      </c>
      <c r="AM45" s="15"/>
      <c r="AN45" s="12" t="str">
        <f t="shared" si="82"/>
        <v/>
      </c>
      <c r="AO45" s="12" t="str">
        <f t="shared" si="83"/>
        <v/>
      </c>
      <c r="AP45" s="16"/>
      <c r="AQ45" s="13" t="str">
        <f t="shared" si="84"/>
        <v/>
      </c>
      <c r="AR45" s="13" t="str">
        <f t="shared" si="85"/>
        <v/>
      </c>
      <c r="AS45" s="15"/>
      <c r="AT45" s="12" t="str">
        <f t="shared" si="86"/>
        <v/>
      </c>
      <c r="AU45" s="12" t="str">
        <f t="shared" si="87"/>
        <v/>
      </c>
      <c r="AV45" s="16"/>
      <c r="AW45" s="13" t="str">
        <f t="shared" si="88"/>
        <v/>
      </c>
      <c r="AX45" s="13" t="str">
        <f t="shared" si="89"/>
        <v/>
      </c>
      <c r="AY45" s="15"/>
      <c r="AZ45" s="12" t="str">
        <f t="shared" si="90"/>
        <v/>
      </c>
      <c r="BA45" s="12" t="str">
        <f t="shared" si="91"/>
        <v/>
      </c>
      <c r="BB45" s="16"/>
      <c r="BC45" s="13" t="str">
        <f t="shared" si="92"/>
        <v/>
      </c>
      <c r="BD45" s="13" t="str">
        <f t="shared" si="93"/>
        <v/>
      </c>
      <c r="BE45" s="15"/>
      <c r="BF45" s="12" t="str">
        <f t="shared" si="94"/>
        <v/>
      </c>
      <c r="BG45" s="12" t="str">
        <f t="shared" si="95"/>
        <v/>
      </c>
      <c r="BH45" s="16"/>
      <c r="BI45" s="13" t="str">
        <f t="shared" si="96"/>
        <v/>
      </c>
      <c r="BJ45" s="13" t="str">
        <f t="shared" si="97"/>
        <v/>
      </c>
      <c r="BK45" s="15"/>
      <c r="BL45" s="12" t="str">
        <f t="shared" si="98"/>
        <v/>
      </c>
      <c r="BM45" s="12" t="str">
        <f t="shared" si="99"/>
        <v/>
      </c>
      <c r="BN45" s="16"/>
      <c r="BO45" s="13" t="str">
        <f t="shared" si="100"/>
        <v/>
      </c>
      <c r="BP45" s="13" t="str">
        <f t="shared" si="101"/>
        <v/>
      </c>
      <c r="BQ45" s="15"/>
      <c r="BR45" s="12" t="str">
        <f t="shared" si="102"/>
        <v/>
      </c>
      <c r="BS45" s="12" t="str">
        <f t="shared" si="103"/>
        <v/>
      </c>
      <c r="BT45" s="16"/>
      <c r="BU45" s="13" t="str">
        <f t="shared" si="104"/>
        <v/>
      </c>
      <c r="BV45" s="13" t="str">
        <f t="shared" si="105"/>
        <v/>
      </c>
      <c r="BW45" s="15"/>
      <c r="BX45" s="12" t="str">
        <f t="shared" si="106"/>
        <v/>
      </c>
      <c r="BY45" s="12" t="str">
        <f t="shared" si="107"/>
        <v/>
      </c>
      <c r="BZ45" s="16"/>
      <c r="CA45" s="13" t="str">
        <f t="shared" si="108"/>
        <v/>
      </c>
      <c r="CB45" s="13" t="str">
        <f t="shared" si="109"/>
        <v/>
      </c>
      <c r="CC45" s="15"/>
      <c r="CD45" s="12" t="str">
        <f t="shared" si="110"/>
        <v/>
      </c>
      <c r="CE45" s="12" t="str">
        <f t="shared" si="111"/>
        <v/>
      </c>
      <c r="CF45" s="16"/>
      <c r="CG45" s="13" t="str">
        <f t="shared" si="112"/>
        <v/>
      </c>
      <c r="CH45" s="13" t="str">
        <f t="shared" si="113"/>
        <v/>
      </c>
      <c r="CI45" s="17">
        <f t="shared" si="114"/>
        <v>0</v>
      </c>
      <c r="CJ45" s="17">
        <f t="shared" si="115"/>
        <v>0</v>
      </c>
    </row>
    <row r="46" spans="1:88" ht="15.75" x14ac:dyDescent="0.15">
      <c r="A46" s="3" t="s">
        <v>152</v>
      </c>
      <c r="B46" s="11" t="str">
        <f>IF(D46="","",IFERROR(VLOOKUP(D46,商品マスタ!$A:$K,2,FALSE),"缶バッジ"))</f>
        <v>缶バッジ</v>
      </c>
      <c r="C46" s="2" t="s">
        <v>181</v>
      </c>
      <c r="D46" s="2" t="s">
        <v>148</v>
      </c>
      <c r="E46" s="6">
        <f>IF(D46="","",IFERROR(VLOOKUP(D46,商品マスタ!$A:$K,4,FALSE),12.55))</f>
        <v>12.55</v>
      </c>
      <c r="F46" s="6">
        <f>IF(D46="","",IFERROR(VLOOKUP(D46,商品マスタ!$A:$K,8,FALSE),1.14))</f>
        <v>1.1399999999999999</v>
      </c>
      <c r="G46" s="12">
        <f t="shared" si="58"/>
        <v>0</v>
      </c>
      <c r="H46" s="12">
        <f t="shared" si="59"/>
        <v>0</v>
      </c>
      <c r="I46" s="12">
        <f t="shared" si="60"/>
        <v>0</v>
      </c>
      <c r="J46" s="13">
        <f t="shared" si="61"/>
        <v>0</v>
      </c>
      <c r="K46" s="13">
        <f t="shared" si="62"/>
        <v>0</v>
      </c>
      <c r="L46" s="13">
        <f t="shared" si="63"/>
        <v>0</v>
      </c>
      <c r="M46" s="14" t="str">
        <f t="shared" si="64"/>
        <v/>
      </c>
      <c r="N46" s="14" t="str">
        <f t="shared" si="65"/>
        <v/>
      </c>
      <c r="O46" s="15"/>
      <c r="P46" s="12" t="str">
        <f t="shared" si="66"/>
        <v/>
      </c>
      <c r="Q46" s="12" t="str">
        <f t="shared" si="67"/>
        <v/>
      </c>
      <c r="R46" s="16"/>
      <c r="S46" s="13" t="str">
        <f t="shared" si="68"/>
        <v/>
      </c>
      <c r="T46" s="13" t="str">
        <f t="shared" si="69"/>
        <v/>
      </c>
      <c r="U46" s="15"/>
      <c r="V46" s="12" t="str">
        <f t="shared" si="70"/>
        <v/>
      </c>
      <c r="W46" s="12" t="str">
        <f t="shared" si="71"/>
        <v/>
      </c>
      <c r="X46" s="16"/>
      <c r="Y46" s="13" t="str">
        <f t="shared" si="72"/>
        <v/>
      </c>
      <c r="Z46" s="13" t="str">
        <f t="shared" si="73"/>
        <v/>
      </c>
      <c r="AA46" s="15"/>
      <c r="AB46" s="12" t="str">
        <f t="shared" si="74"/>
        <v/>
      </c>
      <c r="AC46" s="12" t="str">
        <f t="shared" si="75"/>
        <v/>
      </c>
      <c r="AD46" s="16"/>
      <c r="AE46" s="13" t="str">
        <f t="shared" si="76"/>
        <v/>
      </c>
      <c r="AF46" s="13" t="str">
        <f t="shared" si="77"/>
        <v/>
      </c>
      <c r="AG46" s="15"/>
      <c r="AH46" s="12" t="str">
        <f t="shared" si="78"/>
        <v/>
      </c>
      <c r="AI46" s="12" t="str">
        <f t="shared" si="79"/>
        <v/>
      </c>
      <c r="AJ46" s="16"/>
      <c r="AK46" s="13" t="str">
        <f t="shared" si="80"/>
        <v/>
      </c>
      <c r="AL46" s="13" t="str">
        <f t="shared" si="81"/>
        <v/>
      </c>
      <c r="AM46" s="15"/>
      <c r="AN46" s="12" t="str">
        <f t="shared" si="82"/>
        <v/>
      </c>
      <c r="AO46" s="12" t="str">
        <f t="shared" si="83"/>
        <v/>
      </c>
      <c r="AP46" s="16"/>
      <c r="AQ46" s="13" t="str">
        <f t="shared" si="84"/>
        <v/>
      </c>
      <c r="AR46" s="13" t="str">
        <f t="shared" si="85"/>
        <v/>
      </c>
      <c r="AS46" s="15"/>
      <c r="AT46" s="12" t="str">
        <f t="shared" si="86"/>
        <v/>
      </c>
      <c r="AU46" s="12" t="str">
        <f t="shared" si="87"/>
        <v/>
      </c>
      <c r="AV46" s="16"/>
      <c r="AW46" s="13" t="str">
        <f t="shared" si="88"/>
        <v/>
      </c>
      <c r="AX46" s="13" t="str">
        <f t="shared" si="89"/>
        <v/>
      </c>
      <c r="AY46" s="15"/>
      <c r="AZ46" s="12" t="str">
        <f t="shared" si="90"/>
        <v/>
      </c>
      <c r="BA46" s="12" t="str">
        <f t="shared" si="91"/>
        <v/>
      </c>
      <c r="BB46" s="16"/>
      <c r="BC46" s="13" t="str">
        <f t="shared" si="92"/>
        <v/>
      </c>
      <c r="BD46" s="13" t="str">
        <f t="shared" si="93"/>
        <v/>
      </c>
      <c r="BE46" s="15"/>
      <c r="BF46" s="12" t="str">
        <f t="shared" si="94"/>
        <v/>
      </c>
      <c r="BG46" s="12" t="str">
        <f t="shared" si="95"/>
        <v/>
      </c>
      <c r="BH46" s="16"/>
      <c r="BI46" s="13" t="str">
        <f t="shared" si="96"/>
        <v/>
      </c>
      <c r="BJ46" s="13" t="str">
        <f t="shared" si="97"/>
        <v/>
      </c>
      <c r="BK46" s="15"/>
      <c r="BL46" s="12" t="str">
        <f t="shared" si="98"/>
        <v/>
      </c>
      <c r="BM46" s="12" t="str">
        <f t="shared" si="99"/>
        <v/>
      </c>
      <c r="BN46" s="16"/>
      <c r="BO46" s="13" t="str">
        <f t="shared" si="100"/>
        <v/>
      </c>
      <c r="BP46" s="13" t="str">
        <f t="shared" si="101"/>
        <v/>
      </c>
      <c r="BQ46" s="15"/>
      <c r="BR46" s="12" t="str">
        <f t="shared" si="102"/>
        <v/>
      </c>
      <c r="BS46" s="12" t="str">
        <f t="shared" si="103"/>
        <v/>
      </c>
      <c r="BT46" s="16"/>
      <c r="BU46" s="13" t="str">
        <f t="shared" si="104"/>
        <v/>
      </c>
      <c r="BV46" s="13" t="str">
        <f t="shared" si="105"/>
        <v/>
      </c>
      <c r="BW46" s="15"/>
      <c r="BX46" s="12" t="str">
        <f t="shared" si="106"/>
        <v/>
      </c>
      <c r="BY46" s="12" t="str">
        <f t="shared" si="107"/>
        <v/>
      </c>
      <c r="BZ46" s="16"/>
      <c r="CA46" s="13" t="str">
        <f t="shared" si="108"/>
        <v/>
      </c>
      <c r="CB46" s="13" t="str">
        <f t="shared" si="109"/>
        <v/>
      </c>
      <c r="CC46" s="15"/>
      <c r="CD46" s="12" t="str">
        <f t="shared" si="110"/>
        <v/>
      </c>
      <c r="CE46" s="12" t="str">
        <f t="shared" si="111"/>
        <v/>
      </c>
      <c r="CF46" s="16"/>
      <c r="CG46" s="13" t="str">
        <f t="shared" si="112"/>
        <v/>
      </c>
      <c r="CH46" s="13" t="str">
        <f t="shared" si="113"/>
        <v/>
      </c>
      <c r="CI46" s="17">
        <f t="shared" si="114"/>
        <v>0</v>
      </c>
      <c r="CJ46" s="17">
        <f t="shared" si="115"/>
        <v>0</v>
      </c>
    </row>
    <row r="47" spans="1:88" ht="15.75" x14ac:dyDescent="0.15">
      <c r="A47" s="3" t="s">
        <v>152</v>
      </c>
      <c r="B47" s="11" t="str">
        <f>IF(D47="","",IFERROR(VLOOKUP(D47,商品マスタ!$A:$K,2,FALSE),"缶バッジ"))</f>
        <v>缶バッジ</v>
      </c>
      <c r="C47" s="2" t="s">
        <v>182</v>
      </c>
      <c r="D47" s="2" t="s">
        <v>148</v>
      </c>
      <c r="E47" s="6">
        <f>IF(D47="","",IFERROR(VLOOKUP(D47,商品マスタ!$A:$K,4,FALSE),12.55))</f>
        <v>12.55</v>
      </c>
      <c r="F47" s="6">
        <f>IF(D47="","",IFERROR(VLOOKUP(D47,商品マスタ!$A:$K,8,FALSE),1.14))</f>
        <v>1.1399999999999999</v>
      </c>
      <c r="G47" s="12">
        <f t="shared" si="58"/>
        <v>0</v>
      </c>
      <c r="H47" s="12">
        <f t="shared" si="59"/>
        <v>0</v>
      </c>
      <c r="I47" s="12">
        <f t="shared" si="60"/>
        <v>0</v>
      </c>
      <c r="J47" s="13">
        <f t="shared" si="61"/>
        <v>0</v>
      </c>
      <c r="K47" s="13">
        <f t="shared" si="62"/>
        <v>0</v>
      </c>
      <c r="L47" s="13">
        <f t="shared" si="63"/>
        <v>0</v>
      </c>
      <c r="M47" s="14" t="str">
        <f t="shared" si="64"/>
        <v/>
      </c>
      <c r="N47" s="14" t="str">
        <f t="shared" si="65"/>
        <v/>
      </c>
      <c r="O47" s="15"/>
      <c r="P47" s="12" t="str">
        <f t="shared" si="66"/>
        <v/>
      </c>
      <c r="Q47" s="12" t="str">
        <f t="shared" si="67"/>
        <v/>
      </c>
      <c r="R47" s="16"/>
      <c r="S47" s="13" t="str">
        <f t="shared" si="68"/>
        <v/>
      </c>
      <c r="T47" s="13" t="str">
        <f t="shared" si="69"/>
        <v/>
      </c>
      <c r="U47" s="15"/>
      <c r="V47" s="12" t="str">
        <f t="shared" si="70"/>
        <v/>
      </c>
      <c r="W47" s="12" t="str">
        <f t="shared" si="71"/>
        <v/>
      </c>
      <c r="X47" s="16"/>
      <c r="Y47" s="13" t="str">
        <f t="shared" si="72"/>
        <v/>
      </c>
      <c r="Z47" s="13" t="str">
        <f t="shared" si="73"/>
        <v/>
      </c>
      <c r="AA47" s="15"/>
      <c r="AB47" s="12" t="str">
        <f t="shared" si="74"/>
        <v/>
      </c>
      <c r="AC47" s="12" t="str">
        <f t="shared" si="75"/>
        <v/>
      </c>
      <c r="AD47" s="16"/>
      <c r="AE47" s="13" t="str">
        <f t="shared" si="76"/>
        <v/>
      </c>
      <c r="AF47" s="13" t="str">
        <f t="shared" si="77"/>
        <v/>
      </c>
      <c r="AG47" s="15"/>
      <c r="AH47" s="12" t="str">
        <f t="shared" si="78"/>
        <v/>
      </c>
      <c r="AI47" s="12" t="str">
        <f t="shared" si="79"/>
        <v/>
      </c>
      <c r="AJ47" s="16"/>
      <c r="AK47" s="13" t="str">
        <f t="shared" si="80"/>
        <v/>
      </c>
      <c r="AL47" s="13" t="str">
        <f t="shared" si="81"/>
        <v/>
      </c>
      <c r="AM47" s="15"/>
      <c r="AN47" s="12" t="str">
        <f t="shared" si="82"/>
        <v/>
      </c>
      <c r="AO47" s="12" t="str">
        <f t="shared" si="83"/>
        <v/>
      </c>
      <c r="AP47" s="16"/>
      <c r="AQ47" s="13" t="str">
        <f t="shared" si="84"/>
        <v/>
      </c>
      <c r="AR47" s="13" t="str">
        <f t="shared" si="85"/>
        <v/>
      </c>
      <c r="AS47" s="15"/>
      <c r="AT47" s="12" t="str">
        <f t="shared" si="86"/>
        <v/>
      </c>
      <c r="AU47" s="12" t="str">
        <f t="shared" si="87"/>
        <v/>
      </c>
      <c r="AV47" s="16"/>
      <c r="AW47" s="13" t="str">
        <f t="shared" si="88"/>
        <v/>
      </c>
      <c r="AX47" s="13" t="str">
        <f t="shared" si="89"/>
        <v/>
      </c>
      <c r="AY47" s="15"/>
      <c r="AZ47" s="12" t="str">
        <f t="shared" si="90"/>
        <v/>
      </c>
      <c r="BA47" s="12" t="str">
        <f t="shared" si="91"/>
        <v/>
      </c>
      <c r="BB47" s="16"/>
      <c r="BC47" s="13" t="str">
        <f t="shared" si="92"/>
        <v/>
      </c>
      <c r="BD47" s="13" t="str">
        <f t="shared" si="93"/>
        <v/>
      </c>
      <c r="BE47" s="15"/>
      <c r="BF47" s="12" t="str">
        <f t="shared" si="94"/>
        <v/>
      </c>
      <c r="BG47" s="12" t="str">
        <f t="shared" si="95"/>
        <v/>
      </c>
      <c r="BH47" s="16"/>
      <c r="BI47" s="13" t="str">
        <f t="shared" si="96"/>
        <v/>
      </c>
      <c r="BJ47" s="13" t="str">
        <f t="shared" si="97"/>
        <v/>
      </c>
      <c r="BK47" s="15"/>
      <c r="BL47" s="12" t="str">
        <f t="shared" si="98"/>
        <v/>
      </c>
      <c r="BM47" s="12" t="str">
        <f t="shared" si="99"/>
        <v/>
      </c>
      <c r="BN47" s="16"/>
      <c r="BO47" s="13" t="str">
        <f t="shared" si="100"/>
        <v/>
      </c>
      <c r="BP47" s="13" t="str">
        <f t="shared" si="101"/>
        <v/>
      </c>
      <c r="BQ47" s="15"/>
      <c r="BR47" s="12" t="str">
        <f t="shared" si="102"/>
        <v/>
      </c>
      <c r="BS47" s="12" t="str">
        <f t="shared" si="103"/>
        <v/>
      </c>
      <c r="BT47" s="16"/>
      <c r="BU47" s="13" t="str">
        <f t="shared" si="104"/>
        <v/>
      </c>
      <c r="BV47" s="13" t="str">
        <f t="shared" si="105"/>
        <v/>
      </c>
      <c r="BW47" s="15"/>
      <c r="BX47" s="12" t="str">
        <f t="shared" si="106"/>
        <v/>
      </c>
      <c r="BY47" s="12" t="str">
        <f t="shared" si="107"/>
        <v/>
      </c>
      <c r="BZ47" s="16"/>
      <c r="CA47" s="13" t="str">
        <f t="shared" si="108"/>
        <v/>
      </c>
      <c r="CB47" s="13" t="str">
        <f t="shared" si="109"/>
        <v/>
      </c>
      <c r="CC47" s="15"/>
      <c r="CD47" s="12" t="str">
        <f t="shared" si="110"/>
        <v/>
      </c>
      <c r="CE47" s="12" t="str">
        <f t="shared" si="111"/>
        <v/>
      </c>
      <c r="CF47" s="16"/>
      <c r="CG47" s="13" t="str">
        <f t="shared" si="112"/>
        <v/>
      </c>
      <c r="CH47" s="13" t="str">
        <f t="shared" si="113"/>
        <v/>
      </c>
      <c r="CI47" s="17">
        <f t="shared" si="114"/>
        <v>0</v>
      </c>
      <c r="CJ47" s="17">
        <f t="shared" si="115"/>
        <v>0</v>
      </c>
    </row>
    <row r="48" spans="1:88" ht="15.75" x14ac:dyDescent="0.15">
      <c r="A48" s="3" t="s">
        <v>152</v>
      </c>
      <c r="B48" s="11" t="str">
        <f>IF(D48="","",IFERROR(VLOOKUP(D48,商品マスタ!$A:$K,2,FALSE),"缶バッジ"))</f>
        <v>缶バッジ</v>
      </c>
      <c r="C48" s="2" t="s">
        <v>183</v>
      </c>
      <c r="D48" s="2" t="s">
        <v>148</v>
      </c>
      <c r="E48" s="6">
        <f>IF(D48="","",IFERROR(VLOOKUP(D48,商品マスタ!$A:$K,4,FALSE),12.55))</f>
        <v>12.55</v>
      </c>
      <c r="F48" s="6">
        <f>IF(D48="","",IFERROR(VLOOKUP(D48,商品マスタ!$A:$K,8,FALSE),1.14))</f>
        <v>1.1399999999999999</v>
      </c>
      <c r="G48" s="12">
        <f t="shared" si="58"/>
        <v>0</v>
      </c>
      <c r="H48" s="12">
        <f t="shared" si="59"/>
        <v>0</v>
      </c>
      <c r="I48" s="12">
        <f t="shared" si="60"/>
        <v>0</v>
      </c>
      <c r="J48" s="13">
        <f t="shared" si="61"/>
        <v>0</v>
      </c>
      <c r="K48" s="13">
        <f t="shared" si="62"/>
        <v>0</v>
      </c>
      <c r="L48" s="13">
        <f t="shared" si="63"/>
        <v>0</v>
      </c>
      <c r="M48" s="14" t="str">
        <f t="shared" si="64"/>
        <v/>
      </c>
      <c r="N48" s="14" t="str">
        <f t="shared" si="65"/>
        <v/>
      </c>
      <c r="O48" s="15"/>
      <c r="P48" s="12" t="str">
        <f t="shared" si="66"/>
        <v/>
      </c>
      <c r="Q48" s="12" t="str">
        <f t="shared" si="67"/>
        <v/>
      </c>
      <c r="R48" s="16"/>
      <c r="S48" s="13" t="str">
        <f t="shared" si="68"/>
        <v/>
      </c>
      <c r="T48" s="13" t="str">
        <f t="shared" si="69"/>
        <v/>
      </c>
      <c r="U48" s="15"/>
      <c r="V48" s="12" t="str">
        <f t="shared" si="70"/>
        <v/>
      </c>
      <c r="W48" s="12" t="str">
        <f t="shared" si="71"/>
        <v/>
      </c>
      <c r="X48" s="16"/>
      <c r="Y48" s="13" t="str">
        <f t="shared" si="72"/>
        <v/>
      </c>
      <c r="Z48" s="13" t="str">
        <f t="shared" si="73"/>
        <v/>
      </c>
      <c r="AA48" s="15"/>
      <c r="AB48" s="12" t="str">
        <f t="shared" si="74"/>
        <v/>
      </c>
      <c r="AC48" s="12" t="str">
        <f t="shared" si="75"/>
        <v/>
      </c>
      <c r="AD48" s="16"/>
      <c r="AE48" s="13" t="str">
        <f t="shared" si="76"/>
        <v/>
      </c>
      <c r="AF48" s="13" t="str">
        <f t="shared" si="77"/>
        <v/>
      </c>
      <c r="AG48" s="15"/>
      <c r="AH48" s="12" t="str">
        <f t="shared" si="78"/>
        <v/>
      </c>
      <c r="AI48" s="12" t="str">
        <f t="shared" si="79"/>
        <v/>
      </c>
      <c r="AJ48" s="16"/>
      <c r="AK48" s="13" t="str">
        <f t="shared" si="80"/>
        <v/>
      </c>
      <c r="AL48" s="13" t="str">
        <f t="shared" si="81"/>
        <v/>
      </c>
      <c r="AM48" s="15"/>
      <c r="AN48" s="12" t="str">
        <f t="shared" si="82"/>
        <v/>
      </c>
      <c r="AO48" s="12" t="str">
        <f t="shared" si="83"/>
        <v/>
      </c>
      <c r="AP48" s="16"/>
      <c r="AQ48" s="13" t="str">
        <f t="shared" si="84"/>
        <v/>
      </c>
      <c r="AR48" s="13" t="str">
        <f t="shared" si="85"/>
        <v/>
      </c>
      <c r="AS48" s="15"/>
      <c r="AT48" s="12" t="str">
        <f t="shared" si="86"/>
        <v/>
      </c>
      <c r="AU48" s="12" t="str">
        <f t="shared" si="87"/>
        <v/>
      </c>
      <c r="AV48" s="16"/>
      <c r="AW48" s="13" t="str">
        <f t="shared" si="88"/>
        <v/>
      </c>
      <c r="AX48" s="13" t="str">
        <f t="shared" si="89"/>
        <v/>
      </c>
      <c r="AY48" s="15"/>
      <c r="AZ48" s="12" t="str">
        <f t="shared" si="90"/>
        <v/>
      </c>
      <c r="BA48" s="12" t="str">
        <f t="shared" si="91"/>
        <v/>
      </c>
      <c r="BB48" s="16"/>
      <c r="BC48" s="13" t="str">
        <f t="shared" si="92"/>
        <v/>
      </c>
      <c r="BD48" s="13" t="str">
        <f t="shared" si="93"/>
        <v/>
      </c>
      <c r="BE48" s="15"/>
      <c r="BF48" s="12" t="str">
        <f t="shared" si="94"/>
        <v/>
      </c>
      <c r="BG48" s="12" t="str">
        <f t="shared" si="95"/>
        <v/>
      </c>
      <c r="BH48" s="16"/>
      <c r="BI48" s="13" t="str">
        <f t="shared" si="96"/>
        <v/>
      </c>
      <c r="BJ48" s="13" t="str">
        <f t="shared" si="97"/>
        <v/>
      </c>
      <c r="BK48" s="15"/>
      <c r="BL48" s="12" t="str">
        <f t="shared" si="98"/>
        <v/>
      </c>
      <c r="BM48" s="12" t="str">
        <f t="shared" si="99"/>
        <v/>
      </c>
      <c r="BN48" s="16"/>
      <c r="BO48" s="13" t="str">
        <f t="shared" si="100"/>
        <v/>
      </c>
      <c r="BP48" s="13" t="str">
        <f t="shared" si="101"/>
        <v/>
      </c>
      <c r="BQ48" s="15"/>
      <c r="BR48" s="12" t="str">
        <f t="shared" si="102"/>
        <v/>
      </c>
      <c r="BS48" s="12" t="str">
        <f t="shared" si="103"/>
        <v/>
      </c>
      <c r="BT48" s="16"/>
      <c r="BU48" s="13" t="str">
        <f t="shared" si="104"/>
        <v/>
      </c>
      <c r="BV48" s="13" t="str">
        <f t="shared" si="105"/>
        <v/>
      </c>
      <c r="BW48" s="15"/>
      <c r="BX48" s="12" t="str">
        <f t="shared" si="106"/>
        <v/>
      </c>
      <c r="BY48" s="12" t="str">
        <f t="shared" si="107"/>
        <v/>
      </c>
      <c r="BZ48" s="16"/>
      <c r="CA48" s="13" t="str">
        <f t="shared" si="108"/>
        <v/>
      </c>
      <c r="CB48" s="13" t="str">
        <f t="shared" si="109"/>
        <v/>
      </c>
      <c r="CC48" s="15"/>
      <c r="CD48" s="12" t="str">
        <f t="shared" si="110"/>
        <v/>
      </c>
      <c r="CE48" s="12" t="str">
        <f t="shared" si="111"/>
        <v/>
      </c>
      <c r="CF48" s="16"/>
      <c r="CG48" s="13" t="str">
        <f t="shared" si="112"/>
        <v/>
      </c>
      <c r="CH48" s="13" t="str">
        <f t="shared" si="113"/>
        <v/>
      </c>
      <c r="CI48" s="17">
        <f t="shared" si="114"/>
        <v>0</v>
      </c>
      <c r="CJ48" s="17">
        <f t="shared" si="115"/>
        <v>0</v>
      </c>
    </row>
    <row r="49" spans="1:88" ht="15.75" x14ac:dyDescent="0.15">
      <c r="A49" s="3" t="s">
        <v>152</v>
      </c>
      <c r="B49" s="11" t="str">
        <f>IF(D49="","",IFERROR(VLOOKUP(D49,商品マスタ!$A:$K,2,FALSE),"缶バッジ"))</f>
        <v>缶バッジ</v>
      </c>
      <c r="C49" s="2" t="s">
        <v>184</v>
      </c>
      <c r="D49" s="2" t="s">
        <v>148</v>
      </c>
      <c r="E49" s="6">
        <f>IF(D49="","",IFERROR(VLOOKUP(D49,商品マスタ!$A:$K,4,FALSE),12.55))</f>
        <v>12.55</v>
      </c>
      <c r="F49" s="6">
        <f>IF(D49="","",IFERROR(VLOOKUP(D49,商品マスタ!$A:$K,8,FALSE),1.14))</f>
        <v>1.1399999999999999</v>
      </c>
      <c r="G49" s="12">
        <f t="shared" si="58"/>
        <v>0</v>
      </c>
      <c r="H49" s="12">
        <f t="shared" si="59"/>
        <v>0</v>
      </c>
      <c r="I49" s="12">
        <f t="shared" si="60"/>
        <v>0</v>
      </c>
      <c r="J49" s="13">
        <f t="shared" si="61"/>
        <v>0</v>
      </c>
      <c r="K49" s="13">
        <f t="shared" si="62"/>
        <v>0</v>
      </c>
      <c r="L49" s="13">
        <f t="shared" si="63"/>
        <v>0</v>
      </c>
      <c r="M49" s="14" t="str">
        <f t="shared" si="64"/>
        <v/>
      </c>
      <c r="N49" s="14" t="str">
        <f t="shared" si="65"/>
        <v/>
      </c>
      <c r="O49" s="15"/>
      <c r="P49" s="12" t="str">
        <f t="shared" si="66"/>
        <v/>
      </c>
      <c r="Q49" s="12" t="str">
        <f t="shared" si="67"/>
        <v/>
      </c>
      <c r="R49" s="16"/>
      <c r="S49" s="13" t="str">
        <f t="shared" si="68"/>
        <v/>
      </c>
      <c r="T49" s="13" t="str">
        <f t="shared" si="69"/>
        <v/>
      </c>
      <c r="U49" s="15"/>
      <c r="V49" s="12" t="str">
        <f t="shared" si="70"/>
        <v/>
      </c>
      <c r="W49" s="12" t="str">
        <f t="shared" si="71"/>
        <v/>
      </c>
      <c r="X49" s="16"/>
      <c r="Y49" s="13" t="str">
        <f t="shared" si="72"/>
        <v/>
      </c>
      <c r="Z49" s="13" t="str">
        <f t="shared" si="73"/>
        <v/>
      </c>
      <c r="AA49" s="15"/>
      <c r="AB49" s="12" t="str">
        <f t="shared" si="74"/>
        <v/>
      </c>
      <c r="AC49" s="12" t="str">
        <f t="shared" si="75"/>
        <v/>
      </c>
      <c r="AD49" s="16"/>
      <c r="AE49" s="13" t="str">
        <f t="shared" si="76"/>
        <v/>
      </c>
      <c r="AF49" s="13" t="str">
        <f t="shared" si="77"/>
        <v/>
      </c>
      <c r="AG49" s="15"/>
      <c r="AH49" s="12" t="str">
        <f t="shared" si="78"/>
        <v/>
      </c>
      <c r="AI49" s="12" t="str">
        <f t="shared" si="79"/>
        <v/>
      </c>
      <c r="AJ49" s="16"/>
      <c r="AK49" s="13" t="str">
        <f t="shared" si="80"/>
        <v/>
      </c>
      <c r="AL49" s="13" t="str">
        <f t="shared" si="81"/>
        <v/>
      </c>
      <c r="AM49" s="15"/>
      <c r="AN49" s="12" t="str">
        <f t="shared" si="82"/>
        <v/>
      </c>
      <c r="AO49" s="12" t="str">
        <f t="shared" si="83"/>
        <v/>
      </c>
      <c r="AP49" s="16"/>
      <c r="AQ49" s="13" t="str">
        <f t="shared" si="84"/>
        <v/>
      </c>
      <c r="AR49" s="13" t="str">
        <f t="shared" si="85"/>
        <v/>
      </c>
      <c r="AS49" s="15"/>
      <c r="AT49" s="12" t="str">
        <f t="shared" si="86"/>
        <v/>
      </c>
      <c r="AU49" s="12" t="str">
        <f t="shared" si="87"/>
        <v/>
      </c>
      <c r="AV49" s="16"/>
      <c r="AW49" s="13" t="str">
        <f t="shared" si="88"/>
        <v/>
      </c>
      <c r="AX49" s="13" t="str">
        <f t="shared" si="89"/>
        <v/>
      </c>
      <c r="AY49" s="15"/>
      <c r="AZ49" s="12" t="str">
        <f t="shared" si="90"/>
        <v/>
      </c>
      <c r="BA49" s="12" t="str">
        <f t="shared" si="91"/>
        <v/>
      </c>
      <c r="BB49" s="16"/>
      <c r="BC49" s="13" t="str">
        <f t="shared" si="92"/>
        <v/>
      </c>
      <c r="BD49" s="13" t="str">
        <f t="shared" si="93"/>
        <v/>
      </c>
      <c r="BE49" s="15"/>
      <c r="BF49" s="12" t="str">
        <f t="shared" si="94"/>
        <v/>
      </c>
      <c r="BG49" s="12" t="str">
        <f t="shared" si="95"/>
        <v/>
      </c>
      <c r="BH49" s="16"/>
      <c r="BI49" s="13" t="str">
        <f t="shared" si="96"/>
        <v/>
      </c>
      <c r="BJ49" s="13" t="str">
        <f t="shared" si="97"/>
        <v/>
      </c>
      <c r="BK49" s="15"/>
      <c r="BL49" s="12" t="str">
        <f t="shared" si="98"/>
        <v/>
      </c>
      <c r="BM49" s="12" t="str">
        <f t="shared" si="99"/>
        <v/>
      </c>
      <c r="BN49" s="16"/>
      <c r="BO49" s="13" t="str">
        <f t="shared" si="100"/>
        <v/>
      </c>
      <c r="BP49" s="13" t="str">
        <f t="shared" si="101"/>
        <v/>
      </c>
      <c r="BQ49" s="15"/>
      <c r="BR49" s="12" t="str">
        <f t="shared" si="102"/>
        <v/>
      </c>
      <c r="BS49" s="12" t="str">
        <f t="shared" si="103"/>
        <v/>
      </c>
      <c r="BT49" s="16"/>
      <c r="BU49" s="13" t="str">
        <f t="shared" si="104"/>
        <v/>
      </c>
      <c r="BV49" s="13" t="str">
        <f t="shared" si="105"/>
        <v/>
      </c>
      <c r="BW49" s="15"/>
      <c r="BX49" s="12" t="str">
        <f t="shared" si="106"/>
        <v/>
      </c>
      <c r="BY49" s="12" t="str">
        <f t="shared" si="107"/>
        <v/>
      </c>
      <c r="BZ49" s="16"/>
      <c r="CA49" s="13" t="str">
        <f t="shared" si="108"/>
        <v/>
      </c>
      <c r="CB49" s="13" t="str">
        <f t="shared" si="109"/>
        <v/>
      </c>
      <c r="CC49" s="15"/>
      <c r="CD49" s="12" t="str">
        <f t="shared" si="110"/>
        <v/>
      </c>
      <c r="CE49" s="12" t="str">
        <f t="shared" si="111"/>
        <v/>
      </c>
      <c r="CF49" s="16"/>
      <c r="CG49" s="13" t="str">
        <f t="shared" si="112"/>
        <v/>
      </c>
      <c r="CH49" s="13" t="str">
        <f t="shared" si="113"/>
        <v/>
      </c>
      <c r="CI49" s="17">
        <f t="shared" si="114"/>
        <v>0</v>
      </c>
      <c r="CJ49" s="17">
        <f t="shared" si="115"/>
        <v>0</v>
      </c>
    </row>
    <row r="50" spans="1:88" ht="15.75" x14ac:dyDescent="0.15">
      <c r="A50" s="3" t="s">
        <v>152</v>
      </c>
      <c r="B50" s="11" t="str">
        <f>IF(D50="","",IFERROR(VLOOKUP(D50,商品マスタ!$A:$K,2,FALSE),"缶バッジ"))</f>
        <v>缶バッジ</v>
      </c>
      <c r="C50" s="2" t="s">
        <v>185</v>
      </c>
      <c r="D50" s="2" t="s">
        <v>148</v>
      </c>
      <c r="E50" s="6">
        <f>IF(D50="","",IFERROR(VLOOKUP(D50,商品マスタ!$A:$K,4,FALSE),12.55))</f>
        <v>12.55</v>
      </c>
      <c r="F50" s="6">
        <f>IF(D50="","",IFERROR(VLOOKUP(D50,商品マスタ!$A:$K,8,FALSE),1.14))</f>
        <v>1.1399999999999999</v>
      </c>
      <c r="G50" s="12">
        <f t="shared" si="58"/>
        <v>0</v>
      </c>
      <c r="H50" s="12">
        <f t="shared" si="59"/>
        <v>0</v>
      </c>
      <c r="I50" s="12">
        <f t="shared" si="60"/>
        <v>0</v>
      </c>
      <c r="J50" s="13">
        <f t="shared" si="61"/>
        <v>0</v>
      </c>
      <c r="K50" s="13">
        <f t="shared" si="62"/>
        <v>0</v>
      </c>
      <c r="L50" s="13">
        <f t="shared" si="63"/>
        <v>0</v>
      </c>
      <c r="M50" s="14" t="str">
        <f t="shared" si="64"/>
        <v/>
      </c>
      <c r="N50" s="14" t="str">
        <f t="shared" si="65"/>
        <v/>
      </c>
      <c r="O50" s="15"/>
      <c r="P50" s="12" t="str">
        <f t="shared" si="66"/>
        <v/>
      </c>
      <c r="Q50" s="12" t="str">
        <f t="shared" si="67"/>
        <v/>
      </c>
      <c r="R50" s="16"/>
      <c r="S50" s="13" t="str">
        <f t="shared" si="68"/>
        <v/>
      </c>
      <c r="T50" s="13" t="str">
        <f t="shared" si="69"/>
        <v/>
      </c>
      <c r="U50" s="15"/>
      <c r="V50" s="12" t="str">
        <f t="shared" si="70"/>
        <v/>
      </c>
      <c r="W50" s="12" t="str">
        <f t="shared" si="71"/>
        <v/>
      </c>
      <c r="X50" s="16"/>
      <c r="Y50" s="13" t="str">
        <f t="shared" si="72"/>
        <v/>
      </c>
      <c r="Z50" s="13" t="str">
        <f t="shared" si="73"/>
        <v/>
      </c>
      <c r="AA50" s="15"/>
      <c r="AB50" s="12" t="str">
        <f t="shared" si="74"/>
        <v/>
      </c>
      <c r="AC50" s="12" t="str">
        <f t="shared" si="75"/>
        <v/>
      </c>
      <c r="AD50" s="16"/>
      <c r="AE50" s="13" t="str">
        <f t="shared" si="76"/>
        <v/>
      </c>
      <c r="AF50" s="13" t="str">
        <f t="shared" si="77"/>
        <v/>
      </c>
      <c r="AG50" s="15"/>
      <c r="AH50" s="12" t="str">
        <f t="shared" si="78"/>
        <v/>
      </c>
      <c r="AI50" s="12" t="str">
        <f t="shared" si="79"/>
        <v/>
      </c>
      <c r="AJ50" s="16"/>
      <c r="AK50" s="13" t="str">
        <f t="shared" si="80"/>
        <v/>
      </c>
      <c r="AL50" s="13" t="str">
        <f t="shared" si="81"/>
        <v/>
      </c>
      <c r="AM50" s="15"/>
      <c r="AN50" s="12" t="str">
        <f t="shared" si="82"/>
        <v/>
      </c>
      <c r="AO50" s="12" t="str">
        <f t="shared" si="83"/>
        <v/>
      </c>
      <c r="AP50" s="16"/>
      <c r="AQ50" s="13" t="str">
        <f t="shared" si="84"/>
        <v/>
      </c>
      <c r="AR50" s="13" t="str">
        <f t="shared" si="85"/>
        <v/>
      </c>
      <c r="AS50" s="15"/>
      <c r="AT50" s="12" t="str">
        <f t="shared" si="86"/>
        <v/>
      </c>
      <c r="AU50" s="12" t="str">
        <f t="shared" si="87"/>
        <v/>
      </c>
      <c r="AV50" s="16"/>
      <c r="AW50" s="13" t="str">
        <f t="shared" si="88"/>
        <v/>
      </c>
      <c r="AX50" s="13" t="str">
        <f t="shared" si="89"/>
        <v/>
      </c>
      <c r="AY50" s="15"/>
      <c r="AZ50" s="12" t="str">
        <f t="shared" si="90"/>
        <v/>
      </c>
      <c r="BA50" s="12" t="str">
        <f t="shared" si="91"/>
        <v/>
      </c>
      <c r="BB50" s="16"/>
      <c r="BC50" s="13" t="str">
        <f t="shared" si="92"/>
        <v/>
      </c>
      <c r="BD50" s="13" t="str">
        <f t="shared" si="93"/>
        <v/>
      </c>
      <c r="BE50" s="15"/>
      <c r="BF50" s="12" t="str">
        <f t="shared" si="94"/>
        <v/>
      </c>
      <c r="BG50" s="12" t="str">
        <f t="shared" si="95"/>
        <v/>
      </c>
      <c r="BH50" s="16"/>
      <c r="BI50" s="13" t="str">
        <f t="shared" si="96"/>
        <v/>
      </c>
      <c r="BJ50" s="13" t="str">
        <f t="shared" si="97"/>
        <v/>
      </c>
      <c r="BK50" s="15"/>
      <c r="BL50" s="12" t="str">
        <f t="shared" si="98"/>
        <v/>
      </c>
      <c r="BM50" s="12" t="str">
        <f t="shared" si="99"/>
        <v/>
      </c>
      <c r="BN50" s="16"/>
      <c r="BO50" s="13" t="str">
        <f t="shared" si="100"/>
        <v/>
      </c>
      <c r="BP50" s="13" t="str">
        <f t="shared" si="101"/>
        <v/>
      </c>
      <c r="BQ50" s="15"/>
      <c r="BR50" s="12" t="str">
        <f t="shared" si="102"/>
        <v/>
      </c>
      <c r="BS50" s="12" t="str">
        <f t="shared" si="103"/>
        <v/>
      </c>
      <c r="BT50" s="16"/>
      <c r="BU50" s="13" t="str">
        <f t="shared" si="104"/>
        <v/>
      </c>
      <c r="BV50" s="13" t="str">
        <f t="shared" si="105"/>
        <v/>
      </c>
      <c r="BW50" s="15"/>
      <c r="BX50" s="12" t="str">
        <f t="shared" si="106"/>
        <v/>
      </c>
      <c r="BY50" s="12" t="str">
        <f t="shared" si="107"/>
        <v/>
      </c>
      <c r="BZ50" s="16"/>
      <c r="CA50" s="13" t="str">
        <f t="shared" si="108"/>
        <v/>
      </c>
      <c r="CB50" s="13" t="str">
        <f t="shared" si="109"/>
        <v/>
      </c>
      <c r="CC50" s="15"/>
      <c r="CD50" s="12" t="str">
        <f t="shared" si="110"/>
        <v/>
      </c>
      <c r="CE50" s="12" t="str">
        <f t="shared" si="111"/>
        <v/>
      </c>
      <c r="CF50" s="16"/>
      <c r="CG50" s="13" t="str">
        <f t="shared" si="112"/>
        <v/>
      </c>
      <c r="CH50" s="13" t="str">
        <f t="shared" si="113"/>
        <v/>
      </c>
      <c r="CI50" s="17">
        <f t="shared" si="114"/>
        <v>0</v>
      </c>
      <c r="CJ50" s="17">
        <f t="shared" si="115"/>
        <v>0</v>
      </c>
    </row>
    <row r="51" spans="1:88" ht="15.75" x14ac:dyDescent="0.15">
      <c r="A51" s="3" t="s">
        <v>152</v>
      </c>
      <c r="B51" s="11" t="str">
        <f>IF(D51="","",IFERROR(VLOOKUP(D51,商品マスタ!$A:$K,2,FALSE),"その他"))</f>
        <v>その他</v>
      </c>
      <c r="C51" s="2" t="s">
        <v>186</v>
      </c>
      <c r="D51" s="2" t="s">
        <v>81</v>
      </c>
      <c r="E51" s="6">
        <f>IF(D51="","",IFERROR(VLOOKUP(D51,商品マスタ!$A:$K,4,FALSE),0))</f>
        <v>0</v>
      </c>
      <c r="F51" s="6">
        <f>IF(D51="","",IFERROR(VLOOKUP(D51,商品マスタ!$A:$K,8,FALSE),0))</f>
        <v>0</v>
      </c>
      <c r="G51" s="12">
        <f t="shared" si="58"/>
        <v>0</v>
      </c>
      <c r="H51" s="12">
        <f t="shared" si="59"/>
        <v>0</v>
      </c>
      <c r="I51" s="12">
        <f t="shared" si="60"/>
        <v>0</v>
      </c>
      <c r="J51" s="13">
        <f t="shared" si="61"/>
        <v>0</v>
      </c>
      <c r="K51" s="13">
        <f t="shared" si="62"/>
        <v>0</v>
      </c>
      <c r="L51" s="13">
        <f t="shared" si="63"/>
        <v>0</v>
      </c>
      <c r="M51" s="14" t="str">
        <f t="shared" si="64"/>
        <v/>
      </c>
      <c r="N51" s="14" t="str">
        <f t="shared" si="65"/>
        <v/>
      </c>
      <c r="O51" s="15"/>
      <c r="P51" s="12" t="str">
        <f t="shared" si="66"/>
        <v/>
      </c>
      <c r="Q51" s="12" t="str">
        <f t="shared" si="67"/>
        <v/>
      </c>
      <c r="R51" s="16"/>
      <c r="S51" s="13" t="str">
        <f t="shared" si="68"/>
        <v/>
      </c>
      <c r="T51" s="13" t="str">
        <f t="shared" si="69"/>
        <v/>
      </c>
      <c r="U51" s="15"/>
      <c r="V51" s="12" t="str">
        <f t="shared" si="70"/>
        <v/>
      </c>
      <c r="W51" s="12" t="str">
        <f t="shared" si="71"/>
        <v/>
      </c>
      <c r="X51" s="16"/>
      <c r="Y51" s="13" t="str">
        <f t="shared" si="72"/>
        <v/>
      </c>
      <c r="Z51" s="13" t="str">
        <f t="shared" si="73"/>
        <v/>
      </c>
      <c r="AA51" s="15"/>
      <c r="AB51" s="12" t="str">
        <f t="shared" si="74"/>
        <v/>
      </c>
      <c r="AC51" s="12" t="str">
        <f t="shared" si="75"/>
        <v/>
      </c>
      <c r="AD51" s="16"/>
      <c r="AE51" s="13" t="str">
        <f t="shared" si="76"/>
        <v/>
      </c>
      <c r="AF51" s="13" t="str">
        <f t="shared" si="77"/>
        <v/>
      </c>
      <c r="AG51" s="15"/>
      <c r="AH51" s="12" t="str">
        <f t="shared" si="78"/>
        <v/>
      </c>
      <c r="AI51" s="12" t="str">
        <f t="shared" si="79"/>
        <v/>
      </c>
      <c r="AJ51" s="16"/>
      <c r="AK51" s="13" t="str">
        <f t="shared" si="80"/>
        <v/>
      </c>
      <c r="AL51" s="13" t="str">
        <f t="shared" si="81"/>
        <v/>
      </c>
      <c r="AM51" s="15"/>
      <c r="AN51" s="12" t="str">
        <f t="shared" si="82"/>
        <v/>
      </c>
      <c r="AO51" s="12" t="str">
        <f t="shared" si="83"/>
        <v/>
      </c>
      <c r="AP51" s="16"/>
      <c r="AQ51" s="13" t="str">
        <f t="shared" si="84"/>
        <v/>
      </c>
      <c r="AR51" s="13" t="str">
        <f t="shared" si="85"/>
        <v/>
      </c>
      <c r="AS51" s="15"/>
      <c r="AT51" s="12" t="str">
        <f t="shared" si="86"/>
        <v/>
      </c>
      <c r="AU51" s="12" t="str">
        <f t="shared" si="87"/>
        <v/>
      </c>
      <c r="AV51" s="16"/>
      <c r="AW51" s="13" t="str">
        <f t="shared" si="88"/>
        <v/>
      </c>
      <c r="AX51" s="13" t="str">
        <f t="shared" si="89"/>
        <v/>
      </c>
      <c r="AY51" s="15"/>
      <c r="AZ51" s="12" t="str">
        <f t="shared" si="90"/>
        <v/>
      </c>
      <c r="BA51" s="12" t="str">
        <f t="shared" si="91"/>
        <v/>
      </c>
      <c r="BB51" s="16"/>
      <c r="BC51" s="13" t="str">
        <f t="shared" si="92"/>
        <v/>
      </c>
      <c r="BD51" s="13" t="str">
        <f t="shared" si="93"/>
        <v/>
      </c>
      <c r="BE51" s="15"/>
      <c r="BF51" s="12" t="str">
        <f t="shared" si="94"/>
        <v/>
      </c>
      <c r="BG51" s="12" t="str">
        <f t="shared" si="95"/>
        <v/>
      </c>
      <c r="BH51" s="16"/>
      <c r="BI51" s="13" t="str">
        <f t="shared" si="96"/>
        <v/>
      </c>
      <c r="BJ51" s="13" t="str">
        <f t="shared" si="97"/>
        <v/>
      </c>
      <c r="BK51" s="15"/>
      <c r="BL51" s="12" t="str">
        <f t="shared" si="98"/>
        <v/>
      </c>
      <c r="BM51" s="12" t="str">
        <f t="shared" si="99"/>
        <v/>
      </c>
      <c r="BN51" s="16"/>
      <c r="BO51" s="13" t="str">
        <f t="shared" si="100"/>
        <v/>
      </c>
      <c r="BP51" s="13" t="str">
        <f t="shared" si="101"/>
        <v/>
      </c>
      <c r="BQ51" s="15"/>
      <c r="BR51" s="12" t="str">
        <f t="shared" si="102"/>
        <v/>
      </c>
      <c r="BS51" s="12" t="str">
        <f t="shared" si="103"/>
        <v/>
      </c>
      <c r="BT51" s="16"/>
      <c r="BU51" s="13" t="str">
        <f t="shared" si="104"/>
        <v/>
      </c>
      <c r="BV51" s="13" t="str">
        <f t="shared" si="105"/>
        <v/>
      </c>
      <c r="BW51" s="15"/>
      <c r="BX51" s="12" t="str">
        <f t="shared" si="106"/>
        <v/>
      </c>
      <c r="BY51" s="12" t="str">
        <f t="shared" si="107"/>
        <v/>
      </c>
      <c r="BZ51" s="16"/>
      <c r="CA51" s="13" t="str">
        <f t="shared" si="108"/>
        <v/>
      </c>
      <c r="CB51" s="13" t="str">
        <f t="shared" si="109"/>
        <v/>
      </c>
      <c r="CC51" s="15"/>
      <c r="CD51" s="12" t="str">
        <f t="shared" si="110"/>
        <v/>
      </c>
      <c r="CE51" s="12" t="str">
        <f t="shared" si="111"/>
        <v/>
      </c>
      <c r="CF51" s="16"/>
      <c r="CG51" s="13" t="str">
        <f t="shared" si="112"/>
        <v/>
      </c>
      <c r="CH51" s="13" t="str">
        <f t="shared" si="113"/>
        <v/>
      </c>
      <c r="CI51" s="17">
        <f t="shared" si="114"/>
        <v>0</v>
      </c>
      <c r="CJ51" s="17">
        <f t="shared" si="115"/>
        <v>0</v>
      </c>
    </row>
    <row r="52" spans="1:88" ht="15.75" x14ac:dyDescent="0.15">
      <c r="A52" s="3" t="s">
        <v>152</v>
      </c>
      <c r="B52" s="11" t="str">
        <f>IF(D52="","",IFERROR(VLOOKUP(D52,商品マスタ!$A:$K,2,FALSE),"その他"))</f>
        <v>その他</v>
      </c>
      <c r="C52" s="2" t="s">
        <v>187</v>
      </c>
      <c r="D52" s="2" t="s">
        <v>188</v>
      </c>
      <c r="E52" s="6">
        <f>IF(D52="","",IFERROR(VLOOKUP(D52,商品マスタ!$A:$K,4,FALSE),76.49))</f>
        <v>76.489999999999995</v>
      </c>
      <c r="F52" s="6">
        <f>IF(D52="","",IFERROR(VLOOKUP(D52,商品マスタ!$A:$K,8,FALSE),0))</f>
        <v>0</v>
      </c>
      <c r="G52" s="12">
        <f t="shared" si="58"/>
        <v>0</v>
      </c>
      <c r="H52" s="12">
        <f t="shared" si="59"/>
        <v>0</v>
      </c>
      <c r="I52" s="12">
        <f t="shared" si="60"/>
        <v>0</v>
      </c>
      <c r="J52" s="13">
        <f t="shared" si="61"/>
        <v>0</v>
      </c>
      <c r="K52" s="13">
        <f t="shared" si="62"/>
        <v>0</v>
      </c>
      <c r="L52" s="13">
        <f t="shared" si="63"/>
        <v>0</v>
      </c>
      <c r="M52" s="14" t="str">
        <f t="shared" si="64"/>
        <v/>
      </c>
      <c r="N52" s="14" t="str">
        <f t="shared" si="65"/>
        <v/>
      </c>
      <c r="O52" s="15"/>
      <c r="P52" s="12" t="str">
        <f t="shared" si="66"/>
        <v/>
      </c>
      <c r="Q52" s="12" t="str">
        <f t="shared" si="67"/>
        <v/>
      </c>
      <c r="R52" s="16"/>
      <c r="S52" s="13" t="str">
        <f t="shared" si="68"/>
        <v/>
      </c>
      <c r="T52" s="13" t="str">
        <f t="shared" si="69"/>
        <v/>
      </c>
      <c r="U52" s="15"/>
      <c r="V52" s="12" t="str">
        <f t="shared" si="70"/>
        <v/>
      </c>
      <c r="W52" s="12" t="str">
        <f t="shared" si="71"/>
        <v/>
      </c>
      <c r="X52" s="16"/>
      <c r="Y52" s="13" t="str">
        <f t="shared" si="72"/>
        <v/>
      </c>
      <c r="Z52" s="13" t="str">
        <f t="shared" si="73"/>
        <v/>
      </c>
      <c r="AA52" s="15"/>
      <c r="AB52" s="12" t="str">
        <f t="shared" si="74"/>
        <v/>
      </c>
      <c r="AC52" s="12" t="str">
        <f t="shared" si="75"/>
        <v/>
      </c>
      <c r="AD52" s="16"/>
      <c r="AE52" s="13" t="str">
        <f t="shared" si="76"/>
        <v/>
      </c>
      <c r="AF52" s="13" t="str">
        <f t="shared" si="77"/>
        <v/>
      </c>
      <c r="AG52" s="15"/>
      <c r="AH52" s="12" t="str">
        <f t="shared" si="78"/>
        <v/>
      </c>
      <c r="AI52" s="12" t="str">
        <f t="shared" si="79"/>
        <v/>
      </c>
      <c r="AJ52" s="16"/>
      <c r="AK52" s="13" t="str">
        <f t="shared" si="80"/>
        <v/>
      </c>
      <c r="AL52" s="13" t="str">
        <f t="shared" si="81"/>
        <v/>
      </c>
      <c r="AM52" s="15"/>
      <c r="AN52" s="12" t="str">
        <f t="shared" si="82"/>
        <v/>
      </c>
      <c r="AO52" s="12" t="str">
        <f t="shared" si="83"/>
        <v/>
      </c>
      <c r="AP52" s="16"/>
      <c r="AQ52" s="13" t="str">
        <f t="shared" si="84"/>
        <v/>
      </c>
      <c r="AR52" s="13" t="str">
        <f t="shared" si="85"/>
        <v/>
      </c>
      <c r="AS52" s="15"/>
      <c r="AT52" s="12" t="str">
        <f t="shared" si="86"/>
        <v/>
      </c>
      <c r="AU52" s="12" t="str">
        <f t="shared" si="87"/>
        <v/>
      </c>
      <c r="AV52" s="16"/>
      <c r="AW52" s="13" t="str">
        <f t="shared" si="88"/>
        <v/>
      </c>
      <c r="AX52" s="13" t="str">
        <f t="shared" si="89"/>
        <v/>
      </c>
      <c r="AY52" s="15"/>
      <c r="AZ52" s="12" t="str">
        <f t="shared" si="90"/>
        <v/>
      </c>
      <c r="BA52" s="12" t="str">
        <f t="shared" si="91"/>
        <v/>
      </c>
      <c r="BB52" s="16"/>
      <c r="BC52" s="13" t="str">
        <f t="shared" si="92"/>
        <v/>
      </c>
      <c r="BD52" s="13" t="str">
        <f t="shared" si="93"/>
        <v/>
      </c>
      <c r="BE52" s="15"/>
      <c r="BF52" s="12" t="str">
        <f t="shared" si="94"/>
        <v/>
      </c>
      <c r="BG52" s="12" t="str">
        <f t="shared" si="95"/>
        <v/>
      </c>
      <c r="BH52" s="16"/>
      <c r="BI52" s="13" t="str">
        <f t="shared" si="96"/>
        <v/>
      </c>
      <c r="BJ52" s="13" t="str">
        <f t="shared" si="97"/>
        <v/>
      </c>
      <c r="BK52" s="15"/>
      <c r="BL52" s="12" t="str">
        <f t="shared" si="98"/>
        <v/>
      </c>
      <c r="BM52" s="12" t="str">
        <f t="shared" si="99"/>
        <v/>
      </c>
      <c r="BN52" s="16"/>
      <c r="BO52" s="13" t="str">
        <f t="shared" si="100"/>
        <v/>
      </c>
      <c r="BP52" s="13" t="str">
        <f t="shared" si="101"/>
        <v/>
      </c>
      <c r="BQ52" s="15"/>
      <c r="BR52" s="12" t="str">
        <f t="shared" si="102"/>
        <v/>
      </c>
      <c r="BS52" s="12" t="str">
        <f t="shared" si="103"/>
        <v/>
      </c>
      <c r="BT52" s="16"/>
      <c r="BU52" s="13" t="str">
        <f t="shared" si="104"/>
        <v/>
      </c>
      <c r="BV52" s="13" t="str">
        <f t="shared" si="105"/>
        <v/>
      </c>
      <c r="BW52" s="15"/>
      <c r="BX52" s="12" t="str">
        <f t="shared" si="106"/>
        <v/>
      </c>
      <c r="BY52" s="12" t="str">
        <f t="shared" si="107"/>
        <v/>
      </c>
      <c r="BZ52" s="16"/>
      <c r="CA52" s="13" t="str">
        <f t="shared" si="108"/>
        <v/>
      </c>
      <c r="CB52" s="13" t="str">
        <f t="shared" si="109"/>
        <v/>
      </c>
      <c r="CC52" s="15"/>
      <c r="CD52" s="12" t="str">
        <f t="shared" si="110"/>
        <v/>
      </c>
      <c r="CE52" s="12" t="str">
        <f t="shared" si="111"/>
        <v/>
      </c>
      <c r="CF52" s="16"/>
      <c r="CG52" s="13" t="str">
        <f t="shared" si="112"/>
        <v/>
      </c>
      <c r="CH52" s="13" t="str">
        <f t="shared" si="113"/>
        <v/>
      </c>
      <c r="CI52" s="17">
        <f t="shared" si="114"/>
        <v>0</v>
      </c>
      <c r="CJ52" s="17">
        <f t="shared" si="115"/>
        <v>0</v>
      </c>
    </row>
    <row r="53" spans="1:88" ht="15.75" x14ac:dyDescent="0.15">
      <c r="A53" s="3" t="s">
        <v>152</v>
      </c>
      <c r="B53" s="11" t="str">
        <f>IF(D53="","",IFERROR(VLOOKUP(D53,商品マスタ!$A:$K,2,FALSE),"その他"))</f>
        <v>その他</v>
      </c>
      <c r="C53" s="2" t="s">
        <v>189</v>
      </c>
      <c r="D53" s="2" t="s">
        <v>188</v>
      </c>
      <c r="E53" s="6">
        <f>IF(D53="","",IFERROR(VLOOKUP(D53,商品マスタ!$A:$K,4,FALSE),76.49))</f>
        <v>76.489999999999995</v>
      </c>
      <c r="F53" s="6">
        <f>IF(D53="","",IFERROR(VLOOKUP(D53,商品マスタ!$A:$K,8,FALSE),0))</f>
        <v>0</v>
      </c>
      <c r="G53" s="12">
        <f t="shared" si="58"/>
        <v>0</v>
      </c>
      <c r="H53" s="12">
        <f t="shared" si="59"/>
        <v>0</v>
      </c>
      <c r="I53" s="12">
        <f t="shared" si="60"/>
        <v>0</v>
      </c>
      <c r="J53" s="13">
        <f t="shared" si="61"/>
        <v>0</v>
      </c>
      <c r="K53" s="13">
        <f t="shared" si="62"/>
        <v>0</v>
      </c>
      <c r="L53" s="13">
        <f t="shared" si="63"/>
        <v>0</v>
      </c>
      <c r="M53" s="14" t="str">
        <f t="shared" si="64"/>
        <v/>
      </c>
      <c r="N53" s="14" t="str">
        <f t="shared" si="65"/>
        <v/>
      </c>
      <c r="O53" s="15"/>
      <c r="P53" s="12" t="str">
        <f t="shared" si="66"/>
        <v/>
      </c>
      <c r="Q53" s="12" t="str">
        <f t="shared" si="67"/>
        <v/>
      </c>
      <c r="R53" s="16"/>
      <c r="S53" s="13" t="str">
        <f t="shared" si="68"/>
        <v/>
      </c>
      <c r="T53" s="13" t="str">
        <f t="shared" si="69"/>
        <v/>
      </c>
      <c r="U53" s="15"/>
      <c r="V53" s="12" t="str">
        <f t="shared" si="70"/>
        <v/>
      </c>
      <c r="W53" s="12" t="str">
        <f t="shared" si="71"/>
        <v/>
      </c>
      <c r="X53" s="16"/>
      <c r="Y53" s="13" t="str">
        <f t="shared" si="72"/>
        <v/>
      </c>
      <c r="Z53" s="13" t="str">
        <f t="shared" si="73"/>
        <v/>
      </c>
      <c r="AA53" s="15"/>
      <c r="AB53" s="12" t="str">
        <f t="shared" si="74"/>
        <v/>
      </c>
      <c r="AC53" s="12" t="str">
        <f t="shared" si="75"/>
        <v/>
      </c>
      <c r="AD53" s="16"/>
      <c r="AE53" s="13" t="str">
        <f t="shared" si="76"/>
        <v/>
      </c>
      <c r="AF53" s="13" t="str">
        <f t="shared" si="77"/>
        <v/>
      </c>
      <c r="AG53" s="15"/>
      <c r="AH53" s="12" t="str">
        <f t="shared" si="78"/>
        <v/>
      </c>
      <c r="AI53" s="12" t="str">
        <f t="shared" si="79"/>
        <v/>
      </c>
      <c r="AJ53" s="16"/>
      <c r="AK53" s="13" t="str">
        <f t="shared" si="80"/>
        <v/>
      </c>
      <c r="AL53" s="13" t="str">
        <f t="shared" si="81"/>
        <v/>
      </c>
      <c r="AM53" s="15"/>
      <c r="AN53" s="12" t="str">
        <f t="shared" si="82"/>
        <v/>
      </c>
      <c r="AO53" s="12" t="str">
        <f t="shared" si="83"/>
        <v/>
      </c>
      <c r="AP53" s="16"/>
      <c r="AQ53" s="13" t="str">
        <f t="shared" si="84"/>
        <v/>
      </c>
      <c r="AR53" s="13" t="str">
        <f t="shared" si="85"/>
        <v/>
      </c>
      <c r="AS53" s="15"/>
      <c r="AT53" s="12" t="str">
        <f t="shared" si="86"/>
        <v/>
      </c>
      <c r="AU53" s="12" t="str">
        <f t="shared" si="87"/>
        <v/>
      </c>
      <c r="AV53" s="16"/>
      <c r="AW53" s="13" t="str">
        <f t="shared" si="88"/>
        <v/>
      </c>
      <c r="AX53" s="13" t="str">
        <f t="shared" si="89"/>
        <v/>
      </c>
      <c r="AY53" s="15"/>
      <c r="AZ53" s="12" t="str">
        <f t="shared" si="90"/>
        <v/>
      </c>
      <c r="BA53" s="12" t="str">
        <f t="shared" si="91"/>
        <v/>
      </c>
      <c r="BB53" s="16"/>
      <c r="BC53" s="13" t="str">
        <f t="shared" si="92"/>
        <v/>
      </c>
      <c r="BD53" s="13" t="str">
        <f t="shared" si="93"/>
        <v/>
      </c>
      <c r="BE53" s="15"/>
      <c r="BF53" s="12" t="str">
        <f t="shared" si="94"/>
        <v/>
      </c>
      <c r="BG53" s="12" t="str">
        <f t="shared" si="95"/>
        <v/>
      </c>
      <c r="BH53" s="16"/>
      <c r="BI53" s="13" t="str">
        <f t="shared" si="96"/>
        <v/>
      </c>
      <c r="BJ53" s="13" t="str">
        <f t="shared" si="97"/>
        <v/>
      </c>
      <c r="BK53" s="15"/>
      <c r="BL53" s="12" t="str">
        <f t="shared" si="98"/>
        <v/>
      </c>
      <c r="BM53" s="12" t="str">
        <f t="shared" si="99"/>
        <v/>
      </c>
      <c r="BN53" s="16"/>
      <c r="BO53" s="13" t="str">
        <f t="shared" si="100"/>
        <v/>
      </c>
      <c r="BP53" s="13" t="str">
        <f t="shared" si="101"/>
        <v/>
      </c>
      <c r="BQ53" s="15"/>
      <c r="BR53" s="12" t="str">
        <f t="shared" si="102"/>
        <v/>
      </c>
      <c r="BS53" s="12" t="str">
        <f t="shared" si="103"/>
        <v/>
      </c>
      <c r="BT53" s="16"/>
      <c r="BU53" s="13" t="str">
        <f t="shared" si="104"/>
        <v/>
      </c>
      <c r="BV53" s="13" t="str">
        <f t="shared" si="105"/>
        <v/>
      </c>
      <c r="BW53" s="15"/>
      <c r="BX53" s="12" t="str">
        <f t="shared" si="106"/>
        <v/>
      </c>
      <c r="BY53" s="12" t="str">
        <f t="shared" si="107"/>
        <v/>
      </c>
      <c r="BZ53" s="16"/>
      <c r="CA53" s="13" t="str">
        <f t="shared" si="108"/>
        <v/>
      </c>
      <c r="CB53" s="13" t="str">
        <f t="shared" si="109"/>
        <v/>
      </c>
      <c r="CC53" s="15"/>
      <c r="CD53" s="12" t="str">
        <f t="shared" si="110"/>
        <v/>
      </c>
      <c r="CE53" s="12" t="str">
        <f t="shared" si="111"/>
        <v/>
      </c>
      <c r="CF53" s="16"/>
      <c r="CG53" s="13" t="str">
        <f t="shared" si="112"/>
        <v/>
      </c>
      <c r="CH53" s="13" t="str">
        <f t="shared" si="113"/>
        <v/>
      </c>
      <c r="CI53" s="17">
        <f t="shared" si="114"/>
        <v>0</v>
      </c>
      <c r="CJ53" s="17">
        <f t="shared" si="115"/>
        <v>0</v>
      </c>
    </row>
    <row r="54" spans="1:88" ht="15.75" x14ac:dyDescent="0.15">
      <c r="A54" s="3" t="s">
        <v>152</v>
      </c>
      <c r="B54" s="11" t="str">
        <f>IF(D54="","",IFERROR(VLOOKUP(D54,商品マスタ!$A:$K,2,FALSE),"その他"))</f>
        <v>その他</v>
      </c>
      <c r="C54" s="2" t="s">
        <v>190</v>
      </c>
      <c r="D54" s="2" t="s">
        <v>145</v>
      </c>
      <c r="E54" s="6">
        <f>IF(D54="","",IFERROR(VLOOKUP(D54,商品マスタ!$A:$K,4,FALSE),6.55))</f>
        <v>6.55</v>
      </c>
      <c r="F54" s="6">
        <f>IF(D54="","",IFERROR(VLOOKUP(D54,商品マスタ!$A:$K,8,FALSE),0.599999999999999))</f>
        <v>0.59999999999999898</v>
      </c>
      <c r="G54" s="12">
        <f t="shared" si="58"/>
        <v>0</v>
      </c>
      <c r="H54" s="12">
        <f t="shared" si="59"/>
        <v>0</v>
      </c>
      <c r="I54" s="12">
        <f t="shared" si="60"/>
        <v>0</v>
      </c>
      <c r="J54" s="13">
        <f t="shared" si="61"/>
        <v>0</v>
      </c>
      <c r="K54" s="13">
        <f t="shared" si="62"/>
        <v>0</v>
      </c>
      <c r="L54" s="13">
        <f t="shared" si="63"/>
        <v>0</v>
      </c>
      <c r="M54" s="14" t="str">
        <f t="shared" si="64"/>
        <v/>
      </c>
      <c r="N54" s="14" t="str">
        <f t="shared" si="65"/>
        <v/>
      </c>
      <c r="O54" s="15"/>
      <c r="P54" s="12" t="str">
        <f t="shared" si="66"/>
        <v/>
      </c>
      <c r="Q54" s="12" t="str">
        <f t="shared" si="67"/>
        <v/>
      </c>
      <c r="R54" s="16"/>
      <c r="S54" s="13" t="str">
        <f t="shared" si="68"/>
        <v/>
      </c>
      <c r="T54" s="13" t="str">
        <f t="shared" si="69"/>
        <v/>
      </c>
      <c r="U54" s="15"/>
      <c r="V54" s="12" t="str">
        <f t="shared" si="70"/>
        <v/>
      </c>
      <c r="W54" s="12" t="str">
        <f t="shared" si="71"/>
        <v/>
      </c>
      <c r="X54" s="16"/>
      <c r="Y54" s="13" t="str">
        <f t="shared" si="72"/>
        <v/>
      </c>
      <c r="Z54" s="13" t="str">
        <f t="shared" si="73"/>
        <v/>
      </c>
      <c r="AA54" s="15"/>
      <c r="AB54" s="12" t="str">
        <f t="shared" si="74"/>
        <v/>
      </c>
      <c r="AC54" s="12" t="str">
        <f t="shared" si="75"/>
        <v/>
      </c>
      <c r="AD54" s="16"/>
      <c r="AE54" s="13" t="str">
        <f t="shared" si="76"/>
        <v/>
      </c>
      <c r="AF54" s="13" t="str">
        <f t="shared" si="77"/>
        <v/>
      </c>
      <c r="AG54" s="15"/>
      <c r="AH54" s="12" t="str">
        <f t="shared" si="78"/>
        <v/>
      </c>
      <c r="AI54" s="12" t="str">
        <f t="shared" si="79"/>
        <v/>
      </c>
      <c r="AJ54" s="16"/>
      <c r="AK54" s="13" t="str">
        <f t="shared" si="80"/>
        <v/>
      </c>
      <c r="AL54" s="13" t="str">
        <f t="shared" si="81"/>
        <v/>
      </c>
      <c r="AM54" s="15"/>
      <c r="AN54" s="12" t="str">
        <f t="shared" si="82"/>
        <v/>
      </c>
      <c r="AO54" s="12" t="str">
        <f t="shared" si="83"/>
        <v/>
      </c>
      <c r="AP54" s="16"/>
      <c r="AQ54" s="13" t="str">
        <f t="shared" si="84"/>
        <v/>
      </c>
      <c r="AR54" s="13" t="str">
        <f t="shared" si="85"/>
        <v/>
      </c>
      <c r="AS54" s="15"/>
      <c r="AT54" s="12" t="str">
        <f t="shared" si="86"/>
        <v/>
      </c>
      <c r="AU54" s="12" t="str">
        <f t="shared" si="87"/>
        <v/>
      </c>
      <c r="AV54" s="16"/>
      <c r="AW54" s="13" t="str">
        <f t="shared" si="88"/>
        <v/>
      </c>
      <c r="AX54" s="13" t="str">
        <f t="shared" si="89"/>
        <v/>
      </c>
      <c r="AY54" s="15"/>
      <c r="AZ54" s="12" t="str">
        <f t="shared" si="90"/>
        <v/>
      </c>
      <c r="BA54" s="12" t="str">
        <f t="shared" si="91"/>
        <v/>
      </c>
      <c r="BB54" s="16"/>
      <c r="BC54" s="13" t="str">
        <f t="shared" si="92"/>
        <v/>
      </c>
      <c r="BD54" s="13" t="str">
        <f t="shared" si="93"/>
        <v/>
      </c>
      <c r="BE54" s="15"/>
      <c r="BF54" s="12" t="str">
        <f t="shared" si="94"/>
        <v/>
      </c>
      <c r="BG54" s="12" t="str">
        <f t="shared" si="95"/>
        <v/>
      </c>
      <c r="BH54" s="16"/>
      <c r="BI54" s="13" t="str">
        <f t="shared" si="96"/>
        <v/>
      </c>
      <c r="BJ54" s="13" t="str">
        <f t="shared" si="97"/>
        <v/>
      </c>
      <c r="BK54" s="15"/>
      <c r="BL54" s="12" t="str">
        <f t="shared" si="98"/>
        <v/>
      </c>
      <c r="BM54" s="12" t="str">
        <f t="shared" si="99"/>
        <v/>
      </c>
      <c r="BN54" s="16"/>
      <c r="BO54" s="13" t="str">
        <f t="shared" si="100"/>
        <v/>
      </c>
      <c r="BP54" s="13" t="str">
        <f t="shared" si="101"/>
        <v/>
      </c>
      <c r="BQ54" s="15"/>
      <c r="BR54" s="12" t="str">
        <f t="shared" si="102"/>
        <v/>
      </c>
      <c r="BS54" s="12" t="str">
        <f t="shared" si="103"/>
        <v/>
      </c>
      <c r="BT54" s="16"/>
      <c r="BU54" s="13" t="str">
        <f t="shared" si="104"/>
        <v/>
      </c>
      <c r="BV54" s="13" t="str">
        <f t="shared" si="105"/>
        <v/>
      </c>
      <c r="BW54" s="15"/>
      <c r="BX54" s="12" t="str">
        <f t="shared" si="106"/>
        <v/>
      </c>
      <c r="BY54" s="12" t="str">
        <f t="shared" si="107"/>
        <v/>
      </c>
      <c r="BZ54" s="16"/>
      <c r="CA54" s="13" t="str">
        <f t="shared" si="108"/>
        <v/>
      </c>
      <c r="CB54" s="13" t="str">
        <f t="shared" si="109"/>
        <v/>
      </c>
      <c r="CC54" s="15"/>
      <c r="CD54" s="12" t="str">
        <f t="shared" si="110"/>
        <v/>
      </c>
      <c r="CE54" s="12" t="str">
        <f t="shared" si="111"/>
        <v/>
      </c>
      <c r="CF54" s="16"/>
      <c r="CG54" s="13" t="str">
        <f t="shared" si="112"/>
        <v/>
      </c>
      <c r="CH54" s="13" t="str">
        <f t="shared" si="113"/>
        <v/>
      </c>
      <c r="CI54" s="17">
        <f t="shared" si="114"/>
        <v>0</v>
      </c>
      <c r="CJ54" s="17">
        <f t="shared" si="115"/>
        <v>0</v>
      </c>
    </row>
    <row r="55" spans="1:88" ht="15.75" x14ac:dyDescent="0.15">
      <c r="A55" s="3" t="s">
        <v>152</v>
      </c>
      <c r="B55" s="11" t="str">
        <f>IF(D55="","",IFERROR(VLOOKUP(D55,商品マスタ!$A:$K,2,FALSE),"その他"))</f>
        <v>その他</v>
      </c>
      <c r="C55" s="2" t="s">
        <v>191</v>
      </c>
      <c r="D55" s="2" t="s">
        <v>81</v>
      </c>
      <c r="E55" s="6">
        <f>IF(D55="","",IFERROR(VLOOKUP(D55,商品マスタ!$A:$K,4,FALSE),0))</f>
        <v>0</v>
      </c>
      <c r="F55" s="6">
        <f>IF(D55="","",IFERROR(VLOOKUP(D55,商品マスタ!$A:$K,8,FALSE),0))</f>
        <v>0</v>
      </c>
      <c r="G55" s="12">
        <f t="shared" si="58"/>
        <v>0</v>
      </c>
      <c r="H55" s="12">
        <f t="shared" si="59"/>
        <v>0</v>
      </c>
      <c r="I55" s="12">
        <f t="shared" si="60"/>
        <v>0</v>
      </c>
      <c r="J55" s="13">
        <f t="shared" si="61"/>
        <v>0</v>
      </c>
      <c r="K55" s="13">
        <f t="shared" si="62"/>
        <v>0</v>
      </c>
      <c r="L55" s="13">
        <f t="shared" si="63"/>
        <v>0</v>
      </c>
      <c r="M55" s="14" t="str">
        <f t="shared" si="64"/>
        <v/>
      </c>
      <c r="N55" s="14" t="str">
        <f t="shared" si="65"/>
        <v/>
      </c>
      <c r="O55" s="15"/>
      <c r="P55" s="12" t="str">
        <f t="shared" si="66"/>
        <v/>
      </c>
      <c r="Q55" s="12" t="str">
        <f t="shared" si="67"/>
        <v/>
      </c>
      <c r="R55" s="16"/>
      <c r="S55" s="13" t="str">
        <f t="shared" si="68"/>
        <v/>
      </c>
      <c r="T55" s="13" t="str">
        <f t="shared" si="69"/>
        <v/>
      </c>
      <c r="U55" s="15"/>
      <c r="V55" s="12" t="str">
        <f t="shared" si="70"/>
        <v/>
      </c>
      <c r="W55" s="12" t="str">
        <f t="shared" si="71"/>
        <v/>
      </c>
      <c r="X55" s="16"/>
      <c r="Y55" s="13" t="str">
        <f t="shared" si="72"/>
        <v/>
      </c>
      <c r="Z55" s="13" t="str">
        <f t="shared" si="73"/>
        <v/>
      </c>
      <c r="AA55" s="15"/>
      <c r="AB55" s="12" t="str">
        <f t="shared" si="74"/>
        <v/>
      </c>
      <c r="AC55" s="12" t="str">
        <f t="shared" si="75"/>
        <v/>
      </c>
      <c r="AD55" s="16"/>
      <c r="AE55" s="13" t="str">
        <f t="shared" si="76"/>
        <v/>
      </c>
      <c r="AF55" s="13" t="str">
        <f t="shared" si="77"/>
        <v/>
      </c>
      <c r="AG55" s="15"/>
      <c r="AH55" s="12" t="str">
        <f t="shared" si="78"/>
        <v/>
      </c>
      <c r="AI55" s="12" t="str">
        <f t="shared" si="79"/>
        <v/>
      </c>
      <c r="AJ55" s="16"/>
      <c r="AK55" s="13" t="str">
        <f t="shared" si="80"/>
        <v/>
      </c>
      <c r="AL55" s="13" t="str">
        <f t="shared" si="81"/>
        <v/>
      </c>
      <c r="AM55" s="15"/>
      <c r="AN55" s="12" t="str">
        <f t="shared" si="82"/>
        <v/>
      </c>
      <c r="AO55" s="12" t="str">
        <f t="shared" si="83"/>
        <v/>
      </c>
      <c r="AP55" s="16"/>
      <c r="AQ55" s="13" t="str">
        <f t="shared" si="84"/>
        <v/>
      </c>
      <c r="AR55" s="13" t="str">
        <f t="shared" si="85"/>
        <v/>
      </c>
      <c r="AS55" s="15"/>
      <c r="AT55" s="12" t="str">
        <f t="shared" si="86"/>
        <v/>
      </c>
      <c r="AU55" s="12" t="str">
        <f t="shared" si="87"/>
        <v/>
      </c>
      <c r="AV55" s="16"/>
      <c r="AW55" s="13" t="str">
        <f t="shared" si="88"/>
        <v/>
      </c>
      <c r="AX55" s="13" t="str">
        <f t="shared" si="89"/>
        <v/>
      </c>
      <c r="AY55" s="15"/>
      <c r="AZ55" s="12" t="str">
        <f t="shared" si="90"/>
        <v/>
      </c>
      <c r="BA55" s="12" t="str">
        <f t="shared" si="91"/>
        <v/>
      </c>
      <c r="BB55" s="16"/>
      <c r="BC55" s="13" t="str">
        <f t="shared" si="92"/>
        <v/>
      </c>
      <c r="BD55" s="13" t="str">
        <f t="shared" si="93"/>
        <v/>
      </c>
      <c r="BE55" s="15"/>
      <c r="BF55" s="12" t="str">
        <f t="shared" si="94"/>
        <v/>
      </c>
      <c r="BG55" s="12" t="str">
        <f t="shared" si="95"/>
        <v/>
      </c>
      <c r="BH55" s="16"/>
      <c r="BI55" s="13" t="str">
        <f t="shared" si="96"/>
        <v/>
      </c>
      <c r="BJ55" s="13" t="str">
        <f t="shared" si="97"/>
        <v/>
      </c>
      <c r="BK55" s="15"/>
      <c r="BL55" s="12" t="str">
        <f t="shared" si="98"/>
        <v/>
      </c>
      <c r="BM55" s="12" t="str">
        <f t="shared" si="99"/>
        <v/>
      </c>
      <c r="BN55" s="16"/>
      <c r="BO55" s="13" t="str">
        <f t="shared" si="100"/>
        <v/>
      </c>
      <c r="BP55" s="13" t="str">
        <f t="shared" si="101"/>
        <v/>
      </c>
      <c r="BQ55" s="15"/>
      <c r="BR55" s="12" t="str">
        <f t="shared" si="102"/>
        <v/>
      </c>
      <c r="BS55" s="12" t="str">
        <f t="shared" si="103"/>
        <v/>
      </c>
      <c r="BT55" s="16"/>
      <c r="BU55" s="13" t="str">
        <f t="shared" si="104"/>
        <v/>
      </c>
      <c r="BV55" s="13" t="str">
        <f t="shared" si="105"/>
        <v/>
      </c>
      <c r="BW55" s="15"/>
      <c r="BX55" s="12" t="str">
        <f t="shared" si="106"/>
        <v/>
      </c>
      <c r="BY55" s="12" t="str">
        <f t="shared" si="107"/>
        <v/>
      </c>
      <c r="BZ55" s="16"/>
      <c r="CA55" s="13" t="str">
        <f t="shared" si="108"/>
        <v/>
      </c>
      <c r="CB55" s="13" t="str">
        <f t="shared" si="109"/>
        <v/>
      </c>
      <c r="CC55" s="15"/>
      <c r="CD55" s="12" t="str">
        <f t="shared" si="110"/>
        <v/>
      </c>
      <c r="CE55" s="12" t="str">
        <f t="shared" si="111"/>
        <v/>
      </c>
      <c r="CF55" s="16"/>
      <c r="CG55" s="13" t="str">
        <f t="shared" si="112"/>
        <v/>
      </c>
      <c r="CH55" s="13" t="str">
        <f t="shared" si="113"/>
        <v/>
      </c>
      <c r="CI55" s="17">
        <f t="shared" si="114"/>
        <v>0</v>
      </c>
      <c r="CJ55" s="17">
        <f t="shared" si="115"/>
        <v>0</v>
      </c>
    </row>
    <row r="56" spans="1:88" ht="15.75" x14ac:dyDescent="0.15">
      <c r="A56" s="3" t="s">
        <v>152</v>
      </c>
      <c r="B56" s="11" t="str">
        <f>IF(D56="","",IFERROR(VLOOKUP(D56,商品マスタ!$A:$K,2,FALSE),"その他"))</f>
        <v>その他</v>
      </c>
      <c r="C56" s="2" t="s">
        <v>192</v>
      </c>
      <c r="D56" s="2" t="s">
        <v>81</v>
      </c>
      <c r="E56" s="6">
        <f>IF(D56="","",IFERROR(VLOOKUP(D56,商品マスタ!$A:$K,4,FALSE),0))</f>
        <v>0</v>
      </c>
      <c r="F56" s="6">
        <f>IF(D56="","",IFERROR(VLOOKUP(D56,商品マスタ!$A:$K,8,FALSE),0))</f>
        <v>0</v>
      </c>
      <c r="G56" s="12">
        <f t="shared" si="58"/>
        <v>0</v>
      </c>
      <c r="H56" s="12">
        <f t="shared" si="59"/>
        <v>0</v>
      </c>
      <c r="I56" s="12">
        <f t="shared" si="60"/>
        <v>0</v>
      </c>
      <c r="J56" s="13">
        <f t="shared" si="61"/>
        <v>0</v>
      </c>
      <c r="K56" s="13">
        <f t="shared" si="62"/>
        <v>0</v>
      </c>
      <c r="L56" s="13">
        <f t="shared" si="63"/>
        <v>0</v>
      </c>
      <c r="M56" s="14" t="str">
        <f t="shared" si="64"/>
        <v/>
      </c>
      <c r="N56" s="14" t="str">
        <f t="shared" si="65"/>
        <v/>
      </c>
      <c r="O56" s="15"/>
      <c r="P56" s="12" t="str">
        <f t="shared" si="66"/>
        <v/>
      </c>
      <c r="Q56" s="12" t="str">
        <f t="shared" si="67"/>
        <v/>
      </c>
      <c r="R56" s="16"/>
      <c r="S56" s="13" t="str">
        <f t="shared" si="68"/>
        <v/>
      </c>
      <c r="T56" s="13" t="str">
        <f t="shared" si="69"/>
        <v/>
      </c>
      <c r="U56" s="15"/>
      <c r="V56" s="12" t="str">
        <f t="shared" si="70"/>
        <v/>
      </c>
      <c r="W56" s="12" t="str">
        <f t="shared" si="71"/>
        <v/>
      </c>
      <c r="X56" s="16"/>
      <c r="Y56" s="13" t="str">
        <f t="shared" si="72"/>
        <v/>
      </c>
      <c r="Z56" s="13" t="str">
        <f t="shared" si="73"/>
        <v/>
      </c>
      <c r="AA56" s="15"/>
      <c r="AB56" s="12" t="str">
        <f t="shared" si="74"/>
        <v/>
      </c>
      <c r="AC56" s="12" t="str">
        <f t="shared" si="75"/>
        <v/>
      </c>
      <c r="AD56" s="16"/>
      <c r="AE56" s="13" t="str">
        <f t="shared" si="76"/>
        <v/>
      </c>
      <c r="AF56" s="13" t="str">
        <f t="shared" si="77"/>
        <v/>
      </c>
      <c r="AG56" s="15"/>
      <c r="AH56" s="12" t="str">
        <f t="shared" si="78"/>
        <v/>
      </c>
      <c r="AI56" s="12" t="str">
        <f t="shared" si="79"/>
        <v/>
      </c>
      <c r="AJ56" s="16"/>
      <c r="AK56" s="13" t="str">
        <f t="shared" si="80"/>
        <v/>
      </c>
      <c r="AL56" s="13" t="str">
        <f t="shared" si="81"/>
        <v/>
      </c>
      <c r="AM56" s="15"/>
      <c r="AN56" s="12" t="str">
        <f t="shared" si="82"/>
        <v/>
      </c>
      <c r="AO56" s="12" t="str">
        <f t="shared" si="83"/>
        <v/>
      </c>
      <c r="AP56" s="16"/>
      <c r="AQ56" s="13" t="str">
        <f t="shared" si="84"/>
        <v/>
      </c>
      <c r="AR56" s="13" t="str">
        <f t="shared" si="85"/>
        <v/>
      </c>
      <c r="AS56" s="15"/>
      <c r="AT56" s="12" t="str">
        <f t="shared" si="86"/>
        <v/>
      </c>
      <c r="AU56" s="12" t="str">
        <f t="shared" si="87"/>
        <v/>
      </c>
      <c r="AV56" s="16"/>
      <c r="AW56" s="13" t="str">
        <f t="shared" si="88"/>
        <v/>
      </c>
      <c r="AX56" s="13" t="str">
        <f t="shared" si="89"/>
        <v/>
      </c>
      <c r="AY56" s="15"/>
      <c r="AZ56" s="12" t="str">
        <f t="shared" si="90"/>
        <v/>
      </c>
      <c r="BA56" s="12" t="str">
        <f t="shared" si="91"/>
        <v/>
      </c>
      <c r="BB56" s="16"/>
      <c r="BC56" s="13" t="str">
        <f t="shared" si="92"/>
        <v/>
      </c>
      <c r="BD56" s="13" t="str">
        <f t="shared" si="93"/>
        <v/>
      </c>
      <c r="BE56" s="15"/>
      <c r="BF56" s="12" t="str">
        <f t="shared" si="94"/>
        <v/>
      </c>
      <c r="BG56" s="12" t="str">
        <f t="shared" si="95"/>
        <v/>
      </c>
      <c r="BH56" s="16"/>
      <c r="BI56" s="13" t="str">
        <f t="shared" si="96"/>
        <v/>
      </c>
      <c r="BJ56" s="13" t="str">
        <f t="shared" si="97"/>
        <v/>
      </c>
      <c r="BK56" s="15"/>
      <c r="BL56" s="12" t="str">
        <f t="shared" si="98"/>
        <v/>
      </c>
      <c r="BM56" s="12" t="str">
        <f t="shared" si="99"/>
        <v/>
      </c>
      <c r="BN56" s="16"/>
      <c r="BO56" s="13" t="str">
        <f t="shared" si="100"/>
        <v/>
      </c>
      <c r="BP56" s="13" t="str">
        <f t="shared" si="101"/>
        <v/>
      </c>
      <c r="BQ56" s="15"/>
      <c r="BR56" s="12" t="str">
        <f t="shared" si="102"/>
        <v/>
      </c>
      <c r="BS56" s="12" t="str">
        <f t="shared" si="103"/>
        <v/>
      </c>
      <c r="BT56" s="16"/>
      <c r="BU56" s="13" t="str">
        <f t="shared" si="104"/>
        <v/>
      </c>
      <c r="BV56" s="13" t="str">
        <f t="shared" si="105"/>
        <v/>
      </c>
      <c r="BW56" s="15"/>
      <c r="BX56" s="12" t="str">
        <f t="shared" si="106"/>
        <v/>
      </c>
      <c r="BY56" s="12" t="str">
        <f t="shared" si="107"/>
        <v/>
      </c>
      <c r="BZ56" s="16"/>
      <c r="CA56" s="13" t="str">
        <f t="shared" si="108"/>
        <v/>
      </c>
      <c r="CB56" s="13" t="str">
        <f t="shared" si="109"/>
        <v/>
      </c>
      <c r="CC56" s="15"/>
      <c r="CD56" s="12" t="str">
        <f t="shared" si="110"/>
        <v/>
      </c>
      <c r="CE56" s="12" t="str">
        <f t="shared" si="111"/>
        <v/>
      </c>
      <c r="CF56" s="16"/>
      <c r="CG56" s="13" t="str">
        <f t="shared" si="112"/>
        <v/>
      </c>
      <c r="CH56" s="13" t="str">
        <f t="shared" si="113"/>
        <v/>
      </c>
      <c r="CI56" s="17">
        <f t="shared" si="114"/>
        <v>0</v>
      </c>
      <c r="CJ56" s="17">
        <f t="shared" si="115"/>
        <v>0</v>
      </c>
    </row>
  </sheetData>
  <autoFilter ref="A4:CJ4" xr:uid="{00000000-0009-0000-0000-000001000000}"/>
  <mergeCells count="28">
    <mergeCell ref="A1:CJ1"/>
    <mergeCell ref="BH3:BJ3"/>
    <mergeCell ref="CF3:CH3"/>
    <mergeCell ref="BQ3:BS3"/>
    <mergeCell ref="R3:T3"/>
    <mergeCell ref="BW3:BY3"/>
    <mergeCell ref="A2:CJ2"/>
    <mergeCell ref="AG3:AI3"/>
    <mergeCell ref="AA3:AC3"/>
    <mergeCell ref="J3:L3"/>
    <mergeCell ref="AM3:AO3"/>
    <mergeCell ref="AS3:AU3"/>
    <mergeCell ref="CC3:CE3"/>
    <mergeCell ref="AD3:AF3"/>
    <mergeCell ref="AY3:BA3"/>
    <mergeCell ref="BE3:BG3"/>
    <mergeCell ref="AP3:AR3"/>
    <mergeCell ref="O3:Q3"/>
    <mergeCell ref="BN3:BP3"/>
    <mergeCell ref="BZ3:CB3"/>
    <mergeCell ref="G3:I3"/>
    <mergeCell ref="X3:Z3"/>
    <mergeCell ref="AJ3:AL3"/>
    <mergeCell ref="U3:W3"/>
    <mergeCell ref="BT3:BV3"/>
    <mergeCell ref="BK3:BM3"/>
    <mergeCell ref="BB3:BD3"/>
    <mergeCell ref="AV3:AX3"/>
  </mergeCells>
  <phoneticPr fontId="6"/>
  <conditionalFormatting sqref="M5:N57">
    <cfRule type="cellIs" dxfId="5" priority="1" operator="greaterThanOrEqual">
      <formula>1</formula>
    </cfRule>
    <cfRule type="cellIs" dxfId="4" priority="2" operator="between">
      <formula>0.9</formula>
      <formula>0.9999</formula>
    </cfRule>
    <cfRule type="cellIs" dxfId="3" priority="3" operator="lessThan">
      <formula>0.9</formula>
    </cfRule>
  </conditionalFormatting>
  <dataValidations count="2">
    <dataValidation type="list" showErrorMessage="1" errorTitle="入力エラー" error="リストから選択してください" sqref="A5:A204" xr:uid="{00000000-0002-0000-0100-000000000000}">
      <formula1>"東大阪,松原"</formula1>
    </dataValidation>
    <dataValidation type="list" showErrorMessage="1" errorTitle="入力エラー" error="リストから選択してください" sqref="B5:B204" xr:uid="{00000000-0002-0000-0100-000002000000}">
      <formula1>"昭和,昭和以外,缶バッジ,その他"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入力エラー" error="リストから選択してください" xr:uid="{00000000-0002-0000-0100-000001000000}">
          <x14:formula1>
            <xm:f>商品マスタ!$A$4:$A$500</xm:f>
          </x14:formula1>
          <xm:sqref>D5:D204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0"/>
  <sheetViews>
    <sheetView workbookViewId="0">
      <pane xSplit="3" ySplit="4" topLeftCell="D5" activePane="bottomRight" state="frozen"/>
      <selection pane="topRight"/>
      <selection pane="bottomLeft"/>
      <selection pane="bottomRight" activeCell="G11" sqref="G11"/>
    </sheetView>
  </sheetViews>
  <sheetFormatPr defaultRowHeight="13.5" x14ac:dyDescent="0.15"/>
  <cols>
    <col min="1" max="1" width="8" customWidth="1"/>
    <col min="2" max="2" width="10" customWidth="1"/>
    <col min="3" max="3" width="20" customWidth="1"/>
    <col min="4" max="4" width="12" customWidth="1"/>
    <col min="5" max="6" width="14" customWidth="1"/>
    <col min="7" max="7" width="12" customWidth="1"/>
    <col min="8" max="9" width="14" customWidth="1"/>
    <col min="10" max="10" width="12" customWidth="1"/>
    <col min="11" max="12" width="14" customWidth="1"/>
    <col min="13" max="14" width="10" customWidth="1"/>
    <col min="15" max="15" width="14" customWidth="1"/>
    <col min="16" max="16" width="10" customWidth="1"/>
  </cols>
  <sheetData>
    <row r="1" spans="1:16" ht="21.95" customHeight="1" x14ac:dyDescent="0.15">
      <c r="A1" s="30" t="s">
        <v>193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</row>
    <row r="2" spans="1:16" ht="35.1" customHeight="1" x14ac:dyDescent="0.15">
      <c r="A2" s="23" t="s">
        <v>194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</row>
    <row r="3" spans="1:16" ht="35.1" customHeight="1" x14ac:dyDescent="0.15">
      <c r="A3" s="35" t="s">
        <v>195</v>
      </c>
      <c r="B3" s="27"/>
      <c r="C3" s="28"/>
      <c r="D3" s="31" t="s">
        <v>196</v>
      </c>
      <c r="E3" s="27"/>
      <c r="F3" s="28"/>
      <c r="G3" s="29" t="s">
        <v>197</v>
      </c>
      <c r="H3" s="27"/>
      <c r="I3" s="28"/>
      <c r="J3" s="26" t="s">
        <v>198</v>
      </c>
      <c r="K3" s="27"/>
      <c r="L3" s="28"/>
      <c r="M3" s="26" t="s">
        <v>199</v>
      </c>
      <c r="N3" s="28"/>
      <c r="O3" s="31" t="s">
        <v>200</v>
      </c>
      <c r="P3" s="28"/>
    </row>
    <row r="4" spans="1:16" ht="31.5" x14ac:dyDescent="0.15">
      <c r="A4" s="1" t="s">
        <v>111</v>
      </c>
      <c r="B4" s="1" t="s">
        <v>3</v>
      </c>
      <c r="C4" s="1" t="s">
        <v>112</v>
      </c>
      <c r="D4" s="18" t="s">
        <v>201</v>
      </c>
      <c r="E4" s="18" t="s">
        <v>202</v>
      </c>
      <c r="F4" s="18" t="s">
        <v>203</v>
      </c>
      <c r="G4" s="9" t="s">
        <v>204</v>
      </c>
      <c r="H4" s="9" t="s">
        <v>205</v>
      </c>
      <c r="I4" s="9" t="s">
        <v>206</v>
      </c>
      <c r="J4" s="10" t="s">
        <v>207</v>
      </c>
      <c r="K4" s="10" t="s">
        <v>208</v>
      </c>
      <c r="L4" s="10" t="s">
        <v>209</v>
      </c>
      <c r="M4" s="10" t="s">
        <v>116</v>
      </c>
      <c r="N4" s="10" t="s">
        <v>117</v>
      </c>
      <c r="O4" s="1" t="s">
        <v>210</v>
      </c>
      <c r="P4" s="1" t="s">
        <v>211</v>
      </c>
    </row>
    <row r="5" spans="1:16" ht="15.75" x14ac:dyDescent="0.15">
      <c r="A5" s="3" t="s">
        <v>136</v>
      </c>
      <c r="B5" s="3" t="s">
        <v>76</v>
      </c>
      <c r="C5" s="2" t="s">
        <v>137</v>
      </c>
      <c r="D5" s="19">
        <v>22371847</v>
      </c>
      <c r="E5" s="19">
        <v>218752361</v>
      </c>
      <c r="F5" s="20">
        <v>19687712.489999998</v>
      </c>
      <c r="G5" s="19">
        <v>22371847</v>
      </c>
      <c r="H5" s="19">
        <v>0</v>
      </c>
      <c r="I5" s="20">
        <v>0</v>
      </c>
      <c r="J5" s="13">
        <v>0</v>
      </c>
      <c r="K5" s="13">
        <v>0</v>
      </c>
      <c r="L5" s="13">
        <v>0</v>
      </c>
      <c r="M5" s="14"/>
      <c r="N5" s="14"/>
      <c r="O5" s="20">
        <v>0</v>
      </c>
      <c r="P5" s="7"/>
    </row>
    <row r="6" spans="1:16" ht="15.75" x14ac:dyDescent="0.15">
      <c r="A6" s="3" t="s">
        <v>136</v>
      </c>
      <c r="B6" s="3" t="s">
        <v>76</v>
      </c>
      <c r="C6" s="2" t="s">
        <v>140</v>
      </c>
      <c r="D6" s="19">
        <v>30000</v>
      </c>
      <c r="E6" s="19">
        <v>352110</v>
      </c>
      <c r="F6" s="20">
        <v>31689.9</v>
      </c>
      <c r="G6" s="19">
        <v>30000</v>
      </c>
      <c r="H6" s="19">
        <v>0</v>
      </c>
      <c r="I6" s="20">
        <v>0</v>
      </c>
      <c r="J6" s="13">
        <v>0</v>
      </c>
      <c r="K6" s="13">
        <v>0</v>
      </c>
      <c r="L6" s="13">
        <v>0</v>
      </c>
      <c r="M6" s="14"/>
      <c r="N6" s="14"/>
      <c r="O6" s="20">
        <v>0</v>
      </c>
      <c r="P6" s="7"/>
    </row>
    <row r="7" spans="1:16" ht="15.75" x14ac:dyDescent="0.15">
      <c r="A7" s="3" t="s">
        <v>136</v>
      </c>
      <c r="B7" s="3" t="s">
        <v>76</v>
      </c>
      <c r="C7" s="2" t="s">
        <v>139</v>
      </c>
      <c r="D7" s="19">
        <v>8005</v>
      </c>
      <c r="E7" s="19">
        <v>116248</v>
      </c>
      <c r="F7" s="20">
        <v>10462.32</v>
      </c>
      <c r="G7" s="19">
        <v>8005</v>
      </c>
      <c r="H7" s="19">
        <v>0</v>
      </c>
      <c r="I7" s="20">
        <v>0</v>
      </c>
      <c r="J7" s="13">
        <v>0</v>
      </c>
      <c r="K7" s="13">
        <v>0</v>
      </c>
      <c r="L7" s="13">
        <v>0</v>
      </c>
      <c r="M7" s="14"/>
      <c r="N7" s="14"/>
      <c r="O7" s="20">
        <v>0</v>
      </c>
      <c r="P7" s="7"/>
    </row>
    <row r="8" spans="1:16" ht="15.75" x14ac:dyDescent="0.15">
      <c r="A8" s="3" t="s">
        <v>136</v>
      </c>
      <c r="B8" s="3" t="s">
        <v>61</v>
      </c>
      <c r="C8" s="2" t="s">
        <v>144</v>
      </c>
      <c r="D8" s="19">
        <v>813420</v>
      </c>
      <c r="E8" s="19">
        <v>16031970</v>
      </c>
      <c r="F8" s="20">
        <v>1442877.3</v>
      </c>
      <c r="G8" s="19">
        <v>813420</v>
      </c>
      <c r="H8" s="19">
        <v>0</v>
      </c>
      <c r="I8" s="20">
        <v>0</v>
      </c>
      <c r="J8" s="13">
        <v>0</v>
      </c>
      <c r="K8" s="13">
        <v>0</v>
      </c>
      <c r="L8" s="13">
        <v>0</v>
      </c>
      <c r="M8" s="14"/>
      <c r="N8" s="14"/>
      <c r="O8" s="20">
        <v>0</v>
      </c>
      <c r="P8" s="7"/>
    </row>
    <row r="9" spans="1:16" ht="15.75" x14ac:dyDescent="0.15">
      <c r="A9" s="3" t="s">
        <v>136</v>
      </c>
      <c r="B9" s="3" t="s">
        <v>61</v>
      </c>
      <c r="C9" s="2" t="s">
        <v>142</v>
      </c>
      <c r="D9" s="19">
        <v>151440</v>
      </c>
      <c r="E9" s="19">
        <v>1235647</v>
      </c>
      <c r="F9" s="20">
        <v>111208.23</v>
      </c>
      <c r="G9" s="19">
        <v>151440</v>
      </c>
      <c r="H9" s="19">
        <v>0</v>
      </c>
      <c r="I9" s="20">
        <v>0</v>
      </c>
      <c r="J9" s="13">
        <v>0</v>
      </c>
      <c r="K9" s="13">
        <v>0</v>
      </c>
      <c r="L9" s="13">
        <v>0</v>
      </c>
      <c r="M9" s="14"/>
      <c r="N9" s="14"/>
      <c r="O9" s="20">
        <v>0</v>
      </c>
      <c r="P9" s="7"/>
    </row>
    <row r="10" spans="1:16" ht="15.75" x14ac:dyDescent="0.15">
      <c r="A10" s="3" t="s">
        <v>136</v>
      </c>
      <c r="B10" s="3" t="s">
        <v>61</v>
      </c>
      <c r="C10" s="2" t="s">
        <v>146</v>
      </c>
      <c r="D10" s="19">
        <v>100780</v>
      </c>
      <c r="E10" s="19">
        <v>364723</v>
      </c>
      <c r="F10" s="20">
        <v>32825.07</v>
      </c>
      <c r="G10" s="19">
        <v>100780</v>
      </c>
      <c r="H10" s="19">
        <v>0</v>
      </c>
      <c r="I10" s="20">
        <v>0</v>
      </c>
      <c r="J10" s="13">
        <v>0</v>
      </c>
      <c r="K10" s="13">
        <v>0</v>
      </c>
      <c r="L10" s="13">
        <v>0</v>
      </c>
      <c r="M10" s="14"/>
      <c r="N10" s="14"/>
      <c r="O10" s="20">
        <v>0</v>
      </c>
      <c r="P10" s="7"/>
    </row>
    <row r="11" spans="1:16" ht="15.75" x14ac:dyDescent="0.15">
      <c r="A11" s="3" t="s">
        <v>136</v>
      </c>
      <c r="B11" s="3" t="s">
        <v>61</v>
      </c>
      <c r="C11" s="2" t="s">
        <v>143</v>
      </c>
      <c r="D11" s="19">
        <v>11200</v>
      </c>
      <c r="E11" s="19">
        <v>345574</v>
      </c>
      <c r="F11" s="20">
        <v>31101.66</v>
      </c>
      <c r="G11" s="19">
        <v>11200</v>
      </c>
      <c r="H11" s="19">
        <v>0</v>
      </c>
      <c r="I11" s="20">
        <v>0</v>
      </c>
      <c r="J11" s="13">
        <v>0</v>
      </c>
      <c r="K11" s="13">
        <v>0</v>
      </c>
      <c r="L11" s="13">
        <v>0</v>
      </c>
      <c r="M11" s="14"/>
      <c r="N11" s="14"/>
      <c r="O11" s="20">
        <v>0</v>
      </c>
      <c r="P11" s="7"/>
    </row>
    <row r="12" spans="1:16" ht="15.75" x14ac:dyDescent="0.15">
      <c r="A12" s="3" t="s">
        <v>136</v>
      </c>
      <c r="B12" s="3" t="s">
        <v>61</v>
      </c>
      <c r="C12" s="2" t="s">
        <v>141</v>
      </c>
      <c r="D12" s="19">
        <v>2000</v>
      </c>
      <c r="E12" s="19">
        <v>53295</v>
      </c>
      <c r="F12" s="20">
        <v>4796.55</v>
      </c>
      <c r="G12" s="19">
        <v>2000</v>
      </c>
      <c r="H12" s="19">
        <v>0</v>
      </c>
      <c r="I12" s="20">
        <v>0</v>
      </c>
      <c r="J12" s="13">
        <v>0</v>
      </c>
      <c r="K12" s="13">
        <v>0</v>
      </c>
      <c r="L12" s="13">
        <v>0</v>
      </c>
      <c r="M12" s="14"/>
      <c r="N12" s="14"/>
      <c r="O12" s="20">
        <v>0</v>
      </c>
      <c r="P12" s="7"/>
    </row>
    <row r="13" spans="1:16" ht="15.75" x14ac:dyDescent="0.15">
      <c r="A13" s="3" t="s">
        <v>136</v>
      </c>
      <c r="B13" s="3" t="s">
        <v>14</v>
      </c>
      <c r="C13" s="2" t="s">
        <v>147</v>
      </c>
      <c r="D13" s="19">
        <v>27988493</v>
      </c>
      <c r="E13" s="19">
        <v>110607247</v>
      </c>
      <c r="F13" s="20">
        <v>9954652.2300000004</v>
      </c>
      <c r="G13" s="19">
        <v>0</v>
      </c>
      <c r="H13" s="19">
        <v>0</v>
      </c>
      <c r="I13" s="20">
        <v>0</v>
      </c>
      <c r="J13" s="13">
        <v>0</v>
      </c>
      <c r="K13" s="13">
        <v>0</v>
      </c>
      <c r="L13" s="13">
        <v>0</v>
      </c>
      <c r="M13" s="14"/>
      <c r="N13" s="14"/>
      <c r="O13" s="20">
        <v>0</v>
      </c>
      <c r="P13" s="7"/>
    </row>
    <row r="14" spans="1:16" ht="15.75" x14ac:dyDescent="0.15">
      <c r="A14" s="3" t="s">
        <v>136</v>
      </c>
      <c r="B14" s="3" t="s">
        <v>14</v>
      </c>
      <c r="C14" s="2" t="s">
        <v>150</v>
      </c>
      <c r="D14" s="19">
        <v>18940001</v>
      </c>
      <c r="E14" s="19">
        <v>68095720</v>
      </c>
      <c r="F14" s="20">
        <v>6128614.7999999998</v>
      </c>
      <c r="G14" s="19">
        <v>18940001</v>
      </c>
      <c r="H14" s="19">
        <v>0</v>
      </c>
      <c r="I14" s="20">
        <v>0</v>
      </c>
      <c r="J14" s="13">
        <v>0</v>
      </c>
      <c r="K14" s="13">
        <v>0</v>
      </c>
      <c r="L14" s="13">
        <v>0</v>
      </c>
      <c r="M14" s="14"/>
      <c r="N14" s="14"/>
      <c r="O14" s="20">
        <v>0</v>
      </c>
      <c r="P14" s="7"/>
    </row>
    <row r="15" spans="1:16" ht="15.75" x14ac:dyDescent="0.15">
      <c r="A15" s="3" t="s">
        <v>136</v>
      </c>
      <c r="B15" s="3" t="s">
        <v>14</v>
      </c>
      <c r="C15" s="2" t="s">
        <v>149</v>
      </c>
      <c r="D15" s="19">
        <v>4523500</v>
      </c>
      <c r="E15" s="19">
        <v>17880902</v>
      </c>
      <c r="F15" s="20">
        <v>1609281.18</v>
      </c>
      <c r="G15" s="19">
        <v>4523500</v>
      </c>
      <c r="H15" s="19">
        <v>0</v>
      </c>
      <c r="I15" s="20">
        <v>0</v>
      </c>
      <c r="J15" s="13">
        <v>0</v>
      </c>
      <c r="K15" s="13">
        <v>0</v>
      </c>
      <c r="L15" s="13">
        <v>0</v>
      </c>
      <c r="M15" s="14"/>
      <c r="N15" s="14"/>
      <c r="O15" s="20">
        <v>0</v>
      </c>
      <c r="P15" s="7"/>
    </row>
    <row r="16" spans="1:16" ht="15.75" x14ac:dyDescent="0.15">
      <c r="A16" s="3" t="s">
        <v>136</v>
      </c>
      <c r="B16" s="3" t="s">
        <v>14</v>
      </c>
      <c r="C16" s="2" t="s">
        <v>149</v>
      </c>
      <c r="D16" s="19">
        <v>3779865</v>
      </c>
      <c r="E16" s="19">
        <v>17375750</v>
      </c>
      <c r="F16" s="20">
        <v>1563817.5</v>
      </c>
      <c r="G16" s="19">
        <v>3779865</v>
      </c>
      <c r="H16" s="19">
        <v>0</v>
      </c>
      <c r="I16" s="20">
        <v>0</v>
      </c>
      <c r="J16" s="13">
        <v>0</v>
      </c>
      <c r="K16" s="13">
        <v>0</v>
      </c>
      <c r="L16" s="13">
        <v>0</v>
      </c>
      <c r="M16" s="14"/>
      <c r="N16" s="14"/>
      <c r="O16" s="20">
        <v>0</v>
      </c>
      <c r="P16" s="7"/>
    </row>
    <row r="17" spans="1:16" ht="15.75" x14ac:dyDescent="0.15">
      <c r="A17" s="3" t="s">
        <v>136</v>
      </c>
      <c r="B17" s="3" t="s">
        <v>14</v>
      </c>
      <c r="C17" s="2" t="s">
        <v>150</v>
      </c>
      <c r="D17" s="19">
        <v>564000</v>
      </c>
      <c r="E17" s="19">
        <v>1942237</v>
      </c>
      <c r="F17" s="20">
        <v>174801.33</v>
      </c>
      <c r="G17" s="19">
        <v>564000</v>
      </c>
      <c r="H17" s="19">
        <v>0</v>
      </c>
      <c r="I17" s="20">
        <v>0</v>
      </c>
      <c r="J17" s="13">
        <v>0</v>
      </c>
      <c r="K17" s="13">
        <v>0</v>
      </c>
      <c r="L17" s="13">
        <v>0</v>
      </c>
      <c r="M17" s="14"/>
      <c r="N17" s="14"/>
      <c r="O17" s="20">
        <v>0</v>
      </c>
      <c r="P17" s="7"/>
    </row>
    <row r="18" spans="1:16" ht="15.75" x14ac:dyDescent="0.15">
      <c r="A18" s="3" t="s">
        <v>152</v>
      </c>
      <c r="B18" s="3" t="s">
        <v>14</v>
      </c>
      <c r="C18" s="2" t="s">
        <v>160</v>
      </c>
      <c r="D18" s="19">
        <v>782132</v>
      </c>
      <c r="E18" s="19">
        <v>43130436</v>
      </c>
      <c r="F18" s="20">
        <v>3881739.24</v>
      </c>
      <c r="G18" s="19">
        <v>782132</v>
      </c>
      <c r="H18" s="19">
        <v>0</v>
      </c>
      <c r="I18" s="20">
        <v>0</v>
      </c>
      <c r="J18" s="13">
        <v>0</v>
      </c>
      <c r="K18" s="13">
        <v>0</v>
      </c>
      <c r="L18" s="13">
        <v>0</v>
      </c>
      <c r="M18" s="14"/>
      <c r="N18" s="14"/>
      <c r="O18" s="20">
        <v>0</v>
      </c>
      <c r="P18" s="7"/>
    </row>
    <row r="19" spans="1:16" ht="15.75" x14ac:dyDescent="0.15">
      <c r="A19" s="3" t="s">
        <v>152</v>
      </c>
      <c r="B19" s="3" t="s">
        <v>14</v>
      </c>
      <c r="C19" s="2" t="s">
        <v>175</v>
      </c>
      <c r="D19" s="19">
        <v>6179300</v>
      </c>
      <c r="E19" s="19">
        <v>39686876</v>
      </c>
      <c r="F19" s="20">
        <v>3571818.84</v>
      </c>
      <c r="G19" s="19">
        <v>6179300</v>
      </c>
      <c r="H19" s="19">
        <v>0</v>
      </c>
      <c r="I19" s="20">
        <v>0</v>
      </c>
      <c r="J19" s="13">
        <v>0</v>
      </c>
      <c r="K19" s="13">
        <v>0</v>
      </c>
      <c r="L19" s="13">
        <v>0</v>
      </c>
      <c r="M19" s="14"/>
      <c r="N19" s="14"/>
      <c r="O19" s="20">
        <v>0</v>
      </c>
      <c r="P19" s="7"/>
    </row>
    <row r="20" spans="1:16" ht="15.75" x14ac:dyDescent="0.15">
      <c r="A20" s="3" t="s">
        <v>152</v>
      </c>
      <c r="B20" s="3" t="s">
        <v>14</v>
      </c>
      <c r="C20" s="2" t="s">
        <v>153</v>
      </c>
      <c r="D20" s="19">
        <v>7790000</v>
      </c>
      <c r="E20" s="19">
        <v>32217350</v>
      </c>
      <c r="F20" s="20">
        <v>2899561.5</v>
      </c>
      <c r="G20" s="19">
        <v>7790000</v>
      </c>
      <c r="H20" s="19">
        <v>0</v>
      </c>
      <c r="I20" s="20">
        <v>0</v>
      </c>
      <c r="J20" s="13">
        <v>0</v>
      </c>
      <c r="K20" s="13">
        <v>0</v>
      </c>
      <c r="L20" s="13">
        <v>0</v>
      </c>
      <c r="M20" s="14"/>
      <c r="N20" s="14"/>
      <c r="O20" s="20">
        <v>0</v>
      </c>
      <c r="P20" s="7"/>
    </row>
    <row r="21" spans="1:16" ht="15.75" x14ac:dyDescent="0.15">
      <c r="A21" s="3" t="s">
        <v>152</v>
      </c>
      <c r="B21" s="3" t="s">
        <v>14</v>
      </c>
      <c r="C21" s="2" t="s">
        <v>185</v>
      </c>
      <c r="D21" s="19">
        <v>2710000</v>
      </c>
      <c r="E21" s="19">
        <v>18576426</v>
      </c>
      <c r="F21" s="20">
        <v>1671878.34</v>
      </c>
      <c r="G21" s="19">
        <v>2710000</v>
      </c>
      <c r="H21" s="19">
        <v>0</v>
      </c>
      <c r="I21" s="20">
        <v>0</v>
      </c>
      <c r="J21" s="13">
        <v>0</v>
      </c>
      <c r="K21" s="13">
        <v>0</v>
      </c>
      <c r="L21" s="13">
        <v>0</v>
      </c>
      <c r="M21" s="14"/>
      <c r="N21" s="14"/>
      <c r="O21" s="20">
        <v>0</v>
      </c>
      <c r="P21" s="7"/>
    </row>
    <row r="22" spans="1:16" ht="15.75" x14ac:dyDescent="0.15">
      <c r="A22" s="3" t="s">
        <v>152</v>
      </c>
      <c r="B22" s="3" t="s">
        <v>14</v>
      </c>
      <c r="C22" s="2" t="s">
        <v>170</v>
      </c>
      <c r="D22" s="19">
        <v>1895000</v>
      </c>
      <c r="E22" s="19">
        <v>11583209</v>
      </c>
      <c r="F22" s="20">
        <v>1042488.81</v>
      </c>
      <c r="G22" s="19">
        <v>1895000</v>
      </c>
      <c r="H22" s="19">
        <v>0</v>
      </c>
      <c r="I22" s="20">
        <v>0</v>
      </c>
      <c r="J22" s="13">
        <v>0</v>
      </c>
      <c r="K22" s="13">
        <v>0</v>
      </c>
      <c r="L22" s="13">
        <v>0</v>
      </c>
      <c r="M22" s="14"/>
      <c r="N22" s="14"/>
      <c r="O22" s="20">
        <v>0</v>
      </c>
      <c r="P22" s="7"/>
    </row>
    <row r="23" spans="1:16" ht="15.75" x14ac:dyDescent="0.15">
      <c r="A23" s="3" t="s">
        <v>152</v>
      </c>
      <c r="B23" s="3" t="s">
        <v>14</v>
      </c>
      <c r="C23" s="2" t="s">
        <v>180</v>
      </c>
      <c r="D23" s="19">
        <v>800400</v>
      </c>
      <c r="E23" s="19">
        <v>5735690</v>
      </c>
      <c r="F23" s="20">
        <v>516212.1</v>
      </c>
      <c r="G23" s="19">
        <v>800400</v>
      </c>
      <c r="H23" s="19">
        <v>0</v>
      </c>
      <c r="I23" s="20">
        <v>0</v>
      </c>
      <c r="J23" s="13">
        <v>0</v>
      </c>
      <c r="K23" s="13">
        <v>0</v>
      </c>
      <c r="L23" s="13">
        <v>0</v>
      </c>
      <c r="M23" s="14"/>
      <c r="N23" s="14"/>
      <c r="O23" s="20">
        <v>0</v>
      </c>
      <c r="P23" s="7"/>
    </row>
    <row r="24" spans="1:16" ht="15.75" x14ac:dyDescent="0.15">
      <c r="A24" s="3" t="s">
        <v>152</v>
      </c>
      <c r="B24" s="3" t="s">
        <v>14</v>
      </c>
      <c r="C24" s="2" t="s">
        <v>178</v>
      </c>
      <c r="D24" s="19">
        <v>815050</v>
      </c>
      <c r="E24" s="19">
        <v>5653789</v>
      </c>
      <c r="F24" s="20">
        <v>508841.01</v>
      </c>
      <c r="G24" s="19">
        <v>815050</v>
      </c>
      <c r="H24" s="19">
        <v>0</v>
      </c>
      <c r="I24" s="20">
        <v>0</v>
      </c>
      <c r="J24" s="13">
        <v>0</v>
      </c>
      <c r="K24" s="13">
        <v>0</v>
      </c>
      <c r="L24" s="13">
        <v>0</v>
      </c>
      <c r="M24" s="14"/>
      <c r="N24" s="14"/>
      <c r="O24" s="20">
        <v>0</v>
      </c>
      <c r="P24" s="7"/>
    </row>
    <row r="25" spans="1:16" ht="15.75" x14ac:dyDescent="0.15">
      <c r="A25" s="3" t="s">
        <v>152</v>
      </c>
      <c r="B25" s="3" t="s">
        <v>14</v>
      </c>
      <c r="C25" s="2" t="s">
        <v>172</v>
      </c>
      <c r="D25" s="19">
        <v>717600</v>
      </c>
      <c r="E25" s="19">
        <v>4107754</v>
      </c>
      <c r="F25" s="20">
        <v>369697.86</v>
      </c>
      <c r="G25" s="19">
        <v>717600</v>
      </c>
      <c r="H25" s="19">
        <v>0</v>
      </c>
      <c r="I25" s="20">
        <v>0</v>
      </c>
      <c r="J25" s="13">
        <v>0</v>
      </c>
      <c r="K25" s="13">
        <v>0</v>
      </c>
      <c r="L25" s="13">
        <v>0</v>
      </c>
      <c r="M25" s="14"/>
      <c r="N25" s="14"/>
      <c r="O25" s="20">
        <v>0</v>
      </c>
      <c r="P25" s="7"/>
    </row>
    <row r="26" spans="1:16" ht="15.75" x14ac:dyDescent="0.15">
      <c r="A26" s="3" t="s">
        <v>152</v>
      </c>
      <c r="B26" s="3" t="s">
        <v>14</v>
      </c>
      <c r="C26" s="2" t="s">
        <v>158</v>
      </c>
      <c r="D26" s="19">
        <v>307000</v>
      </c>
      <c r="E26" s="19">
        <v>2153723</v>
      </c>
      <c r="F26" s="20">
        <v>193835.07</v>
      </c>
      <c r="G26" s="19">
        <v>307000</v>
      </c>
      <c r="H26" s="19">
        <v>0</v>
      </c>
      <c r="I26" s="20">
        <v>0</v>
      </c>
      <c r="J26" s="13">
        <v>0</v>
      </c>
      <c r="K26" s="13">
        <v>0</v>
      </c>
      <c r="L26" s="13">
        <v>0</v>
      </c>
      <c r="M26" s="14"/>
      <c r="N26" s="14"/>
      <c r="O26" s="20">
        <v>0</v>
      </c>
      <c r="P26" s="7"/>
    </row>
    <row r="27" spans="1:16" ht="15.75" x14ac:dyDescent="0.15">
      <c r="A27" s="3" t="s">
        <v>152</v>
      </c>
      <c r="B27" s="3" t="s">
        <v>14</v>
      </c>
      <c r="C27" s="2" t="s">
        <v>161</v>
      </c>
      <c r="D27" s="19">
        <v>426000</v>
      </c>
      <c r="E27" s="19">
        <v>1786510</v>
      </c>
      <c r="F27" s="20">
        <v>160785.9</v>
      </c>
      <c r="G27" s="19">
        <v>426000</v>
      </c>
      <c r="H27" s="19">
        <v>0</v>
      </c>
      <c r="I27" s="20">
        <v>0</v>
      </c>
      <c r="J27" s="13">
        <v>0</v>
      </c>
      <c r="K27" s="13">
        <v>0</v>
      </c>
      <c r="L27" s="13">
        <v>0</v>
      </c>
      <c r="M27" s="14"/>
      <c r="N27" s="14"/>
      <c r="O27" s="20">
        <v>0</v>
      </c>
      <c r="P27" s="7"/>
    </row>
    <row r="28" spans="1:16" ht="15.75" x14ac:dyDescent="0.15">
      <c r="A28" s="3" t="s">
        <v>152</v>
      </c>
      <c r="B28" s="3" t="s">
        <v>14</v>
      </c>
      <c r="C28" s="2" t="s">
        <v>176</v>
      </c>
      <c r="D28" s="19">
        <v>131000</v>
      </c>
      <c r="E28" s="19">
        <v>1558491</v>
      </c>
      <c r="F28" s="20">
        <v>140264.19</v>
      </c>
      <c r="G28" s="19">
        <v>131000</v>
      </c>
      <c r="H28" s="19">
        <v>0</v>
      </c>
      <c r="I28" s="20">
        <v>0</v>
      </c>
      <c r="J28" s="13">
        <v>0</v>
      </c>
      <c r="K28" s="13">
        <v>0</v>
      </c>
      <c r="L28" s="13">
        <v>0</v>
      </c>
      <c r="M28" s="14"/>
      <c r="N28" s="14"/>
      <c r="O28" s="20">
        <v>0</v>
      </c>
      <c r="P28" s="7"/>
    </row>
    <row r="29" spans="1:16" ht="15.75" x14ac:dyDescent="0.15">
      <c r="A29" s="3" t="s">
        <v>152</v>
      </c>
      <c r="B29" s="3" t="s">
        <v>14</v>
      </c>
      <c r="C29" s="2" t="s">
        <v>164</v>
      </c>
      <c r="D29" s="19">
        <v>186001</v>
      </c>
      <c r="E29" s="19">
        <v>1247334</v>
      </c>
      <c r="F29" s="20">
        <v>112260.06</v>
      </c>
      <c r="G29" s="19">
        <v>186001</v>
      </c>
      <c r="H29" s="19">
        <v>0</v>
      </c>
      <c r="I29" s="20">
        <v>0</v>
      </c>
      <c r="J29" s="13">
        <v>0</v>
      </c>
      <c r="K29" s="13">
        <v>0</v>
      </c>
      <c r="L29" s="13">
        <v>0</v>
      </c>
      <c r="M29" s="14"/>
      <c r="N29" s="14"/>
      <c r="O29" s="20">
        <v>0</v>
      </c>
      <c r="P29" s="7"/>
    </row>
    <row r="30" spans="1:16" ht="15.75" x14ac:dyDescent="0.15">
      <c r="A30" s="3" t="s">
        <v>152</v>
      </c>
      <c r="B30" s="3" t="s">
        <v>14</v>
      </c>
      <c r="C30" s="2" t="s">
        <v>163</v>
      </c>
      <c r="D30" s="19">
        <v>151000</v>
      </c>
      <c r="E30" s="19">
        <v>1148147</v>
      </c>
      <c r="F30" s="20">
        <v>103333.23</v>
      </c>
      <c r="G30" s="19">
        <v>151000</v>
      </c>
      <c r="H30" s="19">
        <v>0</v>
      </c>
      <c r="I30" s="20">
        <v>0</v>
      </c>
      <c r="J30" s="13">
        <v>0</v>
      </c>
      <c r="K30" s="13">
        <v>0</v>
      </c>
      <c r="L30" s="13">
        <v>0</v>
      </c>
      <c r="M30" s="14"/>
      <c r="N30" s="14"/>
      <c r="O30" s="20">
        <v>0</v>
      </c>
      <c r="P30" s="7"/>
    </row>
    <row r="31" spans="1:16" ht="15.75" x14ac:dyDescent="0.15">
      <c r="A31" s="3" t="s">
        <v>152</v>
      </c>
      <c r="B31" s="3" t="s">
        <v>14</v>
      </c>
      <c r="C31" s="2" t="s">
        <v>174</v>
      </c>
      <c r="D31" s="19">
        <v>114000</v>
      </c>
      <c r="E31" s="19">
        <v>952512</v>
      </c>
      <c r="F31" s="20">
        <v>85726.080000000002</v>
      </c>
      <c r="G31" s="19">
        <v>114000</v>
      </c>
      <c r="H31" s="19">
        <v>0</v>
      </c>
      <c r="I31" s="20">
        <v>0</v>
      </c>
      <c r="J31" s="13">
        <v>0</v>
      </c>
      <c r="K31" s="13">
        <v>0</v>
      </c>
      <c r="L31" s="13">
        <v>0</v>
      </c>
      <c r="M31" s="14"/>
      <c r="N31" s="14"/>
      <c r="O31" s="20">
        <v>0</v>
      </c>
      <c r="P31" s="7"/>
    </row>
    <row r="32" spans="1:16" ht="15.75" x14ac:dyDescent="0.15">
      <c r="A32" s="3" t="s">
        <v>152</v>
      </c>
      <c r="B32" s="3" t="s">
        <v>14</v>
      </c>
      <c r="C32" s="2" t="s">
        <v>168</v>
      </c>
      <c r="D32" s="19">
        <v>135000</v>
      </c>
      <c r="E32" s="19">
        <v>947166</v>
      </c>
      <c r="F32" s="20">
        <v>85244.94</v>
      </c>
      <c r="G32" s="19">
        <v>135000</v>
      </c>
      <c r="H32" s="19">
        <v>0</v>
      </c>
      <c r="I32" s="20">
        <v>0</v>
      </c>
      <c r="J32" s="13">
        <v>0</v>
      </c>
      <c r="K32" s="13">
        <v>0</v>
      </c>
      <c r="L32" s="13">
        <v>0</v>
      </c>
      <c r="M32" s="14"/>
      <c r="N32" s="14"/>
      <c r="O32" s="20">
        <v>0</v>
      </c>
      <c r="P32" s="7"/>
    </row>
    <row r="33" spans="1:16" ht="15.75" x14ac:dyDescent="0.15">
      <c r="A33" s="3" t="s">
        <v>152</v>
      </c>
      <c r="B33" s="3" t="s">
        <v>14</v>
      </c>
      <c r="C33" s="2" t="s">
        <v>177</v>
      </c>
      <c r="D33" s="19">
        <v>102000</v>
      </c>
      <c r="E33" s="19">
        <v>917158</v>
      </c>
      <c r="F33" s="20">
        <v>82544.22</v>
      </c>
      <c r="G33" s="19">
        <v>102000</v>
      </c>
      <c r="H33" s="19">
        <v>0</v>
      </c>
      <c r="I33" s="20">
        <v>0</v>
      </c>
      <c r="J33" s="13">
        <v>0</v>
      </c>
      <c r="K33" s="13">
        <v>0</v>
      </c>
      <c r="L33" s="13">
        <v>0</v>
      </c>
      <c r="M33" s="14"/>
      <c r="N33" s="14"/>
      <c r="O33" s="20">
        <v>0</v>
      </c>
      <c r="P33" s="7"/>
    </row>
    <row r="34" spans="1:16" ht="15.75" x14ac:dyDescent="0.15">
      <c r="A34" s="3" t="s">
        <v>152</v>
      </c>
      <c r="B34" s="3" t="s">
        <v>14</v>
      </c>
      <c r="C34" s="2" t="s">
        <v>167</v>
      </c>
      <c r="D34" s="19">
        <v>94000</v>
      </c>
      <c r="E34" s="19">
        <v>877096</v>
      </c>
      <c r="F34" s="20">
        <v>78938.64</v>
      </c>
      <c r="G34" s="19">
        <v>94000</v>
      </c>
      <c r="H34" s="19">
        <v>0</v>
      </c>
      <c r="I34" s="20">
        <v>0</v>
      </c>
      <c r="J34" s="13">
        <v>0</v>
      </c>
      <c r="K34" s="13">
        <v>0</v>
      </c>
      <c r="L34" s="13">
        <v>0</v>
      </c>
      <c r="M34" s="14"/>
      <c r="N34" s="14"/>
      <c r="O34" s="20">
        <v>0</v>
      </c>
      <c r="P34" s="7"/>
    </row>
    <row r="35" spans="1:16" ht="15.75" x14ac:dyDescent="0.15">
      <c r="A35" s="3" t="s">
        <v>152</v>
      </c>
      <c r="B35" s="3" t="s">
        <v>14</v>
      </c>
      <c r="C35" s="2" t="s">
        <v>183</v>
      </c>
      <c r="D35" s="19">
        <v>271000</v>
      </c>
      <c r="E35" s="19">
        <v>738298</v>
      </c>
      <c r="F35" s="20">
        <v>66446.820000000007</v>
      </c>
      <c r="G35" s="19">
        <v>271000</v>
      </c>
      <c r="H35" s="19">
        <v>0</v>
      </c>
      <c r="I35" s="20">
        <v>0</v>
      </c>
      <c r="J35" s="13">
        <v>0</v>
      </c>
      <c r="K35" s="13">
        <v>0</v>
      </c>
      <c r="L35" s="13">
        <v>0</v>
      </c>
      <c r="M35" s="14"/>
      <c r="N35" s="14"/>
      <c r="O35" s="20">
        <v>0</v>
      </c>
      <c r="P35" s="7"/>
    </row>
    <row r="36" spans="1:16" ht="15.75" x14ac:dyDescent="0.15">
      <c r="A36" s="3" t="s">
        <v>152</v>
      </c>
      <c r="B36" s="3" t="s">
        <v>14</v>
      </c>
      <c r="C36" s="2" t="s">
        <v>154</v>
      </c>
      <c r="D36" s="19">
        <v>72000</v>
      </c>
      <c r="E36" s="19">
        <v>568634</v>
      </c>
      <c r="F36" s="20">
        <v>51177.06</v>
      </c>
      <c r="G36" s="19">
        <v>72000</v>
      </c>
      <c r="H36" s="19">
        <v>0</v>
      </c>
      <c r="I36" s="20">
        <v>0</v>
      </c>
      <c r="J36" s="13">
        <v>0</v>
      </c>
      <c r="K36" s="13">
        <v>0</v>
      </c>
      <c r="L36" s="13">
        <v>0</v>
      </c>
      <c r="M36" s="14"/>
      <c r="N36" s="14"/>
      <c r="O36" s="20">
        <v>0</v>
      </c>
      <c r="P36" s="7"/>
    </row>
    <row r="37" spans="1:16" ht="15.75" x14ac:dyDescent="0.15">
      <c r="A37" s="3" t="s">
        <v>152</v>
      </c>
      <c r="B37" s="3" t="s">
        <v>14</v>
      </c>
      <c r="C37" s="2" t="s">
        <v>155</v>
      </c>
      <c r="D37" s="19">
        <v>58000</v>
      </c>
      <c r="E37" s="19">
        <v>530244</v>
      </c>
      <c r="F37" s="20">
        <v>47721.96</v>
      </c>
      <c r="G37" s="19">
        <v>58000</v>
      </c>
      <c r="H37" s="19">
        <v>0</v>
      </c>
      <c r="I37" s="20">
        <v>0</v>
      </c>
      <c r="J37" s="13">
        <v>0</v>
      </c>
      <c r="K37" s="13">
        <v>0</v>
      </c>
      <c r="L37" s="13">
        <v>0</v>
      </c>
      <c r="M37" s="14"/>
      <c r="N37" s="14"/>
      <c r="O37" s="20">
        <v>0</v>
      </c>
      <c r="P37" s="7"/>
    </row>
    <row r="38" spans="1:16" ht="15.75" x14ac:dyDescent="0.15">
      <c r="A38" s="3" t="s">
        <v>152</v>
      </c>
      <c r="B38" s="3" t="s">
        <v>14</v>
      </c>
      <c r="C38" s="2" t="s">
        <v>181</v>
      </c>
      <c r="D38" s="19">
        <v>48000</v>
      </c>
      <c r="E38" s="19">
        <v>316448</v>
      </c>
      <c r="F38" s="20">
        <v>28480.32</v>
      </c>
      <c r="G38" s="19">
        <v>48000</v>
      </c>
      <c r="H38" s="19">
        <v>0</v>
      </c>
      <c r="I38" s="20">
        <v>0</v>
      </c>
      <c r="J38" s="13">
        <v>0</v>
      </c>
      <c r="K38" s="13">
        <v>0</v>
      </c>
      <c r="L38" s="13">
        <v>0</v>
      </c>
      <c r="M38" s="14"/>
      <c r="N38" s="14"/>
      <c r="O38" s="20">
        <v>0</v>
      </c>
      <c r="P38" s="7"/>
    </row>
    <row r="39" spans="1:16" ht="15.75" x14ac:dyDescent="0.15">
      <c r="A39" s="3" t="s">
        <v>152</v>
      </c>
      <c r="B39" s="3" t="s">
        <v>14</v>
      </c>
      <c r="C39" s="2" t="s">
        <v>179</v>
      </c>
      <c r="D39" s="19">
        <v>26000</v>
      </c>
      <c r="E39" s="19">
        <v>192863</v>
      </c>
      <c r="F39" s="20">
        <v>17357.669999999998</v>
      </c>
      <c r="G39" s="19">
        <v>26000</v>
      </c>
      <c r="H39" s="19">
        <v>0</v>
      </c>
      <c r="I39" s="20">
        <v>0</v>
      </c>
      <c r="J39" s="13">
        <v>0</v>
      </c>
      <c r="K39" s="13">
        <v>0</v>
      </c>
      <c r="L39" s="13">
        <v>0</v>
      </c>
      <c r="M39" s="14"/>
      <c r="N39" s="14"/>
      <c r="O39" s="20">
        <v>0</v>
      </c>
      <c r="P39" s="7"/>
    </row>
    <row r="40" spans="1:16" ht="15.75" x14ac:dyDescent="0.15">
      <c r="A40" s="3" t="s">
        <v>152</v>
      </c>
      <c r="B40" s="3" t="s">
        <v>14</v>
      </c>
      <c r="C40" s="2" t="s">
        <v>184</v>
      </c>
      <c r="D40" s="19">
        <v>21000</v>
      </c>
      <c r="E40" s="19">
        <v>133749</v>
      </c>
      <c r="F40" s="20">
        <v>12037.41</v>
      </c>
      <c r="G40" s="19">
        <v>21000</v>
      </c>
      <c r="H40" s="19">
        <v>0</v>
      </c>
      <c r="I40" s="20">
        <v>0</v>
      </c>
      <c r="J40" s="13">
        <v>0</v>
      </c>
      <c r="K40" s="13">
        <v>0</v>
      </c>
      <c r="L40" s="13">
        <v>0</v>
      </c>
      <c r="M40" s="14"/>
      <c r="N40" s="14"/>
      <c r="O40" s="20">
        <v>0</v>
      </c>
      <c r="P40" s="7"/>
    </row>
    <row r="41" spans="1:16" ht="15.75" x14ac:dyDescent="0.15">
      <c r="A41" s="3" t="s">
        <v>152</v>
      </c>
      <c r="B41" s="3" t="s">
        <v>14</v>
      </c>
      <c r="C41" s="2" t="s">
        <v>159</v>
      </c>
      <c r="D41" s="19">
        <v>12000</v>
      </c>
      <c r="E41" s="19">
        <v>127292</v>
      </c>
      <c r="F41" s="20">
        <v>11456.28</v>
      </c>
      <c r="G41" s="19">
        <v>12000</v>
      </c>
      <c r="H41" s="19">
        <v>0</v>
      </c>
      <c r="I41" s="20">
        <v>0</v>
      </c>
      <c r="J41" s="13">
        <v>0</v>
      </c>
      <c r="K41" s="13">
        <v>0</v>
      </c>
      <c r="L41" s="13">
        <v>0</v>
      </c>
      <c r="M41" s="14"/>
      <c r="N41" s="14"/>
      <c r="O41" s="20">
        <v>0</v>
      </c>
      <c r="P41" s="7"/>
    </row>
    <row r="42" spans="1:16" ht="15.75" x14ac:dyDescent="0.15">
      <c r="A42" s="3" t="s">
        <v>152</v>
      </c>
      <c r="B42" s="3" t="s">
        <v>14</v>
      </c>
      <c r="C42" s="2" t="s">
        <v>157</v>
      </c>
      <c r="D42" s="19">
        <v>6000</v>
      </c>
      <c r="E42" s="19">
        <v>121792</v>
      </c>
      <c r="F42" s="20">
        <v>10961.28</v>
      </c>
      <c r="G42" s="19">
        <v>6000</v>
      </c>
      <c r="H42" s="19">
        <v>0</v>
      </c>
      <c r="I42" s="20">
        <v>0</v>
      </c>
      <c r="J42" s="13">
        <v>0</v>
      </c>
      <c r="K42" s="13">
        <v>0</v>
      </c>
      <c r="L42" s="13">
        <v>0</v>
      </c>
      <c r="M42" s="14"/>
      <c r="N42" s="14"/>
      <c r="O42" s="20">
        <v>0</v>
      </c>
      <c r="P42" s="7"/>
    </row>
    <row r="43" spans="1:16" ht="15.75" x14ac:dyDescent="0.15">
      <c r="A43" s="3" t="s">
        <v>152</v>
      </c>
      <c r="B43" s="3" t="s">
        <v>14</v>
      </c>
      <c r="C43" s="2" t="s">
        <v>162</v>
      </c>
      <c r="D43" s="19">
        <v>12000</v>
      </c>
      <c r="E43" s="19">
        <v>92620</v>
      </c>
      <c r="F43" s="20">
        <v>8335.7999999999993</v>
      </c>
      <c r="G43" s="19">
        <v>12000</v>
      </c>
      <c r="H43" s="19">
        <v>0</v>
      </c>
      <c r="I43" s="20">
        <v>0</v>
      </c>
      <c r="J43" s="13">
        <v>0</v>
      </c>
      <c r="K43" s="13">
        <v>0</v>
      </c>
      <c r="L43" s="13">
        <v>0</v>
      </c>
      <c r="M43" s="14"/>
      <c r="N43" s="14"/>
      <c r="O43" s="20">
        <v>0</v>
      </c>
      <c r="P43" s="7"/>
    </row>
    <row r="44" spans="1:16" ht="15.75" x14ac:dyDescent="0.15">
      <c r="A44" s="3" t="s">
        <v>152</v>
      </c>
      <c r="B44" s="3" t="s">
        <v>14</v>
      </c>
      <c r="C44" s="2" t="s">
        <v>165</v>
      </c>
      <c r="D44" s="19">
        <v>12000</v>
      </c>
      <c r="E44" s="19">
        <v>83204</v>
      </c>
      <c r="F44" s="20">
        <v>7488.36</v>
      </c>
      <c r="G44" s="19">
        <v>12000</v>
      </c>
      <c r="H44" s="19">
        <v>0</v>
      </c>
      <c r="I44" s="20">
        <v>0</v>
      </c>
      <c r="J44" s="13">
        <v>0</v>
      </c>
      <c r="K44" s="13">
        <v>0</v>
      </c>
      <c r="L44" s="13">
        <v>0</v>
      </c>
      <c r="M44" s="14"/>
      <c r="N44" s="14"/>
      <c r="O44" s="20">
        <v>0</v>
      </c>
      <c r="P44" s="7"/>
    </row>
    <row r="45" spans="1:16" ht="15.75" x14ac:dyDescent="0.15">
      <c r="A45" s="3" t="s">
        <v>152</v>
      </c>
      <c r="B45" s="3" t="s">
        <v>14</v>
      </c>
      <c r="C45" s="2" t="s">
        <v>166</v>
      </c>
      <c r="D45" s="19">
        <v>6000</v>
      </c>
      <c r="E45" s="19">
        <v>46112</v>
      </c>
      <c r="F45" s="20">
        <v>4150.08</v>
      </c>
      <c r="G45" s="19">
        <v>6000</v>
      </c>
      <c r="H45" s="19">
        <v>0</v>
      </c>
      <c r="I45" s="20">
        <v>0</v>
      </c>
      <c r="J45" s="13">
        <v>0</v>
      </c>
      <c r="K45" s="13">
        <v>0</v>
      </c>
      <c r="L45" s="13">
        <v>0</v>
      </c>
      <c r="M45" s="14"/>
      <c r="N45" s="14"/>
      <c r="O45" s="20">
        <v>0</v>
      </c>
      <c r="P45" s="7"/>
    </row>
    <row r="46" spans="1:16" ht="15.75" x14ac:dyDescent="0.15">
      <c r="A46" s="3" t="s">
        <v>152</v>
      </c>
      <c r="B46" s="3" t="s">
        <v>14</v>
      </c>
      <c r="C46" s="2" t="s">
        <v>171</v>
      </c>
      <c r="D46" s="19">
        <v>6000</v>
      </c>
      <c r="E46" s="19">
        <v>46112</v>
      </c>
      <c r="F46" s="20">
        <v>4150.08</v>
      </c>
      <c r="G46" s="19">
        <v>6000</v>
      </c>
      <c r="H46" s="19">
        <v>0</v>
      </c>
      <c r="I46" s="20">
        <v>0</v>
      </c>
      <c r="J46" s="13">
        <v>0</v>
      </c>
      <c r="K46" s="13">
        <v>0</v>
      </c>
      <c r="L46" s="13">
        <v>0</v>
      </c>
      <c r="M46" s="14"/>
      <c r="N46" s="14"/>
      <c r="O46" s="20">
        <v>0</v>
      </c>
      <c r="P46" s="7"/>
    </row>
    <row r="47" spans="1:16" ht="15.75" x14ac:dyDescent="0.15">
      <c r="A47" s="3" t="s">
        <v>152</v>
      </c>
      <c r="B47" s="3" t="s">
        <v>14</v>
      </c>
      <c r="C47" s="2" t="s">
        <v>169</v>
      </c>
      <c r="D47" s="19">
        <v>6000</v>
      </c>
      <c r="E47" s="19">
        <v>38236</v>
      </c>
      <c r="F47" s="20">
        <v>3441.24</v>
      </c>
      <c r="G47" s="19">
        <v>6000</v>
      </c>
      <c r="H47" s="19">
        <v>0</v>
      </c>
      <c r="I47" s="20">
        <v>0</v>
      </c>
      <c r="J47" s="13">
        <v>0</v>
      </c>
      <c r="K47" s="13">
        <v>0</v>
      </c>
      <c r="L47" s="13">
        <v>0</v>
      </c>
      <c r="M47" s="14"/>
      <c r="N47" s="14"/>
      <c r="O47" s="20">
        <v>0</v>
      </c>
      <c r="P47" s="7"/>
    </row>
    <row r="48" spans="1:16" ht="15.75" x14ac:dyDescent="0.15">
      <c r="A48" s="3" t="s">
        <v>152</v>
      </c>
      <c r="B48" s="3" t="s">
        <v>14</v>
      </c>
      <c r="C48" s="2" t="s">
        <v>182</v>
      </c>
      <c r="D48" s="19">
        <v>4700</v>
      </c>
      <c r="E48" s="19">
        <v>27095</v>
      </c>
      <c r="F48" s="20">
        <v>2438.5500000000002</v>
      </c>
      <c r="G48" s="19">
        <v>4700</v>
      </c>
      <c r="H48" s="19">
        <v>0</v>
      </c>
      <c r="I48" s="20">
        <v>0</v>
      </c>
      <c r="J48" s="13">
        <v>0</v>
      </c>
      <c r="K48" s="13">
        <v>0</v>
      </c>
      <c r="L48" s="13">
        <v>0</v>
      </c>
      <c r="M48" s="14"/>
      <c r="N48" s="14"/>
      <c r="O48" s="20">
        <v>0</v>
      </c>
      <c r="P48" s="7"/>
    </row>
    <row r="49" spans="1:16" ht="15.75" x14ac:dyDescent="0.15">
      <c r="A49" s="3" t="s">
        <v>152</v>
      </c>
      <c r="B49" s="3" t="s">
        <v>14</v>
      </c>
      <c r="C49" s="2" t="s">
        <v>173</v>
      </c>
      <c r="D49" s="19">
        <v>3600</v>
      </c>
      <c r="E49" s="19">
        <v>13641</v>
      </c>
      <c r="F49" s="20">
        <v>1227.69</v>
      </c>
      <c r="G49" s="19">
        <v>3600</v>
      </c>
      <c r="H49" s="19">
        <v>0</v>
      </c>
      <c r="I49" s="20">
        <v>0</v>
      </c>
      <c r="J49" s="13">
        <v>0</v>
      </c>
      <c r="K49" s="13">
        <v>0</v>
      </c>
      <c r="L49" s="13">
        <v>0</v>
      </c>
      <c r="M49" s="14"/>
      <c r="N49" s="14"/>
      <c r="O49" s="20">
        <v>0</v>
      </c>
      <c r="P49" s="7"/>
    </row>
    <row r="50" spans="1:16" ht="15.75" x14ac:dyDescent="0.15">
      <c r="A50" s="3" t="s">
        <v>152</v>
      </c>
      <c r="B50" s="3" t="s">
        <v>14</v>
      </c>
      <c r="C50" s="2" t="s">
        <v>156</v>
      </c>
      <c r="D50" s="19">
        <v>900</v>
      </c>
      <c r="E50" s="19">
        <v>9667</v>
      </c>
      <c r="F50" s="20">
        <v>870.03</v>
      </c>
      <c r="G50" s="19">
        <v>900</v>
      </c>
      <c r="H50" s="19">
        <v>0</v>
      </c>
      <c r="I50" s="20">
        <v>0</v>
      </c>
      <c r="J50" s="13">
        <v>0</v>
      </c>
      <c r="K50" s="13">
        <v>0</v>
      </c>
      <c r="L50" s="13">
        <v>0</v>
      </c>
      <c r="M50" s="14"/>
      <c r="N50" s="14"/>
      <c r="O50" s="20">
        <v>0</v>
      </c>
      <c r="P50" s="7"/>
    </row>
    <row r="51" spans="1:16" ht="15.75" x14ac:dyDescent="0.15">
      <c r="A51" s="3" t="s">
        <v>152</v>
      </c>
      <c r="B51" s="3" t="s">
        <v>81</v>
      </c>
      <c r="C51" s="2" t="s">
        <v>189</v>
      </c>
      <c r="D51" s="19">
        <v>878434</v>
      </c>
      <c r="E51" s="19">
        <v>4396231</v>
      </c>
      <c r="F51" s="20">
        <v>395660.79</v>
      </c>
      <c r="G51" s="19">
        <v>878434</v>
      </c>
      <c r="H51" s="19">
        <v>0</v>
      </c>
      <c r="I51" s="20">
        <v>0</v>
      </c>
      <c r="J51" s="13">
        <v>0</v>
      </c>
      <c r="K51" s="13">
        <v>0</v>
      </c>
      <c r="L51" s="13">
        <v>0</v>
      </c>
      <c r="M51" s="14"/>
      <c r="N51" s="14"/>
      <c r="O51" s="20">
        <v>0</v>
      </c>
      <c r="P51" s="7"/>
    </row>
    <row r="52" spans="1:16" ht="15.75" x14ac:dyDescent="0.15">
      <c r="A52" s="3" t="s">
        <v>152</v>
      </c>
      <c r="B52" s="3" t="s">
        <v>81</v>
      </c>
      <c r="C52" s="2" t="s">
        <v>186</v>
      </c>
      <c r="D52" s="19">
        <v>73310</v>
      </c>
      <c r="E52" s="19">
        <v>3607227</v>
      </c>
      <c r="F52" s="20">
        <v>324650.43</v>
      </c>
      <c r="G52" s="19">
        <v>73310</v>
      </c>
      <c r="H52" s="19">
        <v>0</v>
      </c>
      <c r="I52" s="20">
        <v>0</v>
      </c>
      <c r="J52" s="13">
        <v>0</v>
      </c>
      <c r="K52" s="13">
        <v>0</v>
      </c>
      <c r="L52" s="13">
        <v>0</v>
      </c>
      <c r="M52" s="14"/>
      <c r="N52" s="14"/>
      <c r="O52" s="20">
        <v>0</v>
      </c>
      <c r="P52" s="7"/>
    </row>
    <row r="53" spans="1:16" ht="15.75" x14ac:dyDescent="0.15">
      <c r="A53" s="3" t="s">
        <v>152</v>
      </c>
      <c r="B53" s="3" t="s">
        <v>81</v>
      </c>
      <c r="C53" s="2" t="s">
        <v>190</v>
      </c>
      <c r="D53" s="19">
        <v>99746</v>
      </c>
      <c r="E53" s="19">
        <v>3493564</v>
      </c>
      <c r="F53" s="20">
        <v>314420.76</v>
      </c>
      <c r="G53" s="19">
        <v>99746</v>
      </c>
      <c r="H53" s="19">
        <v>0</v>
      </c>
      <c r="I53" s="20">
        <v>0</v>
      </c>
      <c r="J53" s="13">
        <v>0</v>
      </c>
      <c r="K53" s="13">
        <v>0</v>
      </c>
      <c r="L53" s="13">
        <v>0</v>
      </c>
      <c r="M53" s="14"/>
      <c r="N53" s="14"/>
      <c r="O53" s="20">
        <v>0</v>
      </c>
      <c r="P53" s="7"/>
    </row>
    <row r="54" spans="1:16" ht="15.75" x14ac:dyDescent="0.15">
      <c r="A54" s="3" t="s">
        <v>152</v>
      </c>
      <c r="B54" s="3" t="s">
        <v>81</v>
      </c>
      <c r="C54" s="2" t="s">
        <v>191</v>
      </c>
      <c r="D54" s="19">
        <v>31041</v>
      </c>
      <c r="E54" s="19">
        <v>1090245</v>
      </c>
      <c r="F54" s="20">
        <v>98122.05</v>
      </c>
      <c r="G54" s="19">
        <v>31041</v>
      </c>
      <c r="H54" s="19">
        <v>0</v>
      </c>
      <c r="I54" s="20">
        <v>0</v>
      </c>
      <c r="J54" s="13">
        <v>0</v>
      </c>
      <c r="K54" s="13">
        <v>0</v>
      </c>
      <c r="L54" s="13">
        <v>0</v>
      </c>
      <c r="M54" s="14"/>
      <c r="N54" s="14"/>
      <c r="O54" s="20">
        <v>0</v>
      </c>
      <c r="P54" s="7"/>
    </row>
    <row r="55" spans="1:16" ht="15.75" x14ac:dyDescent="0.15">
      <c r="A55" s="3" t="s">
        <v>152</v>
      </c>
      <c r="B55" s="3" t="s">
        <v>81</v>
      </c>
      <c r="C55" s="2" t="s">
        <v>192</v>
      </c>
      <c r="D55" s="19">
        <v>8153</v>
      </c>
      <c r="E55" s="19">
        <v>122981</v>
      </c>
      <c r="F55" s="20">
        <v>11068.29</v>
      </c>
      <c r="G55" s="19">
        <v>8153</v>
      </c>
      <c r="H55" s="19">
        <v>0</v>
      </c>
      <c r="I55" s="20">
        <v>0</v>
      </c>
      <c r="J55" s="13">
        <v>0</v>
      </c>
      <c r="K55" s="13">
        <v>0</v>
      </c>
      <c r="L55" s="13">
        <v>0</v>
      </c>
      <c r="M55" s="14"/>
      <c r="N55" s="14"/>
      <c r="O55" s="20">
        <v>0</v>
      </c>
      <c r="P55" s="7"/>
    </row>
    <row r="56" spans="1:16" ht="15.75" x14ac:dyDescent="0.15">
      <c r="A56" s="3" t="s">
        <v>152</v>
      </c>
      <c r="B56" s="3" t="s">
        <v>81</v>
      </c>
      <c r="C56" s="2" t="s">
        <v>187</v>
      </c>
      <c r="D56" s="19">
        <v>1474</v>
      </c>
      <c r="E56" s="19">
        <v>85521</v>
      </c>
      <c r="F56" s="20">
        <f>IFERROR(E56*0.09,0)</f>
        <v>7696.8899999999994</v>
      </c>
      <c r="G56" s="19">
        <v>1474</v>
      </c>
      <c r="H56" s="19">
        <v>0</v>
      </c>
      <c r="I56" s="20">
        <f>IFERROR(H56*0.09,0)</f>
        <v>0</v>
      </c>
      <c r="J56" s="13">
        <f>SUMIFS(月別計画実績!$J:$J,月別計画実績!$C:$C,C56)</f>
        <v>0</v>
      </c>
      <c r="K56" s="13">
        <f>SUMIFS(月別計画実績!$K:$K,月別計画実績!$C:$C,C56)</f>
        <v>0</v>
      </c>
      <c r="L56" s="13">
        <f>SUMIFS(月別計画実績!$L:$L,月別計画実績!$C:$C,C56)</f>
        <v>0</v>
      </c>
      <c r="M56" s="14" t="str">
        <f>IFERROR(K56/H56,"")</f>
        <v/>
      </c>
      <c r="N56" s="14" t="str">
        <f>IFERROR(L56/I56,"")</f>
        <v/>
      </c>
      <c r="O56" s="20">
        <f>K56-H56</f>
        <v>0</v>
      </c>
      <c r="P56" s="7" t="str">
        <f>IFERROR(O56/H56,"")</f>
        <v/>
      </c>
    </row>
    <row r="58" spans="1:16" ht="15.75" x14ac:dyDescent="0.15">
      <c r="A58" s="33" t="s">
        <v>212</v>
      </c>
      <c r="B58" s="34"/>
      <c r="C58" s="34"/>
      <c r="D58" s="22">
        <f t="shared" ref="D58:L58" si="0">SUM(D5:D57)</f>
        <v>104277392</v>
      </c>
      <c r="E58" s="22">
        <f t="shared" si="0"/>
        <v>641315227</v>
      </c>
      <c r="F58" s="22">
        <f t="shared" si="0"/>
        <v>57718370.429999985</v>
      </c>
      <c r="G58" s="22">
        <f t="shared" si="0"/>
        <v>76288899</v>
      </c>
      <c r="H58" s="22">
        <f t="shared" si="0"/>
        <v>0</v>
      </c>
      <c r="I58" s="22">
        <f t="shared" si="0"/>
        <v>0</v>
      </c>
      <c r="J58" s="22">
        <f t="shared" si="0"/>
        <v>0</v>
      </c>
      <c r="K58" s="22">
        <f t="shared" si="0"/>
        <v>0</v>
      </c>
      <c r="L58" s="22">
        <f t="shared" si="0"/>
        <v>0</v>
      </c>
      <c r="M58" s="21"/>
      <c r="N58" s="21"/>
      <c r="O58" s="22">
        <f>SUM(O5:O57)</f>
        <v>0</v>
      </c>
      <c r="P58" s="21"/>
    </row>
    <row r="60" spans="1:16" ht="15" x14ac:dyDescent="0.25">
      <c r="A60" s="32" t="s">
        <v>213</v>
      </c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</row>
  </sheetData>
  <autoFilter ref="A4:P4" xr:uid="{00000000-0009-0000-0000-000002000000}">
    <sortState xmlns:xlrd2="http://schemas.microsoft.com/office/spreadsheetml/2017/richdata2" ref="A5:P56">
      <sortCondition descending="1" ref="A4"/>
    </sortState>
  </autoFilter>
  <mergeCells count="10">
    <mergeCell ref="O3:P3"/>
    <mergeCell ref="A60:P60"/>
    <mergeCell ref="A1:P1"/>
    <mergeCell ref="A58:C58"/>
    <mergeCell ref="D3:F3"/>
    <mergeCell ref="A3:C3"/>
    <mergeCell ref="G3:I3"/>
    <mergeCell ref="M3:N3"/>
    <mergeCell ref="J3:L3"/>
    <mergeCell ref="A2:P2"/>
  </mergeCells>
  <phoneticPr fontId="6"/>
  <conditionalFormatting sqref="M5:N57">
    <cfRule type="cellIs" dxfId="2" priority="1" operator="greaterThanOrEqual">
      <formula>1</formula>
    </cfRule>
    <cfRule type="cellIs" dxfId="1" priority="2" operator="between">
      <formula>0.9</formula>
      <formula>0.9999</formula>
    </cfRule>
    <cfRule type="cellIs" dxfId="0" priority="3" operator="lessThan">
      <formula>0.9</formula>
    </cfRule>
  </conditionalFormatting>
  <dataValidations count="2">
    <dataValidation type="list" showErrorMessage="1" errorTitle="入力エラー" error="リストから選択してください" sqref="A5:A500" xr:uid="{00000000-0002-0000-0200-000000000000}">
      <formula1>"東大阪,松原"</formula1>
    </dataValidation>
    <dataValidation type="list" showErrorMessage="1" errorTitle="入力エラー" error="リストから選択してください" sqref="B5:B500" xr:uid="{00000000-0002-0000-0200-000001000000}">
      <formula1>"昭和,昭和以外,缶バッジ,その他"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商品マスタ</vt:lpstr>
      <vt:lpstr>月別計画実績</vt:lpstr>
      <vt:lpstr>取引先別年間計画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竹村 翔</cp:lastModifiedBy>
  <dcterms:created xsi:type="dcterms:W3CDTF">2026-04-13T08:59:16Z</dcterms:created>
  <dcterms:modified xsi:type="dcterms:W3CDTF">2026-04-13T09:07:39Z</dcterms:modified>
</cp:coreProperties>
</file>