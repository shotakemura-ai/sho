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サマリー" sheetId="1" state="visible" r:id="rId1"/>
    <sheet name="②月別売上推移" sheetId="2" state="visible" r:id="rId2"/>
    <sheet name="③得意先別分析" sheetId="3" state="visible" r:id="rId3"/>
    <sheet name="④品名別分析" sheetId="4" state="visible" r:id="rId4"/>
    <sheet name="⑤カテゴリ×月別" sheetId="5" state="visible" r:id="rId5"/>
    <sheet name="⑥粗利分析_月別" sheetId="6" state="visible" r:id="rId6"/>
    <sheet name="⑦粗利分析_品名・得意先" sheetId="7" state="visible" r:id="rId7"/>
    <sheet name="⑧粗利分析_カテゴリ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b val="1"/>
      <color rgb="001F497D"/>
      <sz val="16"/>
    </font>
    <font>
      <color rgb="00595959"/>
      <sz val="10"/>
    </font>
    <font>
      <b val="1"/>
      <color rgb="00FFFFFF"/>
      <sz val="10"/>
    </font>
    <font>
      <b val="1"/>
      <color rgb="001F497D"/>
      <sz val="13"/>
    </font>
    <font>
      <b val="1"/>
      <color rgb="002E75B6"/>
      <sz val="13"/>
    </font>
    <font>
      <b val="1"/>
      <color rgb="0070AD47"/>
      <sz val="13"/>
    </font>
    <font>
      <b val="1"/>
      <color rgb="00F79646"/>
      <sz val="13"/>
    </font>
    <font>
      <b val="1"/>
      <color rgb="00FFFFFF"/>
      <sz val="11"/>
    </font>
    <font>
      <b val="1"/>
      <color rgb="001F497D"/>
      <sz val="10"/>
    </font>
    <font>
      <sz val="10"/>
    </font>
    <font>
      <b val="1"/>
      <sz val="10"/>
    </font>
    <font>
      <b val="1"/>
      <color rgb="001F497D"/>
      <sz val="14"/>
    </font>
    <font>
      <i val="1"/>
      <color rgb="00595959"/>
      <sz val="9"/>
    </font>
    <font>
      <i val="1"/>
      <color rgb="00FF0000"/>
      <sz val="10"/>
    </font>
    <font>
      <b val="1"/>
      <color rgb="001F497D"/>
      <sz val="12"/>
    </font>
  </fonts>
  <fills count="12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79646"/>
      </patternFill>
    </fill>
    <fill>
      <patternFill patternType="solid">
        <fgColor rgb="00B8CCE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CCFF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3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3" fontId="11" fillId="8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9" fillId="9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164" fontId="11" fillId="10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164" fontId="11" fillId="8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4" fontId="11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月別売上・粗利推移</a:t>
            </a:r>
          </a:p>
        </rich>
      </tx>
    </title>
    <plotArea>
      <barChart>
        <barDir val="col"/>
        <grouping val="clustered"/>
        <ser>
          <idx val="0"/>
          <order val="0"/>
          <tx>
            <v>売上金額</v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'②月別売上推移'!$B$4:$B$15</f>
            </numRef>
          </cat>
          <val>
            <numRef>
              <f>'②月別売上推移'!$C$3:$C$15</f>
            </numRef>
          </val>
        </ser>
        <ser>
          <idx val="1"/>
          <order val="1"/>
          <tx>
            <v>粗利金額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'②月別売上推移'!$B$4:$B$15</f>
            </numRef>
          </cat>
          <val>
            <numRef>
              <f>'②月別売上推移'!$G$3:$G$15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月別 粗利率推移</a:t>
            </a:r>
          </a:p>
        </rich>
      </tx>
    </title>
    <plotArea>
      <lineChart>
        <grouping val="standard"/>
        <ser>
          <idx val="0"/>
          <order val="0"/>
          <tx>
            <v>粗利率</v>
          </tx>
          <spPr>
            <a:ln w="20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'⑥粗利分析_月別'!$B$5:$B$16</f>
            </numRef>
          </cat>
          <val>
            <numRef>
              <f>'⑥粗利分析_月別'!$F$4:$F$16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粗利率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カテゴリ別 売上・粗利</a:t>
            </a:r>
          </a:p>
        </rich>
      </tx>
    </title>
    <plotArea>
      <barChart>
        <barDir val="bar"/>
        <grouping val="clustered"/>
        <ser>
          <idx val="0"/>
          <order val="0"/>
          <tx>
            <v>売上金額</v>
          </tx>
          <spPr>
            <a:ln>
              <a:prstDash val="solid"/>
            </a:ln>
          </spPr>
          <cat>
            <numRef>
              <f>'⑧粗利分析_カテゴリ別'!$C$4:$C$11</f>
            </numRef>
          </cat>
          <val>
            <numRef>
              <f>'⑧粗利分析_カテゴリ別'!$D$3:$D$11</f>
            </numRef>
          </val>
        </ser>
        <ser>
          <idx val="1"/>
          <order val="1"/>
          <tx>
            <v>原価金額</v>
          </tx>
          <spPr>
            <a:ln>
              <a:prstDash val="solid"/>
            </a:ln>
          </spPr>
          <cat>
            <numRef>
              <f>'⑧粗利分析_カテゴリ別'!$C$4:$C$11</f>
            </numRef>
          </cat>
          <val>
            <numRef>
              <f>'⑧粗利分析_カテゴリ別'!$E$3:$E$11</f>
            </numRef>
          </val>
        </ser>
        <ser>
          <idx val="2"/>
          <order val="2"/>
          <tx>
            <v>粗利金額</v>
          </tx>
          <spPr>
            <a:ln>
              <a:prstDash val="solid"/>
            </a:ln>
          </spPr>
          <cat>
            <numRef>
              <f>'⑧粗利分析_カテゴリ別'!$C$4:$C$11</f>
            </numRef>
          </cat>
          <val>
            <numRef>
              <f>'⑧粗利分析_カテゴリ別'!$F$3:$F$11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金額（円）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カテゴリ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B1" s="1" t="inlineStr">
        <is>
          <t>2025年 営業2部 販売実績分析（統合版）</t>
        </is>
      </c>
    </row>
    <row r="2">
      <c r="B2" s="2" t="inlineStr">
        <is>
          <t>集計期間: 2025年1月〜12月　|　データソース: 売上日記帳 + 仕入売上日記帳(直送) + 委託出荷</t>
        </is>
      </c>
    </row>
    <row r="4" ht="22" customHeight="1">
      <c r="B4" s="3" t="inlineStr">
        <is>
          <t>総売上金額</t>
        </is>
      </c>
      <c r="C4" s="4" t="inlineStr">
        <is>
          <t>総件数</t>
        </is>
      </c>
      <c r="D4" s="5" t="inlineStr">
        <is>
          <t>取引得意先数</t>
        </is>
      </c>
      <c r="E4" s="6" t="inlineStr">
        <is>
          <t>取扱品名数</t>
        </is>
      </c>
    </row>
    <row r="5" ht="30" customHeight="1">
      <c r="B5" s="7" t="n">
        <v>2663880652</v>
      </c>
      <c r="C5" s="8" t="n">
        <v>9871</v>
      </c>
      <c r="D5" s="9" t="n">
        <v>207</v>
      </c>
      <c r="E5" s="10" t="n">
        <v>798</v>
      </c>
    </row>
    <row r="7" ht="22" customHeight="1">
      <c r="B7" s="11" t="inlineStr">
        <is>
          <t>データソース別 内訳</t>
        </is>
      </c>
    </row>
    <row r="8" ht="20" customHeight="1">
      <c r="B8" s="12" t="inlineStr">
        <is>
          <t>データソース</t>
        </is>
      </c>
      <c r="C8" s="12" t="inlineStr">
        <is>
          <t>件数</t>
        </is>
      </c>
      <c r="D8" s="12" t="inlineStr">
        <is>
          <t>売上金額</t>
        </is>
      </c>
      <c r="E8" s="12" t="inlineStr">
        <is>
          <t>構成比</t>
        </is>
      </c>
      <c r="F8" s="12" t="inlineStr">
        <is>
          <t>粗利計算</t>
        </is>
      </c>
    </row>
    <row r="9" ht="18" customHeight="1">
      <c r="B9" s="13" t="inlineStr">
        <is>
          <t>売上日記帳</t>
        </is>
      </c>
      <c r="C9" s="14" t="n">
        <v>5032</v>
      </c>
      <c r="D9" s="14" t="n">
        <v>1350756623</v>
      </c>
      <c r="E9" s="15" t="n">
        <v>0.5070634909960673</v>
      </c>
      <c r="F9" s="13" t="inlineStr">
        <is>
          <t>可（原価データあり）</t>
        </is>
      </c>
    </row>
    <row r="10" ht="18" customHeight="1">
      <c r="B10" s="16" t="inlineStr">
        <is>
          <t>仕入売上(直送)</t>
        </is>
      </c>
      <c r="C10" s="17" t="n">
        <v>4012</v>
      </c>
      <c r="D10" s="17" t="n">
        <v>1028961203</v>
      </c>
      <c r="E10" s="18" t="n">
        <v>0.386264002566133</v>
      </c>
      <c r="F10" s="16" t="inlineStr">
        <is>
          <t>可（仕入金額を原価として使用）</t>
        </is>
      </c>
    </row>
    <row r="11" ht="18" customHeight="1">
      <c r="B11" s="13" t="inlineStr">
        <is>
          <t>委託出荷</t>
        </is>
      </c>
      <c r="C11" s="14" t="n">
        <v>827</v>
      </c>
      <c r="D11" s="14" t="n">
        <v>284162826</v>
      </c>
      <c r="E11" s="15" t="n">
        <v>0.1066725064377997</v>
      </c>
      <c r="F11" s="13" t="inlineStr">
        <is>
          <t>不可（原価データなし）</t>
        </is>
      </c>
    </row>
    <row r="12" ht="20" customHeight="1">
      <c r="B12" s="19" t="inlineStr">
        <is>
          <t>合計</t>
        </is>
      </c>
      <c r="C12" s="20" t="n">
        <v>9871</v>
      </c>
      <c r="D12" s="20" t="n">
        <v>2663880652</v>
      </c>
      <c r="E12" s="21" t="n">
        <v>1</v>
      </c>
      <c r="F12" s="22" t="inlineStr"/>
    </row>
    <row r="14" ht="22" customHeight="1">
      <c r="B14" s="11" t="inlineStr">
        <is>
          <t>月別売上サマリー</t>
        </is>
      </c>
    </row>
    <row r="15" ht="20" customHeight="1">
      <c r="B15" s="12" t="inlineStr">
        <is>
          <t>月</t>
        </is>
      </c>
      <c r="C15" s="12" t="inlineStr">
        <is>
          <t>売上金額</t>
        </is>
      </c>
      <c r="D15" s="12" t="inlineStr">
        <is>
          <t>粗利金額（原価あり）</t>
        </is>
      </c>
      <c r="E15" s="12" t="inlineStr">
        <is>
          <t>粗利率</t>
        </is>
      </c>
      <c r="F15" s="12" t="inlineStr">
        <is>
          <t>件数</t>
        </is>
      </c>
    </row>
    <row r="16" ht="18" customHeight="1">
      <c r="B16" s="23" t="inlineStr">
        <is>
          <t>1月</t>
        </is>
      </c>
      <c r="C16" s="14" t="n">
        <v>274626641</v>
      </c>
      <c r="D16" s="14" t="n">
        <v>34860317</v>
      </c>
      <c r="E16" s="15" t="n">
        <v>0.1413829163497899</v>
      </c>
      <c r="F16" s="14" t="n">
        <v>876</v>
      </c>
    </row>
    <row r="17" ht="18" customHeight="1">
      <c r="B17" s="24" t="inlineStr">
        <is>
          <t>2月</t>
        </is>
      </c>
      <c r="C17" s="17" t="n">
        <v>236236803</v>
      </c>
      <c r="D17" s="17" t="n">
        <v>34010081</v>
      </c>
      <c r="E17" s="18" t="n">
        <v>0.1587272253693013</v>
      </c>
      <c r="F17" s="17" t="n">
        <v>828</v>
      </c>
    </row>
    <row r="18" ht="18" customHeight="1">
      <c r="B18" s="23" t="inlineStr">
        <is>
          <t>3月</t>
        </is>
      </c>
      <c r="C18" s="14" t="n">
        <v>240309284</v>
      </c>
      <c r="D18" s="14" t="n">
        <v>33819343</v>
      </c>
      <c r="E18" s="15" t="n">
        <v>0.153883809315091</v>
      </c>
      <c r="F18" s="14" t="n">
        <v>868</v>
      </c>
    </row>
    <row r="19" ht="18" customHeight="1">
      <c r="B19" s="24" t="inlineStr">
        <is>
          <t>4月</t>
        </is>
      </c>
      <c r="C19" s="17" t="n">
        <v>232303815</v>
      </c>
      <c r="D19" s="17" t="n">
        <v>33824899</v>
      </c>
      <c r="E19" s="18" t="n">
        <v>0.1572266175618003</v>
      </c>
      <c r="F19" s="17" t="n">
        <v>822</v>
      </c>
    </row>
    <row r="20" ht="18" customHeight="1">
      <c r="B20" s="23" t="inlineStr">
        <is>
          <t>5月</t>
        </is>
      </c>
      <c r="C20" s="14" t="n">
        <v>222667266</v>
      </c>
      <c r="D20" s="14" t="n">
        <v>28560464</v>
      </c>
      <c r="E20" s="15" t="n">
        <v>0.14477766061026</v>
      </c>
      <c r="F20" s="14" t="n">
        <v>795</v>
      </c>
    </row>
    <row r="21" ht="18" customHeight="1">
      <c r="B21" s="24" t="inlineStr">
        <is>
          <t>6月</t>
        </is>
      </c>
      <c r="C21" s="17" t="n">
        <v>226139591</v>
      </c>
      <c r="D21" s="17" t="n">
        <v>31301160</v>
      </c>
      <c r="E21" s="18" t="n">
        <v>0.1553989700587616</v>
      </c>
      <c r="F21" s="17" t="n">
        <v>830</v>
      </c>
    </row>
    <row r="22" ht="18" customHeight="1">
      <c r="B22" s="23" t="inlineStr">
        <is>
          <t>7月</t>
        </is>
      </c>
      <c r="C22" s="14" t="n">
        <v>219463480</v>
      </c>
      <c r="D22" s="14" t="n">
        <v>28994107</v>
      </c>
      <c r="E22" s="15" t="n">
        <v>0.1497890255140852</v>
      </c>
      <c r="F22" s="14" t="n">
        <v>811</v>
      </c>
    </row>
    <row r="23" ht="18" customHeight="1">
      <c r="B23" s="24" t="inlineStr">
        <is>
          <t>8月</t>
        </is>
      </c>
      <c r="C23" s="17" t="n">
        <v>166420032</v>
      </c>
      <c r="D23" s="17" t="n">
        <v>23244777</v>
      </c>
      <c r="E23" s="18" t="n">
        <v>0.1563401257430574</v>
      </c>
      <c r="F23" s="17" t="n">
        <v>611</v>
      </c>
    </row>
    <row r="24" ht="18" customHeight="1">
      <c r="B24" s="23" t="inlineStr">
        <is>
          <t>9月</t>
        </is>
      </c>
      <c r="C24" s="14" t="n">
        <v>201177808</v>
      </c>
      <c r="D24" s="14" t="n">
        <v>27609880</v>
      </c>
      <c r="E24" s="15" t="n">
        <v>0.1610964953121329</v>
      </c>
      <c r="F24" s="14" t="n">
        <v>815</v>
      </c>
    </row>
    <row r="25" ht="18" customHeight="1">
      <c r="B25" s="24" t="inlineStr">
        <is>
          <t>10月</t>
        </is>
      </c>
      <c r="C25" s="17" t="n">
        <v>240825634</v>
      </c>
      <c r="D25" s="17" t="n">
        <v>30773728</v>
      </c>
      <c r="E25" s="18" t="n">
        <v>0.1449139982866714</v>
      </c>
      <c r="F25" s="17" t="n">
        <v>970</v>
      </c>
    </row>
    <row r="26" ht="18" customHeight="1">
      <c r="B26" s="23" t="inlineStr">
        <is>
          <t>11月</t>
        </is>
      </c>
      <c r="C26" s="14" t="n">
        <v>204891469</v>
      </c>
      <c r="D26" s="14" t="n">
        <v>25634655</v>
      </c>
      <c r="E26" s="15" t="n">
        <v>0.1422700684538858</v>
      </c>
      <c r="F26" s="14" t="n">
        <v>834</v>
      </c>
    </row>
    <row r="27" ht="18" customHeight="1">
      <c r="B27" s="24" t="inlineStr">
        <is>
          <t>12月</t>
        </is>
      </c>
      <c r="C27" s="17" t="n">
        <v>198818829</v>
      </c>
      <c r="D27" s="17" t="n">
        <v>27136504</v>
      </c>
      <c r="E27" s="18" t="n">
        <v>0.151511367049793</v>
      </c>
      <c r="F27" s="17" t="n">
        <v>811</v>
      </c>
    </row>
    <row r="28" ht="22" customHeight="1">
      <c r="B28" s="25" t="inlineStr">
        <is>
          <t>年計</t>
        </is>
      </c>
      <c r="C28" s="20" t="n">
        <v>2663880652</v>
      </c>
      <c r="D28" s="20" t="n">
        <v>359769915</v>
      </c>
      <c r="E28" s="21" t="n">
        <v>0.1511817540169151</v>
      </c>
      <c r="F28" s="20" t="n">
        <v>9871</v>
      </c>
    </row>
  </sheetData>
  <mergeCells count="12">
    <mergeCell ref="D4"/>
    <mergeCell ref="B4"/>
    <mergeCell ref="B7:F7"/>
    <mergeCell ref="C4"/>
    <mergeCell ref="B2:F2"/>
    <mergeCell ref="E4"/>
    <mergeCell ref="D5"/>
    <mergeCell ref="B1:F1"/>
    <mergeCell ref="B14:F14"/>
    <mergeCell ref="B5"/>
    <mergeCell ref="C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3" customWidth="1" min="10" max="10"/>
  </cols>
  <sheetData>
    <row r="1" ht="35" customHeight="1">
      <c r="B1" s="26" t="inlineStr">
        <is>
          <t>月別売上推移（取引種別別内訳）</t>
        </is>
      </c>
    </row>
    <row r="3" ht="22" customHeight="1">
      <c r="B3" s="3" t="inlineStr">
        <is>
          <t>月</t>
        </is>
      </c>
      <c r="C3" s="3" t="inlineStr">
        <is>
          <t>売上合計</t>
        </is>
      </c>
      <c r="D3" s="3" t="inlineStr">
        <is>
          <t>売上日記帳</t>
        </is>
      </c>
      <c r="E3" s="3" t="inlineStr">
        <is>
          <t>仕入売上(直送)</t>
        </is>
      </c>
      <c r="F3" s="3" t="inlineStr">
        <is>
          <t>委託出荷</t>
        </is>
      </c>
      <c r="G3" s="3" t="inlineStr">
        <is>
          <t>粗利金額</t>
        </is>
      </c>
      <c r="H3" s="3" t="inlineStr">
        <is>
          <t>粗利率</t>
        </is>
      </c>
      <c r="I3" s="3" t="inlineStr">
        <is>
          <t>件数</t>
        </is>
      </c>
    </row>
    <row r="4" ht="18" customHeight="1">
      <c r="B4" s="23" t="inlineStr">
        <is>
          <t>1月</t>
        </is>
      </c>
      <c r="C4" s="27" t="n">
        <v>274626641</v>
      </c>
      <c r="D4" s="14" t="n">
        <v>135110830</v>
      </c>
      <c r="E4" s="14" t="n">
        <v>111455855</v>
      </c>
      <c r="F4" s="14" t="n">
        <v>28059956</v>
      </c>
      <c r="G4" s="14" t="n">
        <v>34860317</v>
      </c>
      <c r="H4" s="15" t="n">
        <v>0.1413829163497899</v>
      </c>
      <c r="I4" s="14" t="n">
        <v>876</v>
      </c>
    </row>
    <row r="5" ht="18" customHeight="1">
      <c r="B5" s="24" t="inlineStr">
        <is>
          <t>2月</t>
        </is>
      </c>
      <c r="C5" s="28" t="n">
        <v>236236803</v>
      </c>
      <c r="D5" s="17" t="n">
        <v>112692744</v>
      </c>
      <c r="E5" s="17" t="n">
        <v>101574726</v>
      </c>
      <c r="F5" s="17" t="n">
        <v>21969333</v>
      </c>
      <c r="G5" s="17" t="n">
        <v>34010081</v>
      </c>
      <c r="H5" s="18" t="n">
        <v>0.1587272253693013</v>
      </c>
      <c r="I5" s="17" t="n">
        <v>828</v>
      </c>
    </row>
    <row r="6" ht="18" customHeight="1">
      <c r="B6" s="23" t="inlineStr">
        <is>
          <t>3月</t>
        </is>
      </c>
      <c r="C6" s="27" t="n">
        <v>240309284</v>
      </c>
      <c r="D6" s="14" t="n">
        <v>114652832</v>
      </c>
      <c r="E6" s="14" t="n">
        <v>105119106</v>
      </c>
      <c r="F6" s="14" t="n">
        <v>20537346</v>
      </c>
      <c r="G6" s="14" t="n">
        <v>33819343</v>
      </c>
      <c r="H6" s="15" t="n">
        <v>0.153883809315091</v>
      </c>
      <c r="I6" s="14" t="n">
        <v>868</v>
      </c>
    </row>
    <row r="7" ht="18" customHeight="1">
      <c r="B7" s="24" t="inlineStr">
        <is>
          <t>4月</t>
        </is>
      </c>
      <c r="C7" s="28" t="n">
        <v>232303815</v>
      </c>
      <c r="D7" s="17" t="n">
        <v>126980624</v>
      </c>
      <c r="E7" s="17" t="n">
        <v>88154062</v>
      </c>
      <c r="F7" s="17" t="n">
        <v>17169129</v>
      </c>
      <c r="G7" s="17" t="n">
        <v>33824899</v>
      </c>
      <c r="H7" s="18" t="n">
        <v>0.1572266175618003</v>
      </c>
      <c r="I7" s="17" t="n">
        <v>822</v>
      </c>
    </row>
    <row r="8" ht="18" customHeight="1">
      <c r="B8" s="23" t="inlineStr">
        <is>
          <t>5月</t>
        </is>
      </c>
      <c r="C8" s="27" t="n">
        <v>222667266</v>
      </c>
      <c r="D8" s="14" t="n">
        <v>110275067</v>
      </c>
      <c r="E8" s="14" t="n">
        <v>86996141</v>
      </c>
      <c r="F8" s="14" t="n">
        <v>25396058</v>
      </c>
      <c r="G8" s="14" t="n">
        <v>28560464</v>
      </c>
      <c r="H8" s="15" t="n">
        <v>0.14477766061026</v>
      </c>
      <c r="I8" s="14" t="n">
        <v>795</v>
      </c>
    </row>
    <row r="9" ht="18" customHeight="1">
      <c r="B9" s="24" t="inlineStr">
        <is>
          <t>6月</t>
        </is>
      </c>
      <c r="C9" s="28" t="n">
        <v>226139591</v>
      </c>
      <c r="D9" s="17" t="n">
        <v>120418091</v>
      </c>
      <c r="E9" s="17" t="n">
        <v>81006410</v>
      </c>
      <c r="F9" s="17" t="n">
        <v>24715090</v>
      </c>
      <c r="G9" s="17" t="n">
        <v>31301160</v>
      </c>
      <c r="H9" s="18" t="n">
        <v>0.1553989700587616</v>
      </c>
      <c r="I9" s="17" t="n">
        <v>830</v>
      </c>
    </row>
    <row r="10" ht="18" customHeight="1">
      <c r="B10" s="23" t="inlineStr">
        <is>
          <t>7月</t>
        </is>
      </c>
      <c r="C10" s="27" t="n">
        <v>219463480</v>
      </c>
      <c r="D10" s="14" t="n">
        <v>118937349</v>
      </c>
      <c r="E10" s="14" t="n">
        <v>74628948</v>
      </c>
      <c r="F10" s="14" t="n">
        <v>25897183</v>
      </c>
      <c r="G10" s="14" t="n">
        <v>28994107</v>
      </c>
      <c r="H10" s="15" t="n">
        <v>0.1497890255140852</v>
      </c>
      <c r="I10" s="14" t="n">
        <v>811</v>
      </c>
    </row>
    <row r="11" ht="18" customHeight="1">
      <c r="B11" s="24" t="inlineStr">
        <is>
          <t>8月</t>
        </is>
      </c>
      <c r="C11" s="28" t="n">
        <v>166420032</v>
      </c>
      <c r="D11" s="17" t="n">
        <v>71576721</v>
      </c>
      <c r="E11" s="17" t="n">
        <v>77104092</v>
      </c>
      <c r="F11" s="17" t="n">
        <v>17739219</v>
      </c>
      <c r="G11" s="17" t="n">
        <v>23244777</v>
      </c>
      <c r="H11" s="18" t="n">
        <v>0.1563401257430574</v>
      </c>
      <c r="I11" s="17" t="n">
        <v>611</v>
      </c>
    </row>
    <row r="12" ht="18" customHeight="1">
      <c r="B12" s="23" t="inlineStr">
        <is>
          <t>9月</t>
        </is>
      </c>
      <c r="C12" s="27" t="n">
        <v>201177808</v>
      </c>
      <c r="D12" s="14" t="n">
        <v>110765390</v>
      </c>
      <c r="E12" s="14" t="n">
        <v>60621827</v>
      </c>
      <c r="F12" s="14" t="n">
        <v>29790591</v>
      </c>
      <c r="G12" s="14" t="n">
        <v>27609880</v>
      </c>
      <c r="H12" s="15" t="n">
        <v>0.1610964953121329</v>
      </c>
      <c r="I12" s="14" t="n">
        <v>815</v>
      </c>
    </row>
    <row r="13" ht="18" customHeight="1">
      <c r="B13" s="24" t="inlineStr">
        <is>
          <t>10月</t>
        </is>
      </c>
      <c r="C13" s="28" t="n">
        <v>240825634</v>
      </c>
      <c r="D13" s="17" t="n">
        <v>121056162</v>
      </c>
      <c r="E13" s="17" t="n">
        <v>91302398</v>
      </c>
      <c r="F13" s="17" t="n">
        <v>28467074</v>
      </c>
      <c r="G13" s="17" t="n">
        <v>30773728</v>
      </c>
      <c r="H13" s="18" t="n">
        <v>0.1449139982866714</v>
      </c>
      <c r="I13" s="17" t="n">
        <v>970</v>
      </c>
    </row>
    <row r="14" ht="18" customHeight="1">
      <c r="B14" s="23" t="inlineStr">
        <is>
          <t>11月</t>
        </is>
      </c>
      <c r="C14" s="27" t="n">
        <v>204891469</v>
      </c>
      <c r="D14" s="14" t="n">
        <v>107343288</v>
      </c>
      <c r="E14" s="14" t="n">
        <v>72839763</v>
      </c>
      <c r="F14" s="14" t="n">
        <v>24708418</v>
      </c>
      <c r="G14" s="14" t="n">
        <v>25634655</v>
      </c>
      <c r="H14" s="15" t="n">
        <v>0.1422700684538858</v>
      </c>
      <c r="I14" s="14" t="n">
        <v>834</v>
      </c>
    </row>
    <row r="15" ht="18" customHeight="1">
      <c r="B15" s="24" t="inlineStr">
        <is>
          <t>12月</t>
        </is>
      </c>
      <c r="C15" s="28" t="n">
        <v>198818829</v>
      </c>
      <c r="D15" s="17" t="n">
        <v>100947525</v>
      </c>
      <c r="E15" s="17" t="n">
        <v>78157875</v>
      </c>
      <c r="F15" s="17" t="n">
        <v>19713429</v>
      </c>
      <c r="G15" s="17" t="n">
        <v>27136504</v>
      </c>
      <c r="H15" s="18" t="n">
        <v>0.151511367049793</v>
      </c>
      <c r="I15" s="17" t="n">
        <v>811</v>
      </c>
    </row>
    <row r="16" ht="22" customHeight="1">
      <c r="B16" s="25" t="inlineStr">
        <is>
          <t>年計</t>
        </is>
      </c>
      <c r="C16" s="20" t="n">
        <v>2663880652</v>
      </c>
      <c r="D16" s="20" t="n">
        <v>1350756623</v>
      </c>
      <c r="E16" s="20" t="n">
        <v>1028961203</v>
      </c>
      <c r="F16" s="20" t="n">
        <v>284162826</v>
      </c>
      <c r="G16" s="20" t="n">
        <v>359769915</v>
      </c>
      <c r="H16" s="21" t="n">
        <v>0.1511817540169151</v>
      </c>
      <c r="I16" s="20" t="n">
        <v>9871</v>
      </c>
    </row>
  </sheetData>
  <mergeCells count="1">
    <mergeCell ref="B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2" customWidth="1" min="3" max="3"/>
    <col width="16" customWidth="1" min="4" max="4"/>
    <col width="12" customWidth="1" min="5" max="5"/>
    <col width="12" customWidth="1" min="6" max="6"/>
    <col width="18" customWidth="1" min="7" max="7"/>
    <col width="10" customWidth="1" min="8" max="8"/>
  </cols>
  <sheetData>
    <row r="1" ht="32" customHeight="1">
      <c r="B1" s="29" t="inlineStr">
        <is>
          <t>得意先別 販売実績分析（上位30社）　合計: ¥2,663,880,652</t>
        </is>
      </c>
    </row>
    <row r="3" ht="22" customHeight="1">
      <c r="B3" s="3" t="inlineStr">
        <is>
          <t>順位</t>
        </is>
      </c>
      <c r="C3" s="3" t="inlineStr">
        <is>
          <t>得意先名称</t>
        </is>
      </c>
      <c r="D3" s="3" t="inlineStr">
        <is>
          <t>売上金額（円）</t>
        </is>
      </c>
      <c r="E3" s="3" t="inlineStr">
        <is>
          <t>構成比</t>
        </is>
      </c>
      <c r="F3" s="3" t="inlineStr">
        <is>
          <t>件数</t>
        </is>
      </c>
      <c r="G3" s="3" t="inlineStr">
        <is>
          <t>主なソース</t>
        </is>
      </c>
      <c r="H3" s="3" t="inlineStr">
        <is>
          <t>粗利計算</t>
        </is>
      </c>
    </row>
    <row r="4" ht="18" customHeight="1">
      <c r="B4" s="23" t="n">
        <v>1</v>
      </c>
      <c r="C4" s="13" t="inlineStr">
        <is>
          <t>伊藤忠丸紅２課（川村</t>
        </is>
      </c>
      <c r="D4" s="27" t="n">
        <v>331569721</v>
      </c>
      <c r="E4" s="15" t="n">
        <v>0.1244686847179368</v>
      </c>
      <c r="F4" s="14" t="n">
        <v>912</v>
      </c>
      <c r="G4" s="13" t="inlineStr">
        <is>
          <t>売上日記帳・委託出荷</t>
        </is>
      </c>
      <c r="H4" s="23" t="inlineStr">
        <is>
          <t>可</t>
        </is>
      </c>
    </row>
    <row r="5" ht="18" customHeight="1">
      <c r="B5" s="24" t="n">
        <v>2</v>
      </c>
      <c r="C5" s="16" t="inlineStr">
        <is>
          <t>三幸プロダクツ東大阪</t>
        </is>
      </c>
      <c r="D5" s="28" t="n">
        <v>220756048</v>
      </c>
      <c r="E5" s="18" t="n">
        <v>0.08287009698961544</v>
      </c>
      <c r="F5" s="17" t="n">
        <v>768</v>
      </c>
      <c r="G5" s="16" t="inlineStr">
        <is>
          <t>仕入売上(直送)・売上日記帳</t>
        </is>
      </c>
      <c r="H5" s="24" t="inlineStr">
        <is>
          <t>可</t>
        </is>
      </c>
    </row>
    <row r="6" ht="18" customHeight="1">
      <c r="B6" s="23" t="n">
        <v>3</v>
      </c>
      <c r="C6" s="13" t="inlineStr">
        <is>
          <t>昭和プロダクツ</t>
        </is>
      </c>
      <c r="D6" s="27" t="n">
        <v>206380210</v>
      </c>
      <c r="E6" s="15" t="n">
        <v>0.0774735196357438</v>
      </c>
      <c r="F6" s="14" t="n">
        <v>694</v>
      </c>
      <c r="G6" s="13" t="inlineStr">
        <is>
          <t>仕入売上(直送)</t>
        </is>
      </c>
      <c r="H6" s="23" t="inlineStr">
        <is>
          <t>可</t>
        </is>
      </c>
    </row>
    <row r="7" ht="18" customHeight="1">
      <c r="B7" s="24" t="n">
        <v>4</v>
      </c>
      <c r="C7" s="16" t="inlineStr">
        <is>
          <t>ダイキ</t>
        </is>
      </c>
      <c r="D7" s="28" t="n">
        <v>165311708</v>
      </c>
      <c r="E7" s="18" t="n">
        <v>0.06205672460434238</v>
      </c>
      <c r="F7" s="17" t="n">
        <v>353</v>
      </c>
      <c r="G7" s="16" t="inlineStr">
        <is>
          <t>仕入売上(直送)・売上日記帳</t>
        </is>
      </c>
      <c r="H7" s="24" t="inlineStr">
        <is>
          <t>可</t>
        </is>
      </c>
    </row>
    <row r="8" ht="18" customHeight="1">
      <c r="B8" s="23" t="n">
        <v>5</v>
      </c>
      <c r="C8" s="13" t="inlineStr">
        <is>
          <t>ベック</t>
        </is>
      </c>
      <c r="D8" s="27" t="n">
        <v>95489363</v>
      </c>
      <c r="E8" s="15" t="n">
        <v>0.03584596139031532</v>
      </c>
      <c r="F8" s="14" t="n">
        <v>197</v>
      </c>
      <c r="G8" s="13" t="inlineStr">
        <is>
          <t>仕入売上(直送)・売上日記帳</t>
        </is>
      </c>
      <c r="H8" s="23" t="inlineStr">
        <is>
          <t>可</t>
        </is>
      </c>
    </row>
    <row r="9" ht="18" customHeight="1">
      <c r="B9" s="24" t="n">
        <v>6</v>
      </c>
      <c r="C9" s="16" t="inlineStr">
        <is>
          <t>向陽技研</t>
        </is>
      </c>
      <c r="D9" s="17" t="n">
        <v>83221739</v>
      </c>
      <c r="E9" s="18" t="n">
        <v>0.03124079111334001</v>
      </c>
      <c r="F9" s="17" t="n">
        <v>248</v>
      </c>
      <c r="G9" s="16" t="inlineStr">
        <is>
          <t>売上日記帳</t>
        </is>
      </c>
      <c r="H9" s="24" t="inlineStr">
        <is>
          <t>可</t>
        </is>
      </c>
    </row>
    <row r="10" ht="18" customHeight="1">
      <c r="B10" s="23" t="n">
        <v>7</v>
      </c>
      <c r="C10" s="13" t="inlineStr">
        <is>
          <t>㈱ｆｕｎｂｏｘ</t>
        </is>
      </c>
      <c r="D10" s="14" t="n">
        <v>74086774</v>
      </c>
      <c r="E10" s="15" t="n">
        <v>0.0278115965684787</v>
      </c>
      <c r="F10" s="14" t="n">
        <v>311</v>
      </c>
      <c r="G10" s="13" t="inlineStr">
        <is>
          <t>仕入売上(直送)</t>
        </is>
      </c>
      <c r="H10" s="23" t="inlineStr">
        <is>
          <t>可</t>
        </is>
      </c>
    </row>
    <row r="11" ht="18" customHeight="1">
      <c r="B11" s="24" t="n">
        <v>8</v>
      </c>
      <c r="C11" s="16" t="inlineStr">
        <is>
          <t>東洋パックス</t>
        </is>
      </c>
      <c r="D11" s="17" t="n">
        <v>73301152</v>
      </c>
      <c r="E11" s="18" t="n">
        <v>0.02751668020298381</v>
      </c>
      <c r="F11" s="17" t="n">
        <v>165</v>
      </c>
      <c r="G11" s="16" t="inlineStr">
        <is>
          <t>仕入売上(直送)・売上日記帳</t>
        </is>
      </c>
      <c r="H11" s="24" t="inlineStr">
        <is>
          <t>可</t>
        </is>
      </c>
    </row>
    <row r="12" ht="18" customHeight="1">
      <c r="B12" s="23" t="n">
        <v>9</v>
      </c>
      <c r="C12" s="13" t="inlineStr">
        <is>
          <t>紅忠 滋賀(ﾊﾟﾅ栗東）</t>
        </is>
      </c>
      <c r="D12" s="14" t="n">
        <v>67247293</v>
      </c>
      <c r="E12" s="15" t="n">
        <v>0.02524410879650775</v>
      </c>
      <c r="F12" s="14" t="n">
        <v>38</v>
      </c>
      <c r="G12" s="13" t="inlineStr">
        <is>
          <t>仕入売上(直送)・売上日記帳</t>
        </is>
      </c>
      <c r="H12" s="23" t="inlineStr">
        <is>
          <t>可</t>
        </is>
      </c>
    </row>
    <row r="13" ht="18" customHeight="1">
      <c r="B13" s="24" t="n">
        <v>10</v>
      </c>
      <c r="C13" s="16" t="inlineStr">
        <is>
          <t>山下印刷紙器</t>
        </is>
      </c>
      <c r="D13" s="17" t="n">
        <v>63137190</v>
      </c>
      <c r="E13" s="18" t="n">
        <v>0.02370120821764203</v>
      </c>
      <c r="F13" s="17" t="n">
        <v>105</v>
      </c>
      <c r="G13" s="16" t="inlineStr">
        <is>
          <t>売上日記帳</t>
        </is>
      </c>
      <c r="H13" s="24" t="inlineStr">
        <is>
          <t>可</t>
        </is>
      </c>
    </row>
    <row r="14" ht="18" customHeight="1">
      <c r="B14" s="23" t="n">
        <v>11</v>
      </c>
      <c r="C14" s="13" t="inlineStr">
        <is>
          <t>よつば</t>
        </is>
      </c>
      <c r="D14" s="14" t="n">
        <v>59420500</v>
      </c>
      <c r="E14" s="15" t="n">
        <v>0.02230599180762397</v>
      </c>
      <c r="F14" s="14" t="n">
        <v>168</v>
      </c>
      <c r="G14" s="13" t="inlineStr">
        <is>
          <t>仕入売上(直送)</t>
        </is>
      </c>
      <c r="H14" s="23" t="inlineStr">
        <is>
          <t>可</t>
        </is>
      </c>
    </row>
    <row r="15" ht="18" customHeight="1">
      <c r="B15" s="24" t="n">
        <v>12</v>
      </c>
      <c r="C15" s="16" t="inlineStr">
        <is>
          <t>三幸プロダクツ 松原</t>
        </is>
      </c>
      <c r="D15" s="17" t="n">
        <v>56895903</v>
      </c>
      <c r="E15" s="18" t="n">
        <v>0.02135827780320543</v>
      </c>
      <c r="F15" s="17" t="n">
        <v>398</v>
      </c>
      <c r="G15" s="16" t="inlineStr">
        <is>
          <t>仕入売上(直送)・売上日記帳</t>
        </is>
      </c>
      <c r="H15" s="24" t="inlineStr">
        <is>
          <t>可</t>
        </is>
      </c>
    </row>
    <row r="16" ht="18" customHeight="1">
      <c r="B16" s="23" t="n">
        <v>13</v>
      </c>
      <c r="C16" s="13" t="inlineStr">
        <is>
          <t>東洋事務器工業</t>
        </is>
      </c>
      <c r="D16" s="14" t="n">
        <v>53868342</v>
      </c>
      <c r="E16" s="15" t="n">
        <v>0.02022175503979749</v>
      </c>
      <c r="F16" s="14" t="n">
        <v>181</v>
      </c>
      <c r="G16" s="13" t="inlineStr">
        <is>
          <t>売上日記帳</t>
        </is>
      </c>
      <c r="H16" s="23" t="inlineStr">
        <is>
          <t>可</t>
        </is>
      </c>
    </row>
    <row r="17" ht="18" customHeight="1">
      <c r="B17" s="24" t="n">
        <v>14</v>
      </c>
      <c r="C17" s="16" t="inlineStr">
        <is>
          <t>栄住産業  本社</t>
        </is>
      </c>
      <c r="D17" s="17" t="n">
        <v>51492901</v>
      </c>
      <c r="E17" s="18" t="n">
        <v>0.01933003303332675</v>
      </c>
      <c r="F17" s="17" t="n">
        <v>93</v>
      </c>
      <c r="G17" s="16" t="inlineStr">
        <is>
          <t>売上日記帳</t>
        </is>
      </c>
      <c r="H17" s="24" t="inlineStr">
        <is>
          <t>可</t>
        </is>
      </c>
    </row>
    <row r="18" ht="18" customHeight="1">
      <c r="B18" s="23" t="n">
        <v>15</v>
      </c>
      <c r="C18" s="13" t="inlineStr">
        <is>
          <t>ファイン技研</t>
        </is>
      </c>
      <c r="D18" s="14" t="n">
        <v>44666304</v>
      </c>
      <c r="E18" s="15" t="n">
        <v>0.01676738181437117</v>
      </c>
      <c r="F18" s="14" t="n">
        <v>124</v>
      </c>
      <c r="G18" s="13" t="inlineStr">
        <is>
          <t>仕入売上(直送)・売上日記帳</t>
        </is>
      </c>
      <c r="H18" s="23" t="inlineStr">
        <is>
          <t>可</t>
        </is>
      </c>
    </row>
    <row r="19" ht="18" customHeight="1">
      <c r="B19" s="24" t="n">
        <v>16</v>
      </c>
      <c r="C19" s="16" t="inlineStr">
        <is>
          <t>山本シャーリング</t>
        </is>
      </c>
      <c r="D19" s="17" t="n">
        <v>43469989</v>
      </c>
      <c r="E19" s="18" t="n">
        <v>0.01631829450293256</v>
      </c>
      <c r="F19" s="17" t="n">
        <v>235</v>
      </c>
      <c r="G19" s="16" t="inlineStr">
        <is>
          <t>売上日記帳</t>
        </is>
      </c>
      <c r="H19" s="24" t="inlineStr">
        <is>
          <t>可</t>
        </is>
      </c>
    </row>
    <row r="20" ht="18" customHeight="1">
      <c r="B20" s="23" t="n">
        <v>17</v>
      </c>
      <c r="C20" s="13" t="inlineStr">
        <is>
          <t>ノート</t>
        </is>
      </c>
      <c r="D20" s="14" t="n">
        <v>39569100</v>
      </c>
      <c r="E20" s="15" t="n">
        <v>0.01485393122634535</v>
      </c>
      <c r="F20" s="14" t="n">
        <v>76</v>
      </c>
      <c r="G20" s="13" t="inlineStr">
        <is>
          <t>仕入売上(直送)</t>
        </is>
      </c>
      <c r="H20" s="23" t="inlineStr">
        <is>
          <t>可</t>
        </is>
      </c>
    </row>
    <row r="21" ht="18" customHeight="1">
      <c r="B21" s="24" t="n">
        <v>18</v>
      </c>
      <c r="C21" s="16" t="inlineStr">
        <is>
          <t>ｺｸﾖ</t>
        </is>
      </c>
      <c r="D21" s="17" t="n">
        <v>37161744</v>
      </c>
      <c r="E21" s="18" t="n">
        <v>0.01395022857803316</v>
      </c>
      <c r="F21" s="17" t="n">
        <v>228</v>
      </c>
      <c r="G21" s="16" t="inlineStr">
        <is>
          <t>仕入売上(直送)・売上日記帳</t>
        </is>
      </c>
      <c r="H21" s="24" t="inlineStr">
        <is>
          <t>可</t>
        </is>
      </c>
    </row>
    <row r="22" ht="18" customHeight="1">
      <c r="B22" s="23" t="n">
        <v>19</v>
      </c>
      <c r="C22" s="13" t="inlineStr">
        <is>
          <t>井上鋼板</t>
        </is>
      </c>
      <c r="D22" s="14" t="n">
        <v>35613349</v>
      </c>
      <c r="E22" s="15" t="n">
        <v>0.01336897318326257</v>
      </c>
      <c r="F22" s="14" t="n">
        <v>201</v>
      </c>
      <c r="G22" s="13" t="inlineStr">
        <is>
          <t>仕入売上(直送)・売上日記帳</t>
        </is>
      </c>
      <c r="H22" s="23" t="inlineStr">
        <is>
          <t>可</t>
        </is>
      </c>
    </row>
    <row r="23" ht="18" customHeight="1">
      <c r="B23" s="24" t="n">
        <v>20</v>
      </c>
      <c r="C23" s="16" t="inlineStr">
        <is>
          <t>竹原製罐</t>
        </is>
      </c>
      <c r="D23" s="17" t="n">
        <v>32643096</v>
      </c>
      <c r="E23" s="18" t="n">
        <v>0.01225396339565441</v>
      </c>
      <c r="F23" s="17" t="n">
        <v>96</v>
      </c>
      <c r="G23" s="16" t="inlineStr">
        <is>
          <t>売上日記帳</t>
        </is>
      </c>
      <c r="H23" s="24" t="inlineStr">
        <is>
          <t>可</t>
        </is>
      </c>
    </row>
    <row r="24" ht="18" customHeight="1">
      <c r="B24" s="23" t="n">
        <v>21</v>
      </c>
      <c r="C24" s="13" t="inlineStr">
        <is>
          <t>キャラバン（ＰＬ）</t>
        </is>
      </c>
      <c r="D24" s="14" t="n">
        <v>31121559</v>
      </c>
      <c r="E24" s="15" t="n">
        <v>0.01168279028440498</v>
      </c>
      <c r="F24" s="14" t="n">
        <v>70</v>
      </c>
      <c r="G24" s="13" t="inlineStr">
        <is>
          <t>仕入売上(直送)</t>
        </is>
      </c>
      <c r="H24" s="23" t="inlineStr">
        <is>
          <t>可</t>
        </is>
      </c>
    </row>
    <row r="25" ht="18" customHeight="1">
      <c r="B25" s="24" t="n">
        <v>22</v>
      </c>
      <c r="C25" s="16" t="inlineStr">
        <is>
          <t>堺鋼板</t>
        </is>
      </c>
      <c r="D25" s="17" t="n">
        <v>29151536</v>
      </c>
      <c r="E25" s="18" t="n">
        <v>0.01094325903005958</v>
      </c>
      <c r="F25" s="17" t="n">
        <v>25</v>
      </c>
      <c r="G25" s="16" t="inlineStr">
        <is>
          <t>売上日記帳</t>
        </is>
      </c>
      <c r="H25" s="24" t="inlineStr">
        <is>
          <t>可</t>
        </is>
      </c>
    </row>
    <row r="26" ht="18" customHeight="1">
      <c r="B26" s="23" t="n">
        <v>23</v>
      </c>
      <c r="C26" s="13" t="inlineStr">
        <is>
          <t>ＢＸルーテス 伊丹</t>
        </is>
      </c>
      <c r="D26" s="14" t="n">
        <v>28126010</v>
      </c>
      <c r="E26" s="15" t="n">
        <v>0.01055828457588122</v>
      </c>
      <c r="F26" s="14" t="n">
        <v>74</v>
      </c>
      <c r="G26" s="13" t="inlineStr">
        <is>
          <t>仕入売上(直送)・売上日記帳</t>
        </is>
      </c>
      <c r="H26" s="23" t="inlineStr">
        <is>
          <t>可</t>
        </is>
      </c>
    </row>
    <row r="27" ht="18" customHeight="1">
      <c r="B27" s="24" t="n">
        <v>24</v>
      </c>
      <c r="C27" s="16" t="inlineStr">
        <is>
          <t>宮島工業　八尾</t>
        </is>
      </c>
      <c r="D27" s="17" t="n">
        <v>27806150</v>
      </c>
      <c r="E27" s="18" t="n">
        <v>0.01043821162900957</v>
      </c>
      <c r="F27" s="17" t="n">
        <v>57</v>
      </c>
      <c r="G27" s="16" t="inlineStr">
        <is>
          <t>売上日記帳</t>
        </is>
      </c>
      <c r="H27" s="24" t="inlineStr">
        <is>
          <t>可</t>
        </is>
      </c>
    </row>
    <row r="28" ht="18" customHeight="1">
      <c r="B28" s="23" t="n">
        <v>25</v>
      </c>
      <c r="C28" s="13" t="inlineStr">
        <is>
          <t>サヨカ</t>
        </is>
      </c>
      <c r="D28" s="14" t="n">
        <v>26012093</v>
      </c>
      <c r="E28" s="15" t="n">
        <v>0.00976473663730788</v>
      </c>
      <c r="F28" s="14" t="n">
        <v>40</v>
      </c>
      <c r="G28" s="13" t="inlineStr">
        <is>
          <t>仕入売上(直送)・売上日記帳</t>
        </is>
      </c>
      <c r="H28" s="23" t="inlineStr">
        <is>
          <t>可</t>
        </is>
      </c>
    </row>
    <row r="29" ht="18" customHeight="1">
      <c r="B29" s="24" t="n">
        <v>26</v>
      </c>
      <c r="C29" s="16" t="inlineStr">
        <is>
          <t>高木金属</t>
        </is>
      </c>
      <c r="D29" s="17" t="n">
        <v>24653058</v>
      </c>
      <c r="E29" s="18" t="n">
        <v>0.009254565508214819</v>
      </c>
      <c r="F29" s="17" t="n">
        <v>134</v>
      </c>
      <c r="G29" s="16" t="inlineStr">
        <is>
          <t>売上日記帳</t>
        </is>
      </c>
      <c r="H29" s="24" t="inlineStr">
        <is>
          <t>可</t>
        </is>
      </c>
    </row>
    <row r="30" ht="18" customHeight="1">
      <c r="B30" s="23" t="n">
        <v>27</v>
      </c>
      <c r="C30" s="13" t="inlineStr">
        <is>
          <t>サンワ 川越工場</t>
        </is>
      </c>
      <c r="D30" s="14" t="n">
        <v>24400840</v>
      </c>
      <c r="E30" s="15" t="n">
        <v>0.009159884840066026</v>
      </c>
      <c r="F30" s="14" t="n">
        <v>50</v>
      </c>
      <c r="G30" s="13" t="inlineStr">
        <is>
          <t>仕入売上(直送)</t>
        </is>
      </c>
      <c r="H30" s="23" t="inlineStr">
        <is>
          <t>可</t>
        </is>
      </c>
    </row>
    <row r="31" ht="18" customHeight="1">
      <c r="B31" s="24" t="n">
        <v>28</v>
      </c>
      <c r="C31" s="16" t="inlineStr">
        <is>
          <t>ＢＸ朝日建材</t>
        </is>
      </c>
      <c r="D31" s="17" t="n">
        <v>23851348</v>
      </c>
      <c r="E31" s="18" t="n">
        <v>0.008953609833118005</v>
      </c>
      <c r="F31" s="17" t="n">
        <v>38</v>
      </c>
      <c r="G31" s="16" t="inlineStr">
        <is>
          <t>売上日記帳</t>
        </is>
      </c>
      <c r="H31" s="24" t="inlineStr">
        <is>
          <t>可</t>
        </is>
      </c>
    </row>
    <row r="32" ht="18" customHeight="1">
      <c r="B32" s="23" t="n">
        <v>29</v>
      </c>
      <c r="C32" s="13" t="inlineStr">
        <is>
          <t>扶桑金属工業</t>
        </is>
      </c>
      <c r="D32" s="14" t="n">
        <v>22084047</v>
      </c>
      <c r="E32" s="15" t="n">
        <v>0.008290178834933781</v>
      </c>
      <c r="F32" s="14" t="n">
        <v>92</v>
      </c>
      <c r="G32" s="13" t="inlineStr">
        <is>
          <t>売上日記帳</t>
        </is>
      </c>
      <c r="H32" s="23" t="inlineStr">
        <is>
          <t>可</t>
        </is>
      </c>
    </row>
    <row r="33" ht="18" customHeight="1">
      <c r="B33" s="24" t="n">
        <v>30</v>
      </c>
      <c r="C33" s="16" t="inlineStr">
        <is>
          <t>ｻｻﾞﾝ･ﾃﾞｨ･ｴｽ･ｸﾘｴｲﾄ</t>
        </is>
      </c>
      <c r="D33" s="17" t="n">
        <v>21293080</v>
      </c>
      <c r="E33" s="18" t="n">
        <v>0.007993255998166993</v>
      </c>
      <c r="F33" s="17" t="n">
        <v>65</v>
      </c>
      <c r="G33" s="16" t="inlineStr">
        <is>
          <t>仕入売上(直送)</t>
        </is>
      </c>
      <c r="H33" s="24" t="inlineStr">
        <is>
          <t>可</t>
        </is>
      </c>
    </row>
    <row r="34" ht="22" customHeight="1">
      <c r="B34" s="22" t="inlineStr"/>
      <c r="C34" s="19" t="inlineStr">
        <is>
          <t>上位30社合計</t>
        </is>
      </c>
      <c r="D34" s="20" t="n">
        <v>2093802147</v>
      </c>
      <c r="E34" s="21" t="n">
        <v>0.7859969797926217</v>
      </c>
      <c r="F34" s="20" t="n">
        <v>6236</v>
      </c>
      <c r="G34" s="22" t="inlineStr"/>
      <c r="H34" s="22" t="inlineStr"/>
    </row>
    <row r="36">
      <c r="B36" s="30" t="inlineStr">
        <is>
          <t>※ 黄色背景の得意先は委託出荷のみのため粗利計算不可。仕入売上(直送)の原価は仕入金額を使用。</t>
        </is>
      </c>
    </row>
  </sheetData>
  <mergeCells count="2">
    <mergeCell ref="B1:H1"/>
    <mergeCell ref="B36:H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6" customWidth="1" min="3" max="3"/>
    <col width="16" customWidth="1" min="4" max="4"/>
    <col width="12" customWidth="1" min="5" max="5"/>
    <col width="14" customWidth="1" min="6" max="6"/>
    <col width="10" customWidth="1" min="7" max="7"/>
  </cols>
  <sheetData>
    <row r="1" ht="32" customHeight="1">
      <c r="B1" s="29" t="inlineStr">
        <is>
          <t>品名別 販売実績分析（上位30品目）</t>
        </is>
      </c>
    </row>
    <row r="3" ht="22" customHeight="1">
      <c r="B3" s="3" t="inlineStr">
        <is>
          <t>順位</t>
        </is>
      </c>
      <c r="C3" s="3" t="inlineStr">
        <is>
          <t>品名</t>
        </is>
      </c>
      <c r="D3" s="3" t="inlineStr">
        <is>
          <t>売上金額（円）</t>
        </is>
      </c>
      <c r="E3" s="3" t="inlineStr">
        <is>
          <t>構成比</t>
        </is>
      </c>
      <c r="F3" s="3" t="inlineStr">
        <is>
          <t>件数</t>
        </is>
      </c>
      <c r="G3" s="3" t="inlineStr">
        <is>
          <t>カテゴリ</t>
        </is>
      </c>
    </row>
    <row r="4" ht="18" customHeight="1">
      <c r="B4" s="23" t="n">
        <v>1</v>
      </c>
      <c r="C4" s="13" t="inlineStr">
        <is>
          <t>ＥＣ</t>
        </is>
      </c>
      <c r="D4" s="27" t="n">
        <v>321688914</v>
      </c>
      <c r="E4" s="15" t="n">
        <v>0.1207595069090205</v>
      </c>
      <c r="F4" s="14" t="n">
        <v>1046</v>
      </c>
      <c r="G4" s="13" t="inlineStr">
        <is>
          <t>ブリキコイル（EC）系</t>
        </is>
      </c>
    </row>
    <row r="5" ht="18" customHeight="1">
      <c r="B5" s="24" t="n">
        <v>2</v>
      </c>
      <c r="C5" s="16" t="inlineStr">
        <is>
          <t>SPCC-SD</t>
        </is>
      </c>
      <c r="D5" s="28" t="n">
        <v>152754337</v>
      </c>
      <c r="E5" s="18" t="n">
        <v>0.05734278556560499</v>
      </c>
      <c r="F5" s="17" t="n">
        <v>726</v>
      </c>
      <c r="G5" s="16" t="inlineStr">
        <is>
          <t>熱延鋼板系</t>
        </is>
      </c>
    </row>
    <row r="6" ht="18" customHeight="1">
      <c r="B6" s="23" t="n">
        <v>3</v>
      </c>
      <c r="C6" s="13" t="inlineStr">
        <is>
          <t>57mmﾂﾒ下ﾋﾟﾝ付き</t>
        </is>
      </c>
      <c r="D6" s="27" t="n">
        <v>110296036</v>
      </c>
      <c r="E6" s="15" t="n">
        <v>0.04140427083968325</v>
      </c>
      <c r="F6" s="14" t="n">
        <v>181</v>
      </c>
      <c r="G6" s="13" t="inlineStr">
        <is>
          <t>冷延鋼板系</t>
        </is>
      </c>
    </row>
    <row r="7" ht="18" customHeight="1">
      <c r="B7" s="24" t="n">
        <v>4</v>
      </c>
      <c r="C7" s="16" t="inlineStr">
        <is>
          <t>SGHC-SZCX-F12</t>
        </is>
      </c>
      <c r="D7" s="28" t="n">
        <v>99072946</v>
      </c>
      <c r="E7" s="18" t="n">
        <v>0.03719121047169196</v>
      </c>
      <c r="F7" s="17" t="n">
        <v>246</v>
      </c>
      <c r="G7" s="16" t="inlineStr">
        <is>
          <t>熱延鋼板系</t>
        </is>
      </c>
    </row>
    <row r="8" ht="18" customHeight="1">
      <c r="B8" s="23" t="n">
        <v>5</v>
      </c>
      <c r="C8" s="13" t="inlineStr">
        <is>
          <t>SPHC</t>
        </is>
      </c>
      <c r="D8" s="27" t="n">
        <v>90293152</v>
      </c>
      <c r="E8" s="15" t="n">
        <v>0.03389534434743138</v>
      </c>
      <c r="F8" s="14" t="n">
        <v>161</v>
      </c>
      <c r="G8" s="13" t="inlineStr">
        <is>
          <t>熱延鋼板系</t>
        </is>
      </c>
    </row>
    <row r="9" ht="18" customHeight="1">
      <c r="B9" s="24" t="n">
        <v>6</v>
      </c>
      <c r="C9" s="16" t="inlineStr">
        <is>
          <t>バルク用金具５Ｒ</t>
        </is>
      </c>
      <c r="D9" s="17" t="n">
        <v>75078300</v>
      </c>
      <c r="E9" s="18" t="n">
        <v>0.02818380768809308</v>
      </c>
      <c r="F9" s="17" t="n">
        <v>76</v>
      </c>
      <c r="G9" s="16" t="inlineStr">
        <is>
          <t>缶バッジ部品系</t>
        </is>
      </c>
    </row>
    <row r="10" ht="18" customHeight="1">
      <c r="B10" s="23" t="n">
        <v>7</v>
      </c>
      <c r="C10" s="13" t="inlineStr">
        <is>
          <t>SAPH440-P</t>
        </is>
      </c>
      <c r="D10" s="14" t="n">
        <v>71365594</v>
      </c>
      <c r="E10" s="15" t="n">
        <v>0.02679008684057217</v>
      </c>
      <c r="F10" s="14" t="n">
        <v>248</v>
      </c>
      <c r="G10" s="13" t="inlineStr">
        <is>
          <t>ブリキコイル（EC）系</t>
        </is>
      </c>
    </row>
    <row r="11" ht="18" customHeight="1">
      <c r="B11" s="24" t="n">
        <v>8</v>
      </c>
      <c r="C11" s="16" t="inlineStr">
        <is>
          <t>54Φ下蓋</t>
        </is>
      </c>
      <c r="D11" s="17" t="n">
        <v>67204210</v>
      </c>
      <c r="E11" s="18" t="n">
        <v>0.02522793577465422</v>
      </c>
      <c r="F11" s="17" t="n">
        <v>128</v>
      </c>
      <c r="G11" s="16" t="inlineStr">
        <is>
          <t>缶バッジ部品系</t>
        </is>
      </c>
    </row>
    <row r="12" ht="18" customHeight="1">
      <c r="B12" s="23" t="n">
        <v>9</v>
      </c>
      <c r="C12" s="13" t="inlineStr">
        <is>
          <t>SPC270C</t>
        </is>
      </c>
      <c r="D12" s="14" t="n">
        <v>55369332</v>
      </c>
      <c r="E12" s="15" t="n">
        <v>0.02078521496765614</v>
      </c>
      <c r="F12" s="14" t="n">
        <v>235</v>
      </c>
      <c r="G12" s="13" t="inlineStr">
        <is>
          <t>ブリキコイル（EC）系</t>
        </is>
      </c>
    </row>
    <row r="13" ht="18" customHeight="1">
      <c r="B13" s="24" t="n">
        <v>10</v>
      </c>
      <c r="C13" s="16" t="inlineStr">
        <is>
          <t>57mm バックパーツ</t>
        </is>
      </c>
      <c r="D13" s="17" t="n">
        <v>49004550</v>
      </c>
      <c r="E13" s="18" t="n">
        <v>0.0183959254943378</v>
      </c>
      <c r="F13" s="17" t="n">
        <v>83</v>
      </c>
      <c r="G13" s="16" t="inlineStr">
        <is>
          <t>缶バッジ部品系</t>
        </is>
      </c>
    </row>
    <row r="14" ht="18" customHeight="1">
      <c r="B14" s="23" t="n">
        <v>11</v>
      </c>
      <c r="C14" s="13" t="inlineStr">
        <is>
          <t>SHGA440</t>
        </is>
      </c>
      <c r="D14" s="14" t="n">
        <v>46587826</v>
      </c>
      <c r="E14" s="15" t="n">
        <v>0.01748870617196104</v>
      </c>
      <c r="F14" s="14" t="n">
        <v>59</v>
      </c>
      <c r="G14" s="13" t="inlineStr">
        <is>
          <t>ブリキコイル（EC）系</t>
        </is>
      </c>
    </row>
    <row r="15" ht="18" customHeight="1">
      <c r="B15" s="24" t="n">
        <v>12</v>
      </c>
      <c r="C15" s="16" t="inlineStr">
        <is>
          <t>サテン</t>
        </is>
      </c>
      <c r="D15" s="17" t="n">
        <v>46583080</v>
      </c>
      <c r="E15" s="18" t="n">
        <v>0.01748692456061279</v>
      </c>
      <c r="F15" s="17" t="n">
        <v>244</v>
      </c>
      <c r="G15" s="16" t="inlineStr">
        <is>
          <t>ブリキコイル（EC）系</t>
        </is>
      </c>
    </row>
    <row r="16" ht="18" customHeight="1">
      <c r="B16" s="23" t="n">
        <v>13</v>
      </c>
      <c r="C16" s="13" t="inlineStr">
        <is>
          <t>SHGA270C</t>
        </is>
      </c>
      <c r="D16" s="14" t="n">
        <v>42645432</v>
      </c>
      <c r="E16" s="15" t="n">
        <v>0.01600876224240094</v>
      </c>
      <c r="F16" s="14" t="n">
        <v>91</v>
      </c>
      <c r="G16" s="13" t="inlineStr">
        <is>
          <t>ブリキコイル（EC）系</t>
        </is>
      </c>
    </row>
    <row r="17" ht="18" customHeight="1">
      <c r="B17" s="24" t="n">
        <v>14</v>
      </c>
      <c r="C17" s="16" t="inlineStr">
        <is>
          <t>56Φ下蓋</t>
        </is>
      </c>
      <c r="D17" s="17" t="n">
        <v>40919328</v>
      </c>
      <c r="E17" s="18" t="n">
        <v>0.01536079627639414</v>
      </c>
      <c r="F17" s="17" t="n">
        <v>82</v>
      </c>
      <c r="G17" s="16" t="inlineStr">
        <is>
          <t>缶バッジ部品系</t>
        </is>
      </c>
    </row>
    <row r="18" ht="18" customHeight="1">
      <c r="B18" s="23" t="n">
        <v>15</v>
      </c>
      <c r="C18" s="13" t="inlineStr">
        <is>
          <t>ネジ金具</t>
        </is>
      </c>
      <c r="D18" s="14" t="n">
        <v>39872840</v>
      </c>
      <c r="E18" s="15" t="n">
        <v>0.01496795285106489</v>
      </c>
      <c r="F18" s="14" t="n">
        <v>196</v>
      </c>
      <c r="G18" s="13" t="inlineStr">
        <is>
          <t>缶バッジ部品系</t>
        </is>
      </c>
    </row>
    <row r="19" ht="18" customHeight="1">
      <c r="B19" s="24" t="n">
        <v>16</v>
      </c>
      <c r="C19" s="16" t="inlineStr">
        <is>
          <t>ﾌﾗｯｸ鋼板</t>
        </is>
      </c>
      <c r="D19" s="17" t="n">
        <v>38719586</v>
      </c>
      <c r="E19" s="18" t="n">
        <v>0.01453503030285157</v>
      </c>
      <c r="F19" s="17" t="n">
        <v>186</v>
      </c>
      <c r="G19" s="16" t="inlineStr">
        <is>
          <t>冷延鋼板系</t>
        </is>
      </c>
    </row>
    <row r="20" ht="18" customHeight="1">
      <c r="B20" s="23" t="n">
        <v>17</v>
      </c>
      <c r="C20" s="13" t="inlineStr">
        <is>
          <t>57mm上</t>
        </is>
      </c>
      <c r="D20" s="14" t="n">
        <v>32878489</v>
      </c>
      <c r="E20" s="15" t="n">
        <v>0.01234232809015499</v>
      </c>
      <c r="F20" s="14" t="n">
        <v>248</v>
      </c>
      <c r="G20" s="13" t="inlineStr">
        <is>
          <t>冷延鋼板系</t>
        </is>
      </c>
    </row>
    <row r="21" ht="18" customHeight="1">
      <c r="B21" s="24" t="n">
        <v>18</v>
      </c>
      <c r="C21" s="16" t="inlineStr">
        <is>
          <t>SCGA270CX</t>
        </is>
      </c>
      <c r="D21" s="17" t="n">
        <v>32523485</v>
      </c>
      <c r="E21" s="18" t="n">
        <v>0.01220906236005051</v>
      </c>
      <c r="F21" s="17" t="n">
        <v>56</v>
      </c>
      <c r="G21" s="16" t="inlineStr">
        <is>
          <t>ブリキコイル（EC）系</t>
        </is>
      </c>
    </row>
    <row r="22" ht="18" customHeight="1">
      <c r="B22" s="23" t="n">
        <v>19</v>
      </c>
      <c r="C22" s="13" t="inlineStr">
        <is>
          <t>SPC440X</t>
        </is>
      </c>
      <c r="D22" s="14" t="n">
        <v>29141420</v>
      </c>
      <c r="E22" s="15" t="n">
        <v>0.0109394615626346</v>
      </c>
      <c r="F22" s="14" t="n">
        <v>33</v>
      </c>
      <c r="G22" s="13" t="inlineStr">
        <is>
          <t>ブリキコイル（EC）系</t>
        </is>
      </c>
    </row>
    <row r="23" ht="18" customHeight="1">
      <c r="B23" s="24" t="n">
        <v>20</v>
      </c>
      <c r="C23" s="16" t="inlineStr">
        <is>
          <t>SCGA270C</t>
        </is>
      </c>
      <c r="D23" s="17" t="n">
        <v>27996849</v>
      </c>
      <c r="E23" s="18" t="n">
        <v>0.01050979854483361</v>
      </c>
      <c r="F23" s="17" t="n">
        <v>139</v>
      </c>
      <c r="G23" s="16" t="inlineStr">
        <is>
          <t>ブリキコイル（EC）系</t>
        </is>
      </c>
    </row>
    <row r="24" ht="18" customHeight="1">
      <c r="B24" s="23" t="n">
        <v>21</v>
      </c>
      <c r="C24" s="13" t="inlineStr">
        <is>
          <t>SS400-P</t>
        </is>
      </c>
      <c r="D24" s="14" t="n">
        <v>26829893</v>
      </c>
      <c r="E24" s="15" t="n">
        <v>0.010071732372791</v>
      </c>
      <c r="F24" s="14" t="n">
        <v>68</v>
      </c>
      <c r="G24" s="13" t="inlineStr">
        <is>
          <t>ブリキコイル（EC）系</t>
        </is>
      </c>
    </row>
    <row r="25" ht="18" customHeight="1">
      <c r="B25" s="24" t="n">
        <v>22</v>
      </c>
      <c r="C25" s="16" t="inlineStr">
        <is>
          <t>56Φ上蓋</t>
        </is>
      </c>
      <c r="D25" s="17" t="n">
        <v>26791128</v>
      </c>
      <c r="E25" s="18" t="n">
        <v>0.01005718029442709</v>
      </c>
      <c r="F25" s="17" t="n">
        <v>54</v>
      </c>
      <c r="G25" s="16" t="inlineStr">
        <is>
          <t>缶バッジ部品系</t>
        </is>
      </c>
    </row>
    <row r="26" ht="18" customHeight="1">
      <c r="B26" s="23" t="n">
        <v>23</v>
      </c>
      <c r="C26" s="13" t="inlineStr">
        <is>
          <t>57mm穴下</t>
        </is>
      </c>
      <c r="D26" s="14" t="n">
        <v>24354700</v>
      </c>
      <c r="E26" s="15" t="n">
        <v>0.009142564244278313</v>
      </c>
      <c r="F26" s="14" t="n">
        <v>45</v>
      </c>
      <c r="G26" s="13" t="inlineStr">
        <is>
          <t>冷延鋼板系</t>
        </is>
      </c>
    </row>
    <row r="27" ht="18" customHeight="1">
      <c r="B27" s="24" t="n">
        <v>24</v>
      </c>
      <c r="C27" s="16" t="inlineStr">
        <is>
          <t>SCGA270DX</t>
        </is>
      </c>
      <c r="D27" s="17" t="n">
        <v>24329933</v>
      </c>
      <c r="E27" s="18" t="n">
        <v>0.009133266905832837</v>
      </c>
      <c r="F27" s="17" t="n">
        <v>26</v>
      </c>
      <c r="G27" s="16" t="inlineStr">
        <is>
          <t>ブリキコイル（EC）系</t>
        </is>
      </c>
    </row>
    <row r="28" ht="18" customHeight="1">
      <c r="B28" s="23" t="n">
        <v>25</v>
      </c>
      <c r="C28" s="13" t="inlineStr">
        <is>
          <t>ＳＧＣＣ</t>
        </is>
      </c>
      <c r="D28" s="14" t="n">
        <v>24151070</v>
      </c>
      <c r="E28" s="15" t="n">
        <v>0.009066123132005841</v>
      </c>
      <c r="F28" s="14" t="n">
        <v>49</v>
      </c>
      <c r="G28" s="13" t="inlineStr">
        <is>
          <t>ブリキコイル（EC）系</t>
        </is>
      </c>
    </row>
    <row r="29" ht="18" customHeight="1">
      <c r="B29" s="24" t="n">
        <v>26</v>
      </c>
      <c r="C29" s="16" t="inlineStr">
        <is>
          <t>SGHC-MO-F12</t>
        </is>
      </c>
      <c r="D29" s="17" t="n">
        <v>23836379</v>
      </c>
      <c r="E29" s="18" t="n">
        <v>0.008947990587380114</v>
      </c>
      <c r="F29" s="17" t="n">
        <v>72</v>
      </c>
      <c r="G29" s="16" t="inlineStr">
        <is>
          <t>熱延鋼板系</t>
        </is>
      </c>
    </row>
    <row r="30" ht="18" customHeight="1">
      <c r="B30" s="23" t="n">
        <v>27</v>
      </c>
      <c r="C30" s="13" t="inlineStr">
        <is>
          <t>エースコート</t>
        </is>
      </c>
      <c r="D30" s="14" t="n">
        <v>23645630</v>
      </c>
      <c r="E30" s="15" t="n">
        <v>0.008876384901946425</v>
      </c>
      <c r="F30" s="14" t="n">
        <v>40</v>
      </c>
      <c r="G30" s="13" t="inlineStr">
        <is>
          <t>ブリキコイル（EC）系</t>
        </is>
      </c>
    </row>
    <row r="31" ht="18" customHeight="1">
      <c r="B31" s="24" t="n">
        <v>28</v>
      </c>
      <c r="C31" s="16" t="inlineStr">
        <is>
          <t>SGHC-Z12</t>
        </is>
      </c>
      <c r="D31" s="17" t="n">
        <v>23153154</v>
      </c>
      <c r="E31" s="18" t="n">
        <v>0.00869151325627782</v>
      </c>
      <c r="F31" s="17" t="n">
        <v>83</v>
      </c>
      <c r="G31" s="16" t="inlineStr">
        <is>
          <t>熱延鋼板系</t>
        </is>
      </c>
    </row>
    <row r="32" ht="18" customHeight="1">
      <c r="B32" s="23" t="n">
        <v>29</v>
      </c>
      <c r="C32" s="13" t="inlineStr">
        <is>
          <t>MSM-CC-DZG90</t>
        </is>
      </c>
      <c r="D32" s="14" t="n">
        <v>22780267</v>
      </c>
      <c r="E32" s="15" t="n">
        <v>0.008551534387584868</v>
      </c>
      <c r="F32" s="14" t="n">
        <v>144</v>
      </c>
      <c r="G32" s="13" t="inlineStr">
        <is>
          <t>ブリキコイル（EC）系</t>
        </is>
      </c>
    </row>
    <row r="33" ht="18" customHeight="1">
      <c r="B33" s="24" t="n">
        <v>30</v>
      </c>
      <c r="C33" s="16" t="inlineStr">
        <is>
          <t>ＥＧＣ－ＱＳ１</t>
        </is>
      </c>
      <c r="D33" s="17" t="n">
        <v>20830460</v>
      </c>
      <c r="E33" s="18" t="n">
        <v>0.007819592061814337</v>
      </c>
      <c r="F33" s="17" t="n">
        <v>31</v>
      </c>
      <c r="G33" s="16" t="inlineStr">
        <is>
          <t>ブリキコイル（EC）系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5" customWidth="1" min="15" max="15"/>
  </cols>
  <sheetData>
    <row r="1" ht="32" customHeight="1">
      <c r="B1" s="29" t="inlineStr">
        <is>
          <t>カテゴリ × 月別 売上金額</t>
        </is>
      </c>
    </row>
    <row r="3" ht="22" customHeight="1">
      <c r="B3" s="3" t="inlineStr">
        <is>
          <t>カテゴリ</t>
        </is>
      </c>
      <c r="C3" s="12" t="inlineStr">
        <is>
          <t>1月</t>
        </is>
      </c>
      <c r="D3" s="12" t="inlineStr">
        <is>
          <t>2月</t>
        </is>
      </c>
      <c r="E3" s="12" t="inlineStr">
        <is>
          <t>3月</t>
        </is>
      </c>
      <c r="F3" s="12" t="inlineStr">
        <is>
          <t>4月</t>
        </is>
      </c>
      <c r="G3" s="12" t="inlineStr">
        <is>
          <t>5月</t>
        </is>
      </c>
      <c r="H3" s="12" t="inlineStr">
        <is>
          <t>6月</t>
        </is>
      </c>
      <c r="I3" s="12" t="inlineStr">
        <is>
          <t>7月</t>
        </is>
      </c>
      <c r="J3" s="12" t="inlineStr">
        <is>
          <t>8月</t>
        </is>
      </c>
      <c r="K3" s="12" t="inlineStr">
        <is>
          <t>9月</t>
        </is>
      </c>
      <c r="L3" s="12" t="inlineStr">
        <is>
          <t>10月</t>
        </is>
      </c>
      <c r="M3" s="12" t="inlineStr">
        <is>
          <t>11月</t>
        </is>
      </c>
      <c r="N3" s="12" t="inlineStr">
        <is>
          <t>12月</t>
        </is>
      </c>
      <c r="O3" s="3" t="inlineStr">
        <is>
          <t>年計</t>
        </is>
      </c>
    </row>
    <row r="4" ht="18" customHeight="1">
      <c r="B4" s="16" t="inlineStr">
        <is>
          <t>ブリキコイル（EC）系</t>
        </is>
      </c>
      <c r="C4" s="17" t="n">
        <v>104776434</v>
      </c>
      <c r="D4" s="17" t="n">
        <v>88976899</v>
      </c>
      <c r="E4" s="17" t="n">
        <v>80236929</v>
      </c>
      <c r="F4" s="17" t="n">
        <v>92649365</v>
      </c>
      <c r="G4" s="17" t="n">
        <v>83467157</v>
      </c>
      <c r="H4" s="17" t="n">
        <v>54998013</v>
      </c>
      <c r="I4" s="17" t="n">
        <v>86399798</v>
      </c>
      <c r="J4" s="17" t="n">
        <v>60882246</v>
      </c>
      <c r="K4" s="17" t="n">
        <v>89095073</v>
      </c>
      <c r="L4" s="17" t="n">
        <v>93101555</v>
      </c>
      <c r="M4" s="17" t="n">
        <v>69629125</v>
      </c>
      <c r="N4" s="17" t="n">
        <v>72794943</v>
      </c>
      <c r="O4" s="28" t="n">
        <v>977007537</v>
      </c>
    </row>
    <row r="5" ht="18" customHeight="1">
      <c r="B5" s="13" t="inlineStr">
        <is>
          <t>熱延鋼板系</t>
        </is>
      </c>
      <c r="C5" s="14" t="n">
        <v>40348818</v>
      </c>
      <c r="D5" s="14" t="n">
        <v>42364077</v>
      </c>
      <c r="E5" s="14" t="n">
        <v>43053968</v>
      </c>
      <c r="F5" s="14" t="n">
        <v>43384116</v>
      </c>
      <c r="G5" s="14" t="n">
        <v>35175208</v>
      </c>
      <c r="H5" s="14" t="n">
        <v>68376288</v>
      </c>
      <c r="I5" s="14" t="n">
        <v>38809928</v>
      </c>
      <c r="J5" s="14" t="n">
        <v>23653166</v>
      </c>
      <c r="K5" s="14" t="n">
        <v>43971880</v>
      </c>
      <c r="L5" s="14" t="n">
        <v>51146771</v>
      </c>
      <c r="M5" s="14" t="n">
        <v>50586862</v>
      </c>
      <c r="N5" s="14" t="n">
        <v>45146508</v>
      </c>
      <c r="O5" s="27" t="n">
        <v>526017590</v>
      </c>
    </row>
    <row r="6" ht="18" customHeight="1">
      <c r="B6" s="16" t="inlineStr">
        <is>
          <t>缶バッジ部品系</t>
        </is>
      </c>
      <c r="C6" s="17" t="n">
        <v>39992026</v>
      </c>
      <c r="D6" s="17" t="n">
        <v>45731414</v>
      </c>
      <c r="E6" s="17" t="n">
        <v>45420236</v>
      </c>
      <c r="F6" s="17" t="n">
        <v>47289771</v>
      </c>
      <c r="G6" s="17" t="n">
        <v>53019253</v>
      </c>
      <c r="H6" s="17" t="n">
        <v>49108543</v>
      </c>
      <c r="I6" s="17" t="n">
        <v>45628023</v>
      </c>
      <c r="J6" s="17" t="n">
        <v>38271221</v>
      </c>
      <c r="K6" s="17" t="n">
        <v>35284486</v>
      </c>
      <c r="L6" s="17" t="n">
        <v>45168583</v>
      </c>
      <c r="M6" s="17" t="n">
        <v>32646398</v>
      </c>
      <c r="N6" s="17" t="n">
        <v>36820857</v>
      </c>
      <c r="O6" s="28" t="n">
        <v>514380811</v>
      </c>
    </row>
    <row r="7" ht="18" customHeight="1">
      <c r="B7" s="13" t="inlineStr">
        <is>
          <t>冷延鋼板系</t>
        </is>
      </c>
      <c r="C7" s="14" t="n">
        <v>45954627</v>
      </c>
      <c r="D7" s="14" t="n">
        <v>41120950</v>
      </c>
      <c r="E7" s="14" t="n">
        <v>48269452</v>
      </c>
      <c r="F7" s="14" t="n">
        <v>25330121</v>
      </c>
      <c r="G7" s="14" t="n">
        <v>20355988</v>
      </c>
      <c r="H7" s="14" t="n">
        <v>19107438</v>
      </c>
      <c r="I7" s="14" t="n">
        <v>19115732</v>
      </c>
      <c r="J7" s="14" t="n">
        <v>18988890</v>
      </c>
      <c r="K7" s="14" t="n">
        <v>11131834</v>
      </c>
      <c r="L7" s="14" t="n">
        <v>22851379</v>
      </c>
      <c r="M7" s="14" t="n">
        <v>19482246</v>
      </c>
      <c r="N7" s="14" t="n">
        <v>17303171</v>
      </c>
      <c r="O7" s="27" t="n">
        <v>309011828</v>
      </c>
    </row>
    <row r="8" ht="18" customHeight="1">
      <c r="B8" s="16" t="inlineStr">
        <is>
          <t>表面処理鋼板系</t>
        </is>
      </c>
      <c r="C8" s="17" t="n">
        <v>28773357</v>
      </c>
      <c r="D8" s="17" t="n">
        <v>4185596</v>
      </c>
      <c r="E8" s="17" t="n">
        <v>10725683</v>
      </c>
      <c r="F8" s="17" t="n">
        <v>13945655</v>
      </c>
      <c r="G8" s="17" t="n">
        <v>16287311</v>
      </c>
      <c r="H8" s="17" t="n">
        <v>16957340</v>
      </c>
      <c r="I8" s="17" t="n">
        <v>14063627</v>
      </c>
      <c r="J8" s="17" t="n">
        <v>11572831</v>
      </c>
      <c r="K8" s="17" t="n">
        <v>8125949</v>
      </c>
      <c r="L8" s="17" t="n">
        <v>14260257</v>
      </c>
      <c r="M8" s="17" t="n">
        <v>17848717</v>
      </c>
      <c r="N8" s="17" t="n">
        <v>13376111</v>
      </c>
      <c r="O8" s="28" t="n">
        <v>170122434</v>
      </c>
    </row>
    <row r="9" ht="18" customHeight="1">
      <c r="B9" s="13" t="inlineStr">
        <is>
          <t>特殊品・TFS系</t>
        </is>
      </c>
      <c r="C9" s="14" t="n">
        <v>12960397</v>
      </c>
      <c r="D9" s="14" t="n">
        <v>11130572</v>
      </c>
      <c r="E9" s="14" t="n">
        <v>11560901</v>
      </c>
      <c r="F9" s="14" t="n">
        <v>6855719</v>
      </c>
      <c r="G9" s="14" t="n">
        <v>8911571</v>
      </c>
      <c r="H9" s="14" t="n">
        <v>8678743</v>
      </c>
      <c r="I9" s="14" t="n">
        <v>11617027</v>
      </c>
      <c r="J9" s="14" t="n">
        <v>9499743</v>
      </c>
      <c r="K9" s="14" t="n">
        <v>9174290</v>
      </c>
      <c r="L9" s="14" t="n">
        <v>11220916</v>
      </c>
      <c r="M9" s="14" t="n">
        <v>9388571</v>
      </c>
      <c r="N9" s="14" t="n">
        <v>11558127</v>
      </c>
      <c r="O9" s="27" t="n">
        <v>122556577</v>
      </c>
    </row>
    <row r="10" ht="18" customHeight="1">
      <c r="B10" s="16" t="inlineStr">
        <is>
          <t>その他鋼材</t>
        </is>
      </c>
      <c r="C10" s="17" t="n">
        <v>1013166</v>
      </c>
      <c r="D10" s="17" t="n">
        <v>1902630</v>
      </c>
      <c r="E10" s="17" t="n">
        <v>28823</v>
      </c>
      <c r="F10" s="17" t="n">
        <v>2054010</v>
      </c>
      <c r="G10" s="17" t="n">
        <v>4293350</v>
      </c>
      <c r="H10" s="17" t="n">
        <v>8034852</v>
      </c>
      <c r="I10" s="17" t="n">
        <v>2704252</v>
      </c>
      <c r="J10" s="17" t="n">
        <v>2002877</v>
      </c>
      <c r="K10" s="17" t="n">
        <v>3388510</v>
      </c>
      <c r="L10" s="17" t="n">
        <v>2164373</v>
      </c>
      <c r="M10" s="17" t="n">
        <v>4516533</v>
      </c>
      <c r="N10" s="17" t="n">
        <v>1105257</v>
      </c>
      <c r="O10" s="28" t="n">
        <v>33208633</v>
      </c>
    </row>
    <row r="11" ht="18" customHeight="1">
      <c r="B11" s="13" t="inlineStr">
        <is>
          <t>その他鋼材</t>
        </is>
      </c>
      <c r="C11" s="14" t="n">
        <v>1013166</v>
      </c>
      <c r="D11" s="14" t="n">
        <v>1902630</v>
      </c>
      <c r="E11" s="14" t="n">
        <v>28823</v>
      </c>
      <c r="F11" s="14" t="n">
        <v>2054010</v>
      </c>
      <c r="G11" s="14" t="n">
        <v>4293350</v>
      </c>
      <c r="H11" s="14" t="n">
        <v>8034852</v>
      </c>
      <c r="I11" s="14" t="n">
        <v>2704252</v>
      </c>
      <c r="J11" s="14" t="n">
        <v>2002877</v>
      </c>
      <c r="K11" s="14" t="n">
        <v>3388510</v>
      </c>
      <c r="L11" s="14" t="n">
        <v>2164373</v>
      </c>
      <c r="M11" s="14" t="n">
        <v>4516533</v>
      </c>
      <c r="N11" s="14" t="n">
        <v>1105257</v>
      </c>
      <c r="O11" s="27" t="n">
        <v>33208633</v>
      </c>
    </row>
    <row r="12" ht="18" customHeight="1">
      <c r="B12" s="16" t="inlineStr">
        <is>
          <t>その他</t>
        </is>
      </c>
      <c r="C12" s="17" t="n">
        <v>807816</v>
      </c>
      <c r="D12" s="17" t="n">
        <v>824665</v>
      </c>
      <c r="E12" s="17" t="n">
        <v>1013292</v>
      </c>
      <c r="F12" s="17" t="n">
        <v>795058</v>
      </c>
      <c r="G12" s="17" t="n">
        <v>1157428</v>
      </c>
      <c r="H12" s="17" t="n">
        <v>878374</v>
      </c>
      <c r="I12" s="17" t="n">
        <v>1125093</v>
      </c>
      <c r="J12" s="17" t="n">
        <v>1549058</v>
      </c>
      <c r="K12" s="17" t="n">
        <v>1005786</v>
      </c>
      <c r="L12" s="17" t="n">
        <v>911800</v>
      </c>
      <c r="M12" s="17" t="n">
        <v>793017</v>
      </c>
      <c r="N12" s="17" t="n">
        <v>713855</v>
      </c>
      <c r="O12" s="28" t="n">
        <v>11575242</v>
      </c>
    </row>
    <row r="13" ht="18" customHeight="1">
      <c r="B13" s="13" t="inlineStr">
        <is>
          <t>その他</t>
        </is>
      </c>
      <c r="C13" s="14" t="n">
        <v>807816</v>
      </c>
      <c r="D13" s="14" t="n">
        <v>824665</v>
      </c>
      <c r="E13" s="14" t="n">
        <v>1013292</v>
      </c>
      <c r="F13" s="14" t="n">
        <v>795058</v>
      </c>
      <c r="G13" s="14" t="n">
        <v>1157428</v>
      </c>
      <c r="H13" s="14" t="n">
        <v>878374</v>
      </c>
      <c r="I13" s="14" t="n">
        <v>1125093</v>
      </c>
      <c r="J13" s="14" t="n">
        <v>1549058</v>
      </c>
      <c r="K13" s="14" t="n">
        <v>1005786</v>
      </c>
      <c r="L13" s="14" t="n">
        <v>911800</v>
      </c>
      <c r="M13" s="14" t="n">
        <v>793017</v>
      </c>
      <c r="N13" s="14" t="n">
        <v>713855</v>
      </c>
      <c r="O13" s="27" t="n">
        <v>11575242</v>
      </c>
    </row>
    <row r="14" ht="18" customHeight="1">
      <c r="B14" s="16" t="inlineStr">
        <is>
          <t>その他</t>
        </is>
      </c>
      <c r="C14" s="17" t="n">
        <v>807816</v>
      </c>
      <c r="D14" s="17" t="n">
        <v>824665</v>
      </c>
      <c r="E14" s="17" t="n">
        <v>1013292</v>
      </c>
      <c r="F14" s="17" t="n">
        <v>795058</v>
      </c>
      <c r="G14" s="17" t="n">
        <v>1157428</v>
      </c>
      <c r="H14" s="17" t="n">
        <v>878374</v>
      </c>
      <c r="I14" s="17" t="n">
        <v>1125093</v>
      </c>
      <c r="J14" s="17" t="n">
        <v>1549058</v>
      </c>
      <c r="K14" s="17" t="n">
        <v>1005786</v>
      </c>
      <c r="L14" s="17" t="n">
        <v>911800</v>
      </c>
      <c r="M14" s="17" t="n">
        <v>793017</v>
      </c>
      <c r="N14" s="17" t="n">
        <v>713855</v>
      </c>
      <c r="O14" s="28" t="n">
        <v>11575242</v>
      </c>
    </row>
    <row r="15" ht="18" customHeight="1">
      <c r="B15" s="13" t="inlineStr">
        <is>
          <t>その他</t>
        </is>
      </c>
      <c r="C15" s="14" t="n">
        <v>807816</v>
      </c>
      <c r="D15" s="14" t="n">
        <v>824665</v>
      </c>
      <c r="E15" s="14" t="n">
        <v>1013292</v>
      </c>
      <c r="F15" s="14" t="n">
        <v>795058</v>
      </c>
      <c r="G15" s="14" t="n">
        <v>1157428</v>
      </c>
      <c r="H15" s="14" t="n">
        <v>878374</v>
      </c>
      <c r="I15" s="14" t="n">
        <v>1125093</v>
      </c>
      <c r="J15" s="14" t="n">
        <v>1549058</v>
      </c>
      <c r="K15" s="14" t="n">
        <v>1005786</v>
      </c>
      <c r="L15" s="14" t="n">
        <v>911800</v>
      </c>
      <c r="M15" s="14" t="n">
        <v>793017</v>
      </c>
      <c r="N15" s="14" t="n">
        <v>713855</v>
      </c>
      <c r="O15" s="27" t="n">
        <v>11575242</v>
      </c>
    </row>
    <row r="16" ht="22" customHeight="1">
      <c r="B16" s="31" t="inlineStr">
        <is>
          <t>月計</t>
        </is>
      </c>
      <c r="C16" s="20" t="n">
        <v>274626641</v>
      </c>
      <c r="D16" s="20" t="n">
        <v>236236803</v>
      </c>
      <c r="E16" s="20" t="n">
        <v>240309284</v>
      </c>
      <c r="F16" s="20" t="n">
        <v>232303815</v>
      </c>
      <c r="G16" s="20" t="n">
        <v>222667266</v>
      </c>
      <c r="H16" s="20" t="n">
        <v>226139591</v>
      </c>
      <c r="I16" s="20" t="n">
        <v>219463480</v>
      </c>
      <c r="J16" s="20" t="n">
        <v>166420032</v>
      </c>
      <c r="K16" s="20" t="n">
        <v>201177808</v>
      </c>
      <c r="L16" s="20" t="n">
        <v>240825634</v>
      </c>
      <c r="M16" s="20" t="n">
        <v>204891469</v>
      </c>
      <c r="N16" s="20" t="n">
        <v>198818829</v>
      </c>
      <c r="O16" s="20" t="n">
        <v>2663880652</v>
      </c>
    </row>
  </sheetData>
  <mergeCells count="1">
    <mergeCell ref="B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  <col width="18" customWidth="1" min="8" max="8"/>
    <col width="3" customWidth="1" min="9" max="9"/>
  </cols>
  <sheetData>
    <row r="1" ht="32" customHeight="1">
      <c r="B1" s="29" t="inlineStr">
        <is>
          <t>月別 粗利分析（売上日記帳 + 仕入売上日記帳 原価データ分）</t>
        </is>
      </c>
    </row>
    <row r="2">
      <c r="B2" s="32" t="inlineStr">
        <is>
          <t>※ 委託出荷分（¥284,162,826）は原価データなしのため粗利計算対象外</t>
        </is>
      </c>
    </row>
    <row r="4" ht="22" customHeight="1">
      <c r="B4" s="3" t="inlineStr">
        <is>
          <t>月</t>
        </is>
      </c>
      <c r="C4" s="3" t="inlineStr">
        <is>
          <t>売上金額</t>
        </is>
      </c>
      <c r="D4" s="3" t="inlineStr">
        <is>
          <t>原価金額</t>
        </is>
      </c>
      <c r="E4" s="3" t="inlineStr">
        <is>
          <t>粗利金額</t>
        </is>
      </c>
      <c r="F4" s="3" t="inlineStr">
        <is>
          <t>粗利率</t>
        </is>
      </c>
      <c r="G4" s="3" t="inlineStr">
        <is>
          <t>累計売上</t>
        </is>
      </c>
      <c r="H4" s="3" t="inlineStr">
        <is>
          <t>累計粗利</t>
        </is>
      </c>
    </row>
    <row r="5" ht="18" customHeight="1">
      <c r="B5" s="23" t="inlineStr">
        <is>
          <t>1月</t>
        </is>
      </c>
      <c r="C5" s="14" t="n">
        <v>246566685</v>
      </c>
      <c r="D5" s="14" t="n">
        <v>211706368</v>
      </c>
      <c r="E5" s="27" t="n">
        <v>34860317</v>
      </c>
      <c r="F5" s="33" t="n">
        <v>0.1413829163497899</v>
      </c>
      <c r="G5" s="14" t="n">
        <v>246566685</v>
      </c>
      <c r="H5" s="14" t="n">
        <v>34860317</v>
      </c>
    </row>
    <row r="6" ht="18" customHeight="1">
      <c r="B6" s="24" t="inlineStr">
        <is>
          <t>2月</t>
        </is>
      </c>
      <c r="C6" s="17" t="n">
        <v>214267470</v>
      </c>
      <c r="D6" s="17" t="n">
        <v>180257389</v>
      </c>
      <c r="E6" s="28" t="n">
        <v>34010081</v>
      </c>
      <c r="F6" s="33" t="n">
        <v>0.1587272253693013</v>
      </c>
      <c r="G6" s="17" t="n">
        <v>460834155</v>
      </c>
      <c r="H6" s="17" t="n">
        <v>68870398</v>
      </c>
    </row>
    <row r="7" ht="18" customHeight="1">
      <c r="B7" s="23" t="inlineStr">
        <is>
          <t>3月</t>
        </is>
      </c>
      <c r="C7" s="14" t="n">
        <v>219771938</v>
      </c>
      <c r="D7" s="14" t="n">
        <v>185952595</v>
      </c>
      <c r="E7" s="27" t="n">
        <v>33819343</v>
      </c>
      <c r="F7" s="33" t="n">
        <v>0.153883809315091</v>
      </c>
      <c r="G7" s="14" t="n">
        <v>680606093</v>
      </c>
      <c r="H7" s="14" t="n">
        <v>102689741</v>
      </c>
    </row>
    <row r="8" ht="18" customHeight="1">
      <c r="B8" s="24" t="inlineStr">
        <is>
          <t>4月</t>
        </is>
      </c>
      <c r="C8" s="17" t="n">
        <v>215134686</v>
      </c>
      <c r="D8" s="17" t="n">
        <v>181309787</v>
      </c>
      <c r="E8" s="28" t="n">
        <v>33824899</v>
      </c>
      <c r="F8" s="33" t="n">
        <v>0.1572266175618003</v>
      </c>
      <c r="G8" s="17" t="n">
        <v>895740779</v>
      </c>
      <c r="H8" s="17" t="n">
        <v>136514640</v>
      </c>
    </row>
    <row r="9" ht="18" customHeight="1">
      <c r="B9" s="23" t="inlineStr">
        <is>
          <t>5月</t>
        </is>
      </c>
      <c r="C9" s="14" t="n">
        <v>197271208</v>
      </c>
      <c r="D9" s="14" t="n">
        <v>168710744</v>
      </c>
      <c r="E9" s="27" t="n">
        <v>28560464</v>
      </c>
      <c r="F9" s="33" t="n">
        <v>0.14477766061026</v>
      </c>
      <c r="G9" s="14" t="n">
        <v>1093011987</v>
      </c>
      <c r="H9" s="14" t="n">
        <v>165075104</v>
      </c>
    </row>
    <row r="10" ht="18" customHeight="1">
      <c r="B10" s="24" t="inlineStr">
        <is>
          <t>6月</t>
        </is>
      </c>
      <c r="C10" s="17" t="n">
        <v>201424501</v>
      </c>
      <c r="D10" s="17" t="n">
        <v>170123341</v>
      </c>
      <c r="E10" s="28" t="n">
        <v>31301160</v>
      </c>
      <c r="F10" s="33" t="n">
        <v>0.1553989700587616</v>
      </c>
      <c r="G10" s="17" t="n">
        <v>1294436488</v>
      </c>
      <c r="H10" s="17" t="n">
        <v>196376264</v>
      </c>
    </row>
    <row r="11" ht="18" customHeight="1">
      <c r="B11" s="23" t="inlineStr">
        <is>
          <t>7月</t>
        </is>
      </c>
      <c r="C11" s="14" t="n">
        <v>193566297</v>
      </c>
      <c r="D11" s="14" t="n">
        <v>164572190</v>
      </c>
      <c r="E11" s="27" t="n">
        <v>28994107</v>
      </c>
      <c r="F11" s="33" t="n">
        <v>0.1497890255140852</v>
      </c>
      <c r="G11" s="14" t="n">
        <v>1488002785</v>
      </c>
      <c r="H11" s="14" t="n">
        <v>225370371</v>
      </c>
    </row>
    <row r="12" ht="18" customHeight="1">
      <c r="B12" s="24" t="inlineStr">
        <is>
          <t>8月</t>
        </is>
      </c>
      <c r="C12" s="17" t="n">
        <v>148680813</v>
      </c>
      <c r="D12" s="17" t="n">
        <v>125436036</v>
      </c>
      <c r="E12" s="28" t="n">
        <v>23244777</v>
      </c>
      <c r="F12" s="33" t="n">
        <v>0.1563401257430574</v>
      </c>
      <c r="G12" s="17" t="n">
        <v>1636683598</v>
      </c>
      <c r="H12" s="17" t="n">
        <v>248615148</v>
      </c>
    </row>
    <row r="13" ht="18" customHeight="1">
      <c r="B13" s="23" t="inlineStr">
        <is>
          <t>9月</t>
        </is>
      </c>
      <c r="C13" s="14" t="n">
        <v>171387217</v>
      </c>
      <c r="D13" s="14" t="n">
        <v>143777337</v>
      </c>
      <c r="E13" s="27" t="n">
        <v>27609880</v>
      </c>
      <c r="F13" s="33" t="n">
        <v>0.1610964953121329</v>
      </c>
      <c r="G13" s="14" t="n">
        <v>1808070815</v>
      </c>
      <c r="H13" s="14" t="n">
        <v>276225028</v>
      </c>
    </row>
    <row r="14" ht="18" customHeight="1">
      <c r="B14" s="24" t="inlineStr">
        <is>
          <t>10月</t>
        </is>
      </c>
      <c r="C14" s="17" t="n">
        <v>212358560</v>
      </c>
      <c r="D14" s="17" t="n">
        <v>181584832</v>
      </c>
      <c r="E14" s="28" t="n">
        <v>30773728</v>
      </c>
      <c r="F14" s="33" t="n">
        <v>0.1449139982866714</v>
      </c>
      <c r="G14" s="17" t="n">
        <v>2020429375</v>
      </c>
      <c r="H14" s="17" t="n">
        <v>306998756</v>
      </c>
    </row>
    <row r="15" ht="18" customHeight="1">
      <c r="B15" s="23" t="inlineStr">
        <is>
          <t>11月</t>
        </is>
      </c>
      <c r="C15" s="14" t="n">
        <v>180183051</v>
      </c>
      <c r="D15" s="14" t="n">
        <v>154548396</v>
      </c>
      <c r="E15" s="27" t="n">
        <v>25634655</v>
      </c>
      <c r="F15" s="33" t="n">
        <v>0.1422700684538858</v>
      </c>
      <c r="G15" s="14" t="n">
        <v>2200612426</v>
      </c>
      <c r="H15" s="14" t="n">
        <v>332633411</v>
      </c>
    </row>
    <row r="16" ht="18" customHeight="1">
      <c r="B16" s="24" t="inlineStr">
        <is>
          <t>12月</t>
        </is>
      </c>
      <c r="C16" s="17" t="n">
        <v>179105400</v>
      </c>
      <c r="D16" s="17" t="n">
        <v>151968896</v>
      </c>
      <c r="E16" s="28" t="n">
        <v>27136504</v>
      </c>
      <c r="F16" s="33" t="n">
        <v>0.151511367049793</v>
      </c>
      <c r="G16" s="17" t="n">
        <v>2379717826</v>
      </c>
      <c r="H16" s="17" t="n">
        <v>359769915</v>
      </c>
    </row>
    <row r="17" ht="22" customHeight="1">
      <c r="B17" s="25" t="inlineStr">
        <is>
          <t>年計</t>
        </is>
      </c>
      <c r="C17" s="20" t="n">
        <v>2379717826</v>
      </c>
      <c r="D17" s="20" t="n">
        <v>2019947911</v>
      </c>
      <c r="E17" s="20" t="n">
        <v>359769915</v>
      </c>
      <c r="F17" s="21" t="n">
        <v>0.1511817540169151</v>
      </c>
      <c r="G17" s="22" t="inlineStr"/>
      <c r="H17" s="22" t="inlineStr"/>
    </row>
  </sheetData>
  <mergeCells count="2">
    <mergeCell ref="B1:H1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16" customWidth="1" min="4" max="4"/>
    <col width="16" customWidth="1" min="5" max="5"/>
    <col width="16" customWidth="1" min="6" max="6"/>
    <col width="12" customWidth="1" min="7" max="7"/>
    <col width="4" customWidth="1" min="8" max="8"/>
    <col width="6" customWidth="1" min="9" max="9"/>
    <col width="30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B1" s="34" t="inlineStr">
        <is>
          <t>粗利分析：品名別 TOP30</t>
        </is>
      </c>
      <c r="I1" s="34" t="inlineStr">
        <is>
          <t>粗利分析：得意先別 TOP30</t>
        </is>
      </c>
    </row>
    <row r="3" ht="22" customHeight="1">
      <c r="B3" s="3" t="inlineStr">
        <is>
          <t>順位</t>
        </is>
      </c>
      <c r="C3" s="3" t="inlineStr">
        <is>
          <t>品名</t>
        </is>
      </c>
      <c r="D3" s="3" t="inlineStr">
        <is>
          <t>売上金額</t>
        </is>
      </c>
      <c r="E3" s="3" t="inlineStr">
        <is>
          <t>原価金額</t>
        </is>
      </c>
      <c r="F3" s="3" t="inlineStr">
        <is>
          <t>粗利金額</t>
        </is>
      </c>
      <c r="G3" s="3" t="inlineStr">
        <is>
          <t>粗利率</t>
        </is>
      </c>
      <c r="I3" s="3" t="inlineStr">
        <is>
          <t>順位</t>
        </is>
      </c>
      <c r="J3" s="3" t="inlineStr">
        <is>
          <t>得意先名称</t>
        </is>
      </c>
      <c r="K3" s="3" t="inlineStr">
        <is>
          <t>売上金額</t>
        </is>
      </c>
      <c r="L3" s="3" t="inlineStr">
        <is>
          <t>粗利金額</t>
        </is>
      </c>
      <c r="M3" s="3" t="inlineStr">
        <is>
          <t>粗利率</t>
        </is>
      </c>
    </row>
    <row r="4" ht="18" customHeight="1">
      <c r="B4" s="23" t="n">
        <v>1</v>
      </c>
      <c r="C4" s="13" t="inlineStr">
        <is>
          <t>ＥＣ</t>
        </is>
      </c>
      <c r="D4" s="14" t="n">
        <v>321688914</v>
      </c>
      <c r="E4" s="14" t="n">
        <v>248168875</v>
      </c>
      <c r="F4" s="27" t="n">
        <v>73520039</v>
      </c>
      <c r="G4" s="35" t="n">
        <v>0.2285439000238597</v>
      </c>
      <c r="I4" s="23" t="n">
        <v>1</v>
      </c>
      <c r="J4" s="13" t="inlineStr">
        <is>
          <t>三幸プロダクツ東大阪</t>
        </is>
      </c>
      <c r="K4" s="14" t="n">
        <v>220756048</v>
      </c>
      <c r="L4" s="27" t="n">
        <v>52715966</v>
      </c>
      <c r="M4" s="35" t="n">
        <v>0.2387973805365459</v>
      </c>
    </row>
    <row r="5" ht="18" customHeight="1">
      <c r="B5" s="24" t="n">
        <v>2</v>
      </c>
      <c r="C5" s="16" t="inlineStr">
        <is>
          <t>SPCC-SD</t>
        </is>
      </c>
      <c r="D5" s="17" t="n">
        <v>152754337</v>
      </c>
      <c r="E5" s="17" t="n">
        <v>131404893</v>
      </c>
      <c r="F5" s="28" t="n">
        <v>21349444</v>
      </c>
      <c r="G5" s="36" t="n">
        <v>0.1397632592258248</v>
      </c>
      <c r="I5" s="24" t="n">
        <v>2</v>
      </c>
      <c r="J5" s="16" t="inlineStr">
        <is>
          <t>昭和プロダクツ</t>
        </is>
      </c>
      <c r="K5" s="17" t="n">
        <v>206380210</v>
      </c>
      <c r="L5" s="28" t="n">
        <v>6261760</v>
      </c>
      <c r="M5" s="37" t="n">
        <v>0.03034089363510193</v>
      </c>
    </row>
    <row r="6" ht="18" customHeight="1">
      <c r="B6" s="23" t="n">
        <v>3</v>
      </c>
      <c r="C6" s="13" t="inlineStr">
        <is>
          <t>57mmﾂﾒ下ﾋﾟﾝ付き</t>
        </is>
      </c>
      <c r="D6" s="14" t="n">
        <v>110296036</v>
      </c>
      <c r="E6" s="14" t="n">
        <v>88217907</v>
      </c>
      <c r="F6" s="27" t="n">
        <v>22078129</v>
      </c>
      <c r="G6" s="35" t="n">
        <v>0.2001715546694715</v>
      </c>
      <c r="I6" s="23" t="n">
        <v>3</v>
      </c>
      <c r="J6" s="13" t="inlineStr">
        <is>
          <t>ダイキ</t>
        </is>
      </c>
      <c r="K6" s="14" t="n">
        <v>165311708</v>
      </c>
      <c r="L6" s="27" t="n">
        <v>33364771</v>
      </c>
      <c r="M6" s="35" t="n">
        <v>0.201829449369672</v>
      </c>
    </row>
    <row r="7" ht="18" customHeight="1">
      <c r="B7" s="24" t="n">
        <v>4</v>
      </c>
      <c r="C7" s="16" t="inlineStr">
        <is>
          <t>SGHC-SZCX-F12</t>
        </is>
      </c>
      <c r="D7" s="17" t="n">
        <v>99072946</v>
      </c>
      <c r="E7" s="17" t="n">
        <v>92851151</v>
      </c>
      <c r="F7" s="28" t="n">
        <v>6221795</v>
      </c>
      <c r="G7" s="36" t="n">
        <v>0.06280014122119676</v>
      </c>
      <c r="I7" s="24" t="n">
        <v>4</v>
      </c>
      <c r="J7" s="16" t="inlineStr">
        <is>
          <t>ベック</t>
        </is>
      </c>
      <c r="K7" s="17" t="n">
        <v>95489363</v>
      </c>
      <c r="L7" s="28" t="n">
        <v>18938543</v>
      </c>
      <c r="M7" s="36" t="n">
        <v>0.1983314413774024</v>
      </c>
    </row>
    <row r="8" ht="18" customHeight="1">
      <c r="B8" s="23" t="n">
        <v>5</v>
      </c>
      <c r="C8" s="13" t="inlineStr">
        <is>
          <t>SPHC</t>
        </is>
      </c>
      <c r="D8" s="14" t="n">
        <v>90293152</v>
      </c>
      <c r="E8" s="14" t="n">
        <v>73992605</v>
      </c>
      <c r="F8" s="27" t="n">
        <v>16300547</v>
      </c>
      <c r="G8" s="35" t="n">
        <v>0.1805291612812453</v>
      </c>
      <c r="I8" s="23" t="n">
        <v>5</v>
      </c>
      <c r="J8" s="13" t="inlineStr">
        <is>
          <t>向陽技研</t>
        </is>
      </c>
      <c r="K8" s="14" t="n">
        <v>83221739</v>
      </c>
      <c r="L8" s="27" t="n">
        <v>5869022</v>
      </c>
      <c r="M8" s="35" t="n">
        <v>0.07052270320859313</v>
      </c>
    </row>
    <row r="9" ht="18" customHeight="1">
      <c r="B9" s="24" t="n">
        <v>6</v>
      </c>
      <c r="C9" s="16" t="inlineStr">
        <is>
          <t>バルク用金具５Ｒ</t>
        </is>
      </c>
      <c r="D9" s="17" t="n">
        <v>75078300</v>
      </c>
      <c r="E9" s="17" t="n">
        <v>72809700</v>
      </c>
      <c r="F9" s="28" t="n">
        <v>2268600</v>
      </c>
      <c r="G9" s="37" t="n">
        <v>0.03021645402200103</v>
      </c>
      <c r="I9" s="24" t="n">
        <v>6</v>
      </c>
      <c r="J9" s="16" t="inlineStr">
        <is>
          <t>㈱ｆｕｎｂｏｘ</t>
        </is>
      </c>
      <c r="K9" s="17" t="n">
        <v>74086774</v>
      </c>
      <c r="L9" s="28" t="n">
        <v>14840075</v>
      </c>
      <c r="M9" s="36" t="n">
        <v>0.2003066701217143</v>
      </c>
    </row>
    <row r="10" ht="18" customHeight="1">
      <c r="B10" s="23" t="n">
        <v>7</v>
      </c>
      <c r="C10" s="13" t="inlineStr">
        <is>
          <t>SAPH440-P</t>
        </is>
      </c>
      <c r="D10" s="14" t="n">
        <v>71365594</v>
      </c>
      <c r="E10" s="14" t="n">
        <v>68384435</v>
      </c>
      <c r="F10" s="27" t="n">
        <v>2981159</v>
      </c>
      <c r="G10" s="37" t="n">
        <v>0.04177305663566676</v>
      </c>
      <c r="I10" s="23" t="n">
        <v>7</v>
      </c>
      <c r="J10" s="13" t="inlineStr">
        <is>
          <t>東洋パックス</t>
        </is>
      </c>
      <c r="K10" s="14" t="n">
        <v>73301152</v>
      </c>
      <c r="L10" s="27" t="n">
        <v>15793533</v>
      </c>
      <c r="M10" s="35" t="n">
        <v>0.2154609111736743</v>
      </c>
    </row>
    <row r="11" ht="18" customHeight="1">
      <c r="B11" s="24" t="n">
        <v>8</v>
      </c>
      <c r="C11" s="16" t="inlineStr">
        <is>
          <t>54Φ下蓋</t>
        </is>
      </c>
      <c r="D11" s="17" t="n">
        <v>67204210</v>
      </c>
      <c r="E11" s="17" t="n">
        <v>53699818</v>
      </c>
      <c r="F11" s="28" t="n">
        <v>13504392</v>
      </c>
      <c r="G11" s="36" t="n">
        <v>0.2009456252815114</v>
      </c>
      <c r="I11" s="24" t="n">
        <v>8</v>
      </c>
      <c r="J11" s="16" t="inlineStr">
        <is>
          <t>紅忠 滋賀(ﾊﾟﾅ栗東）</t>
        </is>
      </c>
      <c r="K11" s="17" t="n">
        <v>67247293</v>
      </c>
      <c r="L11" s="28" t="n">
        <v>3604840</v>
      </c>
      <c r="M11" s="36" t="n">
        <v>0.05360572655318631</v>
      </c>
    </row>
    <row r="12" ht="18" customHeight="1">
      <c r="B12" s="23" t="n">
        <v>9</v>
      </c>
      <c r="C12" s="13" t="inlineStr">
        <is>
          <t>57mm バックパーツ</t>
        </is>
      </c>
      <c r="D12" s="14" t="n">
        <v>49004550</v>
      </c>
      <c r="E12" s="14" t="n">
        <v>39157300</v>
      </c>
      <c r="F12" s="27" t="n">
        <v>9847250</v>
      </c>
      <c r="G12" s="35" t="n">
        <v>0.2009456264775414</v>
      </c>
      <c r="I12" s="23" t="n">
        <v>9</v>
      </c>
      <c r="J12" s="13" t="inlineStr">
        <is>
          <t>山下印刷紙器</t>
        </is>
      </c>
      <c r="K12" s="14" t="n">
        <v>63137190</v>
      </c>
      <c r="L12" s="27" t="n">
        <v>8624874</v>
      </c>
      <c r="M12" s="35" t="n">
        <v>0.1366052876284168</v>
      </c>
    </row>
    <row r="13" ht="18" customHeight="1">
      <c r="B13" s="24" t="n">
        <v>10</v>
      </c>
      <c r="C13" s="16" t="inlineStr">
        <is>
          <t>サテン</t>
        </is>
      </c>
      <c r="D13" s="17" t="n">
        <v>46583080</v>
      </c>
      <c r="E13" s="17" t="n">
        <v>34547547</v>
      </c>
      <c r="F13" s="28" t="n">
        <v>12035533</v>
      </c>
      <c r="G13" s="36" t="n">
        <v>0.2583670508691138</v>
      </c>
      <c r="I13" s="24" t="n">
        <v>10</v>
      </c>
      <c r="J13" s="16" t="inlineStr">
        <is>
          <t>よつば</t>
        </is>
      </c>
      <c r="K13" s="17" t="n">
        <v>59420500</v>
      </c>
      <c r="L13" s="28" t="n">
        <v>11167800</v>
      </c>
      <c r="M13" s="36" t="n">
        <v>0.187945237754647</v>
      </c>
    </row>
    <row r="14" ht="18" customHeight="1">
      <c r="B14" s="23" t="n">
        <v>11</v>
      </c>
      <c r="C14" s="13" t="inlineStr">
        <is>
          <t>56Φ下蓋</t>
        </is>
      </c>
      <c r="D14" s="14" t="n">
        <v>40919328</v>
      </c>
      <c r="E14" s="14" t="n">
        <v>32696768</v>
      </c>
      <c r="F14" s="27" t="n">
        <v>8222560</v>
      </c>
      <c r="G14" s="35" t="n">
        <v>0.2009456264775414</v>
      </c>
      <c r="I14" s="23" t="n">
        <v>11</v>
      </c>
      <c r="J14" s="13" t="inlineStr">
        <is>
          <t>伊藤忠丸紅２課（川村</t>
        </is>
      </c>
      <c r="K14" s="14" t="n">
        <v>57497287</v>
      </c>
      <c r="L14" s="27" t="n">
        <v>0</v>
      </c>
      <c r="M14" s="37" t="n">
        <v>0</v>
      </c>
    </row>
    <row r="15" ht="18" customHeight="1">
      <c r="B15" s="24" t="n">
        <v>12</v>
      </c>
      <c r="C15" s="16" t="inlineStr">
        <is>
          <t>ネジ金具</t>
        </is>
      </c>
      <c r="D15" s="17" t="n">
        <v>39872840</v>
      </c>
      <c r="E15" s="17" t="n">
        <v>38670400</v>
      </c>
      <c r="F15" s="28" t="n">
        <v>1202440</v>
      </c>
      <c r="G15" s="37" t="n">
        <v>0.03015686868555137</v>
      </c>
      <c r="I15" s="24" t="n">
        <v>12</v>
      </c>
      <c r="J15" s="16" t="inlineStr">
        <is>
          <t>三幸プロダクツ 松原</t>
        </is>
      </c>
      <c r="K15" s="17" t="n">
        <v>56895903</v>
      </c>
      <c r="L15" s="28" t="n">
        <v>11784050</v>
      </c>
      <c r="M15" s="36" t="n">
        <v>0.2071159675592107</v>
      </c>
    </row>
    <row r="16" ht="18" customHeight="1">
      <c r="B16" s="23" t="n">
        <v>13</v>
      </c>
      <c r="C16" s="13" t="inlineStr">
        <is>
          <t>ﾌﾗｯｸ鋼板</t>
        </is>
      </c>
      <c r="D16" s="14" t="n">
        <v>38719586</v>
      </c>
      <c r="E16" s="14" t="n">
        <v>34816367</v>
      </c>
      <c r="F16" s="27" t="n">
        <v>3903219</v>
      </c>
      <c r="G16" s="35" t="n">
        <v>0.1008073536736679</v>
      </c>
      <c r="I16" s="23" t="n">
        <v>13</v>
      </c>
      <c r="J16" s="13" t="inlineStr">
        <is>
          <t>東洋事務器工業</t>
        </is>
      </c>
      <c r="K16" s="14" t="n">
        <v>53868342</v>
      </c>
      <c r="L16" s="27" t="n">
        <v>5248481</v>
      </c>
      <c r="M16" s="35" t="n">
        <v>0.09743164176094375</v>
      </c>
    </row>
    <row r="17" ht="18" customHeight="1">
      <c r="B17" s="24" t="n">
        <v>14</v>
      </c>
      <c r="C17" s="16" t="inlineStr">
        <is>
          <t>57mm上</t>
        </is>
      </c>
      <c r="D17" s="17" t="n">
        <v>32878489</v>
      </c>
      <c r="E17" s="17" t="n">
        <v>26289876</v>
      </c>
      <c r="F17" s="28" t="n">
        <v>6588613</v>
      </c>
      <c r="G17" s="36" t="n">
        <v>0.2003928161053873</v>
      </c>
      <c r="I17" s="24" t="n">
        <v>14</v>
      </c>
      <c r="J17" s="16" t="inlineStr">
        <is>
          <t>栄住産業  本社</t>
        </is>
      </c>
      <c r="K17" s="17" t="n">
        <v>51492901</v>
      </c>
      <c r="L17" s="28" t="n">
        <v>8789024</v>
      </c>
      <c r="M17" s="36" t="n">
        <v>0.1706841880980837</v>
      </c>
    </row>
    <row r="18" ht="18" customHeight="1">
      <c r="B18" s="23" t="n">
        <v>15</v>
      </c>
      <c r="C18" s="13" t="inlineStr">
        <is>
          <t>SS400-P</t>
        </is>
      </c>
      <c r="D18" s="14" t="n">
        <v>26829893</v>
      </c>
      <c r="E18" s="14" t="n">
        <v>24113835</v>
      </c>
      <c r="F18" s="27" t="n">
        <v>2716058</v>
      </c>
      <c r="G18" s="35" t="n">
        <v>0.1012325319374177</v>
      </c>
      <c r="I18" s="23" t="n">
        <v>15</v>
      </c>
      <c r="J18" s="13" t="inlineStr">
        <is>
          <t>ファイン技研</t>
        </is>
      </c>
      <c r="K18" s="14" t="n">
        <v>44666304</v>
      </c>
      <c r="L18" s="27" t="n">
        <v>8006232</v>
      </c>
      <c r="M18" s="35" t="n">
        <v>0.1792454553660853</v>
      </c>
    </row>
    <row r="19" ht="18" customHeight="1">
      <c r="B19" s="24" t="n">
        <v>16</v>
      </c>
      <c r="C19" s="16" t="inlineStr">
        <is>
          <t>56Φ上蓋</t>
        </is>
      </c>
      <c r="D19" s="17" t="n">
        <v>26791128</v>
      </c>
      <c r="E19" s="17" t="n">
        <v>21407568</v>
      </c>
      <c r="F19" s="28" t="n">
        <v>5383560</v>
      </c>
      <c r="G19" s="36" t="n">
        <v>0.2009456264775414</v>
      </c>
      <c r="I19" s="24" t="n">
        <v>16</v>
      </c>
      <c r="J19" s="16" t="inlineStr">
        <is>
          <t>山本シャーリング</t>
        </is>
      </c>
      <c r="K19" s="17" t="n">
        <v>43469989</v>
      </c>
      <c r="L19" s="28" t="n">
        <v>7397133</v>
      </c>
      <c r="M19" s="36" t="n">
        <v>0.1701664336745059</v>
      </c>
    </row>
    <row r="20" ht="18" customHeight="1">
      <c r="B20" s="23" t="n">
        <v>17</v>
      </c>
      <c r="C20" s="13" t="inlineStr">
        <is>
          <t>57mm穴下</t>
        </is>
      </c>
      <c r="D20" s="14" t="n">
        <v>24354700</v>
      </c>
      <c r="E20" s="14" t="n">
        <v>19475880</v>
      </c>
      <c r="F20" s="27" t="n">
        <v>4878820</v>
      </c>
      <c r="G20" s="35" t="n">
        <v>0.2003235515116179</v>
      </c>
      <c r="I20" s="23" t="n">
        <v>17</v>
      </c>
      <c r="J20" s="13" t="inlineStr">
        <is>
          <t>ノート</t>
        </is>
      </c>
      <c r="K20" s="14" t="n">
        <v>39569100</v>
      </c>
      <c r="L20" s="27" t="n">
        <v>7950339</v>
      </c>
      <c r="M20" s="35" t="n">
        <v>0.2009229171247261</v>
      </c>
    </row>
    <row r="21" ht="18" customHeight="1">
      <c r="B21" s="24" t="n">
        <v>18</v>
      </c>
      <c r="C21" s="16" t="inlineStr">
        <is>
          <t>ＳＧＣＣ</t>
        </is>
      </c>
      <c r="D21" s="17" t="n">
        <v>24151070</v>
      </c>
      <c r="E21" s="17" t="n">
        <v>19117677</v>
      </c>
      <c r="F21" s="28" t="n">
        <v>5033393</v>
      </c>
      <c r="G21" s="36" t="n">
        <v>0.2084128363670844</v>
      </c>
      <c r="I21" s="24" t="n">
        <v>18</v>
      </c>
      <c r="J21" s="16" t="inlineStr">
        <is>
          <t>ｺｸﾖ</t>
        </is>
      </c>
      <c r="K21" s="17" t="n">
        <v>37161744</v>
      </c>
      <c r="L21" s="28" t="n">
        <v>5309623</v>
      </c>
      <c r="M21" s="36" t="n">
        <v>0.1428787357234903</v>
      </c>
    </row>
    <row r="22" ht="18" customHeight="1">
      <c r="B22" s="23" t="n">
        <v>19</v>
      </c>
      <c r="C22" s="13" t="inlineStr">
        <is>
          <t>SGHC-MO-F12</t>
        </is>
      </c>
      <c r="D22" s="14" t="n">
        <v>23836379</v>
      </c>
      <c r="E22" s="14" t="n">
        <v>19545432</v>
      </c>
      <c r="F22" s="27" t="n">
        <v>4290947</v>
      </c>
      <c r="G22" s="35" t="n">
        <v>0.1800167298900559</v>
      </c>
      <c r="I22" s="23" t="n">
        <v>19</v>
      </c>
      <c r="J22" s="13" t="inlineStr">
        <is>
          <t>井上鋼板</t>
        </is>
      </c>
      <c r="K22" s="14" t="n">
        <v>35613349</v>
      </c>
      <c r="L22" s="27" t="n">
        <v>3176905</v>
      </c>
      <c r="M22" s="35" t="n">
        <v>0.08920545495454528</v>
      </c>
    </row>
    <row r="23" ht="18" customHeight="1">
      <c r="B23" s="24" t="n">
        <v>20</v>
      </c>
      <c r="C23" s="16" t="inlineStr">
        <is>
          <t>エースコート</t>
        </is>
      </c>
      <c r="D23" s="17" t="n">
        <v>23645630</v>
      </c>
      <c r="E23" s="17" t="n">
        <v>20174672</v>
      </c>
      <c r="F23" s="28" t="n">
        <v>3470958</v>
      </c>
      <c r="G23" s="36" t="n">
        <v>0.1467906754863372</v>
      </c>
      <c r="I23" s="24" t="n">
        <v>20</v>
      </c>
      <c r="J23" s="16" t="inlineStr">
        <is>
          <t>竹原製罐</t>
        </is>
      </c>
      <c r="K23" s="17" t="n">
        <v>32643096</v>
      </c>
      <c r="L23" s="28" t="n">
        <v>5095432</v>
      </c>
      <c r="M23" s="36" t="n">
        <v>0.1560952429267126</v>
      </c>
    </row>
    <row r="24" ht="18" customHeight="1">
      <c r="B24" s="23" t="n">
        <v>21</v>
      </c>
      <c r="C24" s="13" t="inlineStr">
        <is>
          <t>SGHC-Z12</t>
        </is>
      </c>
      <c r="D24" s="14" t="n">
        <v>23153154</v>
      </c>
      <c r="E24" s="14" t="n">
        <v>20589328</v>
      </c>
      <c r="F24" s="27" t="n">
        <v>2563826</v>
      </c>
      <c r="G24" s="35" t="n">
        <v>0.1107333368058624</v>
      </c>
      <c r="I24" s="23" t="n">
        <v>21</v>
      </c>
      <c r="J24" s="13" t="inlineStr">
        <is>
          <t>キャラバン（ＰＬ）</t>
        </is>
      </c>
      <c r="K24" s="14" t="n">
        <v>31121559</v>
      </c>
      <c r="L24" s="27" t="n">
        <v>6224324</v>
      </c>
      <c r="M24" s="35" t="n">
        <v>0.20000039201121</v>
      </c>
    </row>
    <row r="25" ht="18" customHeight="1">
      <c r="B25" s="24" t="n">
        <v>22</v>
      </c>
      <c r="C25" s="16" t="inlineStr">
        <is>
          <t>MSM-CC-DZG90</t>
        </is>
      </c>
      <c r="D25" s="17" t="n">
        <v>22780267</v>
      </c>
      <c r="E25" s="17" t="n">
        <v>19984002</v>
      </c>
      <c r="F25" s="28" t="n">
        <v>2796265</v>
      </c>
      <c r="G25" s="36" t="n">
        <v>0.1227494392405497</v>
      </c>
      <c r="I25" s="24" t="n">
        <v>22</v>
      </c>
      <c r="J25" s="16" t="inlineStr">
        <is>
          <t>堺鋼板</t>
        </is>
      </c>
      <c r="K25" s="17" t="n">
        <v>29151536</v>
      </c>
      <c r="L25" s="28" t="n">
        <v>6564467</v>
      </c>
      <c r="M25" s="36" t="n">
        <v>0.2251842578723811</v>
      </c>
    </row>
    <row r="26" ht="18" customHeight="1">
      <c r="B26" s="23" t="n">
        <v>23</v>
      </c>
      <c r="C26" s="13" t="inlineStr">
        <is>
          <t>ＥＧＣ－ＱＳ１</t>
        </is>
      </c>
      <c r="D26" s="14" t="n">
        <v>20830460</v>
      </c>
      <c r="E26" s="14" t="n">
        <v>15418573</v>
      </c>
      <c r="F26" s="27" t="n">
        <v>5411887</v>
      </c>
      <c r="G26" s="35" t="n">
        <v>0.2598064084998603</v>
      </c>
      <c r="I26" s="23" t="n">
        <v>23</v>
      </c>
      <c r="J26" s="13" t="inlineStr">
        <is>
          <t>ＢＸルーテス 伊丹</t>
        </is>
      </c>
      <c r="K26" s="14" t="n">
        <v>28126010</v>
      </c>
      <c r="L26" s="27" t="n">
        <v>1903390</v>
      </c>
      <c r="M26" s="35" t="n">
        <v>0.06767365865261372</v>
      </c>
    </row>
    <row r="27" ht="18" customHeight="1">
      <c r="B27" s="24" t="n">
        <v>24</v>
      </c>
      <c r="C27" s="16" t="inlineStr">
        <is>
          <t>Ｏプランジャー</t>
        </is>
      </c>
      <c r="D27" s="17" t="n">
        <v>20766485</v>
      </c>
      <c r="E27" s="17" t="n">
        <v>20140379</v>
      </c>
      <c r="F27" s="28" t="n">
        <v>626106</v>
      </c>
      <c r="G27" s="37" t="n">
        <v>0.03014983036368456</v>
      </c>
      <c r="I27" s="24" t="n">
        <v>24</v>
      </c>
      <c r="J27" s="16" t="inlineStr">
        <is>
          <t>宮島工業　八尾</t>
        </is>
      </c>
      <c r="K27" s="17" t="n">
        <v>27806150</v>
      </c>
      <c r="L27" s="28" t="n">
        <v>7230533</v>
      </c>
      <c r="M27" s="36" t="n">
        <v>0.2600335896914891</v>
      </c>
    </row>
    <row r="28" ht="18" customHeight="1">
      <c r="B28" s="23" t="n">
        <v>25</v>
      </c>
      <c r="C28" s="13" t="inlineStr">
        <is>
          <t>350J10</t>
        </is>
      </c>
      <c r="D28" s="14" t="n">
        <v>19743848</v>
      </c>
      <c r="E28" s="14" t="n">
        <v>19197790</v>
      </c>
      <c r="F28" s="27" t="n">
        <v>546058</v>
      </c>
      <c r="G28" s="37" t="n">
        <v>0.02765712134736856</v>
      </c>
      <c r="I28" s="23" t="n">
        <v>25</v>
      </c>
      <c r="J28" s="13" t="inlineStr">
        <is>
          <t>サヨカ</t>
        </is>
      </c>
      <c r="K28" s="14" t="n">
        <v>26012093</v>
      </c>
      <c r="L28" s="27" t="n">
        <v>1281967</v>
      </c>
      <c r="M28" s="37" t="n">
        <v>0.04928350056260371</v>
      </c>
    </row>
    <row r="29" ht="18" customHeight="1">
      <c r="B29" s="24" t="n">
        <v>26</v>
      </c>
      <c r="C29" s="16" t="inlineStr">
        <is>
          <t>ＮＦＢ２</t>
        </is>
      </c>
      <c r="D29" s="17" t="n">
        <v>19470728</v>
      </c>
      <c r="E29" s="17" t="n">
        <v>16747427</v>
      </c>
      <c r="F29" s="28" t="n">
        <v>2723301</v>
      </c>
      <c r="G29" s="36" t="n">
        <v>0.1398664189649201</v>
      </c>
      <c r="I29" s="24" t="n">
        <v>26</v>
      </c>
      <c r="J29" s="16" t="inlineStr">
        <is>
          <t>高木金属</t>
        </is>
      </c>
      <c r="K29" s="17" t="n">
        <v>24653058</v>
      </c>
      <c r="L29" s="28" t="n">
        <v>1603426</v>
      </c>
      <c r="M29" s="36" t="n">
        <v>0.06503963930154223</v>
      </c>
    </row>
    <row r="30" ht="18" customHeight="1">
      <c r="B30" s="23" t="n">
        <v>27</v>
      </c>
      <c r="C30" s="13" t="inlineStr">
        <is>
          <t>ＯⅡプランジャー端曲</t>
        </is>
      </c>
      <c r="D30" s="14" t="n">
        <v>15810814</v>
      </c>
      <c r="E30" s="14" t="n">
        <v>15328090</v>
      </c>
      <c r="F30" s="27" t="n">
        <v>482724</v>
      </c>
      <c r="G30" s="37" t="n">
        <v>0.03053125538002028</v>
      </c>
      <c r="I30" s="23" t="n">
        <v>27</v>
      </c>
      <c r="J30" s="13" t="inlineStr">
        <is>
          <t>サンワ 川越工場</t>
        </is>
      </c>
      <c r="K30" s="14" t="n">
        <v>24400840</v>
      </c>
      <c r="L30" s="27" t="n">
        <v>4916480</v>
      </c>
      <c r="M30" s="35" t="n">
        <v>0.2014881454900733</v>
      </c>
    </row>
    <row r="31" ht="18" customHeight="1">
      <c r="B31" s="24" t="n">
        <v>28</v>
      </c>
      <c r="C31" s="16" t="inlineStr">
        <is>
          <t>75Φ下蓋</t>
        </is>
      </c>
      <c r="D31" s="17" t="n">
        <v>15789600</v>
      </c>
      <c r="E31" s="17" t="n">
        <v>12631680</v>
      </c>
      <c r="F31" s="28" t="n">
        <v>3157920</v>
      </c>
      <c r="G31" s="36" t="n">
        <v>0.2</v>
      </c>
      <c r="I31" s="24" t="n">
        <v>28</v>
      </c>
      <c r="J31" s="16" t="inlineStr">
        <is>
          <t>ＢＸ朝日建材</t>
        </is>
      </c>
      <c r="K31" s="17" t="n">
        <v>23851348</v>
      </c>
      <c r="L31" s="28" t="n">
        <v>2456976</v>
      </c>
      <c r="M31" s="36" t="n">
        <v>0.1030120394033914</v>
      </c>
    </row>
    <row r="32" ht="18" customHeight="1">
      <c r="B32" s="23" t="n">
        <v>29</v>
      </c>
      <c r="C32" s="13" t="inlineStr">
        <is>
          <t>ＨＢプランジャー</t>
        </is>
      </c>
      <c r="D32" s="14" t="n">
        <v>15547500</v>
      </c>
      <c r="E32" s="14" t="n">
        <v>15072000</v>
      </c>
      <c r="F32" s="27" t="n">
        <v>475500</v>
      </c>
      <c r="G32" s="37" t="n">
        <v>0.03058369512783406</v>
      </c>
      <c r="I32" s="23" t="n">
        <v>29</v>
      </c>
      <c r="J32" s="13" t="inlineStr">
        <is>
          <t>扶桑金属工業</t>
        </is>
      </c>
      <c r="K32" s="14" t="n">
        <v>22084047</v>
      </c>
      <c r="L32" s="27" t="n">
        <v>4548664</v>
      </c>
      <c r="M32" s="35" t="n">
        <v>0.2059705813884566</v>
      </c>
    </row>
    <row r="33" ht="18" customHeight="1">
      <c r="B33" s="24" t="n">
        <v>30</v>
      </c>
      <c r="C33" s="16" t="inlineStr">
        <is>
          <t>段付ネジ</t>
        </is>
      </c>
      <c r="D33" s="17" t="n">
        <v>15089400</v>
      </c>
      <c r="E33" s="17" t="n">
        <v>14634000</v>
      </c>
      <c r="F33" s="28" t="n">
        <v>455400</v>
      </c>
      <c r="G33" s="37" t="n">
        <v>0.03018012644637958</v>
      </c>
      <c r="I33" s="24" t="n">
        <v>30</v>
      </c>
      <c r="J33" s="16" t="inlineStr">
        <is>
          <t>ｻｻﾞﾝ･ﾃﾞｨ･ｴｽ･ｸﾘｴｲﾄ</t>
        </is>
      </c>
      <c r="K33" s="17" t="n">
        <v>21293080</v>
      </c>
      <c r="L33" s="28" t="n">
        <v>4266290</v>
      </c>
      <c r="M33" s="36" t="n">
        <v>0.2003603987774432</v>
      </c>
    </row>
  </sheetData>
  <mergeCells count="2">
    <mergeCell ref="I1:M1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6" customWidth="1" min="4" max="4"/>
    <col width="16" customWidth="1" min="5" max="5"/>
    <col width="16" customWidth="1" min="6" max="6"/>
    <col width="12" customWidth="1" min="7" max="7"/>
    <col width="3" customWidth="1" min="8" max="8"/>
  </cols>
  <sheetData>
    <row r="1" ht="32" customHeight="1">
      <c r="B1" s="29" t="inlineStr">
        <is>
          <t>カテゴリ別 粗利分析</t>
        </is>
      </c>
    </row>
    <row r="3" ht="22" customHeight="1">
      <c r="B3" s="3" t="inlineStr">
        <is>
          <t>順位</t>
        </is>
      </c>
      <c r="C3" s="3" t="inlineStr">
        <is>
          <t>カテゴリ</t>
        </is>
      </c>
      <c r="D3" s="3" t="inlineStr">
        <is>
          <t>売上金額</t>
        </is>
      </c>
      <c r="E3" s="3" t="inlineStr">
        <is>
          <t>原価金額</t>
        </is>
      </c>
      <c r="F3" s="3" t="inlineStr">
        <is>
          <t>粗利金額</t>
        </is>
      </c>
      <c r="G3" s="3" t="inlineStr">
        <is>
          <t>粗利率</t>
        </is>
      </c>
    </row>
    <row r="4" ht="20" customHeight="1">
      <c r="B4" s="23" t="n">
        <v>1</v>
      </c>
      <c r="C4" s="13" t="inlineStr">
        <is>
          <t>ブリキコイル（EC）系</t>
        </is>
      </c>
      <c r="D4" s="27" t="n">
        <v>977007537</v>
      </c>
      <c r="E4" s="14" t="n">
        <v>592281604</v>
      </c>
      <c r="F4" s="14" t="n">
        <v>140500224</v>
      </c>
      <c r="G4" s="35" t="n">
        <v>0.1917354096832216</v>
      </c>
    </row>
    <row r="5" ht="20" customHeight="1">
      <c r="B5" s="24" t="n">
        <v>2</v>
      </c>
      <c r="C5" s="16" t="inlineStr">
        <is>
          <t>熱延鋼板系</t>
        </is>
      </c>
      <c r="D5" s="28" t="n">
        <v>526017590</v>
      </c>
      <c r="E5" s="17" t="n">
        <v>423945261</v>
      </c>
      <c r="F5" s="17" t="n">
        <v>62295298</v>
      </c>
      <c r="G5" s="36" t="n">
        <v>0.1281162108897625</v>
      </c>
    </row>
    <row r="6" ht="20" customHeight="1">
      <c r="B6" s="23" t="n">
        <v>3</v>
      </c>
      <c r="C6" s="13" t="inlineStr">
        <is>
          <t>缶バッジ部品系</t>
        </is>
      </c>
      <c r="D6" s="27" t="n">
        <v>514380811</v>
      </c>
      <c r="E6" s="14" t="n">
        <v>453173656</v>
      </c>
      <c r="F6" s="14" t="n">
        <v>61207155</v>
      </c>
      <c r="G6" s="35" t="n">
        <v>0.1189919096729291</v>
      </c>
    </row>
    <row r="7" ht="20" customHeight="1">
      <c r="B7" s="24" t="n">
        <v>4</v>
      </c>
      <c r="C7" s="16" t="inlineStr">
        <is>
          <t>冷延鋼板系</t>
        </is>
      </c>
      <c r="D7" s="28" t="n">
        <v>309011828</v>
      </c>
      <c r="E7" s="17" t="n">
        <v>253609668</v>
      </c>
      <c r="F7" s="17" t="n">
        <v>55402160</v>
      </c>
      <c r="G7" s="36" t="n">
        <v>0.1792881533324349</v>
      </c>
    </row>
    <row r="8" ht="20" customHeight="1">
      <c r="B8" s="23" t="n">
        <v>5</v>
      </c>
      <c r="C8" s="13" t="inlineStr">
        <is>
          <t>表面処理鋼板系</t>
        </is>
      </c>
      <c r="D8" s="27" t="n">
        <v>170122434</v>
      </c>
      <c r="E8" s="14" t="n">
        <v>163354885</v>
      </c>
      <c r="F8" s="14" t="n">
        <v>6607463</v>
      </c>
      <c r="G8" s="37" t="n">
        <v>0.03887603976852567</v>
      </c>
    </row>
    <row r="9" ht="20" customHeight="1">
      <c r="B9" s="24" t="n">
        <v>6</v>
      </c>
      <c r="C9" s="16" t="inlineStr">
        <is>
          <t>特殊品・TFS系</t>
        </is>
      </c>
      <c r="D9" s="28" t="n">
        <v>122556577</v>
      </c>
      <c r="E9" s="17" t="n">
        <v>101587605</v>
      </c>
      <c r="F9" s="17" t="n">
        <v>20968972</v>
      </c>
      <c r="G9" s="36" t="n">
        <v>0.1710962603010689</v>
      </c>
    </row>
    <row r="10" ht="20" customHeight="1">
      <c r="B10" s="23" t="n">
        <v>7</v>
      </c>
      <c r="C10" s="13" t="inlineStr">
        <is>
          <t>その他鋼材</t>
        </is>
      </c>
      <c r="D10" s="27" t="n">
        <v>33208633</v>
      </c>
      <c r="E10" s="14" t="n">
        <v>25868429</v>
      </c>
      <c r="F10" s="14" t="n">
        <v>7340204</v>
      </c>
      <c r="G10" s="35" t="n">
        <v>0.2210330066883512</v>
      </c>
    </row>
    <row r="11" ht="20" customHeight="1">
      <c r="B11" s="24" t="n">
        <v>8</v>
      </c>
      <c r="C11" s="16" t="inlineStr">
        <is>
          <t>その他</t>
        </is>
      </c>
      <c r="D11" s="28" t="n">
        <v>11575242</v>
      </c>
      <c r="E11" s="17" t="n">
        <v>6126803</v>
      </c>
      <c r="F11" s="17" t="n">
        <v>5448439</v>
      </c>
      <c r="G11" s="36" t="n">
        <v>0.4706976320667853</v>
      </c>
    </row>
    <row r="12" ht="22" customHeight="1">
      <c r="B12" s="22" t="inlineStr"/>
      <c r="C12" s="19" t="inlineStr">
        <is>
          <t>合計</t>
        </is>
      </c>
      <c r="D12" s="20" t="n">
        <v>2663880652</v>
      </c>
      <c r="E12" s="20" t="n">
        <v>2019947911</v>
      </c>
      <c r="F12" s="20" t="n">
        <v>359769915</v>
      </c>
      <c r="G12" s="21" t="n">
        <v>0.1511817540169151</v>
      </c>
    </row>
  </sheetData>
  <mergeCells count="1">
    <mergeCell ref="B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2026-03-17T07:36:38Z</dcterms:created>
  <dcterms:modified xsi:type="dcterms:W3CDTF">2026-03-17T07:36:38Z</dcterms:modified>
</cp:coreProperties>
</file>