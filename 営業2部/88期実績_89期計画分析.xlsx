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概要" sheetId="1" state="visible" r:id="rId1"/>
    <sheet xmlns:r="http://schemas.openxmlformats.org/officeDocument/2006/relationships" name="②担当者別月別実績" sheetId="2" state="visible" r:id="rId2"/>
    <sheet xmlns:r="http://schemas.openxmlformats.org/officeDocument/2006/relationships" name="③得意先別実績" sheetId="3" state="visible" r:id="rId3"/>
    <sheet xmlns:r="http://schemas.openxmlformats.org/officeDocument/2006/relationships" name="④商品別実績" sheetId="4" state="visible" r:id="rId4"/>
    <sheet xmlns:r="http://schemas.openxmlformats.org/officeDocument/2006/relationships" name="⑤89期計画（月次）" sheetId="5" state="visible" r:id="rId5"/>
    <sheet xmlns:r="http://schemas.openxmlformats.org/officeDocument/2006/relationships" name="⑥89期計画（担当者別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メイリオ"/>
      <b val="1"/>
      <color rgb="FF1F3864"/>
      <sz val="15"/>
    </font>
    <font>
      <name val="メイリオ"/>
      <color rgb="FF7F0000"/>
      <sz val="9"/>
    </font>
    <font>
      <name val="メイリオ"/>
      <b val="1"/>
      <color rgb="FFFFFFFF"/>
      <sz val="10"/>
    </font>
    <font>
      <name val="メイリオ"/>
      <sz val="10"/>
    </font>
    <font>
      <name val="メイリオ"/>
      <color rgb="FF000000"/>
      <sz val="10"/>
    </font>
    <font>
      <name val="メイリオ"/>
      <b val="1"/>
      <color rgb="FF000000"/>
      <sz val="10"/>
    </font>
    <font>
      <name val="メイリオ"/>
      <b val="1"/>
      <color rgb="FF1F3864"/>
      <sz val="14"/>
    </font>
    <font>
      <name val="メイリオ"/>
      <b val="1"/>
      <color rgb="FFFFFFFF"/>
      <sz val="9"/>
    </font>
    <font>
      <name val="メイリオ"/>
      <b val="1"/>
      <sz val="10"/>
    </font>
    <font>
      <name val="メイリオ"/>
      <b val="1"/>
      <color rgb="FFFFFFFF"/>
      <sz val="11"/>
    </font>
    <font>
      <name val="メイリオ"/>
      <b val="1"/>
      <color rgb="000000FF"/>
      <sz val="9"/>
    </font>
    <font>
      <name val="メイリオ"/>
      <b val="1"/>
      <color rgb="000000FF"/>
      <sz val="11"/>
    </font>
  </fonts>
  <fills count="15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7" fillId="2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3" fontId="6" fillId="11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3" fontId="4" fillId="12" borderId="1" applyAlignment="1" pivotButton="0" quotePrefix="0" xfId="0">
      <alignment horizontal="right" vertical="center"/>
    </xf>
    <xf numFmtId="164" fontId="4" fillId="13" borderId="1" applyAlignment="1" pivotButton="0" quotePrefix="0" xfId="0">
      <alignment horizontal="right" vertical="center"/>
    </xf>
    <xf numFmtId="3" fontId="9" fillId="14" borderId="1" applyAlignment="1" pivotButton="0" quotePrefix="0" xfId="0">
      <alignment horizontal="right" vertical="center"/>
    </xf>
    <xf numFmtId="164" fontId="4" fillId="1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12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9" customWidth="1" min="5" max="5"/>
    <col width="10" customWidth="1" min="6" max="6"/>
    <col width="16" customWidth="1" min="7" max="7"/>
    <col width="16" customWidth="1" min="8" max="8"/>
    <col width="9" customWidth="1" min="9" max="9"/>
    <col width="12" customWidth="1" min="10" max="10"/>
    <col width="14" customWidth="1" min="11" max="11"/>
  </cols>
  <sheetData>
    <row r="1" ht="38" customHeight="1">
      <c r="A1" s="1" t="inlineStr">
        <is>
          <t>営業2部　88期（2025年4月～2026年3月）実績サマリー　※付替控除済み</t>
        </is>
      </c>
    </row>
    <row r="2" ht="18" customHeight="1">
      <c r="A2" s="2" t="inlineStr">
        <is>
          <t>【注記】売上日記帳＋仕入売上日記帳を統合。社内間取引（東京支店付替）を控除済み（控除額 売上:719.0百万円 / 仕入:717.2百万円）</t>
        </is>
      </c>
    </row>
    <row r="3">
      <c r="A3" s="3" t="inlineStr">
        <is>
          <t>月</t>
        </is>
      </c>
      <c r="B3" s="3" t="inlineStr">
        <is>
          <t>売上金額</t>
        </is>
      </c>
      <c r="C3" s="3" t="inlineStr">
        <is>
          <t>原価・仕入金額</t>
        </is>
      </c>
      <c r="D3" s="3" t="inlineStr">
        <is>
          <t>粗利金額</t>
        </is>
      </c>
      <c r="E3" s="3" t="inlineStr">
        <is>
          <t>粗利率</t>
        </is>
      </c>
      <c r="F3" s="3" t="inlineStr">
        <is>
          <t>前月比(売上)</t>
        </is>
      </c>
      <c r="G3" s="3" t="inlineStr">
        <is>
          <t>累計売上</t>
        </is>
      </c>
      <c r="H3" s="3" t="inlineStr">
        <is>
          <t>累計粗利</t>
        </is>
      </c>
      <c r="I3" s="3" t="inlineStr">
        <is>
          <t>累計粗利率</t>
        </is>
      </c>
      <c r="J3" s="3" t="inlineStr">
        <is>
          <t>88期参考月</t>
        </is>
      </c>
      <c r="K3" s="3" t="inlineStr">
        <is>
          <t>前年同月差(参考)</t>
        </is>
      </c>
    </row>
    <row r="4">
      <c r="A4" s="4" t="inlineStr">
        <is>
          <t>2025年4月</t>
        </is>
      </c>
      <c r="B4" s="5" t="n">
        <v>250452029</v>
      </c>
      <c r="C4" s="5" t="n">
        <v>211480021</v>
      </c>
      <c r="D4" s="6" t="n">
        <v>38972008</v>
      </c>
      <c r="E4" s="7" t="n">
        <v>0.1556066770774694</v>
      </c>
      <c r="F4" s="4" t="inlineStr">
        <is>
          <t>-</t>
        </is>
      </c>
      <c r="G4" s="5" t="n">
        <v>250452029</v>
      </c>
      <c r="H4" s="5" t="n">
        <v>38972008</v>
      </c>
      <c r="I4" s="7" t="n">
        <v>0.1556066770774694</v>
      </c>
      <c r="J4" s="8" t="n"/>
      <c r="K4" s="8" t="n"/>
    </row>
    <row r="5">
      <c r="A5" s="9" t="inlineStr">
        <is>
          <t>2025年5月</t>
        </is>
      </c>
      <c r="B5" s="10" t="n">
        <v>255738538</v>
      </c>
      <c r="C5" s="10" t="n">
        <v>221768378</v>
      </c>
      <c r="D5" s="11" t="n">
        <v>33970160</v>
      </c>
      <c r="E5" s="12" t="n">
        <v>0.1328316031899737</v>
      </c>
      <c r="F5" s="12" t="n">
        <v>0.02110787052158392</v>
      </c>
      <c r="G5" s="10" t="n">
        <v>506190567</v>
      </c>
      <c r="H5" s="10" t="n">
        <v>72942168</v>
      </c>
      <c r="I5" s="12" t="n">
        <v>0.1441002119662179</v>
      </c>
      <c r="J5" s="13" t="n"/>
      <c r="K5" s="13" t="n"/>
    </row>
    <row r="6">
      <c r="A6" s="4" t="inlineStr">
        <is>
          <t>2025年6月</t>
        </is>
      </c>
      <c r="B6" s="5" t="n">
        <v>237337170</v>
      </c>
      <c r="C6" s="5" t="n">
        <v>199461782</v>
      </c>
      <c r="D6" s="6" t="n">
        <v>37875388</v>
      </c>
      <c r="E6" s="7" t="n">
        <v>0.1595847291850661</v>
      </c>
      <c r="F6" s="7" t="n">
        <v>-0.07195383278526446</v>
      </c>
      <c r="G6" s="5" t="n">
        <v>743527737</v>
      </c>
      <c r="H6" s="5" t="n">
        <v>110817556</v>
      </c>
      <c r="I6" s="7" t="n">
        <v>0.1490429347627686</v>
      </c>
      <c r="J6" s="8" t="n"/>
      <c r="K6" s="8" t="n"/>
    </row>
    <row r="7">
      <c r="A7" s="9" t="inlineStr">
        <is>
          <t>2025年7月</t>
        </is>
      </c>
      <c r="B7" s="10" t="n">
        <v>224656272</v>
      </c>
      <c r="C7" s="10" t="n">
        <v>188633432</v>
      </c>
      <c r="D7" s="11" t="n">
        <v>36022840</v>
      </c>
      <c r="E7" s="12" t="n">
        <v>0.1603464692051865</v>
      </c>
      <c r="F7" s="12" t="n">
        <v>-0.05342988626686662</v>
      </c>
      <c r="G7" s="10" t="n">
        <v>968184009</v>
      </c>
      <c r="H7" s="10" t="n">
        <v>146840396</v>
      </c>
      <c r="I7" s="12" t="n">
        <v>0.1516657935216941</v>
      </c>
      <c r="J7" s="13" t="n"/>
      <c r="K7" s="13" t="n"/>
    </row>
    <row r="8">
      <c r="A8" s="4" t="inlineStr">
        <is>
          <t>2025年8月</t>
        </is>
      </c>
      <c r="B8" s="5" t="n">
        <v>176167060</v>
      </c>
      <c r="C8" s="5" t="n">
        <v>148434578</v>
      </c>
      <c r="D8" s="6" t="n">
        <v>27732482</v>
      </c>
      <c r="E8" s="7" t="n">
        <v>0.1574214952556965</v>
      </c>
      <c r="F8" s="7" t="n">
        <v>-0.2158373392753531</v>
      </c>
      <c r="G8" s="5" t="n">
        <v>1144351069</v>
      </c>
      <c r="H8" s="5" t="n">
        <v>174572878</v>
      </c>
      <c r="I8" s="7" t="n">
        <v>0.1525518546966115</v>
      </c>
      <c r="J8" s="8" t="n"/>
      <c r="K8" s="8" t="n"/>
    </row>
    <row r="9">
      <c r="A9" s="9" t="inlineStr">
        <is>
          <t>2025年9月</t>
        </is>
      </c>
      <c r="B9" s="10" t="n">
        <v>205011009</v>
      </c>
      <c r="C9" s="10" t="n">
        <v>170097004</v>
      </c>
      <c r="D9" s="11" t="n">
        <v>34914005</v>
      </c>
      <c r="E9" s="12" t="n">
        <v>0.1703030738217576</v>
      </c>
      <c r="F9" s="12" t="n">
        <v>0.1637306599769559</v>
      </c>
      <c r="G9" s="10" t="n">
        <v>1349362078</v>
      </c>
      <c r="H9" s="10" t="n">
        <v>209486883</v>
      </c>
      <c r="I9" s="12" t="n">
        <v>0.1552488293657234</v>
      </c>
      <c r="J9" s="13" t="n"/>
      <c r="K9" s="13" t="n"/>
    </row>
    <row r="10">
      <c r="A10" s="4" t="inlineStr">
        <is>
          <t>2025年10月</t>
        </is>
      </c>
      <c r="B10" s="5" t="n">
        <v>248753925</v>
      </c>
      <c r="C10" s="5" t="n">
        <v>210068471</v>
      </c>
      <c r="D10" s="6" t="n">
        <v>38685454</v>
      </c>
      <c r="E10" s="7" t="n">
        <v>0.1555169591796391</v>
      </c>
      <c r="F10" s="7" t="n">
        <v>0.213368619633495</v>
      </c>
      <c r="G10" s="5" t="n">
        <v>1598116003</v>
      </c>
      <c r="H10" s="5" t="n">
        <v>248172337</v>
      </c>
      <c r="I10" s="7" t="n">
        <v>0.1552905649740872</v>
      </c>
      <c r="J10" s="8" t="n"/>
      <c r="K10" s="8" t="n"/>
    </row>
    <row r="11">
      <c r="A11" s="9" t="inlineStr">
        <is>
          <t>2025年11月</t>
        </is>
      </c>
      <c r="B11" s="10" t="n">
        <v>198212144</v>
      </c>
      <c r="C11" s="10" t="n">
        <v>169368816</v>
      </c>
      <c r="D11" s="11" t="n">
        <v>28843328</v>
      </c>
      <c r="E11" s="12" t="n">
        <v>0.1455174613317335</v>
      </c>
      <c r="F11" s="12" t="n">
        <v>-0.2031798332428323</v>
      </c>
      <c r="G11" s="10" t="n">
        <v>1796328147</v>
      </c>
      <c r="H11" s="10" t="n">
        <v>277015665</v>
      </c>
      <c r="I11" s="12" t="n">
        <v>0.1542121719033555</v>
      </c>
      <c r="J11" s="13" t="n"/>
      <c r="K11" s="13" t="n"/>
    </row>
    <row r="12">
      <c r="A12" s="4" t="inlineStr">
        <is>
          <t>2025年12月</t>
        </is>
      </c>
      <c r="B12" s="5" t="n">
        <v>215092487</v>
      </c>
      <c r="C12" s="5" t="n">
        <v>182182006</v>
      </c>
      <c r="D12" s="6" t="n">
        <v>32910481</v>
      </c>
      <c r="E12" s="7" t="n">
        <v>0.1530061856600319</v>
      </c>
      <c r="F12" s="7" t="n">
        <v>0.08516301100098089</v>
      </c>
      <c r="G12" s="5" t="n">
        <v>2011420634</v>
      </c>
      <c r="H12" s="5" t="n">
        <v>309926146</v>
      </c>
      <c r="I12" s="7" t="n">
        <v>0.1540832090320497</v>
      </c>
      <c r="J12" s="8" t="n"/>
      <c r="K12" s="8" t="n"/>
    </row>
    <row r="13">
      <c r="A13" s="9" t="inlineStr">
        <is>
          <t>2026年1月</t>
        </is>
      </c>
      <c r="B13" s="10" t="n">
        <v>184144919</v>
      </c>
      <c r="C13" s="10" t="n">
        <v>153227466</v>
      </c>
      <c r="D13" s="11" t="n">
        <v>30917453</v>
      </c>
      <c r="E13" s="12" t="n">
        <v>0.1678973993303611</v>
      </c>
      <c r="F13" s="12" t="n">
        <v>-0.1438802834615046</v>
      </c>
      <c r="G13" s="10" t="n">
        <v>2195565553</v>
      </c>
      <c r="H13" s="10" t="n">
        <v>340843599</v>
      </c>
      <c r="I13" s="12" t="n">
        <v>0.1552418230165228</v>
      </c>
      <c r="J13" s="13" t="n"/>
      <c r="K13" s="13" t="n"/>
    </row>
    <row r="14">
      <c r="A14" s="4" t="inlineStr">
        <is>
          <t>2026年2月</t>
        </is>
      </c>
      <c r="B14" s="5" t="n">
        <v>217032799</v>
      </c>
      <c r="C14" s="5" t="n">
        <v>184766339</v>
      </c>
      <c r="D14" s="6" t="n">
        <v>32266460</v>
      </c>
      <c r="E14" s="7" t="n">
        <v>0.1486708928266644</v>
      </c>
      <c r="F14" s="7" t="n">
        <v>0.1785978140401474</v>
      </c>
      <c r="G14" s="5" t="n">
        <v>2412598352</v>
      </c>
      <c r="H14" s="5" t="n">
        <v>373110059</v>
      </c>
      <c r="I14" s="7" t="n">
        <v>0.1546507145255648</v>
      </c>
      <c r="J14" s="8" t="n"/>
      <c r="K14" s="8" t="n"/>
    </row>
    <row r="15">
      <c r="A15" s="9" t="inlineStr">
        <is>
          <t>2026年3月</t>
        </is>
      </c>
      <c r="B15" s="10" t="n">
        <v>185852094</v>
      </c>
      <c r="C15" s="10" t="n">
        <v>157381724</v>
      </c>
      <c r="D15" s="11" t="n">
        <v>28470370</v>
      </c>
      <c r="E15" s="12" t="n">
        <v>0.1531883197398895</v>
      </c>
      <c r="F15" s="12" t="n">
        <v>-0.1436681697129105</v>
      </c>
      <c r="G15" s="10" t="n">
        <v>2598450446</v>
      </c>
      <c r="H15" s="10" t="n">
        <v>401580429</v>
      </c>
      <c r="I15" s="12" t="n">
        <v>0.1545461179058406</v>
      </c>
      <c r="J15" s="13" t="n"/>
      <c r="K15" s="13" t="n"/>
    </row>
    <row r="16">
      <c r="A16" s="3" t="inlineStr">
        <is>
          <t>合計</t>
        </is>
      </c>
      <c r="B16" s="14" t="n">
        <v>2598450446</v>
      </c>
      <c r="C16" s="14" t="n">
        <v>2196870017</v>
      </c>
      <c r="D16" s="14" t="n">
        <v>401580429</v>
      </c>
      <c r="E16" s="15" t="n">
        <v>0.1545461179058406</v>
      </c>
      <c r="F16" s="16" t="n"/>
      <c r="G16" s="16" t="n"/>
      <c r="H16" s="16" t="n"/>
      <c r="I16" s="16" t="n"/>
      <c r="J16" s="16" t="n"/>
      <c r="K16" s="16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8" customWidth="1" min="8" max="8"/>
    <col width="14" customWidth="1" min="9" max="9"/>
    <col width="12" customWidth="1" min="10" max="10"/>
    <col width="8" customWidth="1" min="11" max="11"/>
    <col width="14" customWidth="1" min="12" max="12"/>
    <col width="12" customWidth="1" min="13" max="13"/>
    <col width="8" customWidth="1" min="14" max="14"/>
    <col width="14" customWidth="1" min="15" max="15"/>
    <col width="12" customWidth="1" min="16" max="16"/>
    <col width="8" customWidth="1" min="17" max="17"/>
    <col width="14" customWidth="1" min="18" max="18"/>
    <col width="12" customWidth="1" min="19" max="19"/>
    <col width="8" customWidth="1" min="20" max="20"/>
    <col width="14" customWidth="1" min="21" max="21"/>
    <col width="12" customWidth="1" min="22" max="22"/>
    <col width="8" customWidth="1" min="23" max="23"/>
    <col width="14" customWidth="1" min="24" max="24"/>
    <col width="12" customWidth="1" min="25" max="25"/>
    <col width="8" customWidth="1" min="26" max="26"/>
    <col width="14" customWidth="1" min="27" max="27"/>
    <col width="12" customWidth="1" min="28" max="28"/>
    <col width="8" customWidth="1" min="29" max="29"/>
    <col width="14" customWidth="1" min="30" max="30"/>
    <col width="12" customWidth="1" min="31" max="31"/>
    <col width="8" customWidth="1" min="32" max="32"/>
    <col width="14" customWidth="1" min="33" max="33"/>
    <col width="12" customWidth="1" min="34" max="34"/>
    <col width="8" customWidth="1" min="35" max="35"/>
    <col width="14" customWidth="1" min="36" max="36"/>
    <col width="12" customWidth="1" min="37" max="37"/>
    <col width="8" customWidth="1" min="38" max="38"/>
    <col width="14" customWidth="1" min="39" max="39"/>
    <col width="14" customWidth="1" min="40" max="40"/>
    <col width="14" customWidth="1" min="41" max="41"/>
  </cols>
  <sheetData>
    <row r="1" ht="38" customHeight="1">
      <c r="A1" s="17" t="inlineStr">
        <is>
          <t>担当者別月別実績（統合・付替控除済み）</t>
        </is>
      </c>
    </row>
    <row r="2" ht="18" customHeight="1">
      <c r="A2" s="2" t="inlineStr">
        <is>
          <t>担当者：新木・的場・竹原・船吉・畠中（5名）＋その他営業（上記5名以外の担当者をすべて集計）</t>
        </is>
      </c>
    </row>
    <row r="3">
      <c r="A3" s="18" t="inlineStr">
        <is>
          <t>担当者</t>
        </is>
      </c>
      <c r="B3" s="19" t="inlineStr">
        <is>
          <t>年間合計</t>
        </is>
      </c>
      <c r="C3" s="20" t="inlineStr">
        <is>
          <t>2025年4月</t>
        </is>
      </c>
      <c r="D3" s="21" t="inlineStr">
        <is>
          <t>粗利</t>
        </is>
      </c>
      <c r="E3" s="21" t="inlineStr">
        <is>
          <t>粗利率</t>
        </is>
      </c>
      <c r="F3" s="20" t="inlineStr">
        <is>
          <t>2025年5月</t>
        </is>
      </c>
      <c r="G3" s="21" t="inlineStr">
        <is>
          <t>粗利</t>
        </is>
      </c>
      <c r="H3" s="21" t="inlineStr">
        <is>
          <t>粗利率</t>
        </is>
      </c>
      <c r="I3" s="20" t="inlineStr">
        <is>
          <t>2025年6月</t>
        </is>
      </c>
      <c r="J3" s="21" t="inlineStr">
        <is>
          <t>粗利</t>
        </is>
      </c>
      <c r="K3" s="21" t="inlineStr">
        <is>
          <t>粗利率</t>
        </is>
      </c>
      <c r="L3" s="20" t="inlineStr">
        <is>
          <t>2025年7月</t>
        </is>
      </c>
      <c r="M3" s="21" t="inlineStr">
        <is>
          <t>粗利</t>
        </is>
      </c>
      <c r="N3" s="21" t="inlineStr">
        <is>
          <t>粗利率</t>
        </is>
      </c>
      <c r="O3" s="20" t="inlineStr">
        <is>
          <t>2025年8月</t>
        </is>
      </c>
      <c r="P3" s="21" t="inlineStr">
        <is>
          <t>粗利</t>
        </is>
      </c>
      <c r="Q3" s="21" t="inlineStr">
        <is>
          <t>粗利率</t>
        </is>
      </c>
      <c r="R3" s="20" t="inlineStr">
        <is>
          <t>2025年9月</t>
        </is>
      </c>
      <c r="S3" s="21" t="inlineStr">
        <is>
          <t>粗利</t>
        </is>
      </c>
      <c r="T3" s="21" t="inlineStr">
        <is>
          <t>粗利率</t>
        </is>
      </c>
      <c r="U3" s="20" t="inlineStr">
        <is>
          <t>2025年10月</t>
        </is>
      </c>
      <c r="V3" s="21" t="inlineStr">
        <is>
          <t>粗利</t>
        </is>
      </c>
      <c r="W3" s="21" t="inlineStr">
        <is>
          <t>粗利率</t>
        </is>
      </c>
      <c r="X3" s="20" t="inlineStr">
        <is>
          <t>2025年11月</t>
        </is>
      </c>
      <c r="Y3" s="21" t="inlineStr">
        <is>
          <t>粗利</t>
        </is>
      </c>
      <c r="Z3" s="21" t="inlineStr">
        <is>
          <t>粗利率</t>
        </is>
      </c>
      <c r="AA3" s="20" t="inlineStr">
        <is>
          <t>2025年12月</t>
        </is>
      </c>
      <c r="AB3" s="21" t="inlineStr">
        <is>
          <t>粗利</t>
        </is>
      </c>
      <c r="AC3" s="21" t="inlineStr">
        <is>
          <t>粗利率</t>
        </is>
      </c>
      <c r="AD3" s="20" t="inlineStr">
        <is>
          <t>2026年1月</t>
        </is>
      </c>
      <c r="AE3" s="21" t="inlineStr">
        <is>
          <t>粗利</t>
        </is>
      </c>
      <c r="AF3" s="21" t="inlineStr">
        <is>
          <t>粗利率</t>
        </is>
      </c>
      <c r="AG3" s="20" t="inlineStr">
        <is>
          <t>2026年2月</t>
        </is>
      </c>
      <c r="AH3" s="21" t="inlineStr">
        <is>
          <t>粗利</t>
        </is>
      </c>
      <c r="AI3" s="21" t="inlineStr">
        <is>
          <t>粗利率</t>
        </is>
      </c>
      <c r="AJ3" s="20" t="inlineStr">
        <is>
          <t>2026年3月</t>
        </is>
      </c>
      <c r="AK3" s="21" t="inlineStr">
        <is>
          <t>粗利</t>
        </is>
      </c>
      <c r="AL3" s="21" t="inlineStr">
        <is>
          <t>粗利率</t>
        </is>
      </c>
      <c r="AM3" s="18" t="inlineStr">
        <is>
          <t>年間売上</t>
        </is>
      </c>
      <c r="AN3" s="18" t="inlineStr">
        <is>
          <t>年間粗利</t>
        </is>
      </c>
      <c r="AO3" s="18" t="inlineStr">
        <is>
          <t>粗利率</t>
        </is>
      </c>
    </row>
    <row r="4">
      <c r="A4" s="22" t="inlineStr">
        <is>
          <t>新木</t>
        </is>
      </c>
      <c r="B4" s="23" t="n">
        <v>384811142</v>
      </c>
      <c r="C4" s="5" t="n">
        <v>30645086</v>
      </c>
      <c r="D4" s="5" t="n">
        <v>3711360</v>
      </c>
      <c r="E4" s="7" t="n">
        <v>0.1211078343849321</v>
      </c>
      <c r="F4" s="5" t="n">
        <v>35296459</v>
      </c>
      <c r="G4" s="5" t="n">
        <v>3570023</v>
      </c>
      <c r="H4" s="7" t="n">
        <v>0.1011439419461312</v>
      </c>
      <c r="I4" s="5" t="n">
        <v>31081969</v>
      </c>
      <c r="J4" s="5" t="n">
        <v>3981269</v>
      </c>
      <c r="K4" s="7" t="n">
        <v>0.1280893433746105</v>
      </c>
      <c r="L4" s="5" t="n">
        <v>32929612</v>
      </c>
      <c r="M4" s="5" t="n">
        <v>4094419</v>
      </c>
      <c r="N4" s="7" t="n">
        <v>0.1243385133113624</v>
      </c>
      <c r="O4" s="5" t="n">
        <v>24279181</v>
      </c>
      <c r="P4" s="5" t="n">
        <v>3558372</v>
      </c>
      <c r="Q4" s="7" t="n">
        <v>0.1465606273951333</v>
      </c>
      <c r="R4" s="5" t="n">
        <v>24996129</v>
      </c>
      <c r="S4" s="5" t="n">
        <v>2999307</v>
      </c>
      <c r="T4" s="7" t="n">
        <v>0.1199908593846671</v>
      </c>
      <c r="U4" s="5" t="n">
        <v>33006059</v>
      </c>
      <c r="V4" s="5" t="n">
        <v>3515965</v>
      </c>
      <c r="W4" s="7" t="n">
        <v>0.1065248353340215</v>
      </c>
      <c r="X4" s="5" t="n">
        <v>33117890</v>
      </c>
      <c r="Y4" s="5" t="n">
        <v>3934852</v>
      </c>
      <c r="Z4" s="7" t="n">
        <v>0.1188134872118966</v>
      </c>
      <c r="AA4" s="5" t="n">
        <v>37189012</v>
      </c>
      <c r="AB4" s="5" t="n">
        <v>4686508</v>
      </c>
      <c r="AC4" s="7" t="n">
        <v>0.1260186207689519</v>
      </c>
      <c r="AD4" s="5" t="n">
        <v>33730385</v>
      </c>
      <c r="AE4" s="5" t="n">
        <v>4180609</v>
      </c>
      <c r="AF4" s="7" t="n">
        <v>0.1239419295095505</v>
      </c>
      <c r="AG4" s="5" t="n">
        <v>32248263</v>
      </c>
      <c r="AH4" s="5" t="n">
        <v>4109648</v>
      </c>
      <c r="AI4" s="7" t="n">
        <v>0.1274378095961324</v>
      </c>
      <c r="AJ4" s="5" t="n">
        <v>36291097</v>
      </c>
      <c r="AK4" s="5" t="n">
        <v>4868014</v>
      </c>
      <c r="AL4" s="7" t="n">
        <v>0.1341379677776067</v>
      </c>
      <c r="AM4" s="14" t="n">
        <v>384811142</v>
      </c>
      <c r="AN4" s="14" t="n">
        <v>47210346</v>
      </c>
      <c r="AO4" s="15" t="n">
        <v>0.1226844569900733</v>
      </c>
    </row>
    <row r="5">
      <c r="A5" s="24" t="inlineStr">
        <is>
          <t>的場</t>
        </is>
      </c>
      <c r="B5" s="23" t="n">
        <v>336821223</v>
      </c>
      <c r="C5" s="10" t="n">
        <v>35943185</v>
      </c>
      <c r="D5" s="10" t="n">
        <v>4115073</v>
      </c>
      <c r="E5" s="12" t="n">
        <v>0.1144882680819744</v>
      </c>
      <c r="F5" s="10" t="n">
        <v>20754541</v>
      </c>
      <c r="G5" s="10" t="n">
        <v>2128460</v>
      </c>
      <c r="H5" s="12" t="n">
        <v>0.1025539422914725</v>
      </c>
      <c r="I5" s="10" t="n">
        <v>29338567</v>
      </c>
      <c r="J5" s="10" t="n">
        <v>3643433</v>
      </c>
      <c r="K5" s="12" t="n">
        <v>0.1241857858974503</v>
      </c>
      <c r="L5" s="10" t="n">
        <v>25073456</v>
      </c>
      <c r="M5" s="10" t="n">
        <v>2632015</v>
      </c>
      <c r="N5" s="12" t="n">
        <v>0.1049721665812643</v>
      </c>
      <c r="O5" s="10" t="n">
        <v>20020635</v>
      </c>
      <c r="P5" s="10" t="n">
        <v>1819931</v>
      </c>
      <c r="Q5" s="12" t="n">
        <v>0.09090276107625957</v>
      </c>
      <c r="R5" s="10" t="n">
        <v>29000411</v>
      </c>
      <c r="S5" s="10" t="n">
        <v>3764396</v>
      </c>
      <c r="T5" s="12" t="n">
        <v>0.1298049189716656</v>
      </c>
      <c r="U5" s="10" t="n">
        <v>30968650</v>
      </c>
      <c r="V5" s="10" t="n">
        <v>3385635</v>
      </c>
      <c r="W5" s="12" t="n">
        <v>0.1093245911591238</v>
      </c>
      <c r="X5" s="10" t="n">
        <v>31776772</v>
      </c>
      <c r="Y5" s="10" t="n">
        <v>2912801</v>
      </c>
      <c r="Z5" s="12" t="n">
        <v>0.09166447114263211</v>
      </c>
      <c r="AA5" s="10" t="n">
        <v>34740492</v>
      </c>
      <c r="AB5" s="10" t="n">
        <v>4280031</v>
      </c>
      <c r="AC5" s="12" t="n">
        <v>0.1232000686691484</v>
      </c>
      <c r="AD5" s="10" t="n">
        <v>26911857</v>
      </c>
      <c r="AE5" s="10" t="n">
        <v>3046439</v>
      </c>
      <c r="AF5" s="12" t="n">
        <v>0.1132006237993907</v>
      </c>
      <c r="AG5" s="10" t="n">
        <v>32427289</v>
      </c>
      <c r="AH5" s="10" t="n">
        <v>3220636</v>
      </c>
      <c r="AI5" s="12" t="n">
        <v>0.09931869420228129</v>
      </c>
      <c r="AJ5" s="10" t="n">
        <v>19865368</v>
      </c>
      <c r="AK5" s="10" t="n">
        <v>2371219</v>
      </c>
      <c r="AL5" s="12" t="n">
        <v>0.1193644638246822</v>
      </c>
      <c r="AM5" s="14" t="n">
        <v>336821223</v>
      </c>
      <c r="AN5" s="14" t="n">
        <v>37320069</v>
      </c>
      <c r="AO5" s="15" t="n">
        <v>0.1108008238542617</v>
      </c>
    </row>
    <row r="6">
      <c r="A6" s="22" t="inlineStr">
        <is>
          <t>竹原</t>
        </is>
      </c>
      <c r="B6" s="23" t="n">
        <v>911237845</v>
      </c>
      <c r="C6" s="5" t="n">
        <v>94507065</v>
      </c>
      <c r="D6" s="5" t="n">
        <v>13853268</v>
      </c>
      <c r="E6" s="7" t="n">
        <v>0.14658446963727</v>
      </c>
      <c r="F6" s="5" t="n">
        <v>91517593</v>
      </c>
      <c r="G6" s="5" t="n">
        <v>12767487</v>
      </c>
      <c r="H6" s="7" t="n">
        <v>0.1395085532898576</v>
      </c>
      <c r="I6" s="5" t="n">
        <v>92071450</v>
      </c>
      <c r="J6" s="5" t="n">
        <v>13462271</v>
      </c>
      <c r="K6" s="7" t="n">
        <v>0.1462154772190511</v>
      </c>
      <c r="L6" s="5" t="n">
        <v>82153177</v>
      </c>
      <c r="M6" s="5" t="n">
        <v>11399082</v>
      </c>
      <c r="N6" s="7" t="n">
        <v>0.1387540009560434</v>
      </c>
      <c r="O6" s="5" t="n">
        <v>63894873</v>
      </c>
      <c r="P6" s="5" t="n">
        <v>8518409</v>
      </c>
      <c r="Q6" s="7" t="n">
        <v>0.1333191318808944</v>
      </c>
      <c r="R6" s="5" t="n">
        <v>74614173</v>
      </c>
      <c r="S6" s="5" t="n">
        <v>11114015</v>
      </c>
      <c r="T6" s="7" t="n">
        <v>0.1489531352173534</v>
      </c>
      <c r="U6" s="5" t="n">
        <v>96736040</v>
      </c>
      <c r="V6" s="5" t="n">
        <v>12661538</v>
      </c>
      <c r="W6" s="7" t="n">
        <v>0.1308874954980584</v>
      </c>
      <c r="X6" s="5" t="n">
        <v>65921758</v>
      </c>
      <c r="Y6" s="5" t="n">
        <v>8780185</v>
      </c>
      <c r="Z6" s="7" t="n">
        <v>0.1331910019754024</v>
      </c>
      <c r="AA6" s="5" t="n">
        <v>69622784</v>
      </c>
      <c r="AB6" s="5" t="n">
        <v>9883936</v>
      </c>
      <c r="AC6" s="7" t="n">
        <v>0.1419641018664235</v>
      </c>
      <c r="AD6" s="5" t="n">
        <v>62103149</v>
      </c>
      <c r="AE6" s="5" t="n">
        <v>9205443</v>
      </c>
      <c r="AF6" s="7" t="n">
        <v>0.1482282806625474</v>
      </c>
      <c r="AG6" s="5" t="n">
        <v>59459214</v>
      </c>
      <c r="AH6" s="5" t="n">
        <v>7264661</v>
      </c>
      <c r="AI6" s="7" t="n">
        <v>0.122178893922143</v>
      </c>
      <c r="AJ6" s="5" t="n">
        <v>58636569</v>
      </c>
      <c r="AK6" s="5" t="n">
        <v>7126689</v>
      </c>
      <c r="AL6" s="7" t="n">
        <v>0.1215400068854643</v>
      </c>
      <c r="AM6" s="14" t="n">
        <v>911237845</v>
      </c>
      <c r="AN6" s="14" t="n">
        <v>126036984</v>
      </c>
      <c r="AO6" s="15" t="n">
        <v>0.138314035892572</v>
      </c>
    </row>
    <row r="7">
      <c r="A7" s="24" t="inlineStr">
        <is>
          <t>船吉</t>
        </is>
      </c>
      <c r="B7" s="23" t="n">
        <v>267135813</v>
      </c>
      <c r="C7" s="10" t="n">
        <v>24352220</v>
      </c>
      <c r="D7" s="10" t="n">
        <v>4773745</v>
      </c>
      <c r="E7" s="12" t="n">
        <v>0.1960291505250856</v>
      </c>
      <c r="F7" s="10" t="n">
        <v>23414206</v>
      </c>
      <c r="G7" s="10" t="n">
        <v>4476779</v>
      </c>
      <c r="H7" s="12" t="n">
        <v>0.1911992659499109</v>
      </c>
      <c r="I7" s="10" t="n">
        <v>17207328</v>
      </c>
      <c r="J7" s="10" t="n">
        <v>3322675</v>
      </c>
      <c r="K7" s="12" t="n">
        <v>0.1930965109748591</v>
      </c>
      <c r="L7" s="10" t="n">
        <v>20197663</v>
      </c>
      <c r="M7" s="10" t="n">
        <v>3648073</v>
      </c>
      <c r="N7" s="12" t="n">
        <v>0.1806185695840157</v>
      </c>
      <c r="O7" s="10" t="n">
        <v>23064279</v>
      </c>
      <c r="P7" s="10" t="n">
        <v>4408950</v>
      </c>
      <c r="Q7" s="12" t="n">
        <v>0.1911592380581244</v>
      </c>
      <c r="R7" s="10" t="n">
        <v>14053775</v>
      </c>
      <c r="S7" s="10" t="n">
        <v>2895164</v>
      </c>
      <c r="T7" s="12" t="n">
        <v>0.2060061442566143</v>
      </c>
      <c r="U7" s="10" t="n">
        <v>30078287</v>
      </c>
      <c r="V7" s="10" t="n">
        <v>5909640</v>
      </c>
      <c r="W7" s="12" t="n">
        <v>0.196475284646363</v>
      </c>
      <c r="X7" s="10" t="n">
        <v>20463884</v>
      </c>
      <c r="Y7" s="10" t="n">
        <v>3957138</v>
      </c>
      <c r="Z7" s="12" t="n">
        <v>0.1933717958917281</v>
      </c>
      <c r="AA7" s="10" t="n">
        <v>20049039</v>
      </c>
      <c r="AB7" s="10" t="n">
        <v>3910619</v>
      </c>
      <c r="AC7" s="12" t="n">
        <v>0.1950526905553927</v>
      </c>
      <c r="AD7" s="10" t="n">
        <v>18877714</v>
      </c>
      <c r="AE7" s="10" t="n">
        <v>3709110</v>
      </c>
      <c r="AF7" s="12" t="n">
        <v>0.1964808874633867</v>
      </c>
      <c r="AG7" s="10" t="n">
        <v>29852105</v>
      </c>
      <c r="AH7" s="10" t="n">
        <v>6117391</v>
      </c>
      <c r="AI7" s="12" t="n">
        <v>0.2049232709050166</v>
      </c>
      <c r="AJ7" s="10" t="n">
        <v>25525313</v>
      </c>
      <c r="AK7" s="10" t="n">
        <v>4888137</v>
      </c>
      <c r="AL7" s="12" t="n">
        <v>0.1915015498536688</v>
      </c>
      <c r="AM7" s="14" t="n">
        <v>267135813</v>
      </c>
      <c r="AN7" s="14" t="n">
        <v>52017421</v>
      </c>
      <c r="AO7" s="15" t="n">
        <v>0.1947227532536044</v>
      </c>
    </row>
    <row r="8">
      <c r="A8" s="22" t="inlineStr">
        <is>
          <t>畠中</t>
        </is>
      </c>
      <c r="B8" s="23" t="n">
        <v>93463327</v>
      </c>
      <c r="C8" s="5" t="n">
        <v>5273678</v>
      </c>
      <c r="D8" s="5" t="n">
        <v>1760063</v>
      </c>
      <c r="E8" s="7" t="n">
        <v>0.3337448740708098</v>
      </c>
      <c r="F8" s="5" t="n">
        <v>1495161</v>
      </c>
      <c r="G8" s="5" t="n">
        <v>308904</v>
      </c>
      <c r="H8" s="7" t="n">
        <v>0.2066024996639158</v>
      </c>
      <c r="I8" s="5" t="n">
        <v>5175318</v>
      </c>
      <c r="J8" s="5" t="n">
        <v>897946</v>
      </c>
      <c r="K8" s="7" t="n">
        <v>0.1735054734800837</v>
      </c>
      <c r="L8" s="5" t="n">
        <v>3040133</v>
      </c>
      <c r="M8" s="5" t="n">
        <v>602332</v>
      </c>
      <c r="N8" s="7" t="n">
        <v>0.1981268582657403</v>
      </c>
      <c r="O8" s="5" t="n">
        <v>2616472</v>
      </c>
      <c r="P8" s="5" t="n">
        <v>846936</v>
      </c>
      <c r="Q8" s="7" t="n">
        <v>0.3236938900932247</v>
      </c>
      <c r="R8" s="5" t="n">
        <v>2857962</v>
      </c>
      <c r="S8" s="5" t="n">
        <v>772499</v>
      </c>
      <c r="T8" s="7" t="n">
        <v>0.2702971558054306</v>
      </c>
      <c r="U8" s="5" t="n">
        <v>3078791</v>
      </c>
      <c r="V8" s="5" t="n">
        <v>1007432</v>
      </c>
      <c r="W8" s="7" t="n">
        <v>0.327216754888526</v>
      </c>
      <c r="X8" s="5" t="n">
        <v>3474962</v>
      </c>
      <c r="Y8" s="5" t="n">
        <v>776877</v>
      </c>
      <c r="Z8" s="7" t="n">
        <v>0.2235641713492119</v>
      </c>
      <c r="AA8" s="5" t="n">
        <v>14767771</v>
      </c>
      <c r="AB8" s="5" t="n">
        <v>3732681</v>
      </c>
      <c r="AC8" s="7" t="n">
        <v>0.2527585916655939</v>
      </c>
      <c r="AD8" s="5" t="n">
        <v>19672261</v>
      </c>
      <c r="AE8" s="5" t="n">
        <v>4926018</v>
      </c>
      <c r="AF8" s="7" t="n">
        <v>0.2504042621231998</v>
      </c>
      <c r="AG8" s="5" t="n">
        <v>15623820</v>
      </c>
      <c r="AH8" s="5" t="n">
        <v>3849681</v>
      </c>
      <c r="AI8" s="7" t="n">
        <v>0.2463981919914592</v>
      </c>
      <c r="AJ8" s="5" t="n">
        <v>16386998</v>
      </c>
      <c r="AK8" s="5" t="n">
        <v>3973773</v>
      </c>
      <c r="AL8" s="7" t="n">
        <v>0.2424954833093896</v>
      </c>
      <c r="AM8" s="14" t="n">
        <v>93463327</v>
      </c>
      <c r="AN8" s="14" t="n">
        <v>23455142</v>
      </c>
      <c r="AO8" s="15" t="n">
        <v>0.2509555646355281</v>
      </c>
    </row>
    <row r="9">
      <c r="A9" s="24" t="inlineStr">
        <is>
          <t>その他営業</t>
        </is>
      </c>
      <c r="B9" s="23" t="n">
        <v>604981096</v>
      </c>
      <c r="C9" s="10" t="n">
        <v>59730795</v>
      </c>
      <c r="D9" s="10" t="n">
        <v>10758499</v>
      </c>
      <c r="E9" s="12" t="n">
        <v>0.1801164541674023</v>
      </c>
      <c r="F9" s="10" t="n">
        <v>83260578</v>
      </c>
      <c r="G9" s="10" t="n">
        <v>10718507</v>
      </c>
      <c r="H9" s="12" t="n">
        <v>0.1287344774378098</v>
      </c>
      <c r="I9" s="10" t="n">
        <v>62462538</v>
      </c>
      <c r="J9" s="10" t="n">
        <v>12567794</v>
      </c>
      <c r="K9" s="12" t="n">
        <v>0.2012053048500847</v>
      </c>
      <c r="L9" s="10" t="n">
        <v>61262231</v>
      </c>
      <c r="M9" s="10" t="n">
        <v>13646919</v>
      </c>
      <c r="N9" s="12" t="n">
        <v>0.2227623574466297</v>
      </c>
      <c r="O9" s="10" t="n">
        <v>42291620</v>
      </c>
      <c r="P9" s="10" t="n">
        <v>8579884</v>
      </c>
      <c r="Q9" s="12" t="n">
        <v>0.2028743282948253</v>
      </c>
      <c r="R9" s="10" t="n">
        <v>59488559</v>
      </c>
      <c r="S9" s="10" t="n">
        <v>13368624</v>
      </c>
      <c r="T9" s="12" t="n">
        <v>0.2247259678957764</v>
      </c>
      <c r="U9" s="10" t="n">
        <v>54886098</v>
      </c>
      <c r="V9" s="10" t="n">
        <v>12205244</v>
      </c>
      <c r="W9" s="12" t="n">
        <v>0.2223740518045207</v>
      </c>
      <c r="X9" s="10" t="n">
        <v>43456878</v>
      </c>
      <c r="Y9" s="10" t="n">
        <v>8481475</v>
      </c>
      <c r="Z9" s="12" t="n">
        <v>0.195169910733118</v>
      </c>
      <c r="AA9" s="10" t="n">
        <v>38723389</v>
      </c>
      <c r="AB9" s="10" t="n">
        <v>6416706</v>
      </c>
      <c r="AC9" s="12" t="n">
        <v>0.1657062092370066</v>
      </c>
      <c r="AD9" s="10" t="n">
        <v>22849553</v>
      </c>
      <c r="AE9" s="10" t="n">
        <v>5849834</v>
      </c>
      <c r="AF9" s="12" t="n">
        <v>0.2560152489635136</v>
      </c>
      <c r="AG9" s="10" t="n">
        <v>47422108</v>
      </c>
      <c r="AH9" s="10" t="n">
        <v>7704443</v>
      </c>
      <c r="AI9" s="12" t="n">
        <v>0.1624652155910066</v>
      </c>
      <c r="AJ9" s="10" t="n">
        <v>29146749</v>
      </c>
      <c r="AK9" s="10" t="n">
        <v>5242538</v>
      </c>
      <c r="AL9" s="12" t="n">
        <v>0.1798669896254982</v>
      </c>
      <c r="AM9" s="14" t="n">
        <v>604981096</v>
      </c>
      <c r="AN9" s="14" t="n">
        <v>115540467</v>
      </c>
      <c r="AO9" s="15" t="n">
        <v>0.1909819459879454</v>
      </c>
    </row>
    <row r="10">
      <c r="A10" s="25" t="inlineStr">
        <is>
          <t>合計</t>
        </is>
      </c>
      <c r="B10" s="14" t="n">
        <v>2598450446</v>
      </c>
      <c r="C10" s="14" t="n">
        <v>250452029</v>
      </c>
      <c r="D10" s="14" t="n">
        <v>38972008</v>
      </c>
      <c r="E10" s="15" t="n">
        <v>0.1556066770774694</v>
      </c>
      <c r="F10" s="14" t="n">
        <v>255738538</v>
      </c>
      <c r="G10" s="14" t="n">
        <v>33970160</v>
      </c>
      <c r="H10" s="15" t="n">
        <v>0.1328316031899737</v>
      </c>
      <c r="I10" s="14" t="n">
        <v>237337170</v>
      </c>
      <c r="J10" s="14" t="n">
        <v>37875388</v>
      </c>
      <c r="K10" s="15" t="n">
        <v>0.1595847291850661</v>
      </c>
      <c r="L10" s="14" t="n">
        <v>224656272</v>
      </c>
      <c r="M10" s="14" t="n">
        <v>36022840</v>
      </c>
      <c r="N10" s="15" t="n">
        <v>0.1603464692051865</v>
      </c>
      <c r="O10" s="14" t="n">
        <v>176167060</v>
      </c>
      <c r="P10" s="14" t="n">
        <v>27732482</v>
      </c>
      <c r="Q10" s="15" t="n">
        <v>0.1574214952556965</v>
      </c>
      <c r="R10" s="14" t="n">
        <v>205011009</v>
      </c>
      <c r="S10" s="14" t="n">
        <v>34914005</v>
      </c>
      <c r="T10" s="15" t="n">
        <v>0.1703030738217576</v>
      </c>
      <c r="U10" s="14" t="n">
        <v>248753925</v>
      </c>
      <c r="V10" s="14" t="n">
        <v>38685454</v>
      </c>
      <c r="W10" s="15" t="n">
        <v>0.1555169591796391</v>
      </c>
      <c r="X10" s="14" t="n">
        <v>198212144</v>
      </c>
      <c r="Y10" s="14" t="n">
        <v>28843328</v>
      </c>
      <c r="Z10" s="15" t="n">
        <v>0.1455174613317335</v>
      </c>
      <c r="AA10" s="14" t="n">
        <v>215092487</v>
      </c>
      <c r="AB10" s="14" t="n">
        <v>32910481</v>
      </c>
      <c r="AC10" s="15" t="n">
        <v>0.1530061856600319</v>
      </c>
      <c r="AD10" s="14" t="n">
        <v>184144919</v>
      </c>
      <c r="AE10" s="14" t="n">
        <v>30917453</v>
      </c>
      <c r="AF10" s="15" t="n">
        <v>0.1678973993303611</v>
      </c>
      <c r="AG10" s="14" t="n">
        <v>217032799</v>
      </c>
      <c r="AH10" s="14" t="n">
        <v>32266460</v>
      </c>
      <c r="AI10" s="15" t="n">
        <v>0.1486708928266644</v>
      </c>
      <c r="AJ10" s="14" t="n">
        <v>185852094</v>
      </c>
      <c r="AK10" s="14" t="n">
        <v>28470370</v>
      </c>
      <c r="AL10" s="15" t="n">
        <v>0.1531883197398895</v>
      </c>
      <c r="AM10" s="14" t="n">
        <v>2598450446</v>
      </c>
      <c r="AN10" s="14" t="n">
        <v>401580429</v>
      </c>
      <c r="AO10" s="15" t="n">
        <v>0.1545461179058406</v>
      </c>
    </row>
  </sheetData>
  <mergeCells count="2">
    <mergeCell ref="A2:AO2"/>
    <mergeCell ref="A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8" customWidth="1" min="4" max="4"/>
    <col width="16" customWidth="1" min="5" max="5"/>
    <col width="9" customWidth="1" min="6" max="6"/>
    <col width="9" customWidth="1" min="7" max="7"/>
  </cols>
  <sheetData>
    <row r="1" ht="38" customHeight="1">
      <c r="A1" s="17" t="inlineStr">
        <is>
          <t>得意先別実績（統合・付替控除済み・上位50社）</t>
        </is>
      </c>
    </row>
    <row r="2">
      <c r="A2" s="3" t="inlineStr">
        <is>
          <t>順位</t>
        </is>
      </c>
      <c r="B2" s="3" t="inlineStr">
        <is>
          <t>得意先名称</t>
        </is>
      </c>
      <c r="C2" s="3" t="inlineStr">
        <is>
          <t>売上金額</t>
        </is>
      </c>
      <c r="D2" s="3" t="inlineStr">
        <is>
          <t>仕入・原価金額</t>
        </is>
      </c>
      <c r="E2" s="3" t="inlineStr">
        <is>
          <t>粗利金額</t>
        </is>
      </c>
      <c r="F2" s="3" t="inlineStr">
        <is>
          <t>粗利率</t>
        </is>
      </c>
      <c r="G2" s="3" t="inlineStr">
        <is>
          <t>売上シェア</t>
        </is>
      </c>
    </row>
    <row r="3">
      <c r="A3" s="5" t="n">
        <v>1</v>
      </c>
      <c r="B3" s="26" t="inlineStr">
        <is>
          <t>昭和プロダクツ</t>
        </is>
      </c>
      <c r="C3" s="5" t="n">
        <v>205136641</v>
      </c>
      <c r="D3" s="5" t="n">
        <v>198865783</v>
      </c>
      <c r="E3" s="6" t="n">
        <v>6270858</v>
      </c>
      <c r="F3" s="7" t="n">
        <v>0.03056917559647474</v>
      </c>
      <c r="G3" s="7" t="n">
        <v>0.07894575835216833</v>
      </c>
    </row>
    <row r="4">
      <c r="A4" s="10" t="n">
        <v>2</v>
      </c>
      <c r="B4" s="27" t="inlineStr">
        <is>
          <t>三幸プロダクツ東大阪</t>
        </is>
      </c>
      <c r="C4" s="10" t="n">
        <v>204436211</v>
      </c>
      <c r="D4" s="10" t="n">
        <v>152805953</v>
      </c>
      <c r="E4" s="11" t="n">
        <v>51630258</v>
      </c>
      <c r="F4" s="12" t="n">
        <v>0.25254947617866</v>
      </c>
      <c r="G4" s="12" t="n">
        <v>0.07867620154723551</v>
      </c>
    </row>
    <row r="5">
      <c r="A5" s="5" t="n">
        <v>3</v>
      </c>
      <c r="B5" s="26" t="inlineStr">
        <is>
          <t>ダイキ</t>
        </is>
      </c>
      <c r="C5" s="5" t="n">
        <v>128230028</v>
      </c>
      <c r="D5" s="5" t="n">
        <v>102285664</v>
      </c>
      <c r="E5" s="6" t="n">
        <v>25944364</v>
      </c>
      <c r="F5" s="7" t="n">
        <v>0.2023267436235762</v>
      </c>
      <c r="G5" s="7" t="n">
        <v>0.04934865246223749</v>
      </c>
    </row>
    <row r="6">
      <c r="A6" s="10" t="n">
        <v>4</v>
      </c>
      <c r="B6" s="27" t="inlineStr">
        <is>
          <t>㈱QH PLUS JAPAN 丸棒</t>
        </is>
      </c>
      <c r="C6" s="10" t="n">
        <v>122808759</v>
      </c>
      <c r="D6" s="10" t="n">
        <v>121528620</v>
      </c>
      <c r="E6" s="11" t="n">
        <v>1280139</v>
      </c>
      <c r="F6" s="12" t="n">
        <v>0.01042384118546463</v>
      </c>
      <c r="G6" s="12" t="n">
        <v>0.04726230557486644</v>
      </c>
    </row>
    <row r="7">
      <c r="A7" s="5" t="n">
        <v>5</v>
      </c>
      <c r="B7" s="26" t="inlineStr">
        <is>
          <t>KAMACHI STEELS</t>
        </is>
      </c>
      <c r="C7" s="5" t="n">
        <v>104607587</v>
      </c>
      <c r="D7" s="5" t="n">
        <v>68786790</v>
      </c>
      <c r="E7" s="6" t="n">
        <v>35820797</v>
      </c>
      <c r="F7" s="7" t="n">
        <v>0.3424302005933852</v>
      </c>
      <c r="G7" s="7" t="n">
        <v>0.04025768017282404</v>
      </c>
    </row>
    <row r="8">
      <c r="A8" s="10" t="n">
        <v>6</v>
      </c>
      <c r="B8" s="27" t="inlineStr">
        <is>
          <t>ベック</t>
        </is>
      </c>
      <c r="C8" s="10" t="n">
        <v>81519063</v>
      </c>
      <c r="D8" s="10" t="n">
        <v>65400670</v>
      </c>
      <c r="E8" s="11" t="n">
        <v>16118393</v>
      </c>
      <c r="F8" s="12" t="n">
        <v>0.1977254449060583</v>
      </c>
      <c r="G8" s="12" t="n">
        <v>0.03137218303527348</v>
      </c>
    </row>
    <row r="9">
      <c r="A9" s="5" t="n">
        <v>7</v>
      </c>
      <c r="B9" s="26" t="inlineStr">
        <is>
          <t>伊藤忠丸紅２課（川村</t>
        </is>
      </c>
      <c r="C9" s="5" t="n">
        <v>70196882</v>
      </c>
      <c r="D9" s="5" t="n">
        <v>62373410</v>
      </c>
      <c r="E9" s="6" t="n">
        <v>7823472</v>
      </c>
      <c r="F9" s="7" t="n">
        <v>0.1114504202622561</v>
      </c>
      <c r="G9" s="7" t="n">
        <v>0.02701490117237356</v>
      </c>
    </row>
    <row r="10">
      <c r="A10" s="10" t="n">
        <v>8</v>
      </c>
      <c r="B10" s="27" t="inlineStr">
        <is>
          <t>紅忠 滋賀(ﾊﾟﾅ栗東）</t>
        </is>
      </c>
      <c r="C10" s="10" t="n">
        <v>69783523</v>
      </c>
      <c r="D10" s="10" t="n">
        <v>65853869</v>
      </c>
      <c r="E10" s="11" t="n">
        <v>3929654</v>
      </c>
      <c r="F10" s="12" t="n">
        <v>0.05631206094309684</v>
      </c>
      <c r="G10" s="12" t="n">
        <v>0.02685582213331152</v>
      </c>
    </row>
    <row r="11">
      <c r="A11" s="5" t="n">
        <v>9</v>
      </c>
      <c r="B11" s="26" t="inlineStr">
        <is>
          <t>ALPHONSO STEEL</t>
        </is>
      </c>
      <c r="C11" s="5" t="n">
        <v>67542883</v>
      </c>
      <c r="D11" s="5" t="n">
        <v>51420110</v>
      </c>
      <c r="E11" s="6" t="n">
        <v>16122773</v>
      </c>
      <c r="F11" s="7" t="n">
        <v>0.2387042466043388</v>
      </c>
      <c r="G11" s="7" t="n">
        <v>0.02599352360325905</v>
      </c>
    </row>
    <row r="12">
      <c r="A12" s="10" t="n">
        <v>10</v>
      </c>
      <c r="B12" s="27" t="inlineStr">
        <is>
          <t>東洋パックス</t>
        </is>
      </c>
      <c r="C12" s="10" t="n">
        <v>65374350</v>
      </c>
      <c r="D12" s="10" t="n">
        <v>50591757</v>
      </c>
      <c r="E12" s="11" t="n">
        <v>14782593</v>
      </c>
      <c r="F12" s="12" t="n">
        <v>0.2261222176587607</v>
      </c>
      <c r="G12" s="12" t="n">
        <v>0.0251589750732541</v>
      </c>
    </row>
    <row r="13">
      <c r="A13" s="5" t="n">
        <v>11</v>
      </c>
      <c r="B13" s="26" t="inlineStr">
        <is>
          <t>山下印刷紙器</t>
        </is>
      </c>
      <c r="C13" s="5" t="n">
        <v>63589605</v>
      </c>
      <c r="D13" s="5" t="n">
        <v>54817075</v>
      </c>
      <c r="E13" s="6" t="n">
        <v>8772530</v>
      </c>
      <c r="F13" s="7" t="n">
        <v>0.1379554095358825</v>
      </c>
      <c r="G13" s="7" t="n">
        <v>0.02447212533834867</v>
      </c>
    </row>
    <row r="14">
      <c r="A14" s="10" t="n">
        <v>12</v>
      </c>
      <c r="B14" s="27" t="inlineStr">
        <is>
          <t>向陽技研</t>
        </is>
      </c>
      <c r="C14" s="10" t="n">
        <v>51424085</v>
      </c>
      <c r="D14" s="10" t="n">
        <v>47687785</v>
      </c>
      <c r="E14" s="11" t="n">
        <v>3736300</v>
      </c>
      <c r="F14" s="12" t="n">
        <v>0.0726566160584092</v>
      </c>
      <c r="G14" s="12" t="n">
        <v>0.01979028889281347</v>
      </c>
    </row>
    <row r="15">
      <c r="A15" s="5" t="n">
        <v>13</v>
      </c>
      <c r="B15" s="26" t="inlineStr">
        <is>
          <t>栄住産業  本社</t>
        </is>
      </c>
      <c r="C15" s="5" t="n">
        <v>51083983</v>
      </c>
      <c r="D15" s="5" t="n">
        <v>42275986</v>
      </c>
      <c r="E15" s="6" t="n">
        <v>8807997</v>
      </c>
      <c r="F15" s="7" t="n">
        <v>0.1724218920047797</v>
      </c>
      <c r="G15" s="7" t="n">
        <v>0.01965940242525602</v>
      </c>
    </row>
    <row r="16">
      <c r="A16" s="10" t="n">
        <v>14</v>
      </c>
      <c r="B16" s="27" t="inlineStr">
        <is>
          <t>東洋事務器工業</t>
        </is>
      </c>
      <c r="C16" s="10" t="n">
        <v>49987410</v>
      </c>
      <c r="D16" s="10" t="n">
        <v>45140315</v>
      </c>
      <c r="E16" s="11" t="n">
        <v>4847095</v>
      </c>
      <c r="F16" s="12" t="n">
        <v>0.09696631611839861</v>
      </c>
      <c r="G16" s="12" t="n">
        <v>0.01923739206839583</v>
      </c>
    </row>
    <row r="17">
      <c r="A17" s="5" t="n">
        <v>15</v>
      </c>
      <c r="B17" s="26" t="inlineStr">
        <is>
          <t>㈱ｆｕｎｂｏｘ</t>
        </is>
      </c>
      <c r="C17" s="5" t="n">
        <v>45261704</v>
      </c>
      <c r="D17" s="5" t="n">
        <v>36184779</v>
      </c>
      <c r="E17" s="6" t="n">
        <v>9076925</v>
      </c>
      <c r="F17" s="7" t="n">
        <v>0.2005431567490256</v>
      </c>
      <c r="G17" s="7" t="n">
        <v>0.01741872894658234</v>
      </c>
    </row>
    <row r="18">
      <c r="A18" s="10" t="n">
        <v>16</v>
      </c>
      <c r="B18" s="27" t="inlineStr">
        <is>
          <t>山本シャーリング</t>
        </is>
      </c>
      <c r="C18" s="10" t="n">
        <v>41999812</v>
      </c>
      <c r="D18" s="10" t="n">
        <v>35043073</v>
      </c>
      <c r="E18" s="11" t="n">
        <v>6956739</v>
      </c>
      <c r="F18" s="12" t="n">
        <v>0.1656373842816249</v>
      </c>
      <c r="G18" s="12" t="n">
        <v>0.01616340695072851</v>
      </c>
    </row>
    <row r="19">
      <c r="A19" s="5" t="n">
        <v>17</v>
      </c>
      <c r="B19" s="26" t="inlineStr">
        <is>
          <t>ノート</t>
        </is>
      </c>
      <c r="C19" s="5" t="n">
        <v>41919080</v>
      </c>
      <c r="D19" s="5" t="n">
        <v>33501501</v>
      </c>
      <c r="E19" s="6" t="n">
        <v>8417579</v>
      </c>
      <c r="F19" s="7" t="n">
        <v>0.200805432752818</v>
      </c>
      <c r="G19" s="7" t="n">
        <v>0.01613233766475299</v>
      </c>
    </row>
    <row r="20">
      <c r="A20" s="10" t="n">
        <v>18</v>
      </c>
      <c r="B20" s="27" t="inlineStr">
        <is>
          <t>よつば</t>
        </is>
      </c>
      <c r="C20" s="10" t="n">
        <v>41621700</v>
      </c>
      <c r="D20" s="10" t="n">
        <v>33798500</v>
      </c>
      <c r="E20" s="11" t="n">
        <v>7823200</v>
      </c>
      <c r="F20" s="12" t="n">
        <v>0.1879596460500172</v>
      </c>
      <c r="G20" s="12" t="n">
        <v>0.01601789253440317</v>
      </c>
    </row>
    <row r="21">
      <c r="A21" s="5" t="n">
        <v>19</v>
      </c>
      <c r="B21" s="26" t="inlineStr">
        <is>
          <t>キャラバン（ＰＬ）</t>
        </is>
      </c>
      <c r="C21" s="5" t="n">
        <v>39680468</v>
      </c>
      <c r="D21" s="5" t="n">
        <v>31746870</v>
      </c>
      <c r="E21" s="6" t="n">
        <v>7933598</v>
      </c>
      <c r="F21" s="7" t="n">
        <v>0.199937107596614</v>
      </c>
      <c r="G21" s="7" t="n">
        <v>0.01527081959984393</v>
      </c>
    </row>
    <row r="22">
      <c r="A22" s="10" t="n">
        <v>20</v>
      </c>
      <c r="B22" s="27" t="inlineStr">
        <is>
          <t>ファイン技研</t>
        </is>
      </c>
      <c r="C22" s="10" t="n">
        <v>38096022</v>
      </c>
      <c r="D22" s="10" t="n">
        <v>31496053</v>
      </c>
      <c r="E22" s="11" t="n">
        <v>6599969</v>
      </c>
      <c r="F22" s="12" t="n">
        <v>0.1732456212882279</v>
      </c>
      <c r="G22" s="12" t="n">
        <v>0.01466105388257229</v>
      </c>
    </row>
    <row r="23">
      <c r="A23" s="5" t="n">
        <v>21</v>
      </c>
      <c r="B23" s="26" t="inlineStr">
        <is>
          <t>ｺｸﾖ</t>
        </is>
      </c>
      <c r="C23" s="5" t="n">
        <v>37811989</v>
      </c>
      <c r="D23" s="5" t="n">
        <v>32108406</v>
      </c>
      <c r="E23" s="6" t="n">
        <v>5703583</v>
      </c>
      <c r="F23" s="7" t="n">
        <v>0.1508405971449955</v>
      </c>
      <c r="G23" s="7" t="n">
        <v>0.01455174527503766</v>
      </c>
    </row>
    <row r="24">
      <c r="A24" s="10" t="n">
        <v>22</v>
      </c>
      <c r="B24" s="27" t="inlineStr">
        <is>
          <t>ＢＸルーテス 伊丹</t>
        </is>
      </c>
      <c r="C24" s="10" t="n">
        <v>36826239</v>
      </c>
      <c r="D24" s="10" t="n">
        <v>34186901</v>
      </c>
      <c r="E24" s="11" t="n">
        <v>2639338</v>
      </c>
      <c r="F24" s="12" t="n">
        <v>0.071670039397724</v>
      </c>
      <c r="G24" s="12" t="n">
        <v>0.01417238456738305</v>
      </c>
    </row>
    <row r="25">
      <c r="A25" s="5" t="n">
        <v>23</v>
      </c>
      <c r="B25" s="26" t="inlineStr">
        <is>
          <t>井上鋼板</t>
        </is>
      </c>
      <c r="C25" s="5" t="n">
        <v>34990278</v>
      </c>
      <c r="D25" s="5" t="n">
        <v>31642973</v>
      </c>
      <c r="E25" s="6" t="n">
        <v>3347305</v>
      </c>
      <c r="F25" s="7" t="n">
        <v>0.09566385840089639</v>
      </c>
      <c r="G25" s="7" t="n">
        <v>0.01346582462400362</v>
      </c>
    </row>
    <row r="26">
      <c r="A26" s="10" t="n">
        <v>24</v>
      </c>
      <c r="B26" s="27" t="inlineStr">
        <is>
          <t>竹原製罐</t>
        </is>
      </c>
      <c r="C26" s="10" t="n">
        <v>33015080</v>
      </c>
      <c r="D26" s="10" t="n">
        <v>28421070</v>
      </c>
      <c r="E26" s="11" t="n">
        <v>4594010</v>
      </c>
      <c r="F26" s="12" t="n">
        <v>0.1391488374403455</v>
      </c>
      <c r="G26" s="12" t="n">
        <v>0.01270568005282638</v>
      </c>
    </row>
    <row r="27">
      <c r="A27" s="5" t="n">
        <v>25</v>
      </c>
      <c r="B27" s="26" t="inlineStr">
        <is>
          <t>東京支店  輸入代行</t>
        </is>
      </c>
      <c r="C27" s="5" t="n">
        <v>32942007</v>
      </c>
      <c r="D27" s="5" t="n">
        <v>32519277</v>
      </c>
      <c r="E27" s="6" t="n">
        <v>422730</v>
      </c>
      <c r="F27" s="7" t="n">
        <v>0.01283255145929633</v>
      </c>
      <c r="G27" s="7" t="n">
        <v>0.01267755829275491</v>
      </c>
    </row>
    <row r="28">
      <c r="A28" s="10" t="n">
        <v>26</v>
      </c>
      <c r="B28" s="27" t="inlineStr">
        <is>
          <t>三幸プロダクツ 松原</t>
        </is>
      </c>
      <c r="C28" s="10" t="n">
        <v>31378016</v>
      </c>
      <c r="D28" s="10" t="n">
        <v>22913619</v>
      </c>
      <c r="E28" s="11" t="n">
        <v>8464397</v>
      </c>
      <c r="F28" s="12" t="n">
        <v>0.2697556467559963</v>
      </c>
      <c r="G28" s="12" t="n">
        <v>0.01207566457474787</v>
      </c>
    </row>
    <row r="29">
      <c r="A29" s="5" t="n">
        <v>27</v>
      </c>
      <c r="B29" s="26" t="inlineStr">
        <is>
          <t>サヨカ</t>
        </is>
      </c>
      <c r="C29" s="5" t="n">
        <v>31034904</v>
      </c>
      <c r="D29" s="5" t="n">
        <v>29715245</v>
      </c>
      <c r="E29" s="6" t="n">
        <v>1319659</v>
      </c>
      <c r="F29" s="7" t="n">
        <v>0.04252176839341923</v>
      </c>
      <c r="G29" s="7" t="n">
        <v>0.01194361972450715</v>
      </c>
    </row>
    <row r="30">
      <c r="A30" s="10" t="n">
        <v>28</v>
      </c>
      <c r="B30" s="27" t="inlineStr">
        <is>
          <t>向陽</t>
        </is>
      </c>
      <c r="C30" s="10" t="n">
        <v>30687615</v>
      </c>
      <c r="D30" s="10" t="n">
        <v>28886618</v>
      </c>
      <c r="E30" s="11" t="n">
        <v>1800997</v>
      </c>
      <c r="F30" s="12" t="n">
        <v>0.05868807334815691</v>
      </c>
      <c r="G30" s="12" t="n">
        <v>0.01180996737776542</v>
      </c>
    </row>
    <row r="31">
      <c r="A31" s="5" t="n">
        <v>29</v>
      </c>
      <c r="B31" s="26" t="inlineStr">
        <is>
          <t>宮島工業　八尾</t>
        </is>
      </c>
      <c r="C31" s="5" t="n">
        <v>30670061</v>
      </c>
      <c r="D31" s="5" t="n">
        <v>22596555</v>
      </c>
      <c r="E31" s="6" t="n">
        <v>8073506</v>
      </c>
      <c r="F31" s="7" t="n">
        <v>0.2632373636296322</v>
      </c>
      <c r="G31" s="7" t="n">
        <v>0.01180321181310686</v>
      </c>
    </row>
    <row r="32">
      <c r="A32" s="10" t="n">
        <v>30</v>
      </c>
      <c r="B32" s="27" t="inlineStr">
        <is>
          <t>ツインクル</t>
        </is>
      </c>
      <c r="C32" s="10" t="n">
        <v>26995547</v>
      </c>
      <c r="D32" s="10" t="n">
        <v>21596486</v>
      </c>
      <c r="E32" s="11" t="n">
        <v>5399061</v>
      </c>
      <c r="F32" s="12" t="n">
        <v>0.1999982071117136</v>
      </c>
      <c r="G32" s="12" t="n">
        <v>0.01038909440876826</v>
      </c>
    </row>
    <row r="33">
      <c r="A33" s="5" t="n">
        <v>31</v>
      </c>
      <c r="B33" s="26" t="inlineStr">
        <is>
          <t>オーエスティ</t>
        </is>
      </c>
      <c r="C33" s="5" t="n">
        <v>25405150</v>
      </c>
      <c r="D33" s="5" t="n">
        <v>22703401</v>
      </c>
      <c r="E33" s="6" t="n">
        <v>2701749</v>
      </c>
      <c r="F33" s="7" t="n">
        <v>0.1063465084835161</v>
      </c>
      <c r="G33" s="7" t="n">
        <v>0.009777038480417494</v>
      </c>
    </row>
    <row r="34">
      <c r="A34" s="10" t="n">
        <v>32</v>
      </c>
      <c r="B34" s="27" t="inlineStr">
        <is>
          <t>堺鋼板</t>
        </is>
      </c>
      <c r="C34" s="10" t="n">
        <v>23698616</v>
      </c>
      <c r="D34" s="10" t="n">
        <v>18515093</v>
      </c>
      <c r="E34" s="11" t="n">
        <v>5183523</v>
      </c>
      <c r="F34" s="12" t="n">
        <v>0.2187268235410878</v>
      </c>
      <c r="G34" s="12" t="n">
        <v>0.009120287837884749</v>
      </c>
    </row>
    <row r="35">
      <c r="A35" s="5" t="n">
        <v>33</v>
      </c>
      <c r="B35" s="26" t="inlineStr">
        <is>
          <t>キョウエイマテリアル</t>
        </is>
      </c>
      <c r="C35" s="5" t="n">
        <v>22458344</v>
      </c>
      <c r="D35" s="5" t="n">
        <v>19660932</v>
      </c>
      <c r="E35" s="6" t="n">
        <v>2797412</v>
      </c>
      <c r="F35" s="7" t="n">
        <v>0.1245600298935665</v>
      </c>
      <c r="G35" s="7" t="n">
        <v>0.008642975675973311</v>
      </c>
    </row>
    <row r="36">
      <c r="A36" s="10" t="n">
        <v>34</v>
      </c>
      <c r="B36" s="27" t="inlineStr">
        <is>
          <t>扶桑金属工業</t>
        </is>
      </c>
      <c r="C36" s="10" t="n">
        <v>21349966</v>
      </c>
      <c r="D36" s="10" t="n">
        <v>16854233</v>
      </c>
      <c r="E36" s="11" t="n">
        <v>4495733</v>
      </c>
      <c r="F36" s="12" t="n">
        <v>0.2105733095781042</v>
      </c>
      <c r="G36" s="12" t="n">
        <v>0.008216422226895144</v>
      </c>
    </row>
    <row r="37">
      <c r="A37" s="5" t="n">
        <v>35</v>
      </c>
      <c r="B37" s="26" t="inlineStr">
        <is>
          <t>ｻｻﾞﾝ･ﾃﾞｨ･ｴｽ･ｸﾘｴｲﾄ</t>
        </is>
      </c>
      <c r="C37" s="5" t="n">
        <v>21111860</v>
      </c>
      <c r="D37" s="5" t="n">
        <v>16887660</v>
      </c>
      <c r="E37" s="6" t="n">
        <v>4224200</v>
      </c>
      <c r="F37" s="7" t="n">
        <v>0.2000865864021455</v>
      </c>
      <c r="G37" s="7" t="n">
        <v>0.008124788383976749</v>
      </c>
    </row>
    <row r="38">
      <c r="A38" s="10" t="n">
        <v>36</v>
      </c>
      <c r="B38" s="27" t="inlineStr">
        <is>
          <t>ＢＸ朝日建材</t>
        </is>
      </c>
      <c r="C38" s="10" t="n">
        <v>19504560</v>
      </c>
      <c r="D38" s="10" t="n">
        <v>17331380</v>
      </c>
      <c r="E38" s="11" t="n">
        <v>2173180</v>
      </c>
      <c r="F38" s="12" t="n">
        <v>0.1114190732833758</v>
      </c>
      <c r="G38" s="12" t="n">
        <v>0.0075062274248966</v>
      </c>
    </row>
    <row r="39">
      <c r="A39" s="5" t="n">
        <v>37</v>
      </c>
      <c r="B39" s="26" t="inlineStr">
        <is>
          <t>高木金属</t>
        </is>
      </c>
      <c r="C39" s="5" t="n">
        <v>19345890</v>
      </c>
      <c r="D39" s="5" t="n">
        <v>18803773</v>
      </c>
      <c r="E39" s="6" t="n">
        <v>542117</v>
      </c>
      <c r="F39" s="7" t="n">
        <v>0.02802233445967076</v>
      </c>
      <c r="G39" s="7" t="n">
        <v>0.00744516410916385</v>
      </c>
    </row>
    <row r="40">
      <c r="A40" s="10" t="n">
        <v>38</v>
      </c>
      <c r="B40" s="27" t="inlineStr">
        <is>
          <t>ﾒﾀﾙﾜﾝ(日本ｽﾁｰﾙ工業)</t>
        </is>
      </c>
      <c r="C40" s="10" t="n">
        <v>18161603</v>
      </c>
      <c r="D40" s="10" t="n">
        <v>16781420</v>
      </c>
      <c r="E40" s="11" t="n">
        <v>1380183</v>
      </c>
      <c r="F40" s="12" t="n">
        <v>0.07599455840984962</v>
      </c>
      <c r="G40" s="12" t="n">
        <v>0.006989397480316621</v>
      </c>
    </row>
    <row r="41">
      <c r="A41" s="5" t="n">
        <v>39</v>
      </c>
      <c r="B41" s="26" t="inlineStr">
        <is>
          <t>親和パッケージ</t>
        </is>
      </c>
      <c r="C41" s="5" t="n">
        <v>17334471</v>
      </c>
      <c r="D41" s="5" t="n">
        <v>15382996</v>
      </c>
      <c r="E41" s="6" t="n">
        <v>1951475</v>
      </c>
      <c r="F41" s="7" t="n">
        <v>0.1125777071593359</v>
      </c>
      <c r="G41" s="7" t="n">
        <v>0.006671080076468004</v>
      </c>
    </row>
    <row r="42">
      <c r="A42" s="10" t="n">
        <v>40</v>
      </c>
      <c r="B42" s="27" t="inlineStr">
        <is>
          <t>勝山産業</t>
        </is>
      </c>
      <c r="C42" s="10" t="n">
        <v>17048168</v>
      </c>
      <c r="D42" s="10" t="n">
        <v>16641961</v>
      </c>
      <c r="E42" s="11" t="n">
        <v>406207</v>
      </c>
      <c r="F42" s="12" t="n">
        <v>0.02382701765961011</v>
      </c>
      <c r="G42" s="12" t="n">
        <v>0.0065608978713616</v>
      </c>
    </row>
    <row r="43">
      <c r="A43" s="5" t="n">
        <v>41</v>
      </c>
      <c r="B43" s="26" t="inlineStr">
        <is>
          <t>阪倉シャーリング</t>
        </is>
      </c>
      <c r="C43" s="5" t="n">
        <v>16767496</v>
      </c>
      <c r="D43" s="5" t="n">
        <v>15460287</v>
      </c>
      <c r="E43" s="6" t="n">
        <v>1307209</v>
      </c>
      <c r="F43" s="7" t="n">
        <v>0.07796089529408565</v>
      </c>
      <c r="G43" s="7" t="n">
        <v>0.006452882727015838</v>
      </c>
    </row>
    <row r="44">
      <c r="A44" s="10" t="n">
        <v>42</v>
      </c>
      <c r="B44" s="27" t="inlineStr">
        <is>
          <t>興亜産業（商品）</t>
        </is>
      </c>
      <c r="C44" s="10" t="n">
        <v>16346517</v>
      </c>
      <c r="D44" s="10" t="n">
        <v>14822946</v>
      </c>
      <c r="E44" s="11" t="n">
        <v>1523571</v>
      </c>
      <c r="F44" s="12" t="n">
        <v>0.09320462579276062</v>
      </c>
      <c r="G44" s="12" t="n">
        <v>0.006290871170994808</v>
      </c>
    </row>
    <row r="45">
      <c r="A45" s="5" t="n">
        <v>43</v>
      </c>
      <c r="B45" s="26" t="inlineStr">
        <is>
          <t>晶立工作所</t>
        </is>
      </c>
      <c r="C45" s="5" t="n">
        <v>15025550</v>
      </c>
      <c r="D45" s="5" t="n">
        <v>14574518</v>
      </c>
      <c r="E45" s="6" t="n">
        <v>451032</v>
      </c>
      <c r="F45" s="7" t="n">
        <v>0.03001766990226647</v>
      </c>
      <c r="G45" s="7" t="n">
        <v>0.005782503962363421</v>
      </c>
    </row>
    <row r="46">
      <c r="A46" s="10" t="n">
        <v>44</v>
      </c>
      <c r="B46" s="27" t="inlineStr">
        <is>
          <t>太陽窓業</t>
        </is>
      </c>
      <c r="C46" s="10" t="n">
        <v>14407905</v>
      </c>
      <c r="D46" s="10" t="n">
        <v>13176826</v>
      </c>
      <c r="E46" s="11" t="n">
        <v>1231079</v>
      </c>
      <c r="F46" s="12" t="n">
        <v>0.08544469164670367</v>
      </c>
      <c r="G46" s="12" t="n">
        <v>0.005544806529668182</v>
      </c>
    </row>
    <row r="47">
      <c r="A47" s="5" t="n">
        <v>45</v>
      </c>
      <c r="B47" s="26" t="inlineStr">
        <is>
          <t>ナラトデザイン</t>
        </is>
      </c>
      <c r="C47" s="5" t="n">
        <v>13198210</v>
      </c>
      <c r="D47" s="5" t="n">
        <v>10548190</v>
      </c>
      <c r="E47" s="6" t="n">
        <v>2650020</v>
      </c>
      <c r="F47" s="7" t="n">
        <v>0.2007863187508003</v>
      </c>
      <c r="G47" s="7" t="n">
        <v>0.005079261765533011</v>
      </c>
    </row>
    <row r="48">
      <c r="A48" s="10" t="n">
        <v>46</v>
      </c>
      <c r="B48" s="27" t="inlineStr">
        <is>
          <t>アムロン 徳島支店</t>
        </is>
      </c>
      <c r="C48" s="10" t="n">
        <v>12406870</v>
      </c>
      <c r="D48" s="10" t="n">
        <v>11465850</v>
      </c>
      <c r="E48" s="11" t="n">
        <v>941020</v>
      </c>
      <c r="F48" s="12" t="n">
        <v>0.0758466881655083</v>
      </c>
      <c r="G48" s="12" t="n">
        <v>0.00477471872480727</v>
      </c>
    </row>
    <row r="49">
      <c r="A49" s="5" t="n">
        <v>47</v>
      </c>
      <c r="B49" s="26" t="inlineStr">
        <is>
          <t>田中製作所</t>
        </is>
      </c>
      <c r="C49" s="5" t="n">
        <v>11394147</v>
      </c>
      <c r="D49" s="5" t="n">
        <v>10243777</v>
      </c>
      <c r="E49" s="6" t="n">
        <v>1150370</v>
      </c>
      <c r="F49" s="7" t="n">
        <v>0.1009614848746466</v>
      </c>
      <c r="G49" s="7" t="n">
        <v>0.004384977599838361</v>
      </c>
    </row>
    <row r="50">
      <c r="A50" s="10" t="n">
        <v>48</v>
      </c>
      <c r="B50" s="27" t="inlineStr">
        <is>
          <t>阪和  薄板1(商品)</t>
        </is>
      </c>
      <c r="C50" s="10" t="n">
        <v>11296320</v>
      </c>
      <c r="D50" s="10" t="n">
        <v>9730548</v>
      </c>
      <c r="E50" s="11" t="n">
        <v>1565772</v>
      </c>
      <c r="F50" s="12" t="n">
        <v>0.138609033738421</v>
      </c>
      <c r="G50" s="12" t="n">
        <v>0.004347329392942366</v>
      </c>
    </row>
    <row r="51">
      <c r="A51" s="5" t="n">
        <v>49</v>
      </c>
      <c r="B51" s="26" t="inlineStr">
        <is>
          <t>大竹ｵｰﾙ</t>
        </is>
      </c>
      <c r="C51" s="5" t="n">
        <v>11264063</v>
      </c>
      <c r="D51" s="5" t="n">
        <v>9861355</v>
      </c>
      <c r="E51" s="6" t="n">
        <v>1402708</v>
      </c>
      <c r="F51" s="7" t="n">
        <v>0.1245294881607107</v>
      </c>
      <c r="G51" s="7" t="n">
        <v>0.004334915455994038</v>
      </c>
    </row>
    <row r="52">
      <c r="A52" s="10" t="n">
        <v>50</v>
      </c>
      <c r="B52" s="27" t="inlineStr">
        <is>
          <t>BIG KUMA TRADE</t>
        </is>
      </c>
      <c r="C52" s="10" t="n">
        <v>10413361</v>
      </c>
      <c r="D52" s="10" t="n">
        <v>8531600</v>
      </c>
      <c r="E52" s="11" t="n">
        <v>1881761</v>
      </c>
      <c r="F52" s="12" t="n">
        <v>0.1807064020924656</v>
      </c>
      <c r="G52" s="12" t="n">
        <v>0.004007527261499295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8" customWidth="1" min="4" max="4"/>
    <col width="16" customWidth="1" min="5" max="5"/>
    <col width="9" customWidth="1" min="6" max="6"/>
    <col width="9" customWidth="1" min="7" max="7"/>
  </cols>
  <sheetData>
    <row r="1" ht="38" customHeight="1">
      <c r="A1" s="17" t="inlineStr">
        <is>
          <t>品名別実績（統合・付替控除済み・上位40品目）</t>
        </is>
      </c>
    </row>
    <row r="2">
      <c r="A2" s="3" t="inlineStr">
        <is>
          <t>順位</t>
        </is>
      </c>
      <c r="B2" s="3" t="inlineStr">
        <is>
          <t>品名</t>
        </is>
      </c>
      <c r="C2" s="3" t="inlineStr">
        <is>
          <t>売上金額</t>
        </is>
      </c>
      <c r="D2" s="3" t="inlineStr">
        <is>
          <t>仕入・原価金額</t>
        </is>
      </c>
      <c r="E2" s="3" t="inlineStr">
        <is>
          <t>粗利金額</t>
        </is>
      </c>
      <c r="F2" s="3" t="inlineStr">
        <is>
          <t>粗利率</t>
        </is>
      </c>
      <c r="G2" s="3" t="inlineStr">
        <is>
          <t>売上シェア</t>
        </is>
      </c>
    </row>
    <row r="3">
      <c r="A3" s="5" t="n">
        <v>1</v>
      </c>
      <c r="B3" s="26" t="inlineStr">
        <is>
          <t>ＥＣ</t>
        </is>
      </c>
      <c r="C3" s="5" t="n">
        <v>308927700</v>
      </c>
      <c r="D3" s="5" t="n">
        <v>240589296</v>
      </c>
      <c r="E3" s="6" t="n">
        <v>68338404</v>
      </c>
      <c r="F3" s="7" t="n">
        <v>0.2212116427241714</v>
      </c>
      <c r="G3" s="7" t="n">
        <v>0.1188892020148226</v>
      </c>
    </row>
    <row r="4">
      <c r="A4" s="10" t="n">
        <v>2</v>
      </c>
      <c r="B4" s="27" t="inlineStr">
        <is>
          <t>SPCC-SD</t>
        </is>
      </c>
      <c r="C4" s="10" t="n">
        <v>147196016</v>
      </c>
      <c r="D4" s="10" t="n">
        <v>126197807</v>
      </c>
      <c r="E4" s="11" t="n">
        <v>20998209</v>
      </c>
      <c r="F4" s="12" t="n">
        <v>0.1426547373401737</v>
      </c>
      <c r="G4" s="12" t="n">
        <v>0.05664761328298196</v>
      </c>
    </row>
    <row r="5">
      <c r="A5" s="5" t="n">
        <v>3</v>
      </c>
      <c r="B5" s="26" t="inlineStr">
        <is>
          <t>JIS G3312 SD345</t>
        </is>
      </c>
      <c r="C5" s="5" t="n">
        <v>121932807</v>
      </c>
      <c r="D5" s="5" t="n">
        <v>120661908</v>
      </c>
      <c r="E5" s="6" t="n">
        <v>1270899</v>
      </c>
      <c r="F5" s="7" t="n">
        <v>0.01042294548340874</v>
      </c>
      <c r="G5" s="7" t="n">
        <v>0.04692520005055351</v>
      </c>
    </row>
    <row r="6">
      <c r="A6" s="10" t="n">
        <v>4</v>
      </c>
      <c r="B6" s="27" t="inlineStr">
        <is>
          <t>SGHC-SZCX-F12</t>
        </is>
      </c>
      <c r="C6" s="10" t="n">
        <v>94748632</v>
      </c>
      <c r="D6" s="10" t="n">
        <v>87535361</v>
      </c>
      <c r="E6" s="11" t="n">
        <v>7213271</v>
      </c>
      <c r="F6" s="12" t="n">
        <v>0.07613060840815095</v>
      </c>
      <c r="G6" s="12" t="n">
        <v>0.03646351314717356</v>
      </c>
    </row>
    <row r="7">
      <c r="A7" s="5" t="n">
        <v>5</v>
      </c>
      <c r="B7" s="26" t="inlineStr">
        <is>
          <t>SPHC</t>
        </is>
      </c>
      <c r="C7" s="5" t="n">
        <v>81046560</v>
      </c>
      <c r="D7" s="5" t="n">
        <v>66028828</v>
      </c>
      <c r="E7" s="6" t="n">
        <v>15017732</v>
      </c>
      <c r="F7" s="7" t="n">
        <v>0.1852975869672939</v>
      </c>
      <c r="G7" s="7" t="n">
        <v>0.03119034273859691</v>
      </c>
    </row>
    <row r="8">
      <c r="A8" s="10" t="n">
        <v>6</v>
      </c>
      <c r="B8" s="27" t="inlineStr">
        <is>
          <t>ＫＬ落板</t>
        </is>
      </c>
      <c r="C8" s="10" t="n">
        <v>80084921</v>
      </c>
      <c r="D8" s="10" t="n">
        <v>61893210</v>
      </c>
      <c r="E8" s="11" t="n">
        <v>18191711</v>
      </c>
      <c r="F8" s="12" t="n">
        <v>0.2271552593527563</v>
      </c>
      <c r="G8" s="12" t="n">
        <v>0.03082026102259562</v>
      </c>
    </row>
    <row r="9">
      <c r="A9" s="5" t="n">
        <v>7</v>
      </c>
      <c r="B9" s="26" t="inlineStr">
        <is>
          <t>バルク用金具５Ｒ</t>
        </is>
      </c>
      <c r="C9" s="5" t="n">
        <v>78360160</v>
      </c>
      <c r="D9" s="5" t="n">
        <v>75995040</v>
      </c>
      <c r="E9" s="6" t="n">
        <v>2365120</v>
      </c>
      <c r="F9" s="7" t="n">
        <v>0.03018268467037331</v>
      </c>
      <c r="G9" s="7" t="n">
        <v>0.03015649581489075</v>
      </c>
    </row>
    <row r="10">
      <c r="A10" s="10" t="n">
        <v>8</v>
      </c>
      <c r="B10" s="27" t="inlineStr">
        <is>
          <t>57mmﾂﾒ下ﾋﾟﾝ付き</t>
        </is>
      </c>
      <c r="C10" s="10" t="n">
        <v>76662488</v>
      </c>
      <c r="D10" s="10" t="n">
        <v>61310882</v>
      </c>
      <c r="E10" s="11" t="n">
        <v>15351606</v>
      </c>
      <c r="F10" s="12" t="n">
        <v>0.2002492535854041</v>
      </c>
      <c r="G10" s="12" t="n">
        <v>0.02950315566649063</v>
      </c>
    </row>
    <row r="11">
      <c r="A11" s="5" t="n">
        <v>9</v>
      </c>
      <c r="B11" s="26" t="inlineStr">
        <is>
          <t>ＥＴ落板</t>
        </is>
      </c>
      <c r="C11" s="5" t="n">
        <v>65462894</v>
      </c>
      <c r="D11" s="5" t="n">
        <v>41088490</v>
      </c>
      <c r="E11" s="6" t="n">
        <v>24374404</v>
      </c>
      <c r="F11" s="7" t="n">
        <v>0.3723392369423814</v>
      </c>
      <c r="G11" s="7" t="n">
        <v>0.02519305076637971</v>
      </c>
    </row>
    <row r="12">
      <c r="A12" s="10" t="n">
        <v>10</v>
      </c>
      <c r="B12" s="27" t="inlineStr">
        <is>
          <t>SAPH440-P</t>
        </is>
      </c>
      <c r="C12" s="10" t="n">
        <v>57124580</v>
      </c>
      <c r="D12" s="10" t="n">
        <v>54670954</v>
      </c>
      <c r="E12" s="11" t="n">
        <v>2453626</v>
      </c>
      <c r="F12" s="12" t="n">
        <v>0.04295219325901389</v>
      </c>
      <c r="G12" s="12" t="n">
        <v>0.0219840944390286</v>
      </c>
    </row>
    <row r="13">
      <c r="A13" s="5" t="n">
        <v>11</v>
      </c>
      <c r="B13" s="26" t="inlineStr">
        <is>
          <t>54Φ下蓋</t>
        </is>
      </c>
      <c r="C13" s="5" t="n">
        <v>56052999</v>
      </c>
      <c r="D13" s="5" t="n">
        <v>44789394</v>
      </c>
      <c r="E13" s="6" t="n">
        <v>11263605</v>
      </c>
      <c r="F13" s="7" t="n">
        <v>0.2009456264775414</v>
      </c>
      <c r="G13" s="7" t="n">
        <v>0.02157170212204232</v>
      </c>
    </row>
    <row r="14">
      <c r="A14" s="10" t="n">
        <v>12</v>
      </c>
      <c r="B14" s="27" t="inlineStr">
        <is>
          <t>57mm バックパーツ</t>
        </is>
      </c>
      <c r="C14" s="10" t="n">
        <v>40608000</v>
      </c>
      <c r="D14" s="10" t="n">
        <v>32448000</v>
      </c>
      <c r="E14" s="11" t="n">
        <v>8160000</v>
      </c>
      <c r="F14" s="12" t="n">
        <v>0.2009456264775414</v>
      </c>
      <c r="G14" s="12" t="n">
        <v>0.01562777541611813</v>
      </c>
    </row>
    <row r="15">
      <c r="A15" s="5" t="n">
        <v>13</v>
      </c>
      <c r="B15" s="26" t="inlineStr">
        <is>
          <t>ネジ金具</t>
        </is>
      </c>
      <c r="C15" s="5" t="n">
        <v>38500980</v>
      </c>
      <c r="D15" s="5" t="n">
        <v>37340400</v>
      </c>
      <c r="E15" s="6" t="n">
        <v>1160580</v>
      </c>
      <c r="F15" s="7" t="n">
        <v>0.03014416775884666</v>
      </c>
      <c r="G15" s="7" t="n">
        <v>0.01481689984092927</v>
      </c>
    </row>
    <row r="16">
      <c r="A16" s="10" t="n">
        <v>14</v>
      </c>
      <c r="B16" s="27" t="inlineStr">
        <is>
          <t>ﾌﾗｯｸ鋼板</t>
        </is>
      </c>
      <c r="C16" s="10" t="n">
        <v>36022833</v>
      </c>
      <c r="D16" s="10" t="n">
        <v>32864139</v>
      </c>
      <c r="E16" s="11" t="n">
        <v>3158694</v>
      </c>
      <c r="F16" s="12" t="n">
        <v>0.08768588522729459</v>
      </c>
      <c r="G16" s="12" t="n">
        <v>0.01386319798996082</v>
      </c>
    </row>
    <row r="17">
      <c r="A17" s="5" t="n">
        <v>15</v>
      </c>
      <c r="B17" s="26" t="inlineStr">
        <is>
          <t>サテン</t>
        </is>
      </c>
      <c r="C17" s="5" t="n">
        <v>35761621</v>
      </c>
      <c r="D17" s="5" t="n">
        <v>25609026</v>
      </c>
      <c r="E17" s="6" t="n">
        <v>10152595</v>
      </c>
      <c r="F17" s="7" t="n">
        <v>0.2838963871352476</v>
      </c>
      <c r="G17" s="7" t="n">
        <v>0.01376267192435811</v>
      </c>
    </row>
    <row r="18">
      <c r="A18" s="10" t="n">
        <v>16</v>
      </c>
      <c r="B18" s="27" t="inlineStr">
        <is>
          <t>56Φ下蓋</t>
        </is>
      </c>
      <c r="C18" s="10" t="n">
        <v>30046874</v>
      </c>
      <c r="D18" s="10" t="n">
        <v>24009086</v>
      </c>
      <c r="E18" s="11" t="n">
        <v>6037788</v>
      </c>
      <c r="F18" s="12" t="n">
        <v>0.2009456291526366</v>
      </c>
      <c r="G18" s="12" t="n">
        <v>0.01156338157083331</v>
      </c>
    </row>
    <row r="19">
      <c r="A19" s="5" t="n">
        <v>17</v>
      </c>
      <c r="B19" s="26" t="inlineStr">
        <is>
          <t>ＥＳ落板</t>
        </is>
      </c>
      <c r="C19" s="5" t="n">
        <v>29601124</v>
      </c>
      <c r="D19" s="5" t="n">
        <v>20613050</v>
      </c>
      <c r="E19" s="6" t="n">
        <v>8988074</v>
      </c>
      <c r="F19" s="7" t="n">
        <v>0.30363961854962</v>
      </c>
      <c r="G19" s="7" t="n">
        <v>0.01139183702562708</v>
      </c>
    </row>
    <row r="20">
      <c r="A20" s="10" t="n">
        <v>18</v>
      </c>
      <c r="B20" s="27" t="inlineStr">
        <is>
          <t>ＳＧＣＣ</t>
        </is>
      </c>
      <c r="C20" s="10" t="n">
        <v>29080390</v>
      </c>
      <c r="D20" s="10" t="n">
        <v>23198509</v>
      </c>
      <c r="E20" s="11" t="n">
        <v>5881881</v>
      </c>
      <c r="F20" s="12" t="n">
        <v>0.2022627963380134</v>
      </c>
      <c r="G20" s="12" t="n">
        <v>0.01119143528204116</v>
      </c>
    </row>
    <row r="21">
      <c r="A21" s="5" t="n">
        <v>19</v>
      </c>
      <c r="B21" s="26" t="inlineStr">
        <is>
          <t>350J10</t>
        </is>
      </c>
      <c r="C21" s="5" t="n">
        <v>24805541</v>
      </c>
      <c r="D21" s="5" t="n">
        <v>24043677</v>
      </c>
      <c r="E21" s="6" t="n">
        <v>761864</v>
      </c>
      <c r="F21" s="7" t="n">
        <v>0.03071346035145938</v>
      </c>
      <c r="G21" s="7" t="n">
        <v>0.009546282107548031</v>
      </c>
    </row>
    <row r="22">
      <c r="A22" s="10" t="n">
        <v>20</v>
      </c>
      <c r="B22" s="27" t="inlineStr">
        <is>
          <t>SGHC-MO-F12</t>
        </is>
      </c>
      <c r="C22" s="10" t="n">
        <v>24332953</v>
      </c>
      <c r="D22" s="10" t="n">
        <v>20179935</v>
      </c>
      <c r="E22" s="11" t="n">
        <v>4153018</v>
      </c>
      <c r="F22" s="12" t="n">
        <v>0.1706746402707472</v>
      </c>
      <c r="G22" s="12" t="n">
        <v>0.009364409099068114</v>
      </c>
    </row>
    <row r="23">
      <c r="A23" s="5" t="n">
        <v>21</v>
      </c>
      <c r="B23" s="26" t="inlineStr">
        <is>
          <t>エースコート</t>
        </is>
      </c>
      <c r="C23" s="5" t="n">
        <v>22551521</v>
      </c>
      <c r="D23" s="5" t="n">
        <v>19231880</v>
      </c>
      <c r="E23" s="6" t="n">
        <v>3319641</v>
      </c>
      <c r="F23" s="7" t="n">
        <v>0.1472025323702113</v>
      </c>
      <c r="G23" s="7" t="n">
        <v>0.008678834354803778</v>
      </c>
    </row>
    <row r="24">
      <c r="A24" s="10" t="n">
        <v>22</v>
      </c>
      <c r="B24" s="27" t="inlineStr">
        <is>
          <t>ＥＧＣ－ＱＳ１</t>
        </is>
      </c>
      <c r="C24" s="10" t="n">
        <v>22390920</v>
      </c>
      <c r="D24" s="10" t="n">
        <v>16514592</v>
      </c>
      <c r="E24" s="11" t="n">
        <v>5876328</v>
      </c>
      <c r="F24" s="12" t="n">
        <v>0.262442454352032</v>
      </c>
      <c r="G24" s="12" t="n">
        <v>0.008617027903867903</v>
      </c>
    </row>
    <row r="25">
      <c r="A25" s="5" t="n">
        <v>23</v>
      </c>
      <c r="B25" s="26" t="inlineStr">
        <is>
          <t>SGHC-Z12</t>
        </is>
      </c>
      <c r="C25" s="5" t="n">
        <v>22248680</v>
      </c>
      <c r="D25" s="5" t="n">
        <v>19744844</v>
      </c>
      <c r="E25" s="6" t="n">
        <v>2503836</v>
      </c>
      <c r="F25" s="7" t="n">
        <v>0.1125386315053298</v>
      </c>
      <c r="G25" s="7" t="n">
        <v>0.008562287587300019</v>
      </c>
    </row>
    <row r="26">
      <c r="A26" s="10" t="n">
        <v>24</v>
      </c>
      <c r="B26" s="27" t="inlineStr">
        <is>
          <t>Ｏプランジャー</t>
        </is>
      </c>
      <c r="C26" s="10" t="n">
        <v>21516393</v>
      </c>
      <c r="D26" s="10" t="n">
        <v>20874690</v>
      </c>
      <c r="E26" s="11" t="n">
        <v>641703</v>
      </c>
      <c r="F26" s="12" t="n">
        <v>0.02982391147066332</v>
      </c>
      <c r="G26" s="12" t="n">
        <v>0.008280470783316989</v>
      </c>
    </row>
    <row r="27">
      <c r="A27" s="5" t="n">
        <v>25</v>
      </c>
      <c r="B27" s="26" t="inlineStr">
        <is>
          <t>SS400-P</t>
        </is>
      </c>
      <c r="C27" s="5" t="n">
        <v>20864978</v>
      </c>
      <c r="D27" s="5" t="n">
        <v>18793945</v>
      </c>
      <c r="E27" s="6" t="n">
        <v>2071033</v>
      </c>
      <c r="F27" s="7" t="n">
        <v>0.09925881541787392</v>
      </c>
      <c r="G27" s="7" t="n">
        <v>0.008029777143573821</v>
      </c>
    </row>
    <row r="28">
      <c r="A28" s="10" t="n">
        <v>26</v>
      </c>
      <c r="B28" s="27" t="inlineStr">
        <is>
          <t>ＮＦＢ２</t>
        </is>
      </c>
      <c r="C28" s="10" t="n">
        <v>20453564</v>
      </c>
      <c r="D28" s="10" t="n">
        <v>18149872</v>
      </c>
      <c r="E28" s="11" t="n">
        <v>2303692</v>
      </c>
      <c r="F28" s="12" t="n">
        <v>0.1126303464765358</v>
      </c>
      <c r="G28" s="12" t="n">
        <v>0.007871446627541344</v>
      </c>
    </row>
    <row r="29">
      <c r="A29" s="5" t="n">
        <v>27</v>
      </c>
      <c r="B29" s="26" t="inlineStr">
        <is>
          <t>MSM-CC-DZG90</t>
        </is>
      </c>
      <c r="C29" s="5" t="n">
        <v>19814983</v>
      </c>
      <c r="D29" s="5" t="n">
        <v>17412422</v>
      </c>
      <c r="E29" s="6" t="n">
        <v>2402561</v>
      </c>
      <c r="F29" s="7" t="n">
        <v>0.1212497129066424</v>
      </c>
      <c r="G29" s="7" t="n">
        <v>0.007625692085259031</v>
      </c>
    </row>
    <row r="30">
      <c r="A30" s="10" t="n">
        <v>28</v>
      </c>
      <c r="B30" s="27" t="inlineStr">
        <is>
          <t>57mm穴下</t>
        </is>
      </c>
      <c r="C30" s="10" t="n">
        <v>17480500</v>
      </c>
      <c r="D30" s="10" t="n">
        <v>13979230</v>
      </c>
      <c r="E30" s="11" t="n">
        <v>3501270</v>
      </c>
      <c r="F30" s="12" t="n">
        <v>0.2002957581304882</v>
      </c>
      <c r="G30" s="12" t="n">
        <v>0.006727278569775735</v>
      </c>
    </row>
    <row r="31">
      <c r="A31" s="5" t="n">
        <v>29</v>
      </c>
      <c r="B31" s="26" t="inlineStr">
        <is>
          <t>57mm上</t>
        </is>
      </c>
      <c r="C31" s="5" t="n">
        <v>17101429</v>
      </c>
      <c r="D31" s="5" t="n">
        <v>13680566</v>
      </c>
      <c r="E31" s="6" t="n">
        <v>3420863</v>
      </c>
      <c r="F31" s="7" t="n">
        <v>0.2000337515654393</v>
      </c>
      <c r="G31" s="7" t="n">
        <v>0.00658139508733968</v>
      </c>
    </row>
    <row r="32">
      <c r="A32" s="10" t="n">
        <v>30</v>
      </c>
      <c r="B32" s="27" t="inlineStr">
        <is>
          <t>ＴＦＳ</t>
        </is>
      </c>
      <c r="C32" s="10" t="n">
        <v>16724074</v>
      </c>
      <c r="D32" s="10" t="n">
        <v>16317117</v>
      </c>
      <c r="E32" s="11" t="n">
        <v>406957</v>
      </c>
      <c r="F32" s="12" t="n">
        <v>0.02433360435979894</v>
      </c>
      <c r="G32" s="12" t="n">
        <v>0.006436171998486517</v>
      </c>
    </row>
    <row r="33">
      <c r="A33" s="5" t="n">
        <v>31</v>
      </c>
      <c r="B33" s="26" t="inlineStr">
        <is>
          <t>56Φ上蓋</t>
        </is>
      </c>
      <c r="C33" s="5" t="n">
        <v>15971634</v>
      </c>
      <c r="D33" s="5" t="n">
        <v>12762204</v>
      </c>
      <c r="E33" s="6" t="n">
        <v>3209430</v>
      </c>
      <c r="F33" s="7" t="n">
        <v>0.2009456264775414</v>
      </c>
      <c r="G33" s="7" t="n">
        <v>0.006146599418351963</v>
      </c>
    </row>
    <row r="34">
      <c r="A34" s="10" t="n">
        <v>32</v>
      </c>
      <c r="B34" s="27" t="inlineStr">
        <is>
          <t>ＯⅡプランジャー端曲</t>
        </is>
      </c>
      <c r="C34" s="10" t="n">
        <v>15847458</v>
      </c>
      <c r="D34" s="10" t="n">
        <v>15363846</v>
      </c>
      <c r="E34" s="11" t="n">
        <v>483612</v>
      </c>
      <c r="F34" s="12" t="n">
        <v>0.03051669233008852</v>
      </c>
      <c r="G34" s="12" t="n">
        <v>0.006098810937262723</v>
      </c>
    </row>
    <row r="35">
      <c r="A35" s="5" t="n">
        <v>33</v>
      </c>
      <c r="B35" s="26" t="inlineStr">
        <is>
          <t>32mm穴下</t>
        </is>
      </c>
      <c r="C35" s="5" t="n">
        <v>15600320</v>
      </c>
      <c r="D35" s="5" t="n">
        <v>12503400</v>
      </c>
      <c r="E35" s="6" t="n">
        <v>3096920</v>
      </c>
      <c r="F35" s="7" t="n">
        <v>0.1985164406883961</v>
      </c>
      <c r="G35" s="7" t="n">
        <v>0.006003701176605005</v>
      </c>
    </row>
    <row r="36">
      <c r="A36" s="10" t="n">
        <v>34</v>
      </c>
      <c r="B36" s="27" t="inlineStr">
        <is>
          <t>ＨＢプランジャー</t>
        </is>
      </c>
      <c r="C36" s="10" t="n">
        <v>15581600</v>
      </c>
      <c r="D36" s="10" t="n">
        <v>15105850</v>
      </c>
      <c r="E36" s="11" t="n">
        <v>475750</v>
      </c>
      <c r="F36" s="12" t="n">
        <v>0.03053280792729886</v>
      </c>
      <c r="G36" s="12" t="n">
        <v>0.005996496882973461</v>
      </c>
    </row>
    <row r="37">
      <c r="A37" s="5" t="n">
        <v>35</v>
      </c>
      <c r="B37" s="26" t="inlineStr">
        <is>
          <t>SGCC-Z12</t>
        </is>
      </c>
      <c r="C37" s="5" t="n">
        <v>15363413</v>
      </c>
      <c r="D37" s="5" t="n">
        <v>13126302</v>
      </c>
      <c r="E37" s="6" t="n">
        <v>2237111</v>
      </c>
      <c r="F37" s="7" t="n">
        <v>0.1456128921353608</v>
      </c>
      <c r="G37" s="7" t="n">
        <v>0.005912528762536193</v>
      </c>
    </row>
    <row r="38">
      <c r="A38" s="10" t="n">
        <v>36</v>
      </c>
      <c r="B38" s="27" t="inlineStr">
        <is>
          <t>段付ネジ</t>
        </is>
      </c>
      <c r="C38" s="10" t="n">
        <v>14649600</v>
      </c>
      <c r="D38" s="10" t="n">
        <v>14208000</v>
      </c>
      <c r="E38" s="11" t="n">
        <v>441600</v>
      </c>
      <c r="F38" s="12" t="n">
        <v>0.03014416775884666</v>
      </c>
      <c r="G38" s="12" t="n">
        <v>0.005637821580377369</v>
      </c>
    </row>
    <row r="39">
      <c r="A39" s="5" t="n">
        <v>37</v>
      </c>
      <c r="B39" s="26" t="inlineStr">
        <is>
          <t>SCGA270CX</t>
        </is>
      </c>
      <c r="C39" s="5" t="n">
        <v>14063351</v>
      </c>
      <c r="D39" s="5" t="n">
        <v>14063351</v>
      </c>
      <c r="E39" s="6" t="n">
        <v>0</v>
      </c>
      <c r="F39" s="7" t="n">
        <v>0</v>
      </c>
      <c r="G39" s="7" t="n">
        <v>0.005412206733304776</v>
      </c>
    </row>
    <row r="40">
      <c r="A40" s="10" t="n">
        <v>38</v>
      </c>
      <c r="B40" s="27" t="inlineStr">
        <is>
          <t>SHGA270C</t>
        </is>
      </c>
      <c r="C40" s="10" t="n">
        <v>13298240</v>
      </c>
      <c r="D40" s="10" t="n">
        <v>13298240</v>
      </c>
      <c r="E40" s="11" t="n">
        <v>0</v>
      </c>
      <c r="F40" s="12" t="n">
        <v>0</v>
      </c>
      <c r="G40" s="12" t="n">
        <v>0.005117757785402847</v>
      </c>
    </row>
    <row r="41">
      <c r="A41" s="5" t="n">
        <v>39</v>
      </c>
      <c r="B41" s="26" t="inlineStr">
        <is>
          <t>TOP/END</t>
        </is>
      </c>
      <c r="C41" s="5" t="n">
        <v>13256875</v>
      </c>
      <c r="D41" s="5" t="n">
        <v>11049443</v>
      </c>
      <c r="E41" s="6" t="n">
        <v>2207432</v>
      </c>
      <c r="F41" s="7" t="n">
        <v>0.1665122436471642</v>
      </c>
      <c r="G41" s="7" t="n">
        <v>0.005101838682514556</v>
      </c>
    </row>
    <row r="42">
      <c r="A42" s="10" t="n">
        <v>40</v>
      </c>
      <c r="B42" s="27" t="inlineStr">
        <is>
          <t>57mm缶ﾊﾞｯｼﾞ</t>
        </is>
      </c>
      <c r="C42" s="10" t="n">
        <v>12994996</v>
      </c>
      <c r="D42" s="10" t="n">
        <v>10396402</v>
      </c>
      <c r="E42" s="11" t="n">
        <v>2598594</v>
      </c>
      <c r="F42" s="12" t="n">
        <v>0.1999688187668546</v>
      </c>
      <c r="G42" s="12" t="n">
        <v>0.005001055925466742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2" customWidth="1" min="4" max="4"/>
    <col width="16" customWidth="1" min="5" max="5"/>
    <col width="13" customWidth="1" min="6" max="6"/>
    <col width="16" customWidth="1" min="7" max="7"/>
    <col width="12" customWidth="1" min="8" max="8"/>
    <col width="12" customWidth="1" min="9" max="9"/>
    <col width="25" customWidth="1" min="10" max="10"/>
  </cols>
  <sheetData>
    <row r="1" ht="38" customHeight="1">
      <c r="A1" s="17" t="inlineStr">
        <is>
          <t>89期（2026年6月～2027年5月）月次計画 - 全体</t>
        </is>
      </c>
    </row>
    <row r="2" ht="18" customHeight="1">
      <c r="A2" s="2" t="inlineStr">
        <is>
          <t>【記入方法】黄色セル（計画売上）・橙色セル（計画粗利率）を入力 → 計画粗利・前年比が自動計算されます</t>
        </is>
      </c>
    </row>
    <row r="3" ht="35" customHeight="1">
      <c r="A3" s="28" t="inlineStr">
        <is>
          <t>月</t>
        </is>
      </c>
      <c r="B3" s="28" t="inlineStr">
        <is>
          <t>88期同月売上(参考)</t>
        </is>
      </c>
      <c r="C3" s="28" t="inlineStr">
        <is>
          <t>88期同月粗利(参考)</t>
        </is>
      </c>
      <c r="D3" s="28" t="inlineStr">
        <is>
          <t>88期粗利率(参考)</t>
        </is>
      </c>
      <c r="E3" s="29" t="inlineStr">
        <is>
          <t>89期計画売上★</t>
        </is>
      </c>
      <c r="F3" s="29" t="inlineStr">
        <is>
          <t>89期計画粗利率★</t>
        </is>
      </c>
      <c r="G3" s="30" t="inlineStr">
        <is>
          <t>89期計画粗利(自動)</t>
        </is>
      </c>
      <c r="H3" s="30" t="inlineStr">
        <is>
          <t>前年比(売上)</t>
        </is>
      </c>
      <c r="I3" s="30" t="inlineStr">
        <is>
          <t>前年比(粗利)</t>
        </is>
      </c>
      <c r="J3" s="30" t="inlineStr">
        <is>
          <t>備考・根拠</t>
        </is>
      </c>
    </row>
    <row r="4">
      <c r="A4" s="31" t="inlineStr">
        <is>
          <t>2026年6月</t>
        </is>
      </c>
      <c r="B4" s="32" t="n">
        <v>237337170</v>
      </c>
      <c r="C4" s="32" t="n">
        <v>37875388</v>
      </c>
      <c r="D4" s="33" t="n">
        <v>0.1595847291850661</v>
      </c>
      <c r="E4" s="34" t="n"/>
      <c r="F4" s="35" t="n"/>
      <c r="G4" s="36">
        <f>E4*F4</f>
        <v/>
      </c>
      <c r="H4" s="37">
        <f>IF(B4&gt;0,E4/B4,"")</f>
        <v/>
      </c>
      <c r="I4" s="37">
        <f>IF(C4&gt;0,G4/C4,"")</f>
        <v/>
      </c>
      <c r="J4" s="26" t="inlineStr"/>
    </row>
    <row r="5">
      <c r="A5" s="38" t="inlineStr">
        <is>
          <t>2026年7月</t>
        </is>
      </c>
      <c r="B5" s="32" t="n">
        <v>224656272</v>
      </c>
      <c r="C5" s="32" t="n">
        <v>36022840</v>
      </c>
      <c r="D5" s="33" t="n">
        <v>0.1603464692051865</v>
      </c>
      <c r="E5" s="34" t="n"/>
      <c r="F5" s="35" t="n"/>
      <c r="G5" s="36">
        <f>E5*F5</f>
        <v/>
      </c>
      <c r="H5" s="37">
        <f>IF(B5&gt;0,E5/B5,"")</f>
        <v/>
      </c>
      <c r="I5" s="37">
        <f>IF(C5&gt;0,G5/C5,"")</f>
        <v/>
      </c>
      <c r="J5" s="27" t="inlineStr"/>
    </row>
    <row r="6">
      <c r="A6" s="31" t="inlineStr">
        <is>
          <t>2026年8月</t>
        </is>
      </c>
      <c r="B6" s="32" t="n">
        <v>176167060</v>
      </c>
      <c r="C6" s="32" t="n">
        <v>27732482</v>
      </c>
      <c r="D6" s="33" t="n">
        <v>0.1574214952556965</v>
      </c>
      <c r="E6" s="34" t="n"/>
      <c r="F6" s="35" t="n"/>
      <c r="G6" s="36">
        <f>E6*F6</f>
        <v/>
      </c>
      <c r="H6" s="37">
        <f>IF(B6&gt;0,E6/B6,"")</f>
        <v/>
      </c>
      <c r="I6" s="37">
        <f>IF(C6&gt;0,G6/C6,"")</f>
        <v/>
      </c>
      <c r="J6" s="26" t="inlineStr"/>
    </row>
    <row r="7">
      <c r="A7" s="38" t="inlineStr">
        <is>
          <t>2026年9月</t>
        </is>
      </c>
      <c r="B7" s="32" t="n">
        <v>205011009</v>
      </c>
      <c r="C7" s="32" t="n">
        <v>34914005</v>
      </c>
      <c r="D7" s="33" t="n">
        <v>0.1703030738217576</v>
      </c>
      <c r="E7" s="34" t="n"/>
      <c r="F7" s="35" t="n"/>
      <c r="G7" s="36">
        <f>E7*F7</f>
        <v/>
      </c>
      <c r="H7" s="37">
        <f>IF(B7&gt;0,E7/B7,"")</f>
        <v/>
      </c>
      <c r="I7" s="37">
        <f>IF(C7&gt;0,G7/C7,"")</f>
        <v/>
      </c>
      <c r="J7" s="27" t="inlineStr"/>
    </row>
    <row r="8">
      <c r="A8" s="31" t="inlineStr">
        <is>
          <t>2026年10月</t>
        </is>
      </c>
      <c r="B8" s="32" t="n">
        <v>248753925</v>
      </c>
      <c r="C8" s="32" t="n">
        <v>38685454</v>
      </c>
      <c r="D8" s="33" t="n">
        <v>0.1555169591796391</v>
      </c>
      <c r="E8" s="34" t="n"/>
      <c r="F8" s="35" t="n"/>
      <c r="G8" s="36">
        <f>E8*F8</f>
        <v/>
      </c>
      <c r="H8" s="37">
        <f>IF(B8&gt;0,E8/B8,"")</f>
        <v/>
      </c>
      <c r="I8" s="37">
        <f>IF(C8&gt;0,G8/C8,"")</f>
        <v/>
      </c>
      <c r="J8" s="26" t="inlineStr"/>
    </row>
    <row r="9">
      <c r="A9" s="38" t="inlineStr">
        <is>
          <t>2026年11月</t>
        </is>
      </c>
      <c r="B9" s="32" t="n">
        <v>198212144</v>
      </c>
      <c r="C9" s="32" t="n">
        <v>28843328</v>
      </c>
      <c r="D9" s="33" t="n">
        <v>0.1455174613317335</v>
      </c>
      <c r="E9" s="34" t="n"/>
      <c r="F9" s="35" t="n"/>
      <c r="G9" s="36">
        <f>E9*F9</f>
        <v/>
      </c>
      <c r="H9" s="37">
        <f>IF(B9&gt;0,E9/B9,"")</f>
        <v/>
      </c>
      <c r="I9" s="37">
        <f>IF(C9&gt;0,G9/C9,"")</f>
        <v/>
      </c>
      <c r="J9" s="27" t="inlineStr"/>
    </row>
    <row r="10">
      <c r="A10" s="31" t="inlineStr">
        <is>
          <t>2026年12月</t>
        </is>
      </c>
      <c r="B10" s="32" t="n">
        <v>215092487</v>
      </c>
      <c r="C10" s="32" t="n">
        <v>32910481</v>
      </c>
      <c r="D10" s="33" t="n">
        <v>0.1530061856600319</v>
      </c>
      <c r="E10" s="34" t="n"/>
      <c r="F10" s="35" t="n"/>
      <c r="G10" s="36">
        <f>E10*F10</f>
        <v/>
      </c>
      <c r="H10" s="37">
        <f>IF(B10&gt;0,E10/B10,"")</f>
        <v/>
      </c>
      <c r="I10" s="37">
        <f>IF(C10&gt;0,G10/C10,"")</f>
        <v/>
      </c>
      <c r="J10" s="26" t="inlineStr"/>
    </row>
    <row r="11">
      <c r="A11" s="38" t="inlineStr">
        <is>
          <t>2027年1月</t>
        </is>
      </c>
      <c r="B11" s="32" t="n">
        <v>184144919</v>
      </c>
      <c r="C11" s="32" t="n">
        <v>30917453</v>
      </c>
      <c r="D11" s="33" t="n">
        <v>0.1678973993303611</v>
      </c>
      <c r="E11" s="34" t="n"/>
      <c r="F11" s="35" t="n"/>
      <c r="G11" s="36">
        <f>E11*F11</f>
        <v/>
      </c>
      <c r="H11" s="37">
        <f>IF(B11&gt;0,E11/B11,"")</f>
        <v/>
      </c>
      <c r="I11" s="37">
        <f>IF(C11&gt;0,G11/C11,"")</f>
        <v/>
      </c>
      <c r="J11" s="27" t="inlineStr"/>
    </row>
    <row r="12">
      <c r="A12" s="31" t="inlineStr">
        <is>
          <t>2027年2月</t>
        </is>
      </c>
      <c r="B12" s="32" t="n">
        <v>217032799</v>
      </c>
      <c r="C12" s="32" t="n">
        <v>32266460</v>
      </c>
      <c r="D12" s="33" t="n">
        <v>0.1486708928266644</v>
      </c>
      <c r="E12" s="34" t="n"/>
      <c r="F12" s="35" t="n"/>
      <c r="G12" s="36">
        <f>E12*F12</f>
        <v/>
      </c>
      <c r="H12" s="37">
        <f>IF(B12&gt;0,E12/B12,"")</f>
        <v/>
      </c>
      <c r="I12" s="37">
        <f>IF(C12&gt;0,G12/C12,"")</f>
        <v/>
      </c>
      <c r="J12" s="26" t="inlineStr"/>
    </row>
    <row r="13">
      <c r="A13" s="38" t="inlineStr">
        <is>
          <t>2027年3月</t>
        </is>
      </c>
      <c r="B13" s="32" t="n">
        <v>185852094</v>
      </c>
      <c r="C13" s="32" t="n">
        <v>28470370</v>
      </c>
      <c r="D13" s="33" t="n">
        <v>0.1531883197398895</v>
      </c>
      <c r="E13" s="34" t="n"/>
      <c r="F13" s="35" t="n"/>
      <c r="G13" s="36">
        <f>E13*F13</f>
        <v/>
      </c>
      <c r="H13" s="37">
        <f>IF(B13&gt;0,E13/B13,"")</f>
        <v/>
      </c>
      <c r="I13" s="37">
        <f>IF(C13&gt;0,G13/C13,"")</f>
        <v/>
      </c>
      <c r="J13" s="27" t="inlineStr"/>
    </row>
    <row r="14">
      <c r="A14" s="31" t="inlineStr">
        <is>
          <t>2027年4月</t>
        </is>
      </c>
      <c r="B14" s="32" t="n">
        <v>250452029</v>
      </c>
      <c r="C14" s="32" t="n">
        <v>38972008</v>
      </c>
      <c r="D14" s="33" t="n">
        <v>0.1556066770774694</v>
      </c>
      <c r="E14" s="34" t="n"/>
      <c r="F14" s="35" t="n"/>
      <c r="G14" s="36">
        <f>E14*F14</f>
        <v/>
      </c>
      <c r="H14" s="37">
        <f>IF(B14&gt;0,E14/B14,"")</f>
        <v/>
      </c>
      <c r="I14" s="37">
        <f>IF(C14&gt;0,G14/C14,"")</f>
        <v/>
      </c>
      <c r="J14" s="26" t="inlineStr"/>
    </row>
    <row r="15">
      <c r="A15" s="38" t="inlineStr">
        <is>
          <t>2027年5月</t>
        </is>
      </c>
      <c r="B15" s="32" t="n">
        <v>255738538</v>
      </c>
      <c r="C15" s="32" t="n">
        <v>33970160</v>
      </c>
      <c r="D15" s="33" t="n">
        <v>0.1328316031899737</v>
      </c>
      <c r="E15" s="34" t="n"/>
      <c r="F15" s="35" t="n"/>
      <c r="G15" s="36">
        <f>E15*F15</f>
        <v/>
      </c>
      <c r="H15" s="37">
        <f>IF(B15&gt;0,E15/B15,"")</f>
        <v/>
      </c>
      <c r="I15" s="37">
        <f>IF(C15&gt;0,G15/C15,"")</f>
        <v/>
      </c>
      <c r="J15" s="27" t="inlineStr"/>
    </row>
    <row r="16">
      <c r="A16" s="25" t="inlineStr">
        <is>
          <t>合計</t>
        </is>
      </c>
      <c r="B16" s="14" t="n">
        <v>2598450446</v>
      </c>
      <c r="C16" s="14" t="n">
        <v>401580429</v>
      </c>
      <c r="D16" s="16" t="n"/>
      <c r="E16" s="39">
        <f>SUM(E4:E15)</f>
        <v/>
      </c>
      <c r="F16" s="16" t="n"/>
      <c r="G16" s="39">
        <f>SUM(G4:G15)</f>
        <v/>
      </c>
      <c r="H16" s="40">
        <f>IF(B16&gt;0,E16/B16,"")</f>
        <v/>
      </c>
      <c r="I16" s="40">
        <f>IF(C16&gt;0,G16/C16,"")</f>
        <v/>
      </c>
      <c r="J16" s="16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0" customWidth="1" min="11" max="11"/>
    <col width="14" customWidth="1" min="12" max="12"/>
    <col width="10" customWidth="1" min="13" max="13"/>
    <col width="14" customWidth="1" min="14" max="14"/>
    <col width="10" customWidth="1" min="15" max="15"/>
    <col width="14" customWidth="1" min="16" max="16"/>
    <col width="10" customWidth="1" min="17" max="17"/>
    <col width="14" customWidth="1" min="18" max="18"/>
    <col width="10" customWidth="1" min="19" max="19"/>
    <col width="14" customWidth="1" min="20" max="20"/>
    <col width="10" customWidth="1" min="21" max="21"/>
    <col width="14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6" customWidth="1" min="28" max="28"/>
    <col width="10" customWidth="1" min="29" max="29"/>
  </cols>
  <sheetData>
    <row r="1" ht="38" customHeight="1">
      <c r="A1" s="17" t="inlineStr">
        <is>
          <t>89期（2026年6月～2027年5月）担当者別計画シート</t>
        </is>
      </c>
    </row>
    <row r="2" ht="18" customHeight="1">
      <c r="A2" s="2" t="inlineStr">
        <is>
          <t>【記入方法】黄色セル（計画売上）・橙色セル（計画粗利率）を入力。計画粗利は自動計算。担当者は5名＋その他営業。</t>
        </is>
      </c>
    </row>
    <row r="3" ht="35" customHeight="1">
      <c r="A3" s="18" t="inlineStr">
        <is>
          <t>担当者</t>
        </is>
      </c>
      <c r="B3" s="30" t="inlineStr">
        <is>
          <t>88期年間売上(参考)</t>
        </is>
      </c>
      <c r="C3" s="30" t="inlineStr">
        <is>
          <t>88期年間粗利(参考)</t>
        </is>
      </c>
      <c r="D3" s="41" t="inlineStr">
        <is>
          <t>2026年6月</t>
        </is>
      </c>
      <c r="E3" s="42" t="n"/>
      <c r="F3" s="41" t="inlineStr">
        <is>
          <t>2026年7月</t>
        </is>
      </c>
      <c r="G3" s="42" t="n"/>
      <c r="H3" s="41" t="inlineStr">
        <is>
          <t>2026年8月</t>
        </is>
      </c>
      <c r="I3" s="42" t="n"/>
      <c r="J3" s="41" t="inlineStr">
        <is>
          <t>2026年9月</t>
        </is>
      </c>
      <c r="K3" s="42" t="n"/>
      <c r="L3" s="41" t="inlineStr">
        <is>
          <t>2026年10月</t>
        </is>
      </c>
      <c r="M3" s="42" t="n"/>
      <c r="N3" s="41" t="inlineStr">
        <is>
          <t>2026年11月</t>
        </is>
      </c>
      <c r="O3" s="42" t="n"/>
      <c r="P3" s="41" t="inlineStr">
        <is>
          <t>2026年12月</t>
        </is>
      </c>
      <c r="Q3" s="42" t="n"/>
      <c r="R3" s="41" t="inlineStr">
        <is>
          <t>2027年1月</t>
        </is>
      </c>
      <c r="S3" s="42" t="n"/>
      <c r="T3" s="41" t="inlineStr">
        <is>
          <t>2027年2月</t>
        </is>
      </c>
      <c r="U3" s="42" t="n"/>
      <c r="V3" s="41" t="inlineStr">
        <is>
          <t>2027年3月</t>
        </is>
      </c>
      <c r="W3" s="42" t="n"/>
      <c r="X3" s="41" t="inlineStr">
        <is>
          <t>2027年4月</t>
        </is>
      </c>
      <c r="Y3" s="42" t="n"/>
      <c r="Z3" s="41" t="inlineStr">
        <is>
          <t>2027年5月</t>
        </is>
      </c>
      <c r="AA3" s="42" t="n"/>
      <c r="AB3" s="18" t="inlineStr">
        <is>
          <t>年間計画売上</t>
        </is>
      </c>
      <c r="AC3" s="18" t="inlineStr">
        <is>
          <t>88期対比</t>
        </is>
      </c>
    </row>
    <row r="4" ht="30" customHeight="1">
      <c r="A4" s="43" t="inlineStr"/>
      <c r="B4" s="43" t="inlineStr"/>
      <c r="C4" s="43" t="inlineStr"/>
      <c r="D4" s="44" t="inlineStr">
        <is>
          <t>計画売上★</t>
        </is>
      </c>
      <c r="E4" s="45" t="inlineStr">
        <is>
          <t>計画粗利率★</t>
        </is>
      </c>
      <c r="F4" s="44" t="inlineStr">
        <is>
          <t>計画売上★</t>
        </is>
      </c>
      <c r="G4" s="45" t="inlineStr">
        <is>
          <t>計画粗利率★</t>
        </is>
      </c>
      <c r="H4" s="44" t="inlineStr">
        <is>
          <t>計画売上★</t>
        </is>
      </c>
      <c r="I4" s="45" t="inlineStr">
        <is>
          <t>計画粗利率★</t>
        </is>
      </c>
      <c r="J4" s="44" t="inlineStr">
        <is>
          <t>計画売上★</t>
        </is>
      </c>
      <c r="K4" s="45" t="inlineStr">
        <is>
          <t>計画粗利率★</t>
        </is>
      </c>
      <c r="L4" s="44" t="inlineStr">
        <is>
          <t>計画売上★</t>
        </is>
      </c>
      <c r="M4" s="45" t="inlineStr">
        <is>
          <t>計画粗利率★</t>
        </is>
      </c>
      <c r="N4" s="44" t="inlineStr">
        <is>
          <t>計画売上★</t>
        </is>
      </c>
      <c r="O4" s="45" t="inlineStr">
        <is>
          <t>計画粗利率★</t>
        </is>
      </c>
      <c r="P4" s="44" t="inlineStr">
        <is>
          <t>計画売上★</t>
        </is>
      </c>
      <c r="Q4" s="45" t="inlineStr">
        <is>
          <t>計画粗利率★</t>
        </is>
      </c>
      <c r="R4" s="44" t="inlineStr">
        <is>
          <t>計画売上★</t>
        </is>
      </c>
      <c r="S4" s="45" t="inlineStr">
        <is>
          <t>計画粗利率★</t>
        </is>
      </c>
      <c r="T4" s="44" t="inlineStr">
        <is>
          <t>計画売上★</t>
        </is>
      </c>
      <c r="U4" s="45" t="inlineStr">
        <is>
          <t>計画粗利率★</t>
        </is>
      </c>
      <c r="V4" s="44" t="inlineStr">
        <is>
          <t>計画売上★</t>
        </is>
      </c>
      <c r="W4" s="45" t="inlineStr">
        <is>
          <t>計画粗利率★</t>
        </is>
      </c>
      <c r="X4" s="44" t="inlineStr">
        <is>
          <t>計画売上★</t>
        </is>
      </c>
      <c r="Y4" s="45" t="inlineStr">
        <is>
          <t>計画粗利率★</t>
        </is>
      </c>
      <c r="Z4" s="44" t="inlineStr">
        <is>
          <t>計画売上★</t>
        </is>
      </c>
      <c r="AA4" s="45" t="inlineStr">
        <is>
          <t>計画粗利率★</t>
        </is>
      </c>
      <c r="AB4" s="46" t="inlineStr"/>
      <c r="AC4" s="46" t="inlineStr"/>
    </row>
    <row r="5">
      <c r="A5" s="22" t="inlineStr">
        <is>
          <t>新木</t>
        </is>
      </c>
      <c r="B5" s="32" t="n">
        <v>384811142</v>
      </c>
      <c r="C5" s="32" t="n">
        <v>47210346</v>
      </c>
      <c r="D5" s="34" t="n"/>
      <c r="E5" s="35" t="n"/>
      <c r="F5" s="34" t="n"/>
      <c r="G5" s="35" t="n"/>
      <c r="H5" s="34" t="n"/>
      <c r="I5" s="35" t="n"/>
      <c r="J5" s="34" t="n"/>
      <c r="K5" s="35" t="n"/>
      <c r="L5" s="34" t="n"/>
      <c r="M5" s="35" t="n"/>
      <c r="N5" s="34" t="n"/>
      <c r="O5" s="35" t="n"/>
      <c r="P5" s="34" t="n"/>
      <c r="Q5" s="35" t="n"/>
      <c r="R5" s="34" t="n"/>
      <c r="S5" s="35" t="n"/>
      <c r="T5" s="34" t="n"/>
      <c r="U5" s="35" t="n"/>
      <c r="V5" s="34" t="n"/>
      <c r="W5" s="35" t="n"/>
      <c r="X5" s="34" t="n"/>
      <c r="Y5" s="35" t="n"/>
      <c r="Z5" s="34" t="n"/>
      <c r="AA5" s="35" t="n"/>
      <c r="AB5" s="39">
        <f>D5+F5+H5+J5+L5+N5+P5+R5+T5+V5+X5+Z5</f>
        <v/>
      </c>
      <c r="AC5" s="37">
        <f>AB5/B5</f>
        <v/>
      </c>
    </row>
    <row r="6">
      <c r="A6" s="24" t="inlineStr">
        <is>
          <t>的場</t>
        </is>
      </c>
      <c r="B6" s="32" t="n">
        <v>336821223</v>
      </c>
      <c r="C6" s="32" t="n">
        <v>37320069</v>
      </c>
      <c r="D6" s="34" t="n"/>
      <c r="E6" s="35" t="n"/>
      <c r="F6" s="34" t="n"/>
      <c r="G6" s="35" t="n"/>
      <c r="H6" s="34" t="n"/>
      <c r="I6" s="35" t="n"/>
      <c r="J6" s="34" t="n"/>
      <c r="K6" s="35" t="n"/>
      <c r="L6" s="34" t="n"/>
      <c r="M6" s="35" t="n"/>
      <c r="N6" s="34" t="n"/>
      <c r="O6" s="35" t="n"/>
      <c r="P6" s="34" t="n"/>
      <c r="Q6" s="35" t="n"/>
      <c r="R6" s="34" t="n"/>
      <c r="S6" s="35" t="n"/>
      <c r="T6" s="34" t="n"/>
      <c r="U6" s="35" t="n"/>
      <c r="V6" s="34" t="n"/>
      <c r="W6" s="35" t="n"/>
      <c r="X6" s="34" t="n"/>
      <c r="Y6" s="35" t="n"/>
      <c r="Z6" s="34" t="n"/>
      <c r="AA6" s="35" t="n"/>
      <c r="AB6" s="39">
        <f>D6+F6+H6+J6+L6+N6+P6+R6+T6+V6+X6+Z6</f>
        <v/>
      </c>
      <c r="AC6" s="37">
        <f>AB6/B6</f>
        <v/>
      </c>
    </row>
    <row r="7">
      <c r="A7" s="22" t="inlineStr">
        <is>
          <t>竹原</t>
        </is>
      </c>
      <c r="B7" s="32" t="n">
        <v>911237845</v>
      </c>
      <c r="C7" s="32" t="n">
        <v>126036984</v>
      </c>
      <c r="D7" s="34" t="n"/>
      <c r="E7" s="35" t="n"/>
      <c r="F7" s="34" t="n"/>
      <c r="G7" s="35" t="n"/>
      <c r="H7" s="34" t="n"/>
      <c r="I7" s="35" t="n"/>
      <c r="J7" s="34" t="n"/>
      <c r="K7" s="35" t="n"/>
      <c r="L7" s="34" t="n"/>
      <c r="M7" s="35" t="n"/>
      <c r="N7" s="34" t="n"/>
      <c r="O7" s="35" t="n"/>
      <c r="P7" s="34" t="n"/>
      <c r="Q7" s="35" t="n"/>
      <c r="R7" s="34" t="n"/>
      <c r="S7" s="35" t="n"/>
      <c r="T7" s="34" t="n"/>
      <c r="U7" s="35" t="n"/>
      <c r="V7" s="34" t="n"/>
      <c r="W7" s="35" t="n"/>
      <c r="X7" s="34" t="n"/>
      <c r="Y7" s="35" t="n"/>
      <c r="Z7" s="34" t="n"/>
      <c r="AA7" s="35" t="n"/>
      <c r="AB7" s="39">
        <f>D7+F7+H7+J7+L7+N7+P7+R7+T7+V7+X7+Z7</f>
        <v/>
      </c>
      <c r="AC7" s="37">
        <f>AB7/B7</f>
        <v/>
      </c>
    </row>
    <row r="8">
      <c r="A8" s="24" t="inlineStr">
        <is>
          <t>船吉</t>
        </is>
      </c>
      <c r="B8" s="32" t="n">
        <v>267135813</v>
      </c>
      <c r="C8" s="32" t="n">
        <v>52017421</v>
      </c>
      <c r="D8" s="34" t="n"/>
      <c r="E8" s="35" t="n"/>
      <c r="F8" s="34" t="n"/>
      <c r="G8" s="35" t="n"/>
      <c r="H8" s="34" t="n"/>
      <c r="I8" s="35" t="n"/>
      <c r="J8" s="34" t="n"/>
      <c r="K8" s="35" t="n"/>
      <c r="L8" s="34" t="n"/>
      <c r="M8" s="35" t="n"/>
      <c r="N8" s="34" t="n"/>
      <c r="O8" s="35" t="n"/>
      <c r="P8" s="34" t="n"/>
      <c r="Q8" s="35" t="n"/>
      <c r="R8" s="34" t="n"/>
      <c r="S8" s="35" t="n"/>
      <c r="T8" s="34" t="n"/>
      <c r="U8" s="35" t="n"/>
      <c r="V8" s="34" t="n"/>
      <c r="W8" s="35" t="n"/>
      <c r="X8" s="34" t="n"/>
      <c r="Y8" s="35" t="n"/>
      <c r="Z8" s="34" t="n"/>
      <c r="AA8" s="35" t="n"/>
      <c r="AB8" s="39">
        <f>D8+F8+H8+J8+L8+N8+P8+R8+T8+V8+X8+Z8</f>
        <v/>
      </c>
      <c r="AC8" s="37">
        <f>AB8/B8</f>
        <v/>
      </c>
    </row>
    <row r="9">
      <c r="A9" s="22" t="inlineStr">
        <is>
          <t>畠中</t>
        </is>
      </c>
      <c r="B9" s="32" t="n">
        <v>93463327</v>
      </c>
      <c r="C9" s="32" t="n">
        <v>23455142</v>
      </c>
      <c r="D9" s="34" t="n"/>
      <c r="E9" s="35" t="n"/>
      <c r="F9" s="34" t="n"/>
      <c r="G9" s="35" t="n"/>
      <c r="H9" s="34" t="n"/>
      <c r="I9" s="35" t="n"/>
      <c r="J9" s="34" t="n"/>
      <c r="K9" s="35" t="n"/>
      <c r="L9" s="34" t="n"/>
      <c r="M9" s="35" t="n"/>
      <c r="N9" s="34" t="n"/>
      <c r="O9" s="35" t="n"/>
      <c r="P9" s="34" t="n"/>
      <c r="Q9" s="35" t="n"/>
      <c r="R9" s="34" t="n"/>
      <c r="S9" s="35" t="n"/>
      <c r="T9" s="34" t="n"/>
      <c r="U9" s="35" t="n"/>
      <c r="V9" s="34" t="n"/>
      <c r="W9" s="35" t="n"/>
      <c r="X9" s="34" t="n"/>
      <c r="Y9" s="35" t="n"/>
      <c r="Z9" s="34" t="n"/>
      <c r="AA9" s="35" t="n"/>
      <c r="AB9" s="39">
        <f>D9+F9+H9+J9+L9+N9+P9+R9+T9+V9+X9+Z9</f>
        <v/>
      </c>
      <c r="AC9" s="37">
        <f>AB9/B9</f>
        <v/>
      </c>
    </row>
    <row r="10">
      <c r="A10" s="24" t="inlineStr">
        <is>
          <t>その他営業</t>
        </is>
      </c>
      <c r="B10" s="32" t="n">
        <v>604981096</v>
      </c>
      <c r="C10" s="32" t="n">
        <v>115540467</v>
      </c>
      <c r="D10" s="34" t="n"/>
      <c r="E10" s="35" t="n"/>
      <c r="F10" s="34" t="n"/>
      <c r="G10" s="35" t="n"/>
      <c r="H10" s="34" t="n"/>
      <c r="I10" s="35" t="n"/>
      <c r="J10" s="34" t="n"/>
      <c r="K10" s="35" t="n"/>
      <c r="L10" s="34" t="n"/>
      <c r="M10" s="35" t="n"/>
      <c r="N10" s="34" t="n"/>
      <c r="O10" s="35" t="n"/>
      <c r="P10" s="34" t="n"/>
      <c r="Q10" s="35" t="n"/>
      <c r="R10" s="34" t="n"/>
      <c r="S10" s="35" t="n"/>
      <c r="T10" s="34" t="n"/>
      <c r="U10" s="35" t="n"/>
      <c r="V10" s="34" t="n"/>
      <c r="W10" s="35" t="n"/>
      <c r="X10" s="34" t="n"/>
      <c r="Y10" s="35" t="n"/>
      <c r="Z10" s="34" t="n"/>
      <c r="AA10" s="35" t="n"/>
      <c r="AB10" s="39">
        <f>D10+F10+H10+J10+L10+N10+P10+R10+T10+V10+X10+Z10</f>
        <v/>
      </c>
      <c r="AC10" s="37">
        <f>AB10/B10</f>
        <v/>
      </c>
    </row>
    <row r="11">
      <c r="A11" s="25" t="inlineStr">
        <is>
          <t>合計</t>
        </is>
      </c>
      <c r="B11" s="14" t="n">
        <v>2598450446</v>
      </c>
      <c r="C11" s="14" t="n">
        <v>401580429</v>
      </c>
      <c r="D11" s="39">
        <f>D5+D6+D7+D8+D9+D10</f>
        <v/>
      </c>
      <c r="E11" s="16" t="n"/>
      <c r="F11" s="39">
        <f>F5+F6+F7+F8+F9+F10</f>
        <v/>
      </c>
      <c r="G11" s="16" t="n"/>
      <c r="H11" s="39">
        <f>H5+H6+H7+H8+H9+H10</f>
        <v/>
      </c>
      <c r="I11" s="16" t="n"/>
      <c r="J11" s="39">
        <f>J5+J6+J7+J8+J9+J10</f>
        <v/>
      </c>
      <c r="K11" s="16" t="n"/>
      <c r="L11" s="39">
        <f>L5+L6+L7+L8+L9+L10</f>
        <v/>
      </c>
      <c r="M11" s="16" t="n"/>
      <c r="N11" s="39">
        <f>N5+N6+N7+N8+N9+N10</f>
        <v/>
      </c>
      <c r="O11" s="16" t="n"/>
      <c r="P11" s="39">
        <f>P5+P6+P7+P8+P9+P10</f>
        <v/>
      </c>
      <c r="Q11" s="16" t="n"/>
      <c r="R11" s="39">
        <f>R5+R6+R7+R8+R9+R10</f>
        <v/>
      </c>
      <c r="S11" s="16" t="n"/>
      <c r="T11" s="39">
        <f>T5+T6+T7+T8+T9+T10</f>
        <v/>
      </c>
      <c r="U11" s="16" t="n"/>
      <c r="V11" s="39">
        <f>V5+V6+V7+V8+V9+V10</f>
        <v/>
      </c>
      <c r="W11" s="16" t="n"/>
      <c r="X11" s="39">
        <f>X5+X6+X7+X8+X9+X10</f>
        <v/>
      </c>
      <c r="Y11" s="16" t="n"/>
      <c r="Z11" s="39">
        <f>Z5+Z6+Z7+Z8+Z9+Z10</f>
        <v/>
      </c>
      <c r="AA11" s="16" t="n"/>
      <c r="AB11" s="47">
        <f>D11+F11+H11+J11+L11+N11+P11+R11+T11+V11+X11+Z11</f>
        <v/>
      </c>
      <c r="AC11" s="48" t="n"/>
    </row>
  </sheetData>
  <mergeCells count="14">
    <mergeCell ref="F3:G3"/>
    <mergeCell ref="L3:M3"/>
    <mergeCell ref="J3:K3"/>
    <mergeCell ref="P3:Q3"/>
    <mergeCell ref="N3:O3"/>
    <mergeCell ref="A1:AC1"/>
    <mergeCell ref="Z3:AA3"/>
    <mergeCell ref="D3:E3"/>
    <mergeCell ref="R3:S3"/>
    <mergeCell ref="A2:AC2"/>
    <mergeCell ref="X3:Y3"/>
    <mergeCell ref="V3:W3"/>
    <mergeCell ref="T3:U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2026-04-10T00:25:02Z</dcterms:created>
  <dcterms:modified xmlns:dcterms="http://purl.org/dc/terms/" xmlns:xsi="http://www.w3.org/2001/XMLSchema-instance" xsi:type="dcterms:W3CDTF">2026-04-10T00:25:02Z</dcterms:modified>
</cp:coreProperties>
</file>