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26\本社\営業\営業2部\個人フォルダ\竹村\カーソル\三幸商事株式会社\財務・経理部\財務諸表\"/>
    </mc:Choice>
  </mc:AlternateContent>
  <xr:revisionPtr revIDLastSave="0" documentId="13_ncr:1_{44E4DFFE-37EA-46C3-A791-E68FFB87BC44}" xr6:coauthVersionLast="47" xr6:coauthVersionMax="47" xr10:uidLastSave="{00000000-0000-0000-0000-000000000000}"/>
  <bookViews>
    <workbookView xWindow="-120" yWindow="-120" windowWidth="20730" windowHeight="11040" firstSheet="4" activeTab="8" xr2:uid="{B73977C4-4836-4B5B-B1B4-920E50AD91FC}"/>
  </bookViews>
  <sheets>
    <sheet name="6月" sheetId="1" r:id="rId1"/>
    <sheet name="7月" sheetId="16" r:id="rId2"/>
    <sheet name="8月" sheetId="17" r:id="rId3"/>
    <sheet name="9月" sheetId="18" r:id="rId4"/>
    <sheet name="10月" sheetId="27" r:id="rId5"/>
    <sheet name="11月" sheetId="28" r:id="rId6"/>
    <sheet name="12月" sheetId="29" r:id="rId7"/>
    <sheet name="1月" sheetId="30" r:id="rId8"/>
    <sheet name="2月" sheetId="3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Print_Area" localSheetId="4">'10月'!$A$2:$BA$80</definedName>
    <definedName name="_xlnm.Print_Area" localSheetId="5">'11月'!$A$2:$BA$80</definedName>
    <definedName name="_xlnm.Print_Area" localSheetId="6">'12月'!$A$2:$BA$80</definedName>
    <definedName name="_xlnm.Print_Area" localSheetId="7">'1月'!$A$2:$BA$80</definedName>
    <definedName name="_xlnm.Print_Area" localSheetId="8">'2月'!$A$2:$BA$80</definedName>
    <definedName name="_xlnm.Print_Area" localSheetId="0">'6月'!$A$2:$BA$80</definedName>
    <definedName name="_xlnm.Print_Area" localSheetId="1">'7月'!$A$2:$BA$80</definedName>
    <definedName name="_xlnm.Print_Area" localSheetId="2">'8月'!$A$2:$BA$80</definedName>
    <definedName name="_xlnm.Print_Area" localSheetId="3">'9月'!$A$2:$BA$80</definedName>
    <definedName name="_xlnm.Print_Titles" localSheetId="4">'10月'!$A:$A,'10月'!$1:$5</definedName>
    <definedName name="_xlnm.Print_Titles" localSheetId="5">'11月'!$A:$A,'11月'!$1:$5</definedName>
    <definedName name="_xlnm.Print_Titles" localSheetId="6">'12月'!$A:$A,'12月'!$1:$5</definedName>
    <definedName name="_xlnm.Print_Titles" localSheetId="7">'1月'!$A:$A,'1月'!$1:$5</definedName>
    <definedName name="_xlnm.Print_Titles" localSheetId="8">'2月'!$A:$A,'2月'!$1:$5</definedName>
    <definedName name="_xlnm.Print_Titles" localSheetId="0">'6月'!$A:$A,'6月'!$1:$5</definedName>
    <definedName name="_xlnm.Print_Titles" localSheetId="1">'7月'!$A:$A,'7月'!$1:$5</definedName>
    <definedName name="_xlnm.Print_Titles" localSheetId="2">'8月'!$A:$A,'8月'!$1:$5</definedName>
    <definedName name="_xlnm.Print_Titles" localSheetId="3">'9月'!$A:$A,'9月'!$1:$5</definedName>
    <definedName name="Z_297EFE82_2CEF_4698_9132_9CB35406BB94_.wvu.Cols" localSheetId="4" hidden="1">'10月'!$F:$G,'10月'!$J:$K,'10月'!$N:$O,'10月'!$R:$S,'10月'!$V:$W,'10月'!$Z:$AA,'10月'!$AD:$AE,'10月'!$AJ:$AK,'10月'!$AN:$AO,'10月'!$AR:$AS</definedName>
    <definedName name="Z_297EFE82_2CEF_4698_9132_9CB35406BB94_.wvu.Cols" localSheetId="5" hidden="1">'11月'!$F:$G,'11月'!$J:$K,'11月'!$N:$O,'11月'!$R:$S,'11月'!$V:$W,'11月'!$Z:$AA,'11月'!$AD:$AE,'11月'!$AJ:$AK,'11月'!$AN:$AO,'11月'!$AR:$AS</definedName>
    <definedName name="Z_297EFE82_2CEF_4698_9132_9CB35406BB94_.wvu.Cols" localSheetId="6" hidden="1">'12月'!$F:$G,'12月'!$J:$K,'12月'!$N:$O,'12月'!$R:$S,'12月'!$V:$W,'12月'!$Z:$AA,'12月'!$AD:$AE,'12月'!$AJ:$AK,'12月'!$AN:$AO,'12月'!$AR:$AS</definedName>
    <definedName name="Z_297EFE82_2CEF_4698_9132_9CB35406BB94_.wvu.Cols" localSheetId="7" hidden="1">'1月'!$F:$G,'1月'!$J:$K,'1月'!$N:$O,'1月'!$R:$S,'1月'!$V:$W,'1月'!$Z:$AA,'1月'!$AD:$AE,'1月'!$AJ:$AK,'1月'!$AN:$AO,'1月'!$AR:$AS</definedName>
    <definedName name="Z_297EFE82_2CEF_4698_9132_9CB35406BB94_.wvu.Cols" localSheetId="8" hidden="1">'2月'!$F:$G,'2月'!$J:$K,'2月'!$N:$O,'2月'!$R:$S,'2月'!$V:$W,'2月'!$Z:$AA,'2月'!$AD:$AE,'2月'!$AJ:$AK,'2月'!$AN:$AO,'2月'!$AR:$AS</definedName>
    <definedName name="Z_297EFE82_2CEF_4698_9132_9CB35406BB94_.wvu.Cols" localSheetId="0" hidden="1">'6月'!$F:$G,'6月'!$J:$K,'6月'!$N:$O,'6月'!$R:$S,'6月'!$V:$W,'6月'!$Z:$AA,'6月'!$AD:$AE,'6月'!$AJ:$AK,'6月'!$AN:$AO,'6月'!$AR:$AS</definedName>
    <definedName name="Z_297EFE82_2CEF_4698_9132_9CB35406BB94_.wvu.Cols" localSheetId="1" hidden="1">'7月'!$F:$G,'7月'!$J:$K,'7月'!$N:$O,'7月'!$R:$S,'7月'!$V:$W,'7月'!$Z:$AA,'7月'!$AD:$AE,'7月'!$AJ:$AK,'7月'!$AN:$AO,'7月'!$AR:$AS</definedName>
    <definedName name="Z_297EFE82_2CEF_4698_9132_9CB35406BB94_.wvu.Cols" localSheetId="2" hidden="1">'8月'!$F:$G,'8月'!$J:$K,'8月'!$N:$O,'8月'!$R:$S,'8月'!$V:$W,'8月'!$Z:$AA,'8月'!$AD:$AE,'8月'!$AJ:$AK,'8月'!$AN:$AO,'8月'!$AR:$AS</definedName>
    <definedName name="Z_297EFE82_2CEF_4698_9132_9CB35406BB94_.wvu.Cols" localSheetId="3" hidden="1">'9月'!$F:$G,'9月'!$J:$K,'9月'!$N:$O,'9月'!$R:$S,'9月'!$V:$W,'9月'!$Z:$AA,'9月'!$AD:$AE,'9月'!$AJ:$AK,'9月'!$AN:$AO,'9月'!$AR:$AS</definedName>
    <definedName name="Z_297EFE82_2CEF_4698_9132_9CB35406BB94_.wvu.PrintArea" localSheetId="4" hidden="1">'10月'!$A$2:$AS$80</definedName>
    <definedName name="Z_297EFE82_2CEF_4698_9132_9CB35406BB94_.wvu.PrintArea" localSheetId="5" hidden="1">'11月'!$A$2:$AS$80</definedName>
    <definedName name="Z_297EFE82_2CEF_4698_9132_9CB35406BB94_.wvu.PrintArea" localSheetId="6" hidden="1">'12月'!$A$2:$AS$80</definedName>
    <definedName name="Z_297EFE82_2CEF_4698_9132_9CB35406BB94_.wvu.PrintArea" localSheetId="7" hidden="1">'1月'!$A$2:$AS$80</definedName>
    <definedName name="Z_297EFE82_2CEF_4698_9132_9CB35406BB94_.wvu.PrintArea" localSheetId="8" hidden="1">'2月'!$A$2:$AS$80</definedName>
    <definedName name="Z_297EFE82_2CEF_4698_9132_9CB35406BB94_.wvu.PrintArea" localSheetId="0" hidden="1">'6月'!$A$2:$AS$80</definedName>
    <definedName name="Z_297EFE82_2CEF_4698_9132_9CB35406BB94_.wvu.PrintArea" localSheetId="1" hidden="1">'7月'!$A$2:$AS$80</definedName>
    <definedName name="Z_297EFE82_2CEF_4698_9132_9CB35406BB94_.wvu.PrintArea" localSheetId="2" hidden="1">'8月'!$A$2:$AS$80</definedName>
    <definedName name="Z_297EFE82_2CEF_4698_9132_9CB35406BB94_.wvu.PrintArea" localSheetId="3" hidden="1">'9月'!$A$2:$AS$80</definedName>
    <definedName name="Z_643DF7C1_5642_11D4_BA5F_0020189830CC_.wvu.Cols" localSheetId="4" hidden="1">'10月'!$F:$G,'10月'!$J:$K,'10月'!$N:$O,'10月'!$R:$S,'10月'!$V:$W,'10月'!$Z:$AA,'10月'!$AD:$AE,'10月'!$AJ:$AK,'10月'!$AN:$AO,'10月'!$AR:$AS</definedName>
    <definedName name="Z_643DF7C1_5642_11D4_BA5F_0020189830CC_.wvu.Cols" localSheetId="5" hidden="1">'11月'!$F:$G,'11月'!$J:$K,'11月'!$N:$O,'11月'!$R:$S,'11月'!$V:$W,'11月'!$Z:$AA,'11月'!$AD:$AE,'11月'!$AJ:$AK,'11月'!$AN:$AO,'11月'!$AR:$AS</definedName>
    <definedName name="Z_643DF7C1_5642_11D4_BA5F_0020189830CC_.wvu.Cols" localSheetId="6" hidden="1">'12月'!$F:$G,'12月'!$J:$K,'12月'!$N:$O,'12月'!$R:$S,'12月'!$V:$W,'12月'!$Z:$AA,'12月'!$AD:$AE,'12月'!$AJ:$AK,'12月'!$AN:$AO,'12月'!$AR:$AS</definedName>
    <definedName name="Z_643DF7C1_5642_11D4_BA5F_0020189830CC_.wvu.Cols" localSheetId="7" hidden="1">'1月'!$F:$G,'1月'!$J:$K,'1月'!$N:$O,'1月'!$R:$S,'1月'!$V:$W,'1月'!$Z:$AA,'1月'!$AD:$AE,'1月'!$AJ:$AK,'1月'!$AN:$AO,'1月'!$AR:$AS</definedName>
    <definedName name="Z_643DF7C1_5642_11D4_BA5F_0020189830CC_.wvu.Cols" localSheetId="8" hidden="1">'2月'!$F:$G,'2月'!$J:$K,'2月'!$N:$O,'2月'!$R:$S,'2月'!$V:$W,'2月'!$Z:$AA,'2月'!$AD:$AE,'2月'!$AJ:$AK,'2月'!$AN:$AO,'2月'!$AR:$AS</definedName>
    <definedName name="Z_643DF7C1_5642_11D4_BA5F_0020189830CC_.wvu.Cols" localSheetId="0" hidden="1">'6月'!$F:$G,'6月'!$J:$K,'6月'!$N:$O,'6月'!$R:$S,'6月'!$V:$W,'6月'!$Z:$AA,'6月'!$AD:$AE,'6月'!$AJ:$AK,'6月'!$AN:$AO,'6月'!$AR:$AS</definedName>
    <definedName name="Z_643DF7C1_5642_11D4_BA5F_0020189830CC_.wvu.Cols" localSheetId="1" hidden="1">'7月'!$F:$G,'7月'!$J:$K,'7月'!$N:$O,'7月'!$R:$S,'7月'!$V:$W,'7月'!$Z:$AA,'7月'!$AD:$AE,'7月'!$AJ:$AK,'7月'!$AN:$AO,'7月'!$AR:$AS</definedName>
    <definedName name="Z_643DF7C1_5642_11D4_BA5F_0020189830CC_.wvu.Cols" localSheetId="2" hidden="1">'8月'!$F:$G,'8月'!$J:$K,'8月'!$N:$O,'8月'!$R:$S,'8月'!$V:$W,'8月'!$Z:$AA,'8月'!$AD:$AE,'8月'!$AJ:$AK,'8月'!$AN:$AO,'8月'!$AR:$AS</definedName>
    <definedName name="Z_643DF7C1_5642_11D4_BA5F_0020189830CC_.wvu.Cols" localSheetId="3" hidden="1">'9月'!$F:$G,'9月'!$J:$K,'9月'!$N:$O,'9月'!$R:$S,'9月'!$V:$W,'9月'!$Z:$AA,'9月'!$AD:$AE,'9月'!$AJ:$AK,'9月'!$AN:$AO,'9月'!$AR:$AS</definedName>
    <definedName name="Z_7420BB80_5658_11D4_BA5F_0020189827FE_.wvu.Cols" localSheetId="4" hidden="1">'10月'!$F:$G,'10月'!$J:$K,'10月'!$N:$O,'10月'!$R:$S,'10月'!$V:$W,'10月'!$Z:$AA,'10月'!$AD:$AE,'10月'!$AJ:$AK,'10月'!$AN:$AO,'10月'!$AR:$AS,'10月'!$BB:$BC</definedName>
    <definedName name="Z_7420BB80_5658_11D4_BA5F_0020189827FE_.wvu.Cols" localSheetId="5" hidden="1">'11月'!$F:$G,'11月'!$J:$K,'11月'!$N:$O,'11月'!$R:$S,'11月'!$V:$W,'11月'!$Z:$AA,'11月'!$AD:$AE,'11月'!$AJ:$AK,'11月'!$AN:$AO,'11月'!$AR:$AS,'11月'!$BB:$BC</definedName>
    <definedName name="Z_7420BB80_5658_11D4_BA5F_0020189827FE_.wvu.Cols" localSheetId="6" hidden="1">'12月'!$F:$G,'12月'!$J:$K,'12月'!$N:$O,'12月'!$R:$S,'12月'!$V:$W,'12月'!$Z:$AA,'12月'!$AD:$AE,'12月'!$AJ:$AK,'12月'!$AN:$AO,'12月'!$AR:$AS,'12月'!$BB:$BC</definedName>
    <definedName name="Z_7420BB80_5658_11D4_BA5F_0020189827FE_.wvu.Cols" localSheetId="7" hidden="1">'1月'!$F:$G,'1月'!$J:$K,'1月'!$N:$O,'1月'!$R:$S,'1月'!$V:$W,'1月'!$Z:$AA,'1月'!$AD:$AE,'1月'!$AJ:$AK,'1月'!$AN:$AO,'1月'!$AR:$AS,'1月'!$BB:$BC</definedName>
    <definedName name="Z_7420BB80_5658_11D4_BA5F_0020189827FE_.wvu.Cols" localSheetId="8" hidden="1">'2月'!$F:$G,'2月'!$J:$K,'2月'!$N:$O,'2月'!$R:$S,'2月'!$V:$W,'2月'!$Z:$AA,'2月'!$AD:$AE,'2月'!$AJ:$AK,'2月'!$AN:$AO,'2月'!$AR:$AS,'2月'!$BB:$BC</definedName>
    <definedName name="Z_7420BB80_5658_11D4_BA5F_0020189827FE_.wvu.Cols" localSheetId="0" hidden="1">'6月'!$F:$G,'6月'!$J:$K,'6月'!$N:$O,'6月'!$R:$S,'6月'!$V:$W,'6月'!$Z:$AA,'6月'!$AD:$AE,'6月'!$AJ:$AK,'6月'!$AN:$AO,'6月'!$AR:$AS,'6月'!$BB:$BC</definedName>
    <definedName name="Z_7420BB80_5658_11D4_BA5F_0020189827FE_.wvu.Cols" localSheetId="1" hidden="1">'7月'!$F:$G,'7月'!$J:$K,'7月'!$N:$O,'7月'!$R:$S,'7月'!$V:$W,'7月'!$Z:$AA,'7月'!$AD:$AE,'7月'!$AJ:$AK,'7月'!$AN:$AO,'7月'!$AR:$AS,'7月'!$BB:$BC</definedName>
    <definedName name="Z_7420BB80_5658_11D4_BA5F_0020189827FE_.wvu.Cols" localSheetId="2" hidden="1">'8月'!$F:$G,'8月'!$J:$K,'8月'!$N:$O,'8月'!$R:$S,'8月'!$V:$W,'8月'!$Z:$AA,'8月'!$AD:$AE,'8月'!$AJ:$AK,'8月'!$AN:$AO,'8月'!$AR:$AS,'8月'!$BB:$BC</definedName>
    <definedName name="Z_7420BB80_5658_11D4_BA5F_0020189827FE_.wvu.Cols" localSheetId="3" hidden="1">'9月'!$F:$G,'9月'!$J:$K,'9月'!$N:$O,'9月'!$R:$S,'9月'!$V:$W,'9月'!$Z:$AA,'9月'!$AD:$AE,'9月'!$AJ:$AK,'9月'!$AN:$AO,'9月'!$AR:$AS,'9月'!$BB:$BC</definedName>
    <definedName name="Z_7420BB80_5658_11D4_BA5F_0020189827FE_.wvu.PrintArea" localSheetId="4" hidden="1">'10月'!$A$2:$AS$80</definedName>
    <definedName name="Z_7420BB80_5658_11D4_BA5F_0020189827FE_.wvu.PrintArea" localSheetId="5" hidden="1">'11月'!$A$2:$AS$80</definedName>
    <definedName name="Z_7420BB80_5658_11D4_BA5F_0020189827FE_.wvu.PrintArea" localSheetId="6" hidden="1">'12月'!$A$2:$AS$80</definedName>
    <definedName name="Z_7420BB80_5658_11D4_BA5F_0020189827FE_.wvu.PrintArea" localSheetId="7" hidden="1">'1月'!$A$2:$AS$80</definedName>
    <definedName name="Z_7420BB80_5658_11D4_BA5F_0020189827FE_.wvu.PrintArea" localSheetId="8" hidden="1">'2月'!$A$2:$AS$80</definedName>
    <definedName name="Z_7420BB80_5658_11D4_BA5F_0020189827FE_.wvu.PrintArea" localSheetId="0" hidden="1">'6月'!$A$2:$AS$80</definedName>
    <definedName name="Z_7420BB80_5658_11D4_BA5F_0020189827FE_.wvu.PrintArea" localSheetId="1" hidden="1">'7月'!$A$2:$AS$80</definedName>
    <definedName name="Z_7420BB80_5658_11D4_BA5F_0020189827FE_.wvu.PrintArea" localSheetId="2" hidden="1">'8月'!$A$2:$AS$80</definedName>
    <definedName name="Z_7420BB80_5658_11D4_BA5F_0020189827FE_.wvu.PrintArea" localSheetId="3" hidden="1">'9月'!$A$2:$AS$80</definedName>
    <definedName name="Z_A4FE5D25_8428_11D6_97B0_0020189830CC_.wvu.Cols" localSheetId="4" hidden="1">'10月'!$F:$G,'10月'!$J:$K,'10月'!$N:$O,'10月'!$R:$S,'10月'!$V:$W,'10月'!$Z:$AA,'10月'!$AD:$AE,'10月'!$AJ:$AK,'10月'!$AN:$AO,'10月'!$AR:$AS</definedName>
    <definedName name="Z_A4FE5D25_8428_11D6_97B0_0020189830CC_.wvu.Cols" localSheetId="5" hidden="1">'11月'!$F:$G,'11月'!$J:$K,'11月'!$N:$O,'11月'!$R:$S,'11月'!$V:$W,'11月'!$Z:$AA,'11月'!$AD:$AE,'11月'!$AJ:$AK,'11月'!$AN:$AO,'11月'!$AR:$AS</definedName>
    <definedName name="Z_A4FE5D25_8428_11D6_97B0_0020189830CC_.wvu.Cols" localSheetId="6" hidden="1">'12月'!$F:$G,'12月'!$J:$K,'12月'!$N:$O,'12月'!$R:$S,'12月'!$V:$W,'12月'!$Z:$AA,'12月'!$AD:$AE,'12月'!$AJ:$AK,'12月'!$AN:$AO,'12月'!$AR:$AS</definedName>
    <definedName name="Z_A4FE5D25_8428_11D6_97B0_0020189830CC_.wvu.Cols" localSheetId="7" hidden="1">'1月'!$F:$G,'1月'!$J:$K,'1月'!$N:$O,'1月'!$R:$S,'1月'!$V:$W,'1月'!$Z:$AA,'1月'!$AD:$AE,'1月'!$AJ:$AK,'1月'!$AN:$AO,'1月'!$AR:$AS</definedName>
    <definedName name="Z_A4FE5D25_8428_11D6_97B0_0020189830CC_.wvu.Cols" localSheetId="8" hidden="1">'2月'!$F:$G,'2月'!$J:$K,'2月'!$N:$O,'2月'!$R:$S,'2月'!$V:$W,'2月'!$Z:$AA,'2月'!$AD:$AE,'2月'!$AJ:$AK,'2月'!$AN:$AO,'2月'!$AR:$AS</definedName>
    <definedName name="Z_A4FE5D25_8428_11D6_97B0_0020189830CC_.wvu.Cols" localSheetId="0" hidden="1">'6月'!$F:$G,'6月'!$J:$K,'6月'!$N:$O,'6月'!$R:$S,'6月'!$V:$W,'6月'!$Z:$AA,'6月'!$AD:$AE,'6月'!$AJ:$AK,'6月'!$AN:$AO,'6月'!$AR:$AS</definedName>
    <definedName name="Z_A4FE5D25_8428_11D6_97B0_0020189830CC_.wvu.Cols" localSheetId="1" hidden="1">'7月'!$F:$G,'7月'!$J:$K,'7月'!$N:$O,'7月'!$R:$S,'7月'!$V:$W,'7月'!$Z:$AA,'7月'!$AD:$AE,'7月'!$AJ:$AK,'7月'!$AN:$AO,'7月'!$AR:$AS</definedName>
    <definedName name="Z_A4FE5D25_8428_11D6_97B0_0020189830CC_.wvu.Cols" localSheetId="2" hidden="1">'8月'!$F:$G,'8月'!$J:$K,'8月'!$N:$O,'8月'!$R:$S,'8月'!$V:$W,'8月'!$Z:$AA,'8月'!$AD:$AE,'8月'!$AJ:$AK,'8月'!$AN:$AO,'8月'!$AR:$AS</definedName>
    <definedName name="Z_A4FE5D25_8428_11D6_97B0_0020189830CC_.wvu.Cols" localSheetId="3" hidden="1">'9月'!$F:$G,'9月'!$J:$K,'9月'!$N:$O,'9月'!$R:$S,'9月'!$V:$W,'9月'!$Z:$AA,'9月'!$AD:$AE,'9月'!$AJ:$AK,'9月'!$AN:$AO,'9月'!$AR:$AS</definedName>
    <definedName name="Z_A4FE5D25_8428_11D6_97B0_0020189830CC_.wvu.PrintArea" localSheetId="4" hidden="1">'10月'!$A$2:$AS$80</definedName>
    <definedName name="Z_A4FE5D25_8428_11D6_97B0_0020189830CC_.wvu.PrintArea" localSheetId="5" hidden="1">'11月'!$A$2:$AS$80</definedName>
    <definedName name="Z_A4FE5D25_8428_11D6_97B0_0020189830CC_.wvu.PrintArea" localSheetId="6" hidden="1">'12月'!$A$2:$AS$80</definedName>
    <definedName name="Z_A4FE5D25_8428_11D6_97B0_0020189830CC_.wvu.PrintArea" localSheetId="7" hidden="1">'1月'!$A$2:$AS$80</definedName>
    <definedName name="Z_A4FE5D25_8428_11D6_97B0_0020189830CC_.wvu.PrintArea" localSheetId="8" hidden="1">'2月'!$A$2:$AS$80</definedName>
    <definedName name="Z_A4FE5D25_8428_11D6_97B0_0020189830CC_.wvu.PrintArea" localSheetId="0" hidden="1">'6月'!$A$2:$AS$80</definedName>
    <definedName name="Z_A4FE5D25_8428_11D6_97B0_0020189830CC_.wvu.PrintArea" localSheetId="1" hidden="1">'7月'!$A$2:$AS$80</definedName>
    <definedName name="Z_A4FE5D25_8428_11D6_97B0_0020189830CC_.wvu.PrintArea" localSheetId="2" hidden="1">'8月'!$A$2:$AS$80</definedName>
    <definedName name="Z_A4FE5D25_8428_11D6_97B0_0020189830CC_.wvu.PrintArea" localSheetId="3" hidden="1">'9月'!$A$2:$AS$80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3" i="31" l="1"/>
  <c r="AD83" i="31"/>
  <c r="F83" i="31"/>
  <c r="AV77" i="31"/>
  <c r="AT77" i="31"/>
  <c r="AJ77" i="31"/>
  <c r="AF77" i="31"/>
  <c r="T77" i="31"/>
  <c r="P77" i="31"/>
  <c r="L77" i="31"/>
  <c r="H77" i="31"/>
  <c r="F77" i="31"/>
  <c r="D77" i="31"/>
  <c r="AV75" i="31"/>
  <c r="AT75" i="31"/>
  <c r="AJ75" i="31"/>
  <c r="AH75" i="31"/>
  <c r="AF75" i="31"/>
  <c r="AD75" i="31"/>
  <c r="T75" i="31"/>
  <c r="R75" i="31"/>
  <c r="P75" i="31"/>
  <c r="N75" i="31"/>
  <c r="L75" i="31"/>
  <c r="J75" i="31"/>
  <c r="H75" i="31"/>
  <c r="F75" i="31"/>
  <c r="D75" i="31"/>
  <c r="B75" i="31"/>
  <c r="AV74" i="31"/>
  <c r="AT74" i="31"/>
  <c r="AJ74" i="31"/>
  <c r="AH74" i="31"/>
  <c r="AF74" i="31"/>
  <c r="AD74" i="31"/>
  <c r="T74" i="31"/>
  <c r="R74" i="31"/>
  <c r="P74" i="31"/>
  <c r="N74" i="31"/>
  <c r="L74" i="31"/>
  <c r="J74" i="31"/>
  <c r="H74" i="31"/>
  <c r="F74" i="31"/>
  <c r="D74" i="31"/>
  <c r="B74" i="31"/>
  <c r="AV73" i="31"/>
  <c r="AT73" i="31"/>
  <c r="AJ73" i="31"/>
  <c r="AH73" i="31"/>
  <c r="AF73" i="31"/>
  <c r="AD73" i="31"/>
  <c r="T73" i="31"/>
  <c r="R73" i="31"/>
  <c r="P73" i="31"/>
  <c r="N73" i="31"/>
  <c r="L73" i="31"/>
  <c r="J73" i="31"/>
  <c r="H73" i="31"/>
  <c r="F73" i="31"/>
  <c r="D73" i="31"/>
  <c r="B73" i="31"/>
  <c r="AV72" i="31"/>
  <c r="AT72" i="31"/>
  <c r="AJ72" i="31"/>
  <c r="AH72" i="31"/>
  <c r="AF72" i="31"/>
  <c r="AD72" i="31"/>
  <c r="T72" i="31"/>
  <c r="R72" i="31"/>
  <c r="P72" i="31"/>
  <c r="N72" i="31"/>
  <c r="L72" i="31"/>
  <c r="J72" i="31"/>
  <c r="H72" i="31"/>
  <c r="F72" i="31"/>
  <c r="D72" i="31"/>
  <c r="B72" i="31"/>
  <c r="AV71" i="31"/>
  <c r="AT71" i="31"/>
  <c r="AJ71" i="31"/>
  <c r="AH71" i="31"/>
  <c r="AF71" i="31"/>
  <c r="AD71" i="31"/>
  <c r="T71" i="31"/>
  <c r="R71" i="31"/>
  <c r="P71" i="31"/>
  <c r="N71" i="31"/>
  <c r="L71" i="31"/>
  <c r="J71" i="31"/>
  <c r="H71" i="31"/>
  <c r="F71" i="31"/>
  <c r="D71" i="31"/>
  <c r="B71" i="31"/>
  <c r="AV70" i="31"/>
  <c r="AT70" i="31"/>
  <c r="AH70" i="31"/>
  <c r="AD70" i="31"/>
  <c r="R70" i="31"/>
  <c r="N70" i="31"/>
  <c r="J70" i="31"/>
  <c r="H70" i="31"/>
  <c r="F70" i="31"/>
  <c r="D70" i="31"/>
  <c r="B70" i="31"/>
  <c r="AV66" i="31"/>
  <c r="AT66" i="31"/>
  <c r="AJ66" i="31"/>
  <c r="AH66" i="31"/>
  <c r="AF66" i="31"/>
  <c r="AD66" i="31"/>
  <c r="T66" i="31"/>
  <c r="R66" i="31"/>
  <c r="P66" i="31"/>
  <c r="N66" i="31"/>
  <c r="L66" i="31"/>
  <c r="J66" i="31"/>
  <c r="H66" i="31"/>
  <c r="F66" i="31"/>
  <c r="D66" i="31"/>
  <c r="B66" i="31"/>
  <c r="AV65" i="31"/>
  <c r="AT65" i="31"/>
  <c r="AJ65" i="31"/>
  <c r="AH65" i="31"/>
  <c r="AF65" i="31"/>
  <c r="AD65" i="31"/>
  <c r="T65" i="31"/>
  <c r="R65" i="31"/>
  <c r="P65" i="31"/>
  <c r="N65" i="31"/>
  <c r="L65" i="31"/>
  <c r="J65" i="31"/>
  <c r="H65" i="31"/>
  <c r="F65" i="31"/>
  <c r="D65" i="31"/>
  <c r="B65" i="31"/>
  <c r="AV63" i="31"/>
  <c r="AT63" i="31"/>
  <c r="AJ63" i="31"/>
  <c r="AH63" i="31"/>
  <c r="AF63" i="31"/>
  <c r="AD63" i="31"/>
  <c r="T63" i="31"/>
  <c r="R63" i="31"/>
  <c r="P63" i="31"/>
  <c r="N63" i="31"/>
  <c r="L63" i="31"/>
  <c r="J63" i="31"/>
  <c r="H63" i="31"/>
  <c r="F63" i="31"/>
  <c r="D63" i="31"/>
  <c r="B63" i="31"/>
  <c r="AV61" i="31"/>
  <c r="AT61" i="31"/>
  <c r="AJ61" i="31"/>
  <c r="AH61" i="31"/>
  <c r="AF61" i="31"/>
  <c r="AD61" i="31"/>
  <c r="T61" i="31"/>
  <c r="R61" i="31"/>
  <c r="P61" i="31"/>
  <c r="N61" i="31"/>
  <c r="L61" i="31"/>
  <c r="J61" i="31"/>
  <c r="H61" i="31"/>
  <c r="F61" i="31"/>
  <c r="D61" i="31"/>
  <c r="B61" i="31"/>
  <c r="AV60" i="31"/>
  <c r="AT60" i="31"/>
  <c r="AJ60" i="31"/>
  <c r="AH60" i="31"/>
  <c r="AF60" i="31"/>
  <c r="AD60" i="31"/>
  <c r="T60" i="31"/>
  <c r="R60" i="31"/>
  <c r="P60" i="31"/>
  <c r="N60" i="31"/>
  <c r="L60" i="31"/>
  <c r="J60" i="31"/>
  <c r="H60" i="31"/>
  <c r="F60" i="31"/>
  <c r="D60" i="31"/>
  <c r="B60" i="31"/>
  <c r="AV59" i="31"/>
  <c r="AT59" i="31"/>
  <c r="AJ59" i="31"/>
  <c r="AH59" i="31"/>
  <c r="AF59" i="31"/>
  <c r="AD59" i="31"/>
  <c r="T59" i="31"/>
  <c r="R59" i="31"/>
  <c r="P59" i="31"/>
  <c r="N59" i="31"/>
  <c r="L59" i="31"/>
  <c r="J59" i="31"/>
  <c r="H59" i="31"/>
  <c r="F59" i="31"/>
  <c r="D59" i="31"/>
  <c r="B59" i="31"/>
  <c r="AV58" i="31"/>
  <c r="AT58" i="31"/>
  <c r="AJ58" i="31"/>
  <c r="AH58" i="31"/>
  <c r="AF58" i="31"/>
  <c r="AD58" i="31"/>
  <c r="T58" i="31"/>
  <c r="R58" i="31"/>
  <c r="P58" i="31"/>
  <c r="N58" i="31"/>
  <c r="L58" i="31"/>
  <c r="J58" i="31"/>
  <c r="H58" i="31"/>
  <c r="F58" i="31"/>
  <c r="D58" i="31"/>
  <c r="B58" i="31"/>
  <c r="AV57" i="31"/>
  <c r="AT57" i="31"/>
  <c r="AJ57" i="31"/>
  <c r="AH57" i="31"/>
  <c r="AF57" i="31"/>
  <c r="AD57" i="31"/>
  <c r="T57" i="31"/>
  <c r="R57" i="31"/>
  <c r="P57" i="31"/>
  <c r="N57" i="31"/>
  <c r="L57" i="31"/>
  <c r="J57" i="31"/>
  <c r="H57" i="31"/>
  <c r="F57" i="31"/>
  <c r="D57" i="31"/>
  <c r="B57" i="31"/>
  <c r="AV56" i="31"/>
  <c r="AT56" i="31"/>
  <c r="AJ56" i="31"/>
  <c r="AH56" i="31"/>
  <c r="AF56" i="31"/>
  <c r="AD56" i="31"/>
  <c r="T56" i="31"/>
  <c r="R56" i="31"/>
  <c r="P56" i="31"/>
  <c r="N56" i="31"/>
  <c r="L56" i="31"/>
  <c r="J56" i="31"/>
  <c r="H56" i="31"/>
  <c r="F56" i="31"/>
  <c r="D56" i="31"/>
  <c r="B56" i="31"/>
  <c r="AV55" i="31"/>
  <c r="AT55" i="31"/>
  <c r="AJ55" i="31"/>
  <c r="AH55" i="31"/>
  <c r="AF55" i="31"/>
  <c r="AD55" i="31"/>
  <c r="T55" i="31"/>
  <c r="R55" i="31"/>
  <c r="P55" i="31"/>
  <c r="N55" i="31"/>
  <c r="L55" i="31"/>
  <c r="J55" i="31"/>
  <c r="H55" i="31"/>
  <c r="F55" i="31"/>
  <c r="D55" i="31"/>
  <c r="B55" i="31"/>
  <c r="AV53" i="31"/>
  <c r="AT53" i="31"/>
  <c r="AJ53" i="31"/>
  <c r="AH53" i="31"/>
  <c r="AF53" i="31"/>
  <c r="AD53" i="31"/>
  <c r="T53" i="31"/>
  <c r="R53" i="31"/>
  <c r="P53" i="31"/>
  <c r="N53" i="31"/>
  <c r="L53" i="31"/>
  <c r="J53" i="31"/>
  <c r="H53" i="31"/>
  <c r="F53" i="31"/>
  <c r="D53" i="31"/>
  <c r="B53" i="31"/>
  <c r="AV52" i="31"/>
  <c r="AT52" i="31"/>
  <c r="AJ52" i="31"/>
  <c r="AH52" i="31"/>
  <c r="AF52" i="31"/>
  <c r="AD52" i="31"/>
  <c r="T52" i="31"/>
  <c r="R52" i="31"/>
  <c r="P52" i="31"/>
  <c r="N52" i="31"/>
  <c r="L52" i="31"/>
  <c r="J52" i="31"/>
  <c r="H52" i="31"/>
  <c r="F52" i="31"/>
  <c r="D52" i="31"/>
  <c r="B52" i="31"/>
  <c r="AV51" i="31"/>
  <c r="AT51" i="31"/>
  <c r="AJ51" i="31"/>
  <c r="AH51" i="31"/>
  <c r="AF51" i="31"/>
  <c r="AD51" i="31"/>
  <c r="T51" i="31"/>
  <c r="R51" i="31"/>
  <c r="P51" i="31"/>
  <c r="N51" i="31"/>
  <c r="L51" i="31"/>
  <c r="J51" i="31"/>
  <c r="H51" i="31"/>
  <c r="F51" i="31"/>
  <c r="D51" i="31"/>
  <c r="B51" i="31"/>
  <c r="AV50" i="31"/>
  <c r="AT50" i="31"/>
  <c r="AJ50" i="31"/>
  <c r="AH50" i="31"/>
  <c r="AF50" i="31"/>
  <c r="AD50" i="31"/>
  <c r="T50" i="31"/>
  <c r="R50" i="31"/>
  <c r="P50" i="31"/>
  <c r="N50" i="31"/>
  <c r="L50" i="31"/>
  <c r="J50" i="31"/>
  <c r="H50" i="31"/>
  <c r="F50" i="31"/>
  <c r="D50" i="31"/>
  <c r="B50" i="31"/>
  <c r="AV49" i="31"/>
  <c r="AT49" i="31"/>
  <c r="AJ49" i="31"/>
  <c r="AH49" i="31"/>
  <c r="AF49" i="31"/>
  <c r="AD49" i="31"/>
  <c r="T49" i="31"/>
  <c r="R49" i="31"/>
  <c r="P49" i="31"/>
  <c r="N49" i="31"/>
  <c r="L49" i="31"/>
  <c r="J49" i="31"/>
  <c r="H49" i="31"/>
  <c r="F49" i="31"/>
  <c r="D49" i="31"/>
  <c r="B49" i="31"/>
  <c r="AV46" i="31"/>
  <c r="AT46" i="31"/>
  <c r="AJ46" i="31"/>
  <c r="AH46" i="31"/>
  <c r="AF46" i="31"/>
  <c r="AD46" i="31"/>
  <c r="T46" i="31"/>
  <c r="R46" i="31"/>
  <c r="P46" i="31"/>
  <c r="N46" i="31"/>
  <c r="L46" i="31"/>
  <c r="J46" i="31"/>
  <c r="H46" i="31"/>
  <c r="F46" i="31"/>
  <c r="D46" i="31"/>
  <c r="B46" i="31"/>
  <c r="AV45" i="31"/>
  <c r="AT45" i="31"/>
  <c r="AJ45" i="31"/>
  <c r="AH45" i="31"/>
  <c r="AF45" i="31"/>
  <c r="AD45" i="31"/>
  <c r="T45" i="31"/>
  <c r="R45" i="31"/>
  <c r="P45" i="31"/>
  <c r="N45" i="31"/>
  <c r="L45" i="31"/>
  <c r="J45" i="31"/>
  <c r="H45" i="31"/>
  <c r="F45" i="31"/>
  <c r="D45" i="31"/>
  <c r="B45" i="31"/>
  <c r="AV44" i="31"/>
  <c r="AT44" i="31"/>
  <c r="AJ44" i="31"/>
  <c r="AH44" i="31"/>
  <c r="AF44" i="31"/>
  <c r="AD44" i="31"/>
  <c r="T44" i="31"/>
  <c r="R44" i="31"/>
  <c r="P44" i="31"/>
  <c r="N44" i="31"/>
  <c r="L44" i="31"/>
  <c r="J44" i="31"/>
  <c r="H44" i="31"/>
  <c r="F44" i="31"/>
  <c r="D44" i="31"/>
  <c r="B44" i="31"/>
  <c r="AV43" i="31"/>
  <c r="AT43" i="31"/>
  <c r="AJ43" i="31"/>
  <c r="AH43" i="31"/>
  <c r="AF43" i="31"/>
  <c r="AD43" i="31"/>
  <c r="T43" i="31"/>
  <c r="R43" i="31"/>
  <c r="P43" i="31"/>
  <c r="N43" i="31"/>
  <c r="L43" i="31"/>
  <c r="J43" i="31"/>
  <c r="H43" i="31"/>
  <c r="F43" i="31"/>
  <c r="D43" i="31"/>
  <c r="B43" i="31"/>
  <c r="AV42" i="31"/>
  <c r="AT42" i="31"/>
  <c r="AJ42" i="31"/>
  <c r="AH42" i="31"/>
  <c r="AF42" i="31"/>
  <c r="AD42" i="31"/>
  <c r="T42" i="31"/>
  <c r="R42" i="31"/>
  <c r="P42" i="31"/>
  <c r="N42" i="31"/>
  <c r="L42" i="31"/>
  <c r="J42" i="31"/>
  <c r="H42" i="31"/>
  <c r="F42" i="31"/>
  <c r="D42" i="31"/>
  <c r="B42" i="31"/>
  <c r="AV41" i="31"/>
  <c r="AT41" i="31"/>
  <c r="AJ41" i="31"/>
  <c r="AH41" i="31"/>
  <c r="AF41" i="31"/>
  <c r="AD41" i="31"/>
  <c r="T41" i="31"/>
  <c r="R41" i="31"/>
  <c r="P41" i="31"/>
  <c r="N41" i="31"/>
  <c r="L41" i="31"/>
  <c r="J41" i="31"/>
  <c r="H41" i="31"/>
  <c r="F41" i="31"/>
  <c r="D41" i="31"/>
  <c r="B41" i="31"/>
  <c r="AV40" i="31"/>
  <c r="AT40" i="31"/>
  <c r="AJ40" i="31"/>
  <c r="AH40" i="31"/>
  <c r="AF40" i="31"/>
  <c r="AD40" i="31"/>
  <c r="T40" i="31"/>
  <c r="R40" i="31"/>
  <c r="P40" i="31"/>
  <c r="N40" i="31"/>
  <c r="L40" i="31"/>
  <c r="J40" i="31"/>
  <c r="H40" i="31"/>
  <c r="F40" i="31"/>
  <c r="D40" i="31"/>
  <c r="B40" i="31"/>
  <c r="AV39" i="31"/>
  <c r="AT39" i="31"/>
  <c r="AJ39" i="31"/>
  <c r="AH39" i="31"/>
  <c r="AF39" i="31"/>
  <c r="AD39" i="31"/>
  <c r="T39" i="31"/>
  <c r="R39" i="31"/>
  <c r="P39" i="31"/>
  <c r="N39" i="31"/>
  <c r="L39" i="31"/>
  <c r="J39" i="31"/>
  <c r="H39" i="31"/>
  <c r="F39" i="31"/>
  <c r="D39" i="31"/>
  <c r="B39" i="31"/>
  <c r="AV38" i="31"/>
  <c r="AT38" i="31"/>
  <c r="AJ38" i="31"/>
  <c r="AH38" i="31"/>
  <c r="AF38" i="31"/>
  <c r="AD38" i="31"/>
  <c r="T38" i="31"/>
  <c r="R38" i="31"/>
  <c r="P38" i="31"/>
  <c r="N38" i="31"/>
  <c r="L38" i="31"/>
  <c r="J38" i="31"/>
  <c r="H38" i="31"/>
  <c r="F38" i="31"/>
  <c r="D38" i="31"/>
  <c r="B38" i="31"/>
  <c r="AV37" i="31"/>
  <c r="AT37" i="31"/>
  <c r="AJ37" i="31"/>
  <c r="AH37" i="31"/>
  <c r="AF37" i="31"/>
  <c r="AD37" i="31"/>
  <c r="T37" i="31"/>
  <c r="R37" i="31"/>
  <c r="P37" i="31"/>
  <c r="N37" i="31"/>
  <c r="L37" i="31"/>
  <c r="J37" i="31"/>
  <c r="H37" i="31"/>
  <c r="F37" i="31"/>
  <c r="D37" i="31"/>
  <c r="B37" i="31"/>
  <c r="AV36" i="31"/>
  <c r="AT36" i="31"/>
  <c r="AJ36" i="31"/>
  <c r="AH36" i="31"/>
  <c r="AF36" i="31"/>
  <c r="AD36" i="31"/>
  <c r="T36" i="31"/>
  <c r="R36" i="31"/>
  <c r="P36" i="31"/>
  <c r="N36" i="31"/>
  <c r="L36" i="31"/>
  <c r="J36" i="31"/>
  <c r="H36" i="31"/>
  <c r="F36" i="31"/>
  <c r="D36" i="31"/>
  <c r="B36" i="31"/>
  <c r="AV35" i="31"/>
  <c r="AT35" i="31"/>
  <c r="AJ35" i="31"/>
  <c r="AH35" i="31"/>
  <c r="AF35" i="31"/>
  <c r="AD35" i="31"/>
  <c r="T35" i="31"/>
  <c r="R35" i="31"/>
  <c r="P35" i="31"/>
  <c r="N35" i="31"/>
  <c r="L35" i="31"/>
  <c r="J35" i="31"/>
  <c r="H35" i="31"/>
  <c r="F35" i="31"/>
  <c r="D35" i="31"/>
  <c r="B35" i="31"/>
  <c r="AV34" i="31"/>
  <c r="AT34" i="31"/>
  <c r="AJ34" i="31"/>
  <c r="AH34" i="31"/>
  <c r="AF34" i="31"/>
  <c r="AD34" i="31"/>
  <c r="T34" i="31"/>
  <c r="R34" i="31"/>
  <c r="P34" i="31"/>
  <c r="N34" i="31"/>
  <c r="L34" i="31"/>
  <c r="J34" i="31"/>
  <c r="H34" i="31"/>
  <c r="F34" i="31"/>
  <c r="D34" i="31"/>
  <c r="B34" i="31"/>
  <c r="AV33" i="31"/>
  <c r="AT33" i="31"/>
  <c r="AJ33" i="31"/>
  <c r="AH33" i="31"/>
  <c r="AF33" i="31"/>
  <c r="AD33" i="31"/>
  <c r="T33" i="31"/>
  <c r="R33" i="31"/>
  <c r="P33" i="31"/>
  <c r="N33" i="31"/>
  <c r="L33" i="31"/>
  <c r="J33" i="31"/>
  <c r="H33" i="31"/>
  <c r="F33" i="31"/>
  <c r="D33" i="31"/>
  <c r="B33" i="31"/>
  <c r="AV32" i="31"/>
  <c r="AT32" i="31"/>
  <c r="AJ32" i="31"/>
  <c r="AH32" i="31"/>
  <c r="AF32" i="31"/>
  <c r="AD32" i="31"/>
  <c r="T32" i="31"/>
  <c r="R32" i="31"/>
  <c r="P32" i="31"/>
  <c r="N32" i="31"/>
  <c r="L32" i="31"/>
  <c r="J32" i="31"/>
  <c r="H32" i="31"/>
  <c r="F32" i="31"/>
  <c r="D32" i="31"/>
  <c r="B32" i="31"/>
  <c r="AV31" i="31"/>
  <c r="AT31" i="31"/>
  <c r="AJ31" i="31"/>
  <c r="AH31" i="31"/>
  <c r="AF31" i="31"/>
  <c r="AD31" i="31"/>
  <c r="T31" i="31"/>
  <c r="R31" i="31"/>
  <c r="P31" i="31"/>
  <c r="N31" i="31"/>
  <c r="L31" i="31"/>
  <c r="J31" i="31"/>
  <c r="H31" i="31"/>
  <c r="F31" i="31"/>
  <c r="D31" i="31"/>
  <c r="B31" i="31"/>
  <c r="AV30" i="31"/>
  <c r="AT30" i="31"/>
  <c r="AJ30" i="31"/>
  <c r="AH30" i="31"/>
  <c r="AF30" i="31"/>
  <c r="AD30" i="31"/>
  <c r="T30" i="31"/>
  <c r="R30" i="31"/>
  <c r="P30" i="31"/>
  <c r="N30" i="31"/>
  <c r="L30" i="31"/>
  <c r="J30" i="31"/>
  <c r="H30" i="31"/>
  <c r="F30" i="31"/>
  <c r="D30" i="31"/>
  <c r="B30" i="31"/>
  <c r="AV29" i="31"/>
  <c r="AT29" i="31"/>
  <c r="AJ29" i="31"/>
  <c r="AH29" i="31"/>
  <c r="AF29" i="31"/>
  <c r="AD29" i="31"/>
  <c r="T29" i="31"/>
  <c r="R29" i="31"/>
  <c r="P29" i="31"/>
  <c r="N29" i="31"/>
  <c r="L29" i="31"/>
  <c r="J29" i="31"/>
  <c r="H29" i="31"/>
  <c r="F29" i="31"/>
  <c r="D29" i="31"/>
  <c r="B29" i="31"/>
  <c r="AV28" i="31"/>
  <c r="AT28" i="31"/>
  <c r="AJ28" i="31"/>
  <c r="AH28" i="31"/>
  <c r="AF28" i="31"/>
  <c r="AD28" i="31"/>
  <c r="T28" i="31"/>
  <c r="R28" i="31"/>
  <c r="P28" i="31"/>
  <c r="N28" i="31"/>
  <c r="L28" i="31"/>
  <c r="J28" i="31"/>
  <c r="H28" i="31"/>
  <c r="F28" i="31"/>
  <c r="D28" i="31"/>
  <c r="B28" i="31"/>
  <c r="AV27" i="31"/>
  <c r="AT27" i="31"/>
  <c r="AJ27" i="31"/>
  <c r="AH27" i="31"/>
  <c r="AF27" i="31"/>
  <c r="AD27" i="31"/>
  <c r="T27" i="31"/>
  <c r="R27" i="31"/>
  <c r="P27" i="31"/>
  <c r="N27" i="31"/>
  <c r="L27" i="31"/>
  <c r="J27" i="31"/>
  <c r="H27" i="31"/>
  <c r="F27" i="31"/>
  <c r="D27" i="31"/>
  <c r="B27" i="31"/>
  <c r="AV26" i="31"/>
  <c r="AT26" i="31"/>
  <c r="AJ26" i="31"/>
  <c r="AH26" i="31"/>
  <c r="AF26" i="31"/>
  <c r="AD26" i="31"/>
  <c r="T26" i="31"/>
  <c r="R26" i="31"/>
  <c r="P26" i="31"/>
  <c r="N26" i="31"/>
  <c r="L26" i="31"/>
  <c r="J26" i="31"/>
  <c r="H26" i="31"/>
  <c r="F26" i="31"/>
  <c r="D26" i="31"/>
  <c r="B26" i="31"/>
  <c r="AV25" i="31"/>
  <c r="AT25" i="31"/>
  <c r="AJ25" i="31"/>
  <c r="AH25" i="31"/>
  <c r="AF25" i="31"/>
  <c r="AD25" i="31"/>
  <c r="T25" i="31"/>
  <c r="R25" i="31"/>
  <c r="P25" i="31"/>
  <c r="N25" i="31"/>
  <c r="L25" i="31"/>
  <c r="J25" i="31"/>
  <c r="H25" i="31"/>
  <c r="F25" i="31"/>
  <c r="D25" i="31"/>
  <c r="B25" i="31"/>
  <c r="AV24" i="31"/>
  <c r="AT24" i="31"/>
  <c r="AJ24" i="31"/>
  <c r="AH24" i="31"/>
  <c r="AF24" i="31"/>
  <c r="AD24" i="31"/>
  <c r="T24" i="31"/>
  <c r="R24" i="31"/>
  <c r="P24" i="31"/>
  <c r="N24" i="31"/>
  <c r="L24" i="31"/>
  <c r="J24" i="31"/>
  <c r="H24" i="31"/>
  <c r="F24" i="31"/>
  <c r="D24" i="31"/>
  <c r="B24" i="31"/>
  <c r="AV23" i="31"/>
  <c r="AT23" i="31"/>
  <c r="AJ23" i="31"/>
  <c r="AH23" i="31"/>
  <c r="AF23" i="31"/>
  <c r="AD23" i="31"/>
  <c r="T23" i="31"/>
  <c r="R23" i="31"/>
  <c r="P23" i="31"/>
  <c r="N23" i="31"/>
  <c r="L23" i="31"/>
  <c r="J23" i="31"/>
  <c r="H23" i="31"/>
  <c r="F23" i="31"/>
  <c r="D23" i="31"/>
  <c r="B23" i="31"/>
  <c r="AV22" i="31"/>
  <c r="AT22" i="31"/>
  <c r="AJ22" i="31"/>
  <c r="AH22" i="31"/>
  <c r="AF22" i="31"/>
  <c r="AD22" i="31"/>
  <c r="T22" i="31"/>
  <c r="R22" i="31"/>
  <c r="P22" i="31"/>
  <c r="N22" i="31"/>
  <c r="L22" i="31"/>
  <c r="J22" i="31"/>
  <c r="H22" i="31"/>
  <c r="F22" i="31"/>
  <c r="D22" i="31"/>
  <c r="B22" i="31"/>
  <c r="AV21" i="31"/>
  <c r="AT21" i="31"/>
  <c r="AJ21" i="31"/>
  <c r="AH21" i="31"/>
  <c r="AF21" i="31"/>
  <c r="AD21" i="31"/>
  <c r="T21" i="31"/>
  <c r="R21" i="31"/>
  <c r="P21" i="31"/>
  <c r="N21" i="31"/>
  <c r="L21" i="31"/>
  <c r="J21" i="31"/>
  <c r="H21" i="31"/>
  <c r="F21" i="31"/>
  <c r="D21" i="31"/>
  <c r="B21" i="31"/>
  <c r="AV20" i="31"/>
  <c r="AT20" i="31"/>
  <c r="AJ20" i="31"/>
  <c r="AH20" i="31"/>
  <c r="AF20" i="31"/>
  <c r="AD20" i="31"/>
  <c r="T20" i="31"/>
  <c r="R20" i="31"/>
  <c r="P20" i="31"/>
  <c r="N20" i="31"/>
  <c r="L20" i="31"/>
  <c r="J20" i="31"/>
  <c r="H20" i="31"/>
  <c r="F20" i="31"/>
  <c r="D20" i="31"/>
  <c r="B20" i="31"/>
  <c r="AV19" i="31"/>
  <c r="AT19" i="31"/>
  <c r="AJ19" i="31"/>
  <c r="AH19" i="31"/>
  <c r="AF19" i="31"/>
  <c r="AD19" i="31"/>
  <c r="T19" i="31"/>
  <c r="R19" i="31"/>
  <c r="P19" i="31"/>
  <c r="N19" i="31"/>
  <c r="L19" i="31"/>
  <c r="J19" i="31"/>
  <c r="H19" i="31"/>
  <c r="F19" i="31"/>
  <c r="D19" i="31"/>
  <c r="B19" i="31"/>
  <c r="AV16" i="31"/>
  <c r="AT16" i="31"/>
  <c r="AJ16" i="31"/>
  <c r="AF16" i="31"/>
  <c r="AD16" i="31"/>
  <c r="T16" i="31"/>
  <c r="P16" i="31"/>
  <c r="L16" i="31"/>
  <c r="H16" i="31"/>
  <c r="F16" i="31"/>
  <c r="AV15" i="31"/>
  <c r="AT15" i="31"/>
  <c r="AJ15" i="31"/>
  <c r="AH15" i="31"/>
  <c r="AF15" i="31"/>
  <c r="AD15" i="31"/>
  <c r="T15" i="31"/>
  <c r="P15" i="31"/>
  <c r="N15" i="31"/>
  <c r="L15" i="31"/>
  <c r="J15" i="31"/>
  <c r="H15" i="31"/>
  <c r="F15" i="31"/>
  <c r="AV14" i="31"/>
  <c r="AT14" i="31"/>
  <c r="AJ14" i="31"/>
  <c r="AF14" i="31"/>
  <c r="AD14" i="31"/>
  <c r="T14" i="31"/>
  <c r="P14" i="31"/>
  <c r="L14" i="31"/>
  <c r="H14" i="31"/>
  <c r="F14" i="31"/>
  <c r="AV13" i="31"/>
  <c r="AT13" i="31"/>
  <c r="AJ13" i="31"/>
  <c r="AF13" i="31"/>
  <c r="T13" i="31"/>
  <c r="P13" i="31"/>
  <c r="N13" i="31"/>
  <c r="L13" i="31"/>
  <c r="H13" i="31"/>
  <c r="AV12" i="31"/>
  <c r="AT12" i="31"/>
  <c r="AJ12" i="31"/>
  <c r="AF12" i="31"/>
  <c r="AD12" i="31"/>
  <c r="T12" i="31"/>
  <c r="P12" i="31"/>
  <c r="N12" i="31"/>
  <c r="L12" i="31"/>
  <c r="J12" i="31"/>
  <c r="H12" i="31"/>
  <c r="F12" i="31"/>
  <c r="AV10" i="31"/>
  <c r="AT10" i="31"/>
  <c r="AJ10" i="31"/>
  <c r="AH10" i="31"/>
  <c r="AF10" i="31"/>
  <c r="AD10" i="31"/>
  <c r="T10" i="31"/>
  <c r="P10" i="31"/>
  <c r="N10" i="31"/>
  <c r="L10" i="31"/>
  <c r="J10" i="31"/>
  <c r="H10" i="31"/>
  <c r="F10" i="31"/>
  <c r="AV9" i="31"/>
  <c r="AT9" i="31"/>
  <c r="AJ9" i="31"/>
  <c r="AH9" i="31"/>
  <c r="AF9" i="31"/>
  <c r="AD9" i="31"/>
  <c r="T9" i="31"/>
  <c r="P9" i="31"/>
  <c r="N9" i="31"/>
  <c r="L9" i="31"/>
  <c r="J9" i="31"/>
  <c r="H9" i="31"/>
  <c r="F9" i="31"/>
  <c r="AV8" i="31"/>
  <c r="AT8" i="31"/>
  <c r="AJ8" i="31"/>
  <c r="AH8" i="31"/>
  <c r="AF8" i="31"/>
  <c r="AD8" i="31"/>
  <c r="T8" i="31"/>
  <c r="P8" i="31"/>
  <c r="N8" i="31"/>
  <c r="L8" i="31"/>
  <c r="J8" i="31"/>
  <c r="H8" i="31"/>
  <c r="F8" i="31"/>
  <c r="AV7" i="31"/>
  <c r="AT7" i="31"/>
  <c r="AJ7" i="31"/>
  <c r="AH7" i="31"/>
  <c r="AF7" i="31"/>
  <c r="AD7" i="31"/>
  <c r="T7" i="31"/>
  <c r="P7" i="31"/>
  <c r="N7" i="31"/>
  <c r="L7" i="31"/>
  <c r="J7" i="31"/>
  <c r="H7" i="31"/>
  <c r="F7" i="31"/>
  <c r="AV6" i="31"/>
  <c r="AT6" i="31"/>
  <c r="AJ6" i="31"/>
  <c r="AH6" i="31"/>
  <c r="AF6" i="31"/>
  <c r="AD6" i="31"/>
  <c r="T6" i="31"/>
  <c r="P6" i="31"/>
  <c r="N6" i="31"/>
  <c r="L6" i="31"/>
  <c r="J6" i="31"/>
  <c r="H6" i="31"/>
  <c r="F6" i="31"/>
  <c r="AV70" i="30"/>
  <c r="AT70" i="30"/>
  <c r="AT83" i="30" l="1"/>
  <c r="AD83" i="30"/>
  <c r="F83" i="30"/>
  <c r="AV77" i="30"/>
  <c r="AT77" i="30"/>
  <c r="AJ77" i="30"/>
  <c r="AF77" i="30"/>
  <c r="T77" i="30"/>
  <c r="P77" i="30"/>
  <c r="L77" i="30"/>
  <c r="H77" i="30"/>
  <c r="F77" i="30"/>
  <c r="D77" i="30"/>
  <c r="AV75" i="30"/>
  <c r="AT75" i="30"/>
  <c r="AJ75" i="30"/>
  <c r="AH75" i="30"/>
  <c r="AF75" i="30"/>
  <c r="AD75" i="30"/>
  <c r="T75" i="30"/>
  <c r="R75" i="30"/>
  <c r="P75" i="30"/>
  <c r="N75" i="30"/>
  <c r="L75" i="30"/>
  <c r="J75" i="30"/>
  <c r="H75" i="30"/>
  <c r="F75" i="30"/>
  <c r="D75" i="30"/>
  <c r="B75" i="30"/>
  <c r="AV74" i="30"/>
  <c r="AT74" i="30"/>
  <c r="AJ74" i="30"/>
  <c r="AH74" i="30"/>
  <c r="AF74" i="30"/>
  <c r="AD74" i="30"/>
  <c r="T74" i="30"/>
  <c r="R74" i="30"/>
  <c r="P74" i="30"/>
  <c r="N74" i="30"/>
  <c r="L74" i="30"/>
  <c r="J74" i="30"/>
  <c r="H74" i="30"/>
  <c r="F74" i="30"/>
  <c r="D74" i="30"/>
  <c r="B74" i="30"/>
  <c r="AV73" i="30"/>
  <c r="AT73" i="30"/>
  <c r="AJ73" i="30"/>
  <c r="AH73" i="30"/>
  <c r="AF73" i="30"/>
  <c r="AD73" i="30"/>
  <c r="T73" i="30"/>
  <c r="R73" i="30"/>
  <c r="P73" i="30"/>
  <c r="N73" i="30"/>
  <c r="L73" i="30"/>
  <c r="J73" i="30"/>
  <c r="H73" i="30"/>
  <c r="F73" i="30"/>
  <c r="D73" i="30"/>
  <c r="B73" i="30"/>
  <c r="AV72" i="30"/>
  <c r="AT72" i="30"/>
  <c r="AJ72" i="30"/>
  <c r="AH72" i="30"/>
  <c r="AF72" i="30"/>
  <c r="AD72" i="30"/>
  <c r="T72" i="30"/>
  <c r="R72" i="30"/>
  <c r="P72" i="30"/>
  <c r="N72" i="30"/>
  <c r="L72" i="30"/>
  <c r="J72" i="30"/>
  <c r="H72" i="30"/>
  <c r="F72" i="30"/>
  <c r="D72" i="30"/>
  <c r="B72" i="30"/>
  <c r="AV71" i="30"/>
  <c r="AT71" i="30"/>
  <c r="AJ71" i="30"/>
  <c r="AH71" i="30"/>
  <c r="AF71" i="30"/>
  <c r="AD71" i="30"/>
  <c r="T71" i="30"/>
  <c r="R71" i="30"/>
  <c r="P71" i="30"/>
  <c r="N71" i="30"/>
  <c r="L71" i="30"/>
  <c r="J71" i="30"/>
  <c r="H71" i="30"/>
  <c r="F71" i="30"/>
  <c r="D71" i="30"/>
  <c r="B71" i="30"/>
  <c r="AH70" i="30"/>
  <c r="AD70" i="30"/>
  <c r="R70" i="30"/>
  <c r="N70" i="30"/>
  <c r="J70" i="30"/>
  <c r="H70" i="30"/>
  <c r="F70" i="30"/>
  <c r="D70" i="30"/>
  <c r="B70" i="30"/>
  <c r="AV66" i="30"/>
  <c r="AT66" i="30"/>
  <c r="AJ66" i="30"/>
  <c r="AH66" i="30"/>
  <c r="AF66" i="30"/>
  <c r="AD66" i="30"/>
  <c r="T66" i="30"/>
  <c r="R66" i="30"/>
  <c r="P66" i="30"/>
  <c r="N66" i="30"/>
  <c r="L66" i="30"/>
  <c r="J66" i="30"/>
  <c r="H66" i="30"/>
  <c r="F66" i="30"/>
  <c r="D66" i="30"/>
  <c r="B66" i="30"/>
  <c r="AV65" i="30"/>
  <c r="AT65" i="30"/>
  <c r="AJ65" i="30"/>
  <c r="AH65" i="30"/>
  <c r="AF65" i="30"/>
  <c r="AD65" i="30"/>
  <c r="T65" i="30"/>
  <c r="R65" i="30"/>
  <c r="P65" i="30"/>
  <c r="N65" i="30"/>
  <c r="L65" i="30"/>
  <c r="J65" i="30"/>
  <c r="H65" i="30"/>
  <c r="F65" i="30"/>
  <c r="D65" i="30"/>
  <c r="B65" i="30"/>
  <c r="AV63" i="30"/>
  <c r="AT63" i="30"/>
  <c r="AJ63" i="30"/>
  <c r="AH63" i="30"/>
  <c r="AF63" i="30"/>
  <c r="AD63" i="30"/>
  <c r="T63" i="30"/>
  <c r="R63" i="30"/>
  <c r="P63" i="30"/>
  <c r="N63" i="30"/>
  <c r="L63" i="30"/>
  <c r="J63" i="30"/>
  <c r="H63" i="30"/>
  <c r="F63" i="30"/>
  <c r="D63" i="30"/>
  <c r="B63" i="30"/>
  <c r="AV61" i="30"/>
  <c r="AT61" i="30"/>
  <c r="AJ61" i="30"/>
  <c r="AH61" i="30"/>
  <c r="AF61" i="30"/>
  <c r="AD61" i="30"/>
  <c r="T61" i="30"/>
  <c r="R61" i="30"/>
  <c r="P61" i="30"/>
  <c r="N61" i="30"/>
  <c r="L61" i="30"/>
  <c r="J61" i="30"/>
  <c r="H61" i="30"/>
  <c r="F61" i="30"/>
  <c r="D61" i="30"/>
  <c r="B61" i="30"/>
  <c r="AV60" i="30"/>
  <c r="AT60" i="30"/>
  <c r="AJ60" i="30"/>
  <c r="AH60" i="30"/>
  <c r="AF60" i="30"/>
  <c r="AD60" i="30"/>
  <c r="T60" i="30"/>
  <c r="R60" i="30"/>
  <c r="P60" i="30"/>
  <c r="N60" i="30"/>
  <c r="L60" i="30"/>
  <c r="J60" i="30"/>
  <c r="H60" i="30"/>
  <c r="F60" i="30"/>
  <c r="D60" i="30"/>
  <c r="B60" i="30"/>
  <c r="AV59" i="30"/>
  <c r="AT59" i="30"/>
  <c r="AJ59" i="30"/>
  <c r="AH59" i="30"/>
  <c r="AF59" i="30"/>
  <c r="AD59" i="30"/>
  <c r="T59" i="30"/>
  <c r="R59" i="30"/>
  <c r="P59" i="30"/>
  <c r="N59" i="30"/>
  <c r="L59" i="30"/>
  <c r="J59" i="30"/>
  <c r="H59" i="30"/>
  <c r="F59" i="30"/>
  <c r="D59" i="30"/>
  <c r="B59" i="30"/>
  <c r="AV58" i="30"/>
  <c r="AT58" i="30"/>
  <c r="AJ58" i="30"/>
  <c r="AH58" i="30"/>
  <c r="AF58" i="30"/>
  <c r="AD58" i="30"/>
  <c r="T58" i="30"/>
  <c r="R58" i="30"/>
  <c r="P58" i="30"/>
  <c r="N58" i="30"/>
  <c r="L58" i="30"/>
  <c r="J58" i="30"/>
  <c r="H58" i="30"/>
  <c r="F58" i="30"/>
  <c r="D58" i="30"/>
  <c r="B58" i="30"/>
  <c r="AV57" i="30"/>
  <c r="AT57" i="30"/>
  <c r="AJ57" i="30"/>
  <c r="AH57" i="30"/>
  <c r="AF57" i="30"/>
  <c r="AD57" i="30"/>
  <c r="T57" i="30"/>
  <c r="R57" i="30"/>
  <c r="P57" i="30"/>
  <c r="N57" i="30"/>
  <c r="L57" i="30"/>
  <c r="J57" i="30"/>
  <c r="H57" i="30"/>
  <c r="F57" i="30"/>
  <c r="D57" i="30"/>
  <c r="B57" i="30"/>
  <c r="AV56" i="30"/>
  <c r="AT56" i="30"/>
  <c r="AJ56" i="30"/>
  <c r="AH56" i="30"/>
  <c r="AF56" i="30"/>
  <c r="AD56" i="30"/>
  <c r="T56" i="30"/>
  <c r="R56" i="30"/>
  <c r="P56" i="30"/>
  <c r="N56" i="30"/>
  <c r="L56" i="30"/>
  <c r="J56" i="30"/>
  <c r="H56" i="30"/>
  <c r="F56" i="30"/>
  <c r="D56" i="30"/>
  <c r="B56" i="30"/>
  <c r="AV55" i="30"/>
  <c r="AT55" i="30"/>
  <c r="AJ55" i="30"/>
  <c r="AH55" i="30"/>
  <c r="AF55" i="30"/>
  <c r="AD55" i="30"/>
  <c r="T55" i="30"/>
  <c r="R55" i="30"/>
  <c r="P55" i="30"/>
  <c r="N55" i="30"/>
  <c r="L55" i="30"/>
  <c r="J55" i="30"/>
  <c r="H55" i="30"/>
  <c r="F55" i="30"/>
  <c r="D55" i="30"/>
  <c r="B55" i="30"/>
  <c r="AV53" i="30"/>
  <c r="AT53" i="30"/>
  <c r="AJ53" i="30"/>
  <c r="AH53" i="30"/>
  <c r="AF53" i="30"/>
  <c r="AD53" i="30"/>
  <c r="T53" i="30"/>
  <c r="R53" i="30"/>
  <c r="P53" i="30"/>
  <c r="N53" i="30"/>
  <c r="L53" i="30"/>
  <c r="J53" i="30"/>
  <c r="H53" i="30"/>
  <c r="F53" i="30"/>
  <c r="D53" i="30"/>
  <c r="B53" i="30"/>
  <c r="AV52" i="30"/>
  <c r="AT52" i="30"/>
  <c r="AJ52" i="30"/>
  <c r="AH52" i="30"/>
  <c r="AF52" i="30"/>
  <c r="AD52" i="30"/>
  <c r="T52" i="30"/>
  <c r="R52" i="30"/>
  <c r="P52" i="30"/>
  <c r="N52" i="30"/>
  <c r="L52" i="30"/>
  <c r="J52" i="30"/>
  <c r="H52" i="30"/>
  <c r="F52" i="30"/>
  <c r="D52" i="30"/>
  <c r="B52" i="30"/>
  <c r="AV51" i="30"/>
  <c r="AT51" i="30"/>
  <c r="AJ51" i="30"/>
  <c r="AH51" i="30"/>
  <c r="AF51" i="30"/>
  <c r="AD51" i="30"/>
  <c r="T51" i="30"/>
  <c r="R51" i="30"/>
  <c r="P51" i="30"/>
  <c r="N51" i="30"/>
  <c r="L51" i="30"/>
  <c r="J51" i="30"/>
  <c r="H51" i="30"/>
  <c r="F51" i="30"/>
  <c r="D51" i="30"/>
  <c r="B51" i="30"/>
  <c r="AV50" i="30"/>
  <c r="AT50" i="30"/>
  <c r="AJ50" i="30"/>
  <c r="AH50" i="30"/>
  <c r="AF50" i="30"/>
  <c r="AD50" i="30"/>
  <c r="T50" i="30"/>
  <c r="R50" i="30"/>
  <c r="P50" i="30"/>
  <c r="N50" i="30"/>
  <c r="L50" i="30"/>
  <c r="J50" i="30"/>
  <c r="H50" i="30"/>
  <c r="F50" i="30"/>
  <c r="D50" i="30"/>
  <c r="B50" i="30"/>
  <c r="AV49" i="30"/>
  <c r="AT49" i="30"/>
  <c r="AJ49" i="30"/>
  <c r="AH49" i="30"/>
  <c r="AF49" i="30"/>
  <c r="AD49" i="30"/>
  <c r="T49" i="30"/>
  <c r="R49" i="30"/>
  <c r="P49" i="30"/>
  <c r="N49" i="30"/>
  <c r="L49" i="30"/>
  <c r="J49" i="30"/>
  <c r="H49" i="30"/>
  <c r="F49" i="30"/>
  <c r="D49" i="30"/>
  <c r="B49" i="30"/>
  <c r="AV46" i="30"/>
  <c r="AT46" i="30"/>
  <c r="AJ46" i="30"/>
  <c r="AH46" i="30"/>
  <c r="AF46" i="30"/>
  <c r="AD46" i="30"/>
  <c r="T46" i="30"/>
  <c r="R46" i="30"/>
  <c r="P46" i="30"/>
  <c r="N46" i="30"/>
  <c r="L46" i="30"/>
  <c r="J46" i="30"/>
  <c r="H46" i="30"/>
  <c r="F46" i="30"/>
  <c r="D46" i="30"/>
  <c r="B46" i="30"/>
  <c r="AV45" i="30"/>
  <c r="AT45" i="30"/>
  <c r="AJ45" i="30"/>
  <c r="AH45" i="30"/>
  <c r="AF45" i="30"/>
  <c r="AD45" i="30"/>
  <c r="T45" i="30"/>
  <c r="R45" i="30"/>
  <c r="P45" i="30"/>
  <c r="N45" i="30"/>
  <c r="L45" i="30"/>
  <c r="J45" i="30"/>
  <c r="H45" i="30"/>
  <c r="F45" i="30"/>
  <c r="D45" i="30"/>
  <c r="B45" i="30"/>
  <c r="AV44" i="30"/>
  <c r="AT44" i="30"/>
  <c r="AJ44" i="30"/>
  <c r="AH44" i="30"/>
  <c r="AF44" i="30"/>
  <c r="AD44" i="30"/>
  <c r="T44" i="30"/>
  <c r="R44" i="30"/>
  <c r="P44" i="30"/>
  <c r="N44" i="30"/>
  <c r="L44" i="30"/>
  <c r="J44" i="30"/>
  <c r="H44" i="30"/>
  <c r="F44" i="30"/>
  <c r="D44" i="30"/>
  <c r="B44" i="30"/>
  <c r="AV43" i="30"/>
  <c r="AT43" i="30"/>
  <c r="AJ43" i="30"/>
  <c r="AH43" i="30"/>
  <c r="AF43" i="30"/>
  <c r="AD43" i="30"/>
  <c r="T43" i="30"/>
  <c r="R43" i="30"/>
  <c r="P43" i="30"/>
  <c r="N43" i="30"/>
  <c r="L43" i="30"/>
  <c r="J43" i="30"/>
  <c r="H43" i="30"/>
  <c r="F43" i="30"/>
  <c r="D43" i="30"/>
  <c r="B43" i="30"/>
  <c r="AV42" i="30"/>
  <c r="AT42" i="30"/>
  <c r="AJ42" i="30"/>
  <c r="AH42" i="30"/>
  <c r="AF42" i="30"/>
  <c r="AD42" i="30"/>
  <c r="T42" i="30"/>
  <c r="R42" i="30"/>
  <c r="P42" i="30"/>
  <c r="N42" i="30"/>
  <c r="L42" i="30"/>
  <c r="J42" i="30"/>
  <c r="H42" i="30"/>
  <c r="F42" i="30"/>
  <c r="D42" i="30"/>
  <c r="B42" i="30"/>
  <c r="AV41" i="30"/>
  <c r="AT41" i="30"/>
  <c r="AJ41" i="30"/>
  <c r="AH41" i="30"/>
  <c r="AF41" i="30"/>
  <c r="AD41" i="30"/>
  <c r="T41" i="30"/>
  <c r="R41" i="30"/>
  <c r="P41" i="30"/>
  <c r="N41" i="30"/>
  <c r="L41" i="30"/>
  <c r="J41" i="30"/>
  <c r="H41" i="30"/>
  <c r="F41" i="30"/>
  <c r="D41" i="30"/>
  <c r="B41" i="30"/>
  <c r="AV40" i="30"/>
  <c r="AT40" i="30"/>
  <c r="AJ40" i="30"/>
  <c r="AH40" i="30"/>
  <c r="AF40" i="30"/>
  <c r="AD40" i="30"/>
  <c r="T40" i="30"/>
  <c r="R40" i="30"/>
  <c r="P40" i="30"/>
  <c r="N40" i="30"/>
  <c r="L40" i="30"/>
  <c r="J40" i="30"/>
  <c r="H40" i="30"/>
  <c r="F40" i="30"/>
  <c r="D40" i="30"/>
  <c r="B40" i="30"/>
  <c r="AV39" i="30"/>
  <c r="AT39" i="30"/>
  <c r="AJ39" i="30"/>
  <c r="AH39" i="30"/>
  <c r="AF39" i="30"/>
  <c r="AD39" i="30"/>
  <c r="T39" i="30"/>
  <c r="R39" i="30"/>
  <c r="P39" i="30"/>
  <c r="N39" i="30"/>
  <c r="L39" i="30"/>
  <c r="J39" i="30"/>
  <c r="H39" i="30"/>
  <c r="F39" i="30"/>
  <c r="D39" i="30"/>
  <c r="B39" i="30"/>
  <c r="AV38" i="30"/>
  <c r="AT38" i="30"/>
  <c r="AJ38" i="30"/>
  <c r="AH38" i="30"/>
  <c r="AF38" i="30"/>
  <c r="AD38" i="30"/>
  <c r="T38" i="30"/>
  <c r="R38" i="30"/>
  <c r="P38" i="30"/>
  <c r="N38" i="30"/>
  <c r="L38" i="30"/>
  <c r="J38" i="30"/>
  <c r="H38" i="30"/>
  <c r="F38" i="30"/>
  <c r="D38" i="30"/>
  <c r="B38" i="30"/>
  <c r="AV37" i="30"/>
  <c r="AT37" i="30"/>
  <c r="AJ37" i="30"/>
  <c r="AH37" i="30"/>
  <c r="AF37" i="30"/>
  <c r="AD37" i="30"/>
  <c r="T37" i="30"/>
  <c r="R37" i="30"/>
  <c r="P37" i="30"/>
  <c r="N37" i="30"/>
  <c r="L37" i="30"/>
  <c r="J37" i="30"/>
  <c r="H37" i="30"/>
  <c r="F37" i="30"/>
  <c r="D37" i="30"/>
  <c r="B37" i="30"/>
  <c r="AV36" i="30"/>
  <c r="AT36" i="30"/>
  <c r="AJ36" i="30"/>
  <c r="AH36" i="30"/>
  <c r="AF36" i="30"/>
  <c r="AD36" i="30"/>
  <c r="T36" i="30"/>
  <c r="R36" i="30"/>
  <c r="P36" i="30"/>
  <c r="N36" i="30"/>
  <c r="L36" i="30"/>
  <c r="J36" i="30"/>
  <c r="H36" i="30"/>
  <c r="F36" i="30"/>
  <c r="D36" i="30"/>
  <c r="B36" i="30"/>
  <c r="AV35" i="30"/>
  <c r="AT35" i="30"/>
  <c r="AJ35" i="30"/>
  <c r="AH35" i="30"/>
  <c r="AF35" i="30"/>
  <c r="AD35" i="30"/>
  <c r="T35" i="30"/>
  <c r="R35" i="30"/>
  <c r="P35" i="30"/>
  <c r="N35" i="30"/>
  <c r="L35" i="30"/>
  <c r="J35" i="30"/>
  <c r="H35" i="30"/>
  <c r="F35" i="30"/>
  <c r="D35" i="30"/>
  <c r="B35" i="30"/>
  <c r="AV34" i="30"/>
  <c r="AT34" i="30"/>
  <c r="AJ34" i="30"/>
  <c r="AH34" i="30"/>
  <c r="AF34" i="30"/>
  <c r="AD34" i="30"/>
  <c r="T34" i="30"/>
  <c r="R34" i="30"/>
  <c r="P34" i="30"/>
  <c r="N34" i="30"/>
  <c r="L34" i="30"/>
  <c r="J34" i="30"/>
  <c r="H34" i="30"/>
  <c r="F34" i="30"/>
  <c r="D34" i="30"/>
  <c r="B34" i="30"/>
  <c r="AV33" i="30"/>
  <c r="AT33" i="30"/>
  <c r="AJ33" i="30"/>
  <c r="AH33" i="30"/>
  <c r="AF33" i="30"/>
  <c r="AD33" i="30"/>
  <c r="T33" i="30"/>
  <c r="R33" i="30"/>
  <c r="P33" i="30"/>
  <c r="N33" i="30"/>
  <c r="L33" i="30"/>
  <c r="J33" i="30"/>
  <c r="H33" i="30"/>
  <c r="F33" i="30"/>
  <c r="D33" i="30"/>
  <c r="B33" i="30"/>
  <c r="AV32" i="30"/>
  <c r="AT32" i="30"/>
  <c r="AJ32" i="30"/>
  <c r="AH32" i="30"/>
  <c r="AF32" i="30"/>
  <c r="AD32" i="30"/>
  <c r="T32" i="30"/>
  <c r="R32" i="30"/>
  <c r="P32" i="30"/>
  <c r="N32" i="30"/>
  <c r="L32" i="30"/>
  <c r="J32" i="30"/>
  <c r="H32" i="30"/>
  <c r="F32" i="30"/>
  <c r="D32" i="30"/>
  <c r="B32" i="30"/>
  <c r="AV31" i="30"/>
  <c r="AT31" i="30"/>
  <c r="AJ31" i="30"/>
  <c r="AH31" i="30"/>
  <c r="AF31" i="30"/>
  <c r="AD31" i="30"/>
  <c r="T31" i="30"/>
  <c r="R31" i="30"/>
  <c r="P31" i="30"/>
  <c r="N31" i="30"/>
  <c r="L31" i="30"/>
  <c r="J31" i="30"/>
  <c r="H31" i="30"/>
  <c r="F31" i="30"/>
  <c r="D31" i="30"/>
  <c r="B31" i="30"/>
  <c r="AV30" i="30"/>
  <c r="AT30" i="30"/>
  <c r="AJ30" i="30"/>
  <c r="AH30" i="30"/>
  <c r="AF30" i="30"/>
  <c r="AD30" i="30"/>
  <c r="T30" i="30"/>
  <c r="R30" i="30"/>
  <c r="P30" i="30"/>
  <c r="N30" i="30"/>
  <c r="L30" i="30"/>
  <c r="J30" i="30"/>
  <c r="H30" i="30"/>
  <c r="F30" i="30"/>
  <c r="D30" i="30"/>
  <c r="B30" i="30"/>
  <c r="AV29" i="30"/>
  <c r="AT29" i="30"/>
  <c r="AJ29" i="30"/>
  <c r="AH29" i="30"/>
  <c r="AF29" i="30"/>
  <c r="AD29" i="30"/>
  <c r="T29" i="30"/>
  <c r="R29" i="30"/>
  <c r="P29" i="30"/>
  <c r="N29" i="30"/>
  <c r="L29" i="30"/>
  <c r="J29" i="30"/>
  <c r="H29" i="30"/>
  <c r="F29" i="30"/>
  <c r="D29" i="30"/>
  <c r="B29" i="30"/>
  <c r="AV28" i="30"/>
  <c r="AT28" i="30"/>
  <c r="AJ28" i="30"/>
  <c r="AH28" i="30"/>
  <c r="AF28" i="30"/>
  <c r="AD28" i="30"/>
  <c r="T28" i="30"/>
  <c r="R28" i="30"/>
  <c r="P28" i="30"/>
  <c r="N28" i="30"/>
  <c r="L28" i="30"/>
  <c r="J28" i="30"/>
  <c r="H28" i="30"/>
  <c r="F28" i="30"/>
  <c r="D28" i="30"/>
  <c r="B28" i="30"/>
  <c r="AV27" i="30"/>
  <c r="AT27" i="30"/>
  <c r="AJ27" i="30"/>
  <c r="AH27" i="30"/>
  <c r="AF27" i="30"/>
  <c r="AD27" i="30"/>
  <c r="T27" i="30"/>
  <c r="R27" i="30"/>
  <c r="P27" i="30"/>
  <c r="N27" i="30"/>
  <c r="L27" i="30"/>
  <c r="J27" i="30"/>
  <c r="H27" i="30"/>
  <c r="F27" i="30"/>
  <c r="D27" i="30"/>
  <c r="B27" i="30"/>
  <c r="AV26" i="30"/>
  <c r="AT26" i="30"/>
  <c r="AJ26" i="30"/>
  <c r="AH26" i="30"/>
  <c r="AF26" i="30"/>
  <c r="AD26" i="30"/>
  <c r="T26" i="30"/>
  <c r="R26" i="30"/>
  <c r="P26" i="30"/>
  <c r="N26" i="30"/>
  <c r="L26" i="30"/>
  <c r="J26" i="30"/>
  <c r="H26" i="30"/>
  <c r="F26" i="30"/>
  <c r="D26" i="30"/>
  <c r="B26" i="30"/>
  <c r="AV25" i="30"/>
  <c r="AT25" i="30"/>
  <c r="AJ25" i="30"/>
  <c r="AH25" i="30"/>
  <c r="AF25" i="30"/>
  <c r="AD25" i="30"/>
  <c r="T25" i="30"/>
  <c r="R25" i="30"/>
  <c r="P25" i="30"/>
  <c r="N25" i="30"/>
  <c r="L25" i="30"/>
  <c r="J25" i="30"/>
  <c r="H25" i="30"/>
  <c r="F25" i="30"/>
  <c r="D25" i="30"/>
  <c r="B25" i="30"/>
  <c r="AV24" i="30"/>
  <c r="AT24" i="30"/>
  <c r="AJ24" i="30"/>
  <c r="AH24" i="30"/>
  <c r="AF24" i="30"/>
  <c r="AD24" i="30"/>
  <c r="T24" i="30"/>
  <c r="R24" i="30"/>
  <c r="P24" i="30"/>
  <c r="N24" i="30"/>
  <c r="L24" i="30"/>
  <c r="J24" i="30"/>
  <c r="H24" i="30"/>
  <c r="F24" i="30"/>
  <c r="D24" i="30"/>
  <c r="B24" i="30"/>
  <c r="AV23" i="30"/>
  <c r="AT23" i="30"/>
  <c r="AJ23" i="30"/>
  <c r="AH23" i="30"/>
  <c r="AF23" i="30"/>
  <c r="AD23" i="30"/>
  <c r="T23" i="30"/>
  <c r="R23" i="30"/>
  <c r="P23" i="30"/>
  <c r="N23" i="30"/>
  <c r="L23" i="30"/>
  <c r="J23" i="30"/>
  <c r="H23" i="30"/>
  <c r="F23" i="30"/>
  <c r="D23" i="30"/>
  <c r="B23" i="30"/>
  <c r="AV22" i="30"/>
  <c r="AT22" i="30"/>
  <c r="AJ22" i="30"/>
  <c r="AH22" i="30"/>
  <c r="AF22" i="30"/>
  <c r="AD22" i="30"/>
  <c r="T22" i="30"/>
  <c r="R22" i="30"/>
  <c r="P22" i="30"/>
  <c r="N22" i="30"/>
  <c r="L22" i="30"/>
  <c r="J22" i="30"/>
  <c r="H22" i="30"/>
  <c r="F22" i="30"/>
  <c r="D22" i="30"/>
  <c r="B22" i="30"/>
  <c r="AV21" i="30"/>
  <c r="AT21" i="30"/>
  <c r="AJ21" i="30"/>
  <c r="AH21" i="30"/>
  <c r="AF21" i="30"/>
  <c r="AD21" i="30"/>
  <c r="T21" i="30"/>
  <c r="R21" i="30"/>
  <c r="P21" i="30"/>
  <c r="N21" i="30"/>
  <c r="L21" i="30"/>
  <c r="J21" i="30"/>
  <c r="H21" i="30"/>
  <c r="F21" i="30"/>
  <c r="D21" i="30"/>
  <c r="B21" i="30"/>
  <c r="AV20" i="30"/>
  <c r="AT20" i="30"/>
  <c r="AJ20" i="30"/>
  <c r="AH20" i="30"/>
  <c r="AF20" i="30"/>
  <c r="AD20" i="30"/>
  <c r="T20" i="30"/>
  <c r="R20" i="30"/>
  <c r="P20" i="30"/>
  <c r="N20" i="30"/>
  <c r="L20" i="30"/>
  <c r="J20" i="30"/>
  <c r="H20" i="30"/>
  <c r="F20" i="30"/>
  <c r="D20" i="30"/>
  <c r="B20" i="30"/>
  <c r="AV19" i="30"/>
  <c r="AT19" i="30"/>
  <c r="AJ19" i="30"/>
  <c r="AH19" i="30"/>
  <c r="AF19" i="30"/>
  <c r="AD19" i="30"/>
  <c r="T19" i="30"/>
  <c r="R19" i="30"/>
  <c r="P19" i="30"/>
  <c r="N19" i="30"/>
  <c r="L19" i="30"/>
  <c r="J19" i="30"/>
  <c r="H19" i="30"/>
  <c r="F19" i="30"/>
  <c r="D19" i="30"/>
  <c r="B19" i="30"/>
  <c r="AV16" i="30"/>
  <c r="AT16" i="30"/>
  <c r="AJ16" i="30"/>
  <c r="AF16" i="30"/>
  <c r="AD16" i="30"/>
  <c r="T16" i="30"/>
  <c r="P16" i="30"/>
  <c r="L16" i="30"/>
  <c r="H16" i="30"/>
  <c r="F16" i="30"/>
  <c r="AV15" i="30"/>
  <c r="AT15" i="30"/>
  <c r="AJ15" i="30"/>
  <c r="AH15" i="30"/>
  <c r="AF15" i="30"/>
  <c r="AD15" i="30"/>
  <c r="T15" i="30"/>
  <c r="P15" i="30"/>
  <c r="N15" i="30"/>
  <c r="L15" i="30"/>
  <c r="J15" i="30"/>
  <c r="H15" i="30"/>
  <c r="F15" i="30"/>
  <c r="AV14" i="30"/>
  <c r="AT14" i="30"/>
  <c r="AJ14" i="30"/>
  <c r="AF14" i="30"/>
  <c r="AD14" i="30"/>
  <c r="T14" i="30"/>
  <c r="P14" i="30"/>
  <c r="L14" i="30"/>
  <c r="H14" i="30"/>
  <c r="F14" i="30"/>
  <c r="AV13" i="30"/>
  <c r="AT13" i="30"/>
  <c r="AJ13" i="30"/>
  <c r="AF13" i="30"/>
  <c r="T13" i="30"/>
  <c r="P13" i="30"/>
  <c r="N13" i="30"/>
  <c r="L13" i="30"/>
  <c r="H13" i="30"/>
  <c r="AV12" i="30"/>
  <c r="AT12" i="30"/>
  <c r="AJ12" i="30"/>
  <c r="AF12" i="30"/>
  <c r="AD12" i="30"/>
  <c r="T12" i="30"/>
  <c r="P12" i="30"/>
  <c r="N12" i="30"/>
  <c r="L12" i="30"/>
  <c r="J12" i="30"/>
  <c r="H12" i="30"/>
  <c r="F12" i="30"/>
  <c r="AV10" i="30"/>
  <c r="AT10" i="30"/>
  <c r="AJ10" i="30"/>
  <c r="AH10" i="30"/>
  <c r="AF10" i="30"/>
  <c r="AD10" i="30"/>
  <c r="T10" i="30"/>
  <c r="P10" i="30"/>
  <c r="N10" i="30"/>
  <c r="L10" i="30"/>
  <c r="J10" i="30"/>
  <c r="H10" i="30"/>
  <c r="F10" i="30"/>
  <c r="AV9" i="30"/>
  <c r="AT9" i="30"/>
  <c r="AJ9" i="30"/>
  <c r="AH9" i="30"/>
  <c r="AF9" i="30"/>
  <c r="AD9" i="30"/>
  <c r="T9" i="30"/>
  <c r="P9" i="30"/>
  <c r="N9" i="30"/>
  <c r="L9" i="30"/>
  <c r="J9" i="30"/>
  <c r="H9" i="30"/>
  <c r="F9" i="30"/>
  <c r="AV8" i="30"/>
  <c r="AT8" i="30"/>
  <c r="AJ8" i="30"/>
  <c r="AH8" i="30"/>
  <c r="AF8" i="30"/>
  <c r="AD8" i="30"/>
  <c r="T8" i="30"/>
  <c r="P8" i="30"/>
  <c r="N8" i="30"/>
  <c r="L8" i="30"/>
  <c r="J8" i="30"/>
  <c r="H8" i="30"/>
  <c r="F8" i="30"/>
  <c r="AV7" i="30"/>
  <c r="AT7" i="30"/>
  <c r="AJ7" i="30"/>
  <c r="AH7" i="30"/>
  <c r="AF7" i="30"/>
  <c r="AD7" i="30"/>
  <c r="T7" i="30"/>
  <c r="P7" i="30"/>
  <c r="N7" i="30"/>
  <c r="L7" i="30"/>
  <c r="J7" i="30"/>
  <c r="H7" i="30"/>
  <c r="F7" i="30"/>
  <c r="AV6" i="30"/>
  <c r="AT6" i="30"/>
  <c r="AJ6" i="30"/>
  <c r="AH6" i="30"/>
  <c r="AF6" i="30"/>
  <c r="AD6" i="30"/>
  <c r="T6" i="30"/>
  <c r="P6" i="30"/>
  <c r="N6" i="30"/>
  <c r="L6" i="30"/>
  <c r="J6" i="30"/>
  <c r="H6" i="30"/>
  <c r="F6" i="30"/>
  <c r="N13" i="29"/>
  <c r="AT83" i="29"/>
  <c r="AD83" i="29"/>
  <c r="F83" i="29"/>
  <c r="AV77" i="29"/>
  <c r="AT77" i="29"/>
  <c r="AJ77" i="29"/>
  <c r="AF77" i="29"/>
  <c r="T77" i="29"/>
  <c r="P77" i="29"/>
  <c r="L77" i="29"/>
  <c r="H77" i="29"/>
  <c r="F77" i="29"/>
  <c r="D77" i="29"/>
  <c r="AV75" i="29"/>
  <c r="AT75" i="29"/>
  <c r="AJ75" i="29"/>
  <c r="AH75" i="29"/>
  <c r="AF75" i="29"/>
  <c r="AD75" i="29"/>
  <c r="T75" i="29"/>
  <c r="R75" i="29"/>
  <c r="P75" i="29"/>
  <c r="N75" i="29"/>
  <c r="L75" i="29"/>
  <c r="J75" i="29"/>
  <c r="H75" i="29"/>
  <c r="F75" i="29"/>
  <c r="D75" i="29"/>
  <c r="B75" i="29"/>
  <c r="AV74" i="29"/>
  <c r="AT74" i="29"/>
  <c r="AJ74" i="29"/>
  <c r="AH74" i="29"/>
  <c r="AF74" i="29"/>
  <c r="AD74" i="29"/>
  <c r="T74" i="29"/>
  <c r="R74" i="29"/>
  <c r="P74" i="29"/>
  <c r="N74" i="29"/>
  <c r="L74" i="29"/>
  <c r="J74" i="29"/>
  <c r="H74" i="29"/>
  <c r="F74" i="29"/>
  <c r="D74" i="29"/>
  <c r="B74" i="29"/>
  <c r="AV73" i="29"/>
  <c r="AT73" i="29"/>
  <c r="AJ73" i="29"/>
  <c r="AH73" i="29"/>
  <c r="AF73" i="29"/>
  <c r="AD73" i="29"/>
  <c r="T73" i="29"/>
  <c r="R73" i="29"/>
  <c r="P73" i="29"/>
  <c r="N73" i="29"/>
  <c r="L73" i="29"/>
  <c r="J73" i="29"/>
  <c r="H73" i="29"/>
  <c r="F73" i="29"/>
  <c r="D73" i="29"/>
  <c r="B73" i="29"/>
  <c r="AV72" i="29"/>
  <c r="AT72" i="29"/>
  <c r="AJ72" i="29"/>
  <c r="AH72" i="29"/>
  <c r="AF72" i="29"/>
  <c r="AD72" i="29"/>
  <c r="T72" i="29"/>
  <c r="R72" i="29"/>
  <c r="P72" i="29"/>
  <c r="N72" i="29"/>
  <c r="L72" i="29"/>
  <c r="J72" i="29"/>
  <c r="H72" i="29"/>
  <c r="F72" i="29"/>
  <c r="D72" i="29"/>
  <c r="B72" i="29"/>
  <c r="AV71" i="29"/>
  <c r="AT71" i="29"/>
  <c r="AJ71" i="29"/>
  <c r="AH71" i="29"/>
  <c r="AF71" i="29"/>
  <c r="AD71" i="29"/>
  <c r="T71" i="29"/>
  <c r="R71" i="29"/>
  <c r="P71" i="29"/>
  <c r="N71" i="29"/>
  <c r="L71" i="29"/>
  <c r="J71" i="29"/>
  <c r="H71" i="29"/>
  <c r="F71" i="29"/>
  <c r="D71" i="29"/>
  <c r="B71" i="29"/>
  <c r="AV70" i="29"/>
  <c r="AT70" i="29"/>
  <c r="AH70" i="29"/>
  <c r="AD70" i="29"/>
  <c r="R70" i="29"/>
  <c r="N70" i="29"/>
  <c r="J70" i="29"/>
  <c r="H70" i="29"/>
  <c r="F70" i="29"/>
  <c r="D70" i="29"/>
  <c r="B70" i="29"/>
  <c r="AV66" i="29"/>
  <c r="AT66" i="29"/>
  <c r="AJ66" i="29"/>
  <c r="AH66" i="29"/>
  <c r="AF66" i="29"/>
  <c r="AD66" i="29"/>
  <c r="T66" i="29"/>
  <c r="R66" i="29"/>
  <c r="P66" i="29"/>
  <c r="N66" i="29"/>
  <c r="L66" i="29"/>
  <c r="J66" i="29"/>
  <c r="H66" i="29"/>
  <c r="F66" i="29"/>
  <c r="D66" i="29"/>
  <c r="B66" i="29"/>
  <c r="AV65" i="29"/>
  <c r="AT65" i="29"/>
  <c r="AJ65" i="29"/>
  <c r="AH65" i="29"/>
  <c r="AF65" i="29"/>
  <c r="AD65" i="29"/>
  <c r="T65" i="29"/>
  <c r="R65" i="29"/>
  <c r="P65" i="29"/>
  <c r="N65" i="29"/>
  <c r="L65" i="29"/>
  <c r="J65" i="29"/>
  <c r="H65" i="29"/>
  <c r="F65" i="29"/>
  <c r="D65" i="29"/>
  <c r="B65" i="29"/>
  <c r="AV63" i="29"/>
  <c r="AT63" i="29"/>
  <c r="AJ63" i="29"/>
  <c r="AH63" i="29"/>
  <c r="AF63" i="29"/>
  <c r="AD63" i="29"/>
  <c r="T63" i="29"/>
  <c r="R63" i="29"/>
  <c r="P63" i="29"/>
  <c r="N63" i="29"/>
  <c r="L63" i="29"/>
  <c r="J63" i="29"/>
  <c r="H63" i="29"/>
  <c r="F63" i="29"/>
  <c r="D63" i="29"/>
  <c r="B63" i="29"/>
  <c r="AV61" i="29"/>
  <c r="AT61" i="29"/>
  <c r="AJ61" i="29"/>
  <c r="AH61" i="29"/>
  <c r="AF61" i="29"/>
  <c r="AD61" i="29"/>
  <c r="T61" i="29"/>
  <c r="R61" i="29"/>
  <c r="P61" i="29"/>
  <c r="N61" i="29"/>
  <c r="L61" i="29"/>
  <c r="J61" i="29"/>
  <c r="H61" i="29"/>
  <c r="F61" i="29"/>
  <c r="D61" i="29"/>
  <c r="B61" i="29"/>
  <c r="AV60" i="29"/>
  <c r="AT60" i="29"/>
  <c r="AJ60" i="29"/>
  <c r="AH60" i="29"/>
  <c r="AF60" i="29"/>
  <c r="AD60" i="29"/>
  <c r="T60" i="29"/>
  <c r="R60" i="29"/>
  <c r="P60" i="29"/>
  <c r="N60" i="29"/>
  <c r="L60" i="29"/>
  <c r="J60" i="29"/>
  <c r="H60" i="29"/>
  <c r="F60" i="29"/>
  <c r="D60" i="29"/>
  <c r="B60" i="29"/>
  <c r="AV59" i="29"/>
  <c r="AT59" i="29"/>
  <c r="AJ59" i="29"/>
  <c r="AH59" i="29"/>
  <c r="AF59" i="29"/>
  <c r="AD59" i="29"/>
  <c r="T59" i="29"/>
  <c r="R59" i="29"/>
  <c r="P59" i="29"/>
  <c r="N59" i="29"/>
  <c r="L59" i="29"/>
  <c r="J59" i="29"/>
  <c r="H59" i="29"/>
  <c r="F59" i="29"/>
  <c r="D59" i="29"/>
  <c r="B59" i="29"/>
  <c r="AV58" i="29"/>
  <c r="AT58" i="29"/>
  <c r="AJ58" i="29"/>
  <c r="AH58" i="29"/>
  <c r="AF58" i="29"/>
  <c r="AD58" i="29"/>
  <c r="T58" i="29"/>
  <c r="R58" i="29"/>
  <c r="P58" i="29"/>
  <c r="N58" i="29"/>
  <c r="L58" i="29"/>
  <c r="J58" i="29"/>
  <c r="H58" i="29"/>
  <c r="F58" i="29"/>
  <c r="D58" i="29"/>
  <c r="B58" i="29"/>
  <c r="AV57" i="29"/>
  <c r="AT57" i="29"/>
  <c r="AJ57" i="29"/>
  <c r="AH57" i="29"/>
  <c r="AF57" i="29"/>
  <c r="AD57" i="29"/>
  <c r="T57" i="29"/>
  <c r="R57" i="29"/>
  <c r="P57" i="29"/>
  <c r="N57" i="29"/>
  <c r="L57" i="29"/>
  <c r="J57" i="29"/>
  <c r="H57" i="29"/>
  <c r="F57" i="29"/>
  <c r="D57" i="29"/>
  <c r="B57" i="29"/>
  <c r="AV56" i="29"/>
  <c r="AT56" i="29"/>
  <c r="AJ56" i="29"/>
  <c r="AH56" i="29"/>
  <c r="AF56" i="29"/>
  <c r="AD56" i="29"/>
  <c r="T56" i="29"/>
  <c r="R56" i="29"/>
  <c r="P56" i="29"/>
  <c r="N56" i="29"/>
  <c r="L56" i="29"/>
  <c r="J56" i="29"/>
  <c r="H56" i="29"/>
  <c r="F56" i="29"/>
  <c r="D56" i="29"/>
  <c r="B56" i="29"/>
  <c r="AV55" i="29"/>
  <c r="AT55" i="29"/>
  <c r="AJ55" i="29"/>
  <c r="AH55" i="29"/>
  <c r="AF55" i="29"/>
  <c r="AD55" i="29"/>
  <c r="T55" i="29"/>
  <c r="R55" i="29"/>
  <c r="P55" i="29"/>
  <c r="N55" i="29"/>
  <c r="L55" i="29"/>
  <c r="J55" i="29"/>
  <c r="H55" i="29"/>
  <c r="F55" i="29"/>
  <c r="D55" i="29"/>
  <c r="B55" i="29"/>
  <c r="AV53" i="29"/>
  <c r="AT53" i="29"/>
  <c r="AJ53" i="29"/>
  <c r="AH53" i="29"/>
  <c r="AF53" i="29"/>
  <c r="AD53" i="29"/>
  <c r="T53" i="29"/>
  <c r="R53" i="29"/>
  <c r="P53" i="29"/>
  <c r="N53" i="29"/>
  <c r="L53" i="29"/>
  <c r="J53" i="29"/>
  <c r="H53" i="29"/>
  <c r="F53" i="29"/>
  <c r="D53" i="29"/>
  <c r="B53" i="29"/>
  <c r="AV52" i="29"/>
  <c r="AT52" i="29"/>
  <c r="AJ52" i="29"/>
  <c r="AH52" i="29"/>
  <c r="AF52" i="29"/>
  <c r="AD52" i="29"/>
  <c r="T52" i="29"/>
  <c r="R52" i="29"/>
  <c r="P52" i="29"/>
  <c r="N52" i="29"/>
  <c r="L52" i="29"/>
  <c r="J52" i="29"/>
  <c r="H52" i="29"/>
  <c r="F52" i="29"/>
  <c r="D52" i="29"/>
  <c r="B52" i="29"/>
  <c r="AV51" i="29"/>
  <c r="AT51" i="29"/>
  <c r="AJ51" i="29"/>
  <c r="AH51" i="29"/>
  <c r="AF51" i="29"/>
  <c r="AD51" i="29"/>
  <c r="T51" i="29"/>
  <c r="R51" i="29"/>
  <c r="P51" i="29"/>
  <c r="N51" i="29"/>
  <c r="L51" i="29"/>
  <c r="J51" i="29"/>
  <c r="H51" i="29"/>
  <c r="F51" i="29"/>
  <c r="D51" i="29"/>
  <c r="B51" i="29"/>
  <c r="AV50" i="29"/>
  <c r="AT50" i="29"/>
  <c r="AJ50" i="29"/>
  <c r="AH50" i="29"/>
  <c r="AF50" i="29"/>
  <c r="AD50" i="29"/>
  <c r="T50" i="29"/>
  <c r="R50" i="29"/>
  <c r="P50" i="29"/>
  <c r="N50" i="29"/>
  <c r="L50" i="29"/>
  <c r="J50" i="29"/>
  <c r="H50" i="29"/>
  <c r="F50" i="29"/>
  <c r="D50" i="29"/>
  <c r="B50" i="29"/>
  <c r="AV49" i="29"/>
  <c r="AT49" i="29"/>
  <c r="AJ49" i="29"/>
  <c r="AH49" i="29"/>
  <c r="AF49" i="29"/>
  <c r="AD49" i="29"/>
  <c r="T49" i="29"/>
  <c r="R49" i="29"/>
  <c r="P49" i="29"/>
  <c r="N49" i="29"/>
  <c r="L49" i="29"/>
  <c r="J49" i="29"/>
  <c r="H49" i="29"/>
  <c r="F49" i="29"/>
  <c r="D49" i="29"/>
  <c r="B49" i="29"/>
  <c r="AV46" i="29"/>
  <c r="AT46" i="29"/>
  <c r="AJ46" i="29"/>
  <c r="AH46" i="29"/>
  <c r="AF46" i="29"/>
  <c r="AD46" i="29"/>
  <c r="T46" i="29"/>
  <c r="R46" i="29"/>
  <c r="P46" i="29"/>
  <c r="N46" i="29"/>
  <c r="L46" i="29"/>
  <c r="J46" i="29"/>
  <c r="H46" i="29"/>
  <c r="F46" i="29"/>
  <c r="D46" i="29"/>
  <c r="B46" i="29"/>
  <c r="AV45" i="29"/>
  <c r="AT45" i="29"/>
  <c r="AJ45" i="29"/>
  <c r="AH45" i="29"/>
  <c r="AF45" i="29"/>
  <c r="AD45" i="29"/>
  <c r="T45" i="29"/>
  <c r="R45" i="29"/>
  <c r="P45" i="29"/>
  <c r="N45" i="29"/>
  <c r="L45" i="29"/>
  <c r="J45" i="29"/>
  <c r="H45" i="29"/>
  <c r="F45" i="29"/>
  <c r="D45" i="29"/>
  <c r="B45" i="29"/>
  <c r="AV44" i="29"/>
  <c r="AT44" i="29"/>
  <c r="AJ44" i="29"/>
  <c r="AH44" i="29"/>
  <c r="AF44" i="29"/>
  <c r="AD44" i="29"/>
  <c r="T44" i="29"/>
  <c r="R44" i="29"/>
  <c r="P44" i="29"/>
  <c r="N44" i="29"/>
  <c r="L44" i="29"/>
  <c r="J44" i="29"/>
  <c r="H44" i="29"/>
  <c r="F44" i="29"/>
  <c r="D44" i="29"/>
  <c r="B44" i="29"/>
  <c r="AV43" i="29"/>
  <c r="AT43" i="29"/>
  <c r="AJ43" i="29"/>
  <c r="AH43" i="29"/>
  <c r="AF43" i="29"/>
  <c r="AD43" i="29"/>
  <c r="T43" i="29"/>
  <c r="R43" i="29"/>
  <c r="P43" i="29"/>
  <c r="N43" i="29"/>
  <c r="L43" i="29"/>
  <c r="J43" i="29"/>
  <c r="H43" i="29"/>
  <c r="F43" i="29"/>
  <c r="D43" i="29"/>
  <c r="B43" i="29"/>
  <c r="AV42" i="29"/>
  <c r="AT42" i="29"/>
  <c r="AJ42" i="29"/>
  <c r="AH42" i="29"/>
  <c r="AF42" i="29"/>
  <c r="AD42" i="29"/>
  <c r="T42" i="29"/>
  <c r="R42" i="29"/>
  <c r="P42" i="29"/>
  <c r="N42" i="29"/>
  <c r="L42" i="29"/>
  <c r="J42" i="29"/>
  <c r="H42" i="29"/>
  <c r="F42" i="29"/>
  <c r="D42" i="29"/>
  <c r="B42" i="29"/>
  <c r="AV41" i="29"/>
  <c r="AT41" i="29"/>
  <c r="AJ41" i="29"/>
  <c r="AH41" i="29"/>
  <c r="AF41" i="29"/>
  <c r="AD41" i="29"/>
  <c r="T41" i="29"/>
  <c r="R41" i="29"/>
  <c r="P41" i="29"/>
  <c r="N41" i="29"/>
  <c r="L41" i="29"/>
  <c r="J41" i="29"/>
  <c r="H41" i="29"/>
  <c r="F41" i="29"/>
  <c r="D41" i="29"/>
  <c r="B41" i="29"/>
  <c r="AV40" i="29"/>
  <c r="AT40" i="29"/>
  <c r="AJ40" i="29"/>
  <c r="AH40" i="29"/>
  <c r="AF40" i="29"/>
  <c r="AD40" i="29"/>
  <c r="T40" i="29"/>
  <c r="R40" i="29"/>
  <c r="P40" i="29"/>
  <c r="N40" i="29"/>
  <c r="L40" i="29"/>
  <c r="J40" i="29"/>
  <c r="H40" i="29"/>
  <c r="F40" i="29"/>
  <c r="D40" i="29"/>
  <c r="B40" i="29"/>
  <c r="AV39" i="29"/>
  <c r="AT39" i="29"/>
  <c r="AJ39" i="29"/>
  <c r="AH39" i="29"/>
  <c r="AF39" i="29"/>
  <c r="AD39" i="29"/>
  <c r="T39" i="29"/>
  <c r="R39" i="29"/>
  <c r="P39" i="29"/>
  <c r="N39" i="29"/>
  <c r="L39" i="29"/>
  <c r="J39" i="29"/>
  <c r="H39" i="29"/>
  <c r="F39" i="29"/>
  <c r="D39" i="29"/>
  <c r="B39" i="29"/>
  <c r="AV38" i="29"/>
  <c r="AT38" i="29"/>
  <c r="AJ38" i="29"/>
  <c r="AH38" i="29"/>
  <c r="AF38" i="29"/>
  <c r="AD38" i="29"/>
  <c r="T38" i="29"/>
  <c r="R38" i="29"/>
  <c r="P38" i="29"/>
  <c r="N38" i="29"/>
  <c r="L38" i="29"/>
  <c r="J38" i="29"/>
  <c r="H38" i="29"/>
  <c r="F38" i="29"/>
  <c r="D38" i="29"/>
  <c r="B38" i="29"/>
  <c r="AV37" i="29"/>
  <c r="AT37" i="29"/>
  <c r="AJ37" i="29"/>
  <c r="AH37" i="29"/>
  <c r="AF37" i="29"/>
  <c r="AD37" i="29"/>
  <c r="T37" i="29"/>
  <c r="R37" i="29"/>
  <c r="P37" i="29"/>
  <c r="N37" i="29"/>
  <c r="L37" i="29"/>
  <c r="J37" i="29"/>
  <c r="H37" i="29"/>
  <c r="F37" i="29"/>
  <c r="D37" i="29"/>
  <c r="B37" i="29"/>
  <c r="AV36" i="29"/>
  <c r="AT36" i="29"/>
  <c r="AJ36" i="29"/>
  <c r="AH36" i="29"/>
  <c r="AF36" i="29"/>
  <c r="AD36" i="29"/>
  <c r="T36" i="29"/>
  <c r="R36" i="29"/>
  <c r="P36" i="29"/>
  <c r="N36" i="29"/>
  <c r="L36" i="29"/>
  <c r="J36" i="29"/>
  <c r="H36" i="29"/>
  <c r="F36" i="29"/>
  <c r="D36" i="29"/>
  <c r="B36" i="29"/>
  <c r="AV35" i="29"/>
  <c r="AT35" i="29"/>
  <c r="AJ35" i="29"/>
  <c r="AH35" i="29"/>
  <c r="AF35" i="29"/>
  <c r="AD35" i="29"/>
  <c r="T35" i="29"/>
  <c r="R35" i="29"/>
  <c r="P35" i="29"/>
  <c r="N35" i="29"/>
  <c r="L35" i="29"/>
  <c r="J35" i="29"/>
  <c r="H35" i="29"/>
  <c r="F35" i="29"/>
  <c r="D35" i="29"/>
  <c r="B35" i="29"/>
  <c r="AV34" i="29"/>
  <c r="AT34" i="29"/>
  <c r="AJ34" i="29"/>
  <c r="AH34" i="29"/>
  <c r="AF34" i="29"/>
  <c r="AD34" i="29"/>
  <c r="T34" i="29"/>
  <c r="R34" i="29"/>
  <c r="P34" i="29"/>
  <c r="N34" i="29"/>
  <c r="L34" i="29"/>
  <c r="J34" i="29"/>
  <c r="H34" i="29"/>
  <c r="F34" i="29"/>
  <c r="D34" i="29"/>
  <c r="B34" i="29"/>
  <c r="AV33" i="29"/>
  <c r="AT33" i="29"/>
  <c r="AJ33" i="29"/>
  <c r="AH33" i="29"/>
  <c r="AF33" i="29"/>
  <c r="AD33" i="29"/>
  <c r="T33" i="29"/>
  <c r="R33" i="29"/>
  <c r="P33" i="29"/>
  <c r="N33" i="29"/>
  <c r="L33" i="29"/>
  <c r="J33" i="29"/>
  <c r="H33" i="29"/>
  <c r="F33" i="29"/>
  <c r="D33" i="29"/>
  <c r="B33" i="29"/>
  <c r="AV32" i="29"/>
  <c r="AT32" i="29"/>
  <c r="AJ32" i="29"/>
  <c r="AH32" i="29"/>
  <c r="AF32" i="29"/>
  <c r="AD32" i="29"/>
  <c r="T32" i="29"/>
  <c r="R32" i="29"/>
  <c r="P32" i="29"/>
  <c r="N32" i="29"/>
  <c r="L32" i="29"/>
  <c r="J32" i="29"/>
  <c r="H32" i="29"/>
  <c r="F32" i="29"/>
  <c r="D32" i="29"/>
  <c r="B32" i="29"/>
  <c r="AV31" i="29"/>
  <c r="AT31" i="29"/>
  <c r="AJ31" i="29"/>
  <c r="AH31" i="29"/>
  <c r="AF31" i="29"/>
  <c r="AD31" i="29"/>
  <c r="T31" i="29"/>
  <c r="R31" i="29"/>
  <c r="P31" i="29"/>
  <c r="N31" i="29"/>
  <c r="L31" i="29"/>
  <c r="J31" i="29"/>
  <c r="H31" i="29"/>
  <c r="F31" i="29"/>
  <c r="D31" i="29"/>
  <c r="B31" i="29"/>
  <c r="AV30" i="29"/>
  <c r="AT30" i="29"/>
  <c r="AJ30" i="29"/>
  <c r="AH30" i="29"/>
  <c r="AF30" i="29"/>
  <c r="AD30" i="29"/>
  <c r="T30" i="29"/>
  <c r="R30" i="29"/>
  <c r="P30" i="29"/>
  <c r="N30" i="29"/>
  <c r="L30" i="29"/>
  <c r="J30" i="29"/>
  <c r="H30" i="29"/>
  <c r="F30" i="29"/>
  <c r="D30" i="29"/>
  <c r="B30" i="29"/>
  <c r="AV29" i="29"/>
  <c r="AT29" i="29"/>
  <c r="AJ29" i="29"/>
  <c r="AH29" i="29"/>
  <c r="AF29" i="29"/>
  <c r="AD29" i="29"/>
  <c r="T29" i="29"/>
  <c r="R29" i="29"/>
  <c r="P29" i="29"/>
  <c r="N29" i="29"/>
  <c r="L29" i="29"/>
  <c r="J29" i="29"/>
  <c r="H29" i="29"/>
  <c r="F29" i="29"/>
  <c r="D29" i="29"/>
  <c r="B29" i="29"/>
  <c r="AV28" i="29"/>
  <c r="AT28" i="29"/>
  <c r="AJ28" i="29"/>
  <c r="AH28" i="29"/>
  <c r="AF28" i="29"/>
  <c r="AD28" i="29"/>
  <c r="T28" i="29"/>
  <c r="R28" i="29"/>
  <c r="P28" i="29"/>
  <c r="N28" i="29"/>
  <c r="L28" i="29"/>
  <c r="J28" i="29"/>
  <c r="H28" i="29"/>
  <c r="F28" i="29"/>
  <c r="D28" i="29"/>
  <c r="B28" i="29"/>
  <c r="AV27" i="29"/>
  <c r="AT27" i="29"/>
  <c r="AJ27" i="29"/>
  <c r="AH27" i="29"/>
  <c r="AF27" i="29"/>
  <c r="AD27" i="29"/>
  <c r="T27" i="29"/>
  <c r="R27" i="29"/>
  <c r="P27" i="29"/>
  <c r="N27" i="29"/>
  <c r="L27" i="29"/>
  <c r="J27" i="29"/>
  <c r="H27" i="29"/>
  <c r="F27" i="29"/>
  <c r="D27" i="29"/>
  <c r="B27" i="29"/>
  <c r="AV26" i="29"/>
  <c r="AT26" i="29"/>
  <c r="AJ26" i="29"/>
  <c r="AH26" i="29"/>
  <c r="AF26" i="29"/>
  <c r="AD26" i="29"/>
  <c r="T26" i="29"/>
  <c r="R26" i="29"/>
  <c r="P26" i="29"/>
  <c r="N26" i="29"/>
  <c r="L26" i="29"/>
  <c r="J26" i="29"/>
  <c r="H26" i="29"/>
  <c r="F26" i="29"/>
  <c r="D26" i="29"/>
  <c r="B26" i="29"/>
  <c r="AV25" i="29"/>
  <c r="AT25" i="29"/>
  <c r="AJ25" i="29"/>
  <c r="AH25" i="29"/>
  <c r="AF25" i="29"/>
  <c r="AD25" i="29"/>
  <c r="T25" i="29"/>
  <c r="R25" i="29"/>
  <c r="P25" i="29"/>
  <c r="N25" i="29"/>
  <c r="L25" i="29"/>
  <c r="J25" i="29"/>
  <c r="H25" i="29"/>
  <c r="F25" i="29"/>
  <c r="D25" i="29"/>
  <c r="B25" i="29"/>
  <c r="AV24" i="29"/>
  <c r="AT24" i="29"/>
  <c r="AJ24" i="29"/>
  <c r="AH24" i="29"/>
  <c r="AF24" i="29"/>
  <c r="AD24" i="29"/>
  <c r="T24" i="29"/>
  <c r="R24" i="29"/>
  <c r="P24" i="29"/>
  <c r="N24" i="29"/>
  <c r="L24" i="29"/>
  <c r="J24" i="29"/>
  <c r="H24" i="29"/>
  <c r="F24" i="29"/>
  <c r="D24" i="29"/>
  <c r="B24" i="29"/>
  <c r="AV23" i="29"/>
  <c r="AT23" i="29"/>
  <c r="AJ23" i="29"/>
  <c r="AH23" i="29"/>
  <c r="AF23" i="29"/>
  <c r="AD23" i="29"/>
  <c r="T23" i="29"/>
  <c r="R23" i="29"/>
  <c r="P23" i="29"/>
  <c r="N23" i="29"/>
  <c r="L23" i="29"/>
  <c r="J23" i="29"/>
  <c r="H23" i="29"/>
  <c r="F23" i="29"/>
  <c r="D23" i="29"/>
  <c r="B23" i="29"/>
  <c r="AV22" i="29"/>
  <c r="AT22" i="29"/>
  <c r="AJ22" i="29"/>
  <c r="AH22" i="29"/>
  <c r="AF22" i="29"/>
  <c r="AD22" i="29"/>
  <c r="T22" i="29"/>
  <c r="R22" i="29"/>
  <c r="P22" i="29"/>
  <c r="N22" i="29"/>
  <c r="L22" i="29"/>
  <c r="J22" i="29"/>
  <c r="H22" i="29"/>
  <c r="F22" i="29"/>
  <c r="D22" i="29"/>
  <c r="B22" i="29"/>
  <c r="AV21" i="29"/>
  <c r="AT21" i="29"/>
  <c r="AJ21" i="29"/>
  <c r="AH21" i="29"/>
  <c r="AF21" i="29"/>
  <c r="AD21" i="29"/>
  <c r="T21" i="29"/>
  <c r="R21" i="29"/>
  <c r="P21" i="29"/>
  <c r="N21" i="29"/>
  <c r="L21" i="29"/>
  <c r="J21" i="29"/>
  <c r="H21" i="29"/>
  <c r="F21" i="29"/>
  <c r="D21" i="29"/>
  <c r="B21" i="29"/>
  <c r="AV20" i="29"/>
  <c r="AT20" i="29"/>
  <c r="AJ20" i="29"/>
  <c r="AH20" i="29"/>
  <c r="AF20" i="29"/>
  <c r="AD20" i="29"/>
  <c r="T20" i="29"/>
  <c r="R20" i="29"/>
  <c r="P20" i="29"/>
  <c r="N20" i="29"/>
  <c r="L20" i="29"/>
  <c r="J20" i="29"/>
  <c r="H20" i="29"/>
  <c r="F20" i="29"/>
  <c r="D20" i="29"/>
  <c r="B20" i="29"/>
  <c r="AV19" i="29"/>
  <c r="AT19" i="29"/>
  <c r="AJ19" i="29"/>
  <c r="AH19" i="29"/>
  <c r="AF19" i="29"/>
  <c r="AD19" i="29"/>
  <c r="T19" i="29"/>
  <c r="R19" i="29"/>
  <c r="P19" i="29"/>
  <c r="N19" i="29"/>
  <c r="L19" i="29"/>
  <c r="J19" i="29"/>
  <c r="H19" i="29"/>
  <c r="F19" i="29"/>
  <c r="D19" i="29"/>
  <c r="B19" i="29"/>
  <c r="AV16" i="29"/>
  <c r="AT16" i="29"/>
  <c r="AJ16" i="29"/>
  <c r="AF16" i="29"/>
  <c r="AD16" i="29"/>
  <c r="T16" i="29"/>
  <c r="P16" i="29"/>
  <c r="L16" i="29"/>
  <c r="H16" i="29"/>
  <c r="F16" i="29"/>
  <c r="AV15" i="29"/>
  <c r="AT15" i="29"/>
  <c r="AJ15" i="29"/>
  <c r="AH15" i="29"/>
  <c r="AF15" i="29"/>
  <c r="AD15" i="29"/>
  <c r="T15" i="29"/>
  <c r="P15" i="29"/>
  <c r="N15" i="29"/>
  <c r="L15" i="29"/>
  <c r="J15" i="29"/>
  <c r="H15" i="29"/>
  <c r="F15" i="29"/>
  <c r="AV14" i="29"/>
  <c r="AT14" i="29"/>
  <c r="AJ14" i="29"/>
  <c r="AF14" i="29"/>
  <c r="AD14" i="29"/>
  <c r="T14" i="29"/>
  <c r="P14" i="29"/>
  <c r="L14" i="29"/>
  <c r="H14" i="29"/>
  <c r="F14" i="29"/>
  <c r="AV13" i="29"/>
  <c r="AT13" i="29"/>
  <c r="AJ13" i="29"/>
  <c r="AF13" i="29"/>
  <c r="T13" i="29"/>
  <c r="P13" i="29"/>
  <c r="L13" i="29"/>
  <c r="H13" i="29"/>
  <c r="AV12" i="29"/>
  <c r="AT12" i="29"/>
  <c r="AJ12" i="29"/>
  <c r="AF12" i="29"/>
  <c r="AD12" i="29"/>
  <c r="T12" i="29"/>
  <c r="P12" i="29"/>
  <c r="N12" i="29"/>
  <c r="L12" i="29"/>
  <c r="J12" i="29"/>
  <c r="H12" i="29"/>
  <c r="F12" i="29"/>
  <c r="AV10" i="29"/>
  <c r="AT10" i="29"/>
  <c r="AJ10" i="29"/>
  <c r="AH10" i="29"/>
  <c r="AF10" i="29"/>
  <c r="AD10" i="29"/>
  <c r="T10" i="29"/>
  <c r="P10" i="29"/>
  <c r="N10" i="29"/>
  <c r="L10" i="29"/>
  <c r="J10" i="29"/>
  <c r="H10" i="29"/>
  <c r="F10" i="29"/>
  <c r="AV9" i="29"/>
  <c r="AT9" i="29"/>
  <c r="AJ9" i="29"/>
  <c r="AH9" i="29"/>
  <c r="AF9" i="29"/>
  <c r="AD9" i="29"/>
  <c r="T9" i="29"/>
  <c r="P9" i="29"/>
  <c r="N9" i="29"/>
  <c r="L9" i="29"/>
  <c r="J9" i="29"/>
  <c r="H9" i="29"/>
  <c r="F9" i="29"/>
  <c r="AV8" i="29"/>
  <c r="AT8" i="29"/>
  <c r="AJ8" i="29"/>
  <c r="AH8" i="29"/>
  <c r="AF8" i="29"/>
  <c r="AD8" i="29"/>
  <c r="T8" i="29"/>
  <c r="P8" i="29"/>
  <c r="N8" i="29"/>
  <c r="L8" i="29"/>
  <c r="J8" i="29"/>
  <c r="H8" i="29"/>
  <c r="F8" i="29"/>
  <c r="AV7" i="29"/>
  <c r="AT7" i="29"/>
  <c r="AJ7" i="29"/>
  <c r="AH7" i="29"/>
  <c r="AF7" i="29"/>
  <c r="AD7" i="29"/>
  <c r="T7" i="29"/>
  <c r="P7" i="29"/>
  <c r="N7" i="29"/>
  <c r="L7" i="29"/>
  <c r="J7" i="29"/>
  <c r="H7" i="29"/>
  <c r="F7" i="29"/>
  <c r="AV6" i="29"/>
  <c r="AT6" i="29"/>
  <c r="AJ6" i="29"/>
  <c r="AH6" i="29"/>
  <c r="AF6" i="29"/>
  <c r="AD6" i="29"/>
  <c r="T6" i="29"/>
  <c r="P6" i="29"/>
  <c r="N6" i="29"/>
  <c r="L6" i="29"/>
  <c r="J6" i="29"/>
  <c r="H6" i="29"/>
  <c r="F6" i="29"/>
  <c r="AT83" i="28"/>
  <c r="AD83" i="28"/>
  <c r="F83" i="28"/>
  <c r="AV77" i="28"/>
  <c r="AT77" i="28"/>
  <c r="AJ77" i="28"/>
  <c r="AF77" i="28"/>
  <c r="T77" i="28"/>
  <c r="P77" i="28"/>
  <c r="L77" i="28"/>
  <c r="H77" i="28"/>
  <c r="F77" i="28"/>
  <c r="D77" i="28"/>
  <c r="AV75" i="28"/>
  <c r="AT75" i="28"/>
  <c r="AJ75" i="28"/>
  <c r="AH75" i="28"/>
  <c r="AF75" i="28"/>
  <c r="AD75" i="28"/>
  <c r="T75" i="28"/>
  <c r="R75" i="28"/>
  <c r="P75" i="28"/>
  <c r="N75" i="28"/>
  <c r="L75" i="28"/>
  <c r="J75" i="28"/>
  <c r="H75" i="28"/>
  <c r="F75" i="28"/>
  <c r="D75" i="28"/>
  <c r="B75" i="28"/>
  <c r="AV74" i="28"/>
  <c r="AT74" i="28"/>
  <c r="AJ74" i="28"/>
  <c r="AH74" i="28"/>
  <c r="AF74" i="28"/>
  <c r="AD74" i="28"/>
  <c r="T74" i="28"/>
  <c r="R74" i="28"/>
  <c r="P74" i="28"/>
  <c r="N74" i="28"/>
  <c r="L74" i="28"/>
  <c r="J74" i="28"/>
  <c r="H74" i="28"/>
  <c r="F74" i="28"/>
  <c r="D74" i="28"/>
  <c r="B74" i="28"/>
  <c r="AV73" i="28"/>
  <c r="AT73" i="28"/>
  <c r="AJ73" i="28"/>
  <c r="AH73" i="28"/>
  <c r="AF73" i="28"/>
  <c r="AD73" i="28"/>
  <c r="T73" i="28"/>
  <c r="R73" i="28"/>
  <c r="P73" i="28"/>
  <c r="N73" i="28"/>
  <c r="L73" i="28"/>
  <c r="J73" i="28"/>
  <c r="H73" i="28"/>
  <c r="F73" i="28"/>
  <c r="D73" i="28"/>
  <c r="B73" i="28"/>
  <c r="AV72" i="28"/>
  <c r="AT72" i="28"/>
  <c r="AJ72" i="28"/>
  <c r="AH72" i="28"/>
  <c r="AF72" i="28"/>
  <c r="AD72" i="28"/>
  <c r="T72" i="28"/>
  <c r="R72" i="28"/>
  <c r="P72" i="28"/>
  <c r="N72" i="28"/>
  <c r="L72" i="28"/>
  <c r="J72" i="28"/>
  <c r="H72" i="28"/>
  <c r="F72" i="28"/>
  <c r="D72" i="28"/>
  <c r="B72" i="28"/>
  <c r="AV71" i="28"/>
  <c r="AT71" i="28"/>
  <c r="AJ71" i="28"/>
  <c r="AH71" i="28"/>
  <c r="AF71" i="28"/>
  <c r="AD71" i="28"/>
  <c r="T71" i="28"/>
  <c r="R71" i="28"/>
  <c r="P71" i="28"/>
  <c r="N71" i="28"/>
  <c r="L71" i="28"/>
  <c r="J71" i="28"/>
  <c r="H71" i="28"/>
  <c r="F71" i="28"/>
  <c r="D71" i="28"/>
  <c r="B71" i="28"/>
  <c r="AV70" i="28"/>
  <c r="AT70" i="28"/>
  <c r="AH70" i="28"/>
  <c r="AD70" i="28"/>
  <c r="R70" i="28"/>
  <c r="N70" i="28"/>
  <c r="J70" i="28"/>
  <c r="H70" i="28"/>
  <c r="F70" i="28"/>
  <c r="D70" i="28"/>
  <c r="B70" i="28"/>
  <c r="AV66" i="28"/>
  <c r="AT66" i="28"/>
  <c r="AJ66" i="28"/>
  <c r="AH66" i="28"/>
  <c r="AF66" i="28"/>
  <c r="AD66" i="28"/>
  <c r="T66" i="28"/>
  <c r="R66" i="28"/>
  <c r="P66" i="28"/>
  <c r="N66" i="28"/>
  <c r="L66" i="28"/>
  <c r="J66" i="28"/>
  <c r="H66" i="28"/>
  <c r="F66" i="28"/>
  <c r="D66" i="28"/>
  <c r="B66" i="28"/>
  <c r="AV65" i="28"/>
  <c r="AT65" i="28"/>
  <c r="AJ65" i="28"/>
  <c r="AH65" i="28"/>
  <c r="AF65" i="28"/>
  <c r="AD65" i="28"/>
  <c r="T65" i="28"/>
  <c r="R65" i="28"/>
  <c r="P65" i="28"/>
  <c r="N65" i="28"/>
  <c r="L65" i="28"/>
  <c r="J65" i="28"/>
  <c r="H65" i="28"/>
  <c r="F65" i="28"/>
  <c r="D65" i="28"/>
  <c r="B65" i="28"/>
  <c r="AV63" i="28"/>
  <c r="AT63" i="28"/>
  <c r="AJ63" i="28"/>
  <c r="AH63" i="28"/>
  <c r="AF63" i="28"/>
  <c r="AD63" i="28"/>
  <c r="T63" i="28"/>
  <c r="R63" i="28"/>
  <c r="P63" i="28"/>
  <c r="N63" i="28"/>
  <c r="L63" i="28"/>
  <c r="J63" i="28"/>
  <c r="H63" i="28"/>
  <c r="F63" i="28"/>
  <c r="D63" i="28"/>
  <c r="B63" i="28"/>
  <c r="AV61" i="28"/>
  <c r="AT61" i="28"/>
  <c r="AJ61" i="28"/>
  <c r="AH61" i="28"/>
  <c r="AF61" i="28"/>
  <c r="AD61" i="28"/>
  <c r="T61" i="28"/>
  <c r="R61" i="28"/>
  <c r="P61" i="28"/>
  <c r="N61" i="28"/>
  <c r="L61" i="28"/>
  <c r="J61" i="28"/>
  <c r="H61" i="28"/>
  <c r="F61" i="28"/>
  <c r="D61" i="28"/>
  <c r="B61" i="28"/>
  <c r="AV60" i="28"/>
  <c r="AT60" i="28"/>
  <c r="AJ60" i="28"/>
  <c r="AH60" i="28"/>
  <c r="AF60" i="28"/>
  <c r="AD60" i="28"/>
  <c r="T60" i="28"/>
  <c r="R60" i="28"/>
  <c r="P60" i="28"/>
  <c r="N60" i="28"/>
  <c r="L60" i="28"/>
  <c r="J60" i="28"/>
  <c r="H60" i="28"/>
  <c r="F60" i="28"/>
  <c r="D60" i="28"/>
  <c r="B60" i="28"/>
  <c r="AV59" i="28"/>
  <c r="AT59" i="28"/>
  <c r="AJ59" i="28"/>
  <c r="AH59" i="28"/>
  <c r="AF59" i="28"/>
  <c r="AD59" i="28"/>
  <c r="T59" i="28"/>
  <c r="R59" i="28"/>
  <c r="P59" i="28"/>
  <c r="N59" i="28"/>
  <c r="L59" i="28"/>
  <c r="J59" i="28"/>
  <c r="H59" i="28"/>
  <c r="F59" i="28"/>
  <c r="D59" i="28"/>
  <c r="B59" i="28"/>
  <c r="AV58" i="28"/>
  <c r="AT58" i="28"/>
  <c r="AJ58" i="28"/>
  <c r="AH58" i="28"/>
  <c r="AF58" i="28"/>
  <c r="AD58" i="28"/>
  <c r="T58" i="28"/>
  <c r="R58" i="28"/>
  <c r="P58" i="28"/>
  <c r="N58" i="28"/>
  <c r="L58" i="28"/>
  <c r="J58" i="28"/>
  <c r="H58" i="28"/>
  <c r="F58" i="28"/>
  <c r="D58" i="28"/>
  <c r="B58" i="28"/>
  <c r="AV57" i="28"/>
  <c r="AT57" i="28"/>
  <c r="AJ57" i="28"/>
  <c r="AH57" i="28"/>
  <c r="AF57" i="28"/>
  <c r="AD57" i="28"/>
  <c r="T57" i="28"/>
  <c r="R57" i="28"/>
  <c r="P57" i="28"/>
  <c r="N57" i="28"/>
  <c r="L57" i="28"/>
  <c r="J57" i="28"/>
  <c r="H57" i="28"/>
  <c r="F57" i="28"/>
  <c r="D57" i="28"/>
  <c r="B57" i="28"/>
  <c r="AV56" i="28"/>
  <c r="AT56" i="28"/>
  <c r="AJ56" i="28"/>
  <c r="AH56" i="28"/>
  <c r="AF56" i="28"/>
  <c r="AD56" i="28"/>
  <c r="T56" i="28"/>
  <c r="R56" i="28"/>
  <c r="P56" i="28"/>
  <c r="N56" i="28"/>
  <c r="L56" i="28"/>
  <c r="J56" i="28"/>
  <c r="H56" i="28"/>
  <c r="F56" i="28"/>
  <c r="D56" i="28"/>
  <c r="B56" i="28"/>
  <c r="AV55" i="28"/>
  <c r="AT55" i="28"/>
  <c r="AJ55" i="28"/>
  <c r="AH55" i="28"/>
  <c r="AF55" i="28"/>
  <c r="AD55" i="28"/>
  <c r="T55" i="28"/>
  <c r="R55" i="28"/>
  <c r="P55" i="28"/>
  <c r="N55" i="28"/>
  <c r="L55" i="28"/>
  <c r="J55" i="28"/>
  <c r="H55" i="28"/>
  <c r="F55" i="28"/>
  <c r="D55" i="28"/>
  <c r="B55" i="28"/>
  <c r="AV53" i="28"/>
  <c r="AT53" i="28"/>
  <c r="AJ53" i="28"/>
  <c r="AH53" i="28"/>
  <c r="AF53" i="28"/>
  <c r="AD53" i="28"/>
  <c r="T53" i="28"/>
  <c r="R53" i="28"/>
  <c r="P53" i="28"/>
  <c r="N53" i="28"/>
  <c r="L53" i="28"/>
  <c r="J53" i="28"/>
  <c r="H53" i="28"/>
  <c r="F53" i="28"/>
  <c r="D53" i="28"/>
  <c r="B53" i="28"/>
  <c r="AV52" i="28"/>
  <c r="AT52" i="28"/>
  <c r="AJ52" i="28"/>
  <c r="AH52" i="28"/>
  <c r="AF52" i="28"/>
  <c r="AD52" i="28"/>
  <c r="T52" i="28"/>
  <c r="R52" i="28"/>
  <c r="P52" i="28"/>
  <c r="N52" i="28"/>
  <c r="L52" i="28"/>
  <c r="J52" i="28"/>
  <c r="H52" i="28"/>
  <c r="F52" i="28"/>
  <c r="D52" i="28"/>
  <c r="B52" i="28"/>
  <c r="AV51" i="28"/>
  <c r="AT51" i="28"/>
  <c r="AJ51" i="28"/>
  <c r="AH51" i="28"/>
  <c r="AF51" i="28"/>
  <c r="AD51" i="28"/>
  <c r="T51" i="28"/>
  <c r="R51" i="28"/>
  <c r="P51" i="28"/>
  <c r="N51" i="28"/>
  <c r="L51" i="28"/>
  <c r="J51" i="28"/>
  <c r="H51" i="28"/>
  <c r="F51" i="28"/>
  <c r="D51" i="28"/>
  <c r="B51" i="28"/>
  <c r="AV50" i="28"/>
  <c r="AT50" i="28"/>
  <c r="AJ50" i="28"/>
  <c r="AH50" i="28"/>
  <c r="AF50" i="28"/>
  <c r="AD50" i="28"/>
  <c r="T50" i="28"/>
  <c r="R50" i="28"/>
  <c r="P50" i="28"/>
  <c r="N50" i="28"/>
  <c r="L50" i="28"/>
  <c r="J50" i="28"/>
  <c r="H50" i="28"/>
  <c r="F50" i="28"/>
  <c r="D50" i="28"/>
  <c r="B50" i="28"/>
  <c r="AV49" i="28"/>
  <c r="AT49" i="28"/>
  <c r="AJ49" i="28"/>
  <c r="AH49" i="28"/>
  <c r="AF49" i="28"/>
  <c r="AD49" i="28"/>
  <c r="T49" i="28"/>
  <c r="R49" i="28"/>
  <c r="P49" i="28"/>
  <c r="N49" i="28"/>
  <c r="L49" i="28"/>
  <c r="J49" i="28"/>
  <c r="H49" i="28"/>
  <c r="F49" i="28"/>
  <c r="D49" i="28"/>
  <c r="B49" i="28"/>
  <c r="AV46" i="28"/>
  <c r="AT46" i="28"/>
  <c r="AJ46" i="28"/>
  <c r="AH46" i="28"/>
  <c r="AF46" i="28"/>
  <c r="AD46" i="28"/>
  <c r="T46" i="28"/>
  <c r="R46" i="28"/>
  <c r="P46" i="28"/>
  <c r="N46" i="28"/>
  <c r="L46" i="28"/>
  <c r="J46" i="28"/>
  <c r="H46" i="28"/>
  <c r="F46" i="28"/>
  <c r="D46" i="28"/>
  <c r="B46" i="28"/>
  <c r="AV45" i="28"/>
  <c r="AT45" i="28"/>
  <c r="AJ45" i="28"/>
  <c r="AH45" i="28"/>
  <c r="AF45" i="28"/>
  <c r="AD45" i="28"/>
  <c r="T45" i="28"/>
  <c r="R45" i="28"/>
  <c r="P45" i="28"/>
  <c r="N45" i="28"/>
  <c r="L45" i="28"/>
  <c r="J45" i="28"/>
  <c r="H45" i="28"/>
  <c r="F45" i="28"/>
  <c r="D45" i="28"/>
  <c r="B45" i="28"/>
  <c r="AV44" i="28"/>
  <c r="AT44" i="28"/>
  <c r="AJ44" i="28"/>
  <c r="AH44" i="28"/>
  <c r="AF44" i="28"/>
  <c r="AD44" i="28"/>
  <c r="T44" i="28"/>
  <c r="R44" i="28"/>
  <c r="P44" i="28"/>
  <c r="N44" i="28"/>
  <c r="L44" i="28"/>
  <c r="J44" i="28"/>
  <c r="H44" i="28"/>
  <c r="F44" i="28"/>
  <c r="D44" i="28"/>
  <c r="B44" i="28"/>
  <c r="AV43" i="28"/>
  <c r="AT43" i="28"/>
  <c r="AJ43" i="28"/>
  <c r="AH43" i="28"/>
  <c r="AF43" i="28"/>
  <c r="AD43" i="28"/>
  <c r="T43" i="28"/>
  <c r="R43" i="28"/>
  <c r="P43" i="28"/>
  <c r="N43" i="28"/>
  <c r="L43" i="28"/>
  <c r="J43" i="28"/>
  <c r="H43" i="28"/>
  <c r="F43" i="28"/>
  <c r="D43" i="28"/>
  <c r="B43" i="28"/>
  <c r="AV42" i="28"/>
  <c r="AT42" i="28"/>
  <c r="AJ42" i="28"/>
  <c r="AH42" i="28"/>
  <c r="AF42" i="28"/>
  <c r="AD42" i="28"/>
  <c r="T42" i="28"/>
  <c r="R42" i="28"/>
  <c r="P42" i="28"/>
  <c r="N42" i="28"/>
  <c r="L42" i="28"/>
  <c r="J42" i="28"/>
  <c r="H42" i="28"/>
  <c r="F42" i="28"/>
  <c r="D42" i="28"/>
  <c r="B42" i="28"/>
  <c r="AV41" i="28"/>
  <c r="AT41" i="28"/>
  <c r="AJ41" i="28"/>
  <c r="AH41" i="28"/>
  <c r="AF41" i="28"/>
  <c r="AD41" i="28"/>
  <c r="T41" i="28"/>
  <c r="R41" i="28"/>
  <c r="P41" i="28"/>
  <c r="N41" i="28"/>
  <c r="L41" i="28"/>
  <c r="J41" i="28"/>
  <c r="H41" i="28"/>
  <c r="F41" i="28"/>
  <c r="D41" i="28"/>
  <c r="B41" i="28"/>
  <c r="AV40" i="28"/>
  <c r="AT40" i="28"/>
  <c r="AJ40" i="28"/>
  <c r="AH40" i="28"/>
  <c r="AF40" i="28"/>
  <c r="AD40" i="28"/>
  <c r="T40" i="28"/>
  <c r="R40" i="28"/>
  <c r="P40" i="28"/>
  <c r="N40" i="28"/>
  <c r="L40" i="28"/>
  <c r="J40" i="28"/>
  <c r="H40" i="28"/>
  <c r="F40" i="28"/>
  <c r="D40" i="28"/>
  <c r="B40" i="28"/>
  <c r="AV39" i="28"/>
  <c r="AT39" i="28"/>
  <c r="AJ39" i="28"/>
  <c r="AH39" i="28"/>
  <c r="AF39" i="28"/>
  <c r="AD39" i="28"/>
  <c r="T39" i="28"/>
  <c r="R39" i="28"/>
  <c r="P39" i="28"/>
  <c r="N39" i="28"/>
  <c r="L39" i="28"/>
  <c r="J39" i="28"/>
  <c r="H39" i="28"/>
  <c r="F39" i="28"/>
  <c r="D39" i="28"/>
  <c r="B39" i="28"/>
  <c r="AV38" i="28"/>
  <c r="AT38" i="28"/>
  <c r="AJ38" i="28"/>
  <c r="AH38" i="28"/>
  <c r="AF38" i="28"/>
  <c r="AD38" i="28"/>
  <c r="T38" i="28"/>
  <c r="R38" i="28"/>
  <c r="P38" i="28"/>
  <c r="N38" i="28"/>
  <c r="L38" i="28"/>
  <c r="J38" i="28"/>
  <c r="H38" i="28"/>
  <c r="F38" i="28"/>
  <c r="D38" i="28"/>
  <c r="B38" i="28"/>
  <c r="AV37" i="28"/>
  <c r="AT37" i="28"/>
  <c r="AJ37" i="28"/>
  <c r="AH37" i="28"/>
  <c r="AF37" i="28"/>
  <c r="AD37" i="28"/>
  <c r="T37" i="28"/>
  <c r="R37" i="28"/>
  <c r="P37" i="28"/>
  <c r="N37" i="28"/>
  <c r="L37" i="28"/>
  <c r="J37" i="28"/>
  <c r="H37" i="28"/>
  <c r="F37" i="28"/>
  <c r="D37" i="28"/>
  <c r="B37" i="28"/>
  <c r="AV36" i="28"/>
  <c r="AT36" i="28"/>
  <c r="AJ36" i="28"/>
  <c r="AH36" i="28"/>
  <c r="AF36" i="28"/>
  <c r="AD36" i="28"/>
  <c r="T36" i="28"/>
  <c r="R36" i="28"/>
  <c r="P36" i="28"/>
  <c r="N36" i="28"/>
  <c r="L36" i="28"/>
  <c r="J36" i="28"/>
  <c r="H36" i="28"/>
  <c r="F36" i="28"/>
  <c r="D36" i="28"/>
  <c r="B36" i="28"/>
  <c r="AV35" i="28"/>
  <c r="AT35" i="28"/>
  <c r="AJ35" i="28"/>
  <c r="AH35" i="28"/>
  <c r="AF35" i="28"/>
  <c r="AD35" i="28"/>
  <c r="T35" i="28"/>
  <c r="R35" i="28"/>
  <c r="P35" i="28"/>
  <c r="N35" i="28"/>
  <c r="L35" i="28"/>
  <c r="J35" i="28"/>
  <c r="H35" i="28"/>
  <c r="F35" i="28"/>
  <c r="D35" i="28"/>
  <c r="B35" i="28"/>
  <c r="AV34" i="28"/>
  <c r="AT34" i="28"/>
  <c r="AJ34" i="28"/>
  <c r="AH34" i="28"/>
  <c r="AF34" i="28"/>
  <c r="AD34" i="28"/>
  <c r="T34" i="28"/>
  <c r="R34" i="28"/>
  <c r="P34" i="28"/>
  <c r="N34" i="28"/>
  <c r="L34" i="28"/>
  <c r="J34" i="28"/>
  <c r="H34" i="28"/>
  <c r="F34" i="28"/>
  <c r="D34" i="28"/>
  <c r="B34" i="28"/>
  <c r="AV33" i="28"/>
  <c r="AT33" i="28"/>
  <c r="AJ33" i="28"/>
  <c r="AH33" i="28"/>
  <c r="AF33" i="28"/>
  <c r="AD33" i="28"/>
  <c r="T33" i="28"/>
  <c r="R33" i="28"/>
  <c r="P33" i="28"/>
  <c r="N33" i="28"/>
  <c r="L33" i="28"/>
  <c r="J33" i="28"/>
  <c r="H33" i="28"/>
  <c r="F33" i="28"/>
  <c r="D33" i="28"/>
  <c r="B33" i="28"/>
  <c r="AV32" i="28"/>
  <c r="AT32" i="28"/>
  <c r="AJ32" i="28"/>
  <c r="AH32" i="28"/>
  <c r="AF32" i="28"/>
  <c r="AD32" i="28"/>
  <c r="T32" i="28"/>
  <c r="R32" i="28"/>
  <c r="P32" i="28"/>
  <c r="N32" i="28"/>
  <c r="L32" i="28"/>
  <c r="J32" i="28"/>
  <c r="H32" i="28"/>
  <c r="F32" i="28"/>
  <c r="D32" i="28"/>
  <c r="B32" i="28"/>
  <c r="AV31" i="28"/>
  <c r="AT31" i="28"/>
  <c r="AJ31" i="28"/>
  <c r="AH31" i="28"/>
  <c r="AF31" i="28"/>
  <c r="AD31" i="28"/>
  <c r="T31" i="28"/>
  <c r="R31" i="28"/>
  <c r="P31" i="28"/>
  <c r="N31" i="28"/>
  <c r="L31" i="28"/>
  <c r="J31" i="28"/>
  <c r="H31" i="28"/>
  <c r="F31" i="28"/>
  <c r="D31" i="28"/>
  <c r="B31" i="28"/>
  <c r="AV30" i="28"/>
  <c r="AT30" i="28"/>
  <c r="AJ30" i="28"/>
  <c r="AH30" i="28"/>
  <c r="AF30" i="28"/>
  <c r="AD30" i="28"/>
  <c r="T30" i="28"/>
  <c r="R30" i="28"/>
  <c r="P30" i="28"/>
  <c r="N30" i="28"/>
  <c r="L30" i="28"/>
  <c r="J30" i="28"/>
  <c r="H30" i="28"/>
  <c r="F30" i="28"/>
  <c r="D30" i="28"/>
  <c r="B30" i="28"/>
  <c r="AV29" i="28"/>
  <c r="AT29" i="28"/>
  <c r="AJ29" i="28"/>
  <c r="AH29" i="28"/>
  <c r="AF29" i="28"/>
  <c r="AD29" i="28"/>
  <c r="T29" i="28"/>
  <c r="R29" i="28"/>
  <c r="P29" i="28"/>
  <c r="N29" i="28"/>
  <c r="L29" i="28"/>
  <c r="J29" i="28"/>
  <c r="H29" i="28"/>
  <c r="F29" i="28"/>
  <c r="D29" i="28"/>
  <c r="B29" i="28"/>
  <c r="AV28" i="28"/>
  <c r="AT28" i="28"/>
  <c r="AJ28" i="28"/>
  <c r="AH28" i="28"/>
  <c r="AF28" i="28"/>
  <c r="AD28" i="28"/>
  <c r="T28" i="28"/>
  <c r="R28" i="28"/>
  <c r="P28" i="28"/>
  <c r="N28" i="28"/>
  <c r="L28" i="28"/>
  <c r="J28" i="28"/>
  <c r="H28" i="28"/>
  <c r="F28" i="28"/>
  <c r="D28" i="28"/>
  <c r="B28" i="28"/>
  <c r="AV27" i="28"/>
  <c r="AT27" i="28"/>
  <c r="AJ27" i="28"/>
  <c r="AH27" i="28"/>
  <c r="AF27" i="28"/>
  <c r="AD27" i="28"/>
  <c r="T27" i="28"/>
  <c r="R27" i="28"/>
  <c r="P27" i="28"/>
  <c r="N27" i="28"/>
  <c r="L27" i="28"/>
  <c r="J27" i="28"/>
  <c r="H27" i="28"/>
  <c r="F27" i="28"/>
  <c r="D27" i="28"/>
  <c r="B27" i="28"/>
  <c r="AV26" i="28"/>
  <c r="AT26" i="28"/>
  <c r="AJ26" i="28"/>
  <c r="AH26" i="28"/>
  <c r="AF26" i="28"/>
  <c r="AD26" i="28"/>
  <c r="T26" i="28"/>
  <c r="R26" i="28"/>
  <c r="P26" i="28"/>
  <c r="N26" i="28"/>
  <c r="L26" i="28"/>
  <c r="J26" i="28"/>
  <c r="H26" i="28"/>
  <c r="F26" i="28"/>
  <c r="D26" i="28"/>
  <c r="B26" i="28"/>
  <c r="AV25" i="28"/>
  <c r="AT25" i="28"/>
  <c r="AJ25" i="28"/>
  <c r="AH25" i="28"/>
  <c r="AF25" i="28"/>
  <c r="AD25" i="28"/>
  <c r="T25" i="28"/>
  <c r="R25" i="28"/>
  <c r="P25" i="28"/>
  <c r="N25" i="28"/>
  <c r="L25" i="28"/>
  <c r="J25" i="28"/>
  <c r="H25" i="28"/>
  <c r="F25" i="28"/>
  <c r="D25" i="28"/>
  <c r="B25" i="28"/>
  <c r="AV24" i="28"/>
  <c r="AT24" i="28"/>
  <c r="AJ24" i="28"/>
  <c r="AH24" i="28"/>
  <c r="AF24" i="28"/>
  <c r="AD24" i="28"/>
  <c r="T24" i="28"/>
  <c r="R24" i="28"/>
  <c r="P24" i="28"/>
  <c r="N24" i="28"/>
  <c r="L24" i="28"/>
  <c r="J24" i="28"/>
  <c r="H24" i="28"/>
  <c r="F24" i="28"/>
  <c r="D24" i="28"/>
  <c r="B24" i="28"/>
  <c r="AV23" i="28"/>
  <c r="AT23" i="28"/>
  <c r="AJ23" i="28"/>
  <c r="AH23" i="28"/>
  <c r="AF23" i="28"/>
  <c r="AD23" i="28"/>
  <c r="T23" i="28"/>
  <c r="R23" i="28"/>
  <c r="P23" i="28"/>
  <c r="N23" i="28"/>
  <c r="L23" i="28"/>
  <c r="J23" i="28"/>
  <c r="H23" i="28"/>
  <c r="F23" i="28"/>
  <c r="D23" i="28"/>
  <c r="B23" i="28"/>
  <c r="AV22" i="28"/>
  <c r="AT22" i="28"/>
  <c r="AJ22" i="28"/>
  <c r="AH22" i="28"/>
  <c r="AF22" i="28"/>
  <c r="AD22" i="28"/>
  <c r="T22" i="28"/>
  <c r="R22" i="28"/>
  <c r="P22" i="28"/>
  <c r="N22" i="28"/>
  <c r="L22" i="28"/>
  <c r="J22" i="28"/>
  <c r="H22" i="28"/>
  <c r="F22" i="28"/>
  <c r="D22" i="28"/>
  <c r="B22" i="28"/>
  <c r="AV21" i="28"/>
  <c r="AT21" i="28"/>
  <c r="AJ21" i="28"/>
  <c r="AH21" i="28"/>
  <c r="AF21" i="28"/>
  <c r="AD21" i="28"/>
  <c r="T21" i="28"/>
  <c r="R21" i="28"/>
  <c r="P21" i="28"/>
  <c r="N21" i="28"/>
  <c r="L21" i="28"/>
  <c r="J21" i="28"/>
  <c r="H21" i="28"/>
  <c r="F21" i="28"/>
  <c r="D21" i="28"/>
  <c r="B21" i="28"/>
  <c r="AV20" i="28"/>
  <c r="AT20" i="28"/>
  <c r="AJ20" i="28"/>
  <c r="AH20" i="28"/>
  <c r="AF20" i="28"/>
  <c r="AD20" i="28"/>
  <c r="T20" i="28"/>
  <c r="R20" i="28"/>
  <c r="P20" i="28"/>
  <c r="N20" i="28"/>
  <c r="L20" i="28"/>
  <c r="J20" i="28"/>
  <c r="H20" i="28"/>
  <c r="F20" i="28"/>
  <c r="D20" i="28"/>
  <c r="B20" i="28"/>
  <c r="AV19" i="28"/>
  <c r="AT19" i="28"/>
  <c r="AJ19" i="28"/>
  <c r="AH19" i="28"/>
  <c r="AF19" i="28"/>
  <c r="AD19" i="28"/>
  <c r="T19" i="28"/>
  <c r="R19" i="28"/>
  <c r="P19" i="28"/>
  <c r="N19" i="28"/>
  <c r="L19" i="28"/>
  <c r="J19" i="28"/>
  <c r="H19" i="28"/>
  <c r="F19" i="28"/>
  <c r="D19" i="28"/>
  <c r="B19" i="28"/>
  <c r="AV16" i="28"/>
  <c r="AT16" i="28"/>
  <c r="AJ16" i="28"/>
  <c r="AF16" i="28"/>
  <c r="AD16" i="28"/>
  <c r="T16" i="28"/>
  <c r="P16" i="28"/>
  <c r="L16" i="28"/>
  <c r="H16" i="28"/>
  <c r="F16" i="28"/>
  <c r="AV15" i="28"/>
  <c r="AT15" i="28"/>
  <c r="AJ15" i="28"/>
  <c r="AH15" i="28"/>
  <c r="AF15" i="28"/>
  <c r="AD15" i="28"/>
  <c r="T15" i="28"/>
  <c r="P15" i="28"/>
  <c r="N15" i="28"/>
  <c r="L15" i="28"/>
  <c r="J15" i="28"/>
  <c r="H15" i="28"/>
  <c r="F15" i="28"/>
  <c r="AV14" i="28"/>
  <c r="AT14" i="28"/>
  <c r="AJ14" i="28"/>
  <c r="AF14" i="28"/>
  <c r="AD14" i="28"/>
  <c r="T14" i="28"/>
  <c r="P14" i="28"/>
  <c r="L14" i="28"/>
  <c r="H14" i="28"/>
  <c r="F14" i="28"/>
  <c r="AV13" i="28"/>
  <c r="AT13" i="28"/>
  <c r="AJ13" i="28"/>
  <c r="AF13" i="28"/>
  <c r="T13" i="28"/>
  <c r="P13" i="28"/>
  <c r="N13" i="28"/>
  <c r="L13" i="28"/>
  <c r="H13" i="28"/>
  <c r="AV12" i="28"/>
  <c r="AT12" i="28"/>
  <c r="AJ12" i="28"/>
  <c r="AF12" i="28"/>
  <c r="AD12" i="28"/>
  <c r="T12" i="28"/>
  <c r="P12" i="28"/>
  <c r="N12" i="28"/>
  <c r="L12" i="28"/>
  <c r="J12" i="28"/>
  <c r="H12" i="28"/>
  <c r="F12" i="28"/>
  <c r="AV10" i="28"/>
  <c r="AT10" i="28"/>
  <c r="AJ10" i="28"/>
  <c r="AH10" i="28"/>
  <c r="AF10" i="28"/>
  <c r="AD10" i="28"/>
  <c r="T10" i="28"/>
  <c r="P10" i="28"/>
  <c r="N10" i="28"/>
  <c r="L10" i="28"/>
  <c r="J10" i="28"/>
  <c r="H10" i="28"/>
  <c r="F10" i="28"/>
  <c r="AV9" i="28"/>
  <c r="AT9" i="28"/>
  <c r="AJ9" i="28"/>
  <c r="AH9" i="28"/>
  <c r="AF9" i="28"/>
  <c r="AD9" i="28"/>
  <c r="T9" i="28"/>
  <c r="P9" i="28"/>
  <c r="N9" i="28"/>
  <c r="L9" i="28"/>
  <c r="J9" i="28"/>
  <c r="H9" i="28"/>
  <c r="F9" i="28"/>
  <c r="AV8" i="28"/>
  <c r="AT8" i="28"/>
  <c r="AJ8" i="28"/>
  <c r="AH8" i="28"/>
  <c r="AF8" i="28"/>
  <c r="AD8" i="28"/>
  <c r="T8" i="28"/>
  <c r="P8" i="28"/>
  <c r="N8" i="28"/>
  <c r="L8" i="28"/>
  <c r="J8" i="28"/>
  <c r="H8" i="28"/>
  <c r="F8" i="28"/>
  <c r="AV7" i="28"/>
  <c r="AT7" i="28"/>
  <c r="AJ7" i="28"/>
  <c r="AH7" i="28"/>
  <c r="AF7" i="28"/>
  <c r="AD7" i="28"/>
  <c r="T7" i="28"/>
  <c r="P7" i="28"/>
  <c r="N7" i="28"/>
  <c r="L7" i="28"/>
  <c r="J7" i="28"/>
  <c r="H7" i="28"/>
  <c r="F7" i="28"/>
  <c r="AV6" i="28"/>
  <c r="AT6" i="28"/>
  <c r="AJ6" i="28"/>
  <c r="AH6" i="28"/>
  <c r="AF6" i="28"/>
  <c r="AD6" i="28"/>
  <c r="T6" i="28"/>
  <c r="P6" i="28"/>
  <c r="N6" i="28"/>
  <c r="L6" i="28"/>
  <c r="J6" i="28"/>
  <c r="H6" i="28"/>
  <c r="F6" i="28"/>
  <c r="AT83" i="27" l="1"/>
  <c r="AD83" i="27"/>
  <c r="F83" i="27"/>
  <c r="AV77" i="27"/>
  <c r="AT77" i="27"/>
  <c r="AJ77" i="27"/>
  <c r="AF77" i="27"/>
  <c r="T77" i="27"/>
  <c r="P77" i="27"/>
  <c r="L77" i="27"/>
  <c r="H77" i="27"/>
  <c r="F77" i="27"/>
  <c r="D77" i="27"/>
  <c r="AV75" i="27"/>
  <c r="AT75" i="27"/>
  <c r="AJ75" i="27"/>
  <c r="AH75" i="27"/>
  <c r="AF75" i="27"/>
  <c r="AD75" i="27"/>
  <c r="T75" i="27"/>
  <c r="R75" i="27"/>
  <c r="P75" i="27"/>
  <c r="N75" i="27"/>
  <c r="L75" i="27"/>
  <c r="J75" i="27"/>
  <c r="H75" i="27"/>
  <c r="F75" i="27"/>
  <c r="D75" i="27"/>
  <c r="B75" i="27"/>
  <c r="AV74" i="27"/>
  <c r="AT74" i="27"/>
  <c r="AJ74" i="27"/>
  <c r="AH74" i="27"/>
  <c r="AF74" i="27"/>
  <c r="AD74" i="27"/>
  <c r="T74" i="27"/>
  <c r="R74" i="27"/>
  <c r="P74" i="27"/>
  <c r="N74" i="27"/>
  <c r="L74" i="27"/>
  <c r="J74" i="27"/>
  <c r="H74" i="27"/>
  <c r="F74" i="27"/>
  <c r="D74" i="27"/>
  <c r="B74" i="27"/>
  <c r="AV73" i="27"/>
  <c r="AT73" i="27"/>
  <c r="AJ73" i="27"/>
  <c r="AH73" i="27"/>
  <c r="AF73" i="27"/>
  <c r="AD73" i="27"/>
  <c r="T73" i="27"/>
  <c r="R73" i="27"/>
  <c r="P73" i="27"/>
  <c r="N73" i="27"/>
  <c r="L73" i="27"/>
  <c r="J73" i="27"/>
  <c r="H73" i="27"/>
  <c r="F73" i="27"/>
  <c r="D73" i="27"/>
  <c r="B73" i="27"/>
  <c r="AV72" i="27"/>
  <c r="AT72" i="27"/>
  <c r="AJ72" i="27"/>
  <c r="AH72" i="27"/>
  <c r="AF72" i="27"/>
  <c r="AD72" i="27"/>
  <c r="T72" i="27"/>
  <c r="R72" i="27"/>
  <c r="P72" i="27"/>
  <c r="N72" i="27"/>
  <c r="L72" i="27"/>
  <c r="J72" i="27"/>
  <c r="H72" i="27"/>
  <c r="F72" i="27"/>
  <c r="D72" i="27"/>
  <c r="B72" i="27"/>
  <c r="AV71" i="27"/>
  <c r="AT71" i="27"/>
  <c r="AJ71" i="27"/>
  <c r="AH71" i="27"/>
  <c r="AF71" i="27"/>
  <c r="AD71" i="27"/>
  <c r="T71" i="27"/>
  <c r="R71" i="27"/>
  <c r="P71" i="27"/>
  <c r="N71" i="27"/>
  <c r="L71" i="27"/>
  <c r="J71" i="27"/>
  <c r="H71" i="27"/>
  <c r="F71" i="27"/>
  <c r="D71" i="27"/>
  <c r="B71" i="27"/>
  <c r="AV70" i="27"/>
  <c r="AT70" i="27"/>
  <c r="AH70" i="27"/>
  <c r="AD70" i="27"/>
  <c r="R70" i="27"/>
  <c r="N70" i="27"/>
  <c r="J70" i="27"/>
  <c r="H70" i="27"/>
  <c r="F70" i="27"/>
  <c r="D70" i="27"/>
  <c r="B70" i="27"/>
  <c r="AV66" i="27"/>
  <c r="AT66" i="27"/>
  <c r="AJ66" i="27"/>
  <c r="AH66" i="27"/>
  <c r="AF66" i="27"/>
  <c r="AD66" i="27"/>
  <c r="T66" i="27"/>
  <c r="R66" i="27"/>
  <c r="P66" i="27"/>
  <c r="N66" i="27"/>
  <c r="L66" i="27"/>
  <c r="J66" i="27"/>
  <c r="H66" i="27"/>
  <c r="F66" i="27"/>
  <c r="D66" i="27"/>
  <c r="B66" i="27"/>
  <c r="AV65" i="27"/>
  <c r="AT65" i="27"/>
  <c r="AJ65" i="27"/>
  <c r="AH65" i="27"/>
  <c r="AF65" i="27"/>
  <c r="AD65" i="27"/>
  <c r="T65" i="27"/>
  <c r="R65" i="27"/>
  <c r="P65" i="27"/>
  <c r="N65" i="27"/>
  <c r="L65" i="27"/>
  <c r="J65" i="27"/>
  <c r="H65" i="27"/>
  <c r="F65" i="27"/>
  <c r="D65" i="27"/>
  <c r="B65" i="27"/>
  <c r="AV63" i="27"/>
  <c r="AT63" i="27"/>
  <c r="AJ63" i="27"/>
  <c r="AH63" i="27"/>
  <c r="AF63" i="27"/>
  <c r="AD63" i="27"/>
  <c r="T63" i="27"/>
  <c r="R63" i="27"/>
  <c r="P63" i="27"/>
  <c r="N63" i="27"/>
  <c r="L63" i="27"/>
  <c r="J63" i="27"/>
  <c r="H63" i="27"/>
  <c r="F63" i="27"/>
  <c r="D63" i="27"/>
  <c r="B63" i="27"/>
  <c r="AV61" i="27"/>
  <c r="AT61" i="27"/>
  <c r="AJ61" i="27"/>
  <c r="AH61" i="27"/>
  <c r="AF61" i="27"/>
  <c r="AD61" i="27"/>
  <c r="T61" i="27"/>
  <c r="R61" i="27"/>
  <c r="P61" i="27"/>
  <c r="N61" i="27"/>
  <c r="L61" i="27"/>
  <c r="J61" i="27"/>
  <c r="H61" i="27"/>
  <c r="F61" i="27"/>
  <c r="D61" i="27"/>
  <c r="B61" i="27"/>
  <c r="AV60" i="27"/>
  <c r="AT60" i="27"/>
  <c r="AJ60" i="27"/>
  <c r="AH60" i="27"/>
  <c r="AF60" i="27"/>
  <c r="AD60" i="27"/>
  <c r="T60" i="27"/>
  <c r="R60" i="27"/>
  <c r="P60" i="27"/>
  <c r="N60" i="27"/>
  <c r="L60" i="27"/>
  <c r="J60" i="27"/>
  <c r="H60" i="27"/>
  <c r="F60" i="27"/>
  <c r="D60" i="27"/>
  <c r="B60" i="27"/>
  <c r="AV59" i="27"/>
  <c r="AT59" i="27"/>
  <c r="AJ59" i="27"/>
  <c r="AH59" i="27"/>
  <c r="AF59" i="27"/>
  <c r="AD59" i="27"/>
  <c r="T59" i="27"/>
  <c r="R59" i="27"/>
  <c r="P59" i="27"/>
  <c r="N59" i="27"/>
  <c r="L59" i="27"/>
  <c r="J59" i="27"/>
  <c r="H59" i="27"/>
  <c r="F59" i="27"/>
  <c r="D59" i="27"/>
  <c r="B59" i="27"/>
  <c r="AV58" i="27"/>
  <c r="AT58" i="27"/>
  <c r="AJ58" i="27"/>
  <c r="AH58" i="27"/>
  <c r="AF58" i="27"/>
  <c r="AD58" i="27"/>
  <c r="T58" i="27"/>
  <c r="R58" i="27"/>
  <c r="P58" i="27"/>
  <c r="N58" i="27"/>
  <c r="L58" i="27"/>
  <c r="J58" i="27"/>
  <c r="H58" i="27"/>
  <c r="F58" i="27"/>
  <c r="D58" i="27"/>
  <c r="B58" i="27"/>
  <c r="AV57" i="27"/>
  <c r="AT57" i="27"/>
  <c r="AJ57" i="27"/>
  <c r="AH57" i="27"/>
  <c r="AF57" i="27"/>
  <c r="AD57" i="27"/>
  <c r="T57" i="27"/>
  <c r="R57" i="27"/>
  <c r="P57" i="27"/>
  <c r="N57" i="27"/>
  <c r="L57" i="27"/>
  <c r="J57" i="27"/>
  <c r="H57" i="27"/>
  <c r="F57" i="27"/>
  <c r="D57" i="27"/>
  <c r="B57" i="27"/>
  <c r="AV56" i="27"/>
  <c r="AT56" i="27"/>
  <c r="AJ56" i="27"/>
  <c r="AH56" i="27"/>
  <c r="AF56" i="27"/>
  <c r="AD56" i="27"/>
  <c r="T56" i="27"/>
  <c r="R56" i="27"/>
  <c r="P56" i="27"/>
  <c r="N56" i="27"/>
  <c r="L56" i="27"/>
  <c r="J56" i="27"/>
  <c r="H56" i="27"/>
  <c r="F56" i="27"/>
  <c r="D56" i="27"/>
  <c r="B56" i="27"/>
  <c r="AV55" i="27"/>
  <c r="AT55" i="27"/>
  <c r="AJ55" i="27"/>
  <c r="AH55" i="27"/>
  <c r="AF55" i="27"/>
  <c r="AD55" i="27"/>
  <c r="T55" i="27"/>
  <c r="R55" i="27"/>
  <c r="P55" i="27"/>
  <c r="N55" i="27"/>
  <c r="L55" i="27"/>
  <c r="J55" i="27"/>
  <c r="H55" i="27"/>
  <c r="F55" i="27"/>
  <c r="D55" i="27"/>
  <c r="B55" i="27"/>
  <c r="AV53" i="27"/>
  <c r="AT53" i="27"/>
  <c r="AJ53" i="27"/>
  <c r="AH53" i="27"/>
  <c r="AF53" i="27"/>
  <c r="AD53" i="27"/>
  <c r="T53" i="27"/>
  <c r="R53" i="27"/>
  <c r="P53" i="27"/>
  <c r="N53" i="27"/>
  <c r="L53" i="27"/>
  <c r="J53" i="27"/>
  <c r="H53" i="27"/>
  <c r="F53" i="27"/>
  <c r="D53" i="27"/>
  <c r="B53" i="27"/>
  <c r="AV52" i="27"/>
  <c r="AT52" i="27"/>
  <c r="AJ52" i="27"/>
  <c r="AH52" i="27"/>
  <c r="AF52" i="27"/>
  <c r="AD52" i="27"/>
  <c r="T52" i="27"/>
  <c r="R52" i="27"/>
  <c r="P52" i="27"/>
  <c r="N52" i="27"/>
  <c r="L52" i="27"/>
  <c r="J52" i="27"/>
  <c r="H52" i="27"/>
  <c r="F52" i="27"/>
  <c r="D52" i="27"/>
  <c r="B52" i="27"/>
  <c r="AV51" i="27"/>
  <c r="AT51" i="27"/>
  <c r="AJ51" i="27"/>
  <c r="AH51" i="27"/>
  <c r="AF51" i="27"/>
  <c r="AD51" i="27"/>
  <c r="T51" i="27"/>
  <c r="R51" i="27"/>
  <c r="P51" i="27"/>
  <c r="N51" i="27"/>
  <c r="L51" i="27"/>
  <c r="J51" i="27"/>
  <c r="H51" i="27"/>
  <c r="F51" i="27"/>
  <c r="D51" i="27"/>
  <c r="B51" i="27"/>
  <c r="AV50" i="27"/>
  <c r="AT50" i="27"/>
  <c r="AJ50" i="27"/>
  <c r="AH50" i="27"/>
  <c r="AF50" i="27"/>
  <c r="AD50" i="27"/>
  <c r="T50" i="27"/>
  <c r="R50" i="27"/>
  <c r="P50" i="27"/>
  <c r="N50" i="27"/>
  <c r="L50" i="27"/>
  <c r="J50" i="27"/>
  <c r="H50" i="27"/>
  <c r="F50" i="27"/>
  <c r="D50" i="27"/>
  <c r="B50" i="27"/>
  <c r="AV49" i="27"/>
  <c r="AT49" i="27"/>
  <c r="AJ49" i="27"/>
  <c r="AH49" i="27"/>
  <c r="AF49" i="27"/>
  <c r="AD49" i="27"/>
  <c r="T49" i="27"/>
  <c r="R49" i="27"/>
  <c r="P49" i="27"/>
  <c r="N49" i="27"/>
  <c r="L49" i="27"/>
  <c r="J49" i="27"/>
  <c r="H49" i="27"/>
  <c r="F49" i="27"/>
  <c r="D49" i="27"/>
  <c r="B49" i="27"/>
  <c r="AV46" i="27"/>
  <c r="AT46" i="27"/>
  <c r="AJ46" i="27"/>
  <c r="AH46" i="27"/>
  <c r="AF46" i="27"/>
  <c r="AD46" i="27"/>
  <c r="T46" i="27"/>
  <c r="R46" i="27"/>
  <c r="P46" i="27"/>
  <c r="N46" i="27"/>
  <c r="L46" i="27"/>
  <c r="J46" i="27"/>
  <c r="H46" i="27"/>
  <c r="F46" i="27"/>
  <c r="D46" i="27"/>
  <c r="B46" i="27"/>
  <c r="AV45" i="27"/>
  <c r="AT45" i="27"/>
  <c r="AJ45" i="27"/>
  <c r="AH45" i="27"/>
  <c r="AF45" i="27"/>
  <c r="AD45" i="27"/>
  <c r="T45" i="27"/>
  <c r="R45" i="27"/>
  <c r="P45" i="27"/>
  <c r="N45" i="27"/>
  <c r="L45" i="27"/>
  <c r="J45" i="27"/>
  <c r="H45" i="27"/>
  <c r="F45" i="27"/>
  <c r="D45" i="27"/>
  <c r="B45" i="27"/>
  <c r="AV44" i="27"/>
  <c r="AT44" i="27"/>
  <c r="AJ44" i="27"/>
  <c r="AH44" i="27"/>
  <c r="AF44" i="27"/>
  <c r="AD44" i="27"/>
  <c r="T44" i="27"/>
  <c r="R44" i="27"/>
  <c r="P44" i="27"/>
  <c r="N44" i="27"/>
  <c r="L44" i="27"/>
  <c r="J44" i="27"/>
  <c r="H44" i="27"/>
  <c r="F44" i="27"/>
  <c r="D44" i="27"/>
  <c r="B44" i="27"/>
  <c r="AV43" i="27"/>
  <c r="AT43" i="27"/>
  <c r="AJ43" i="27"/>
  <c r="AH43" i="27"/>
  <c r="AF43" i="27"/>
  <c r="AD43" i="27"/>
  <c r="T43" i="27"/>
  <c r="R43" i="27"/>
  <c r="P43" i="27"/>
  <c r="N43" i="27"/>
  <c r="L43" i="27"/>
  <c r="J43" i="27"/>
  <c r="H43" i="27"/>
  <c r="F43" i="27"/>
  <c r="D43" i="27"/>
  <c r="B43" i="27"/>
  <c r="AV42" i="27"/>
  <c r="AT42" i="27"/>
  <c r="AJ42" i="27"/>
  <c r="AH42" i="27"/>
  <c r="AF42" i="27"/>
  <c r="AD42" i="27"/>
  <c r="T42" i="27"/>
  <c r="R42" i="27"/>
  <c r="P42" i="27"/>
  <c r="N42" i="27"/>
  <c r="L42" i="27"/>
  <c r="J42" i="27"/>
  <c r="H42" i="27"/>
  <c r="F42" i="27"/>
  <c r="D42" i="27"/>
  <c r="B42" i="27"/>
  <c r="AV41" i="27"/>
  <c r="AT41" i="27"/>
  <c r="AJ41" i="27"/>
  <c r="AH41" i="27"/>
  <c r="AF41" i="27"/>
  <c r="AD41" i="27"/>
  <c r="T41" i="27"/>
  <c r="R41" i="27"/>
  <c r="P41" i="27"/>
  <c r="N41" i="27"/>
  <c r="L41" i="27"/>
  <c r="J41" i="27"/>
  <c r="H41" i="27"/>
  <c r="F41" i="27"/>
  <c r="D41" i="27"/>
  <c r="B41" i="27"/>
  <c r="AV40" i="27"/>
  <c r="AT40" i="27"/>
  <c r="AJ40" i="27"/>
  <c r="AH40" i="27"/>
  <c r="AF40" i="27"/>
  <c r="AD40" i="27"/>
  <c r="T40" i="27"/>
  <c r="R40" i="27"/>
  <c r="P40" i="27"/>
  <c r="N40" i="27"/>
  <c r="L40" i="27"/>
  <c r="J40" i="27"/>
  <c r="H40" i="27"/>
  <c r="F40" i="27"/>
  <c r="D40" i="27"/>
  <c r="B40" i="27"/>
  <c r="AV39" i="27"/>
  <c r="AT39" i="27"/>
  <c r="AJ39" i="27"/>
  <c r="AH39" i="27"/>
  <c r="AF39" i="27"/>
  <c r="AD39" i="27"/>
  <c r="T39" i="27"/>
  <c r="R39" i="27"/>
  <c r="P39" i="27"/>
  <c r="N39" i="27"/>
  <c r="L39" i="27"/>
  <c r="J39" i="27"/>
  <c r="H39" i="27"/>
  <c r="F39" i="27"/>
  <c r="D39" i="27"/>
  <c r="B39" i="27"/>
  <c r="AV38" i="27"/>
  <c r="AT38" i="27"/>
  <c r="AJ38" i="27"/>
  <c r="AH38" i="27"/>
  <c r="AF38" i="27"/>
  <c r="AD38" i="27"/>
  <c r="T38" i="27"/>
  <c r="R38" i="27"/>
  <c r="P38" i="27"/>
  <c r="N38" i="27"/>
  <c r="L38" i="27"/>
  <c r="J38" i="27"/>
  <c r="H38" i="27"/>
  <c r="F38" i="27"/>
  <c r="D38" i="27"/>
  <c r="B38" i="27"/>
  <c r="AV37" i="27"/>
  <c r="AT37" i="27"/>
  <c r="AJ37" i="27"/>
  <c r="AH37" i="27"/>
  <c r="AF37" i="27"/>
  <c r="AD37" i="27"/>
  <c r="T37" i="27"/>
  <c r="R37" i="27"/>
  <c r="P37" i="27"/>
  <c r="N37" i="27"/>
  <c r="L37" i="27"/>
  <c r="J37" i="27"/>
  <c r="H37" i="27"/>
  <c r="F37" i="27"/>
  <c r="D37" i="27"/>
  <c r="B37" i="27"/>
  <c r="AV36" i="27"/>
  <c r="AT36" i="27"/>
  <c r="AJ36" i="27"/>
  <c r="AH36" i="27"/>
  <c r="AF36" i="27"/>
  <c r="AD36" i="27"/>
  <c r="T36" i="27"/>
  <c r="R36" i="27"/>
  <c r="P36" i="27"/>
  <c r="N36" i="27"/>
  <c r="L36" i="27"/>
  <c r="J36" i="27"/>
  <c r="H36" i="27"/>
  <c r="F36" i="27"/>
  <c r="D36" i="27"/>
  <c r="B36" i="27"/>
  <c r="AV35" i="27"/>
  <c r="AT35" i="27"/>
  <c r="AJ35" i="27"/>
  <c r="AH35" i="27"/>
  <c r="AF35" i="27"/>
  <c r="AD35" i="27"/>
  <c r="T35" i="27"/>
  <c r="R35" i="27"/>
  <c r="P35" i="27"/>
  <c r="N35" i="27"/>
  <c r="L35" i="27"/>
  <c r="J35" i="27"/>
  <c r="H35" i="27"/>
  <c r="F35" i="27"/>
  <c r="D35" i="27"/>
  <c r="B35" i="27"/>
  <c r="AV34" i="27"/>
  <c r="AT34" i="27"/>
  <c r="AJ34" i="27"/>
  <c r="AH34" i="27"/>
  <c r="AF34" i="27"/>
  <c r="AD34" i="27"/>
  <c r="T34" i="27"/>
  <c r="R34" i="27"/>
  <c r="P34" i="27"/>
  <c r="N34" i="27"/>
  <c r="L34" i="27"/>
  <c r="J34" i="27"/>
  <c r="H34" i="27"/>
  <c r="F34" i="27"/>
  <c r="D34" i="27"/>
  <c r="B34" i="27"/>
  <c r="AV33" i="27"/>
  <c r="AT33" i="27"/>
  <c r="AJ33" i="27"/>
  <c r="AH33" i="27"/>
  <c r="AF33" i="27"/>
  <c r="AD33" i="27"/>
  <c r="T33" i="27"/>
  <c r="R33" i="27"/>
  <c r="P33" i="27"/>
  <c r="N33" i="27"/>
  <c r="L33" i="27"/>
  <c r="J33" i="27"/>
  <c r="H33" i="27"/>
  <c r="F33" i="27"/>
  <c r="D33" i="27"/>
  <c r="B33" i="27"/>
  <c r="AV32" i="27"/>
  <c r="AT32" i="27"/>
  <c r="AJ32" i="27"/>
  <c r="AH32" i="27"/>
  <c r="AF32" i="27"/>
  <c r="AD32" i="27"/>
  <c r="T32" i="27"/>
  <c r="R32" i="27"/>
  <c r="P32" i="27"/>
  <c r="N32" i="27"/>
  <c r="L32" i="27"/>
  <c r="J32" i="27"/>
  <c r="H32" i="27"/>
  <c r="F32" i="27"/>
  <c r="D32" i="27"/>
  <c r="B32" i="27"/>
  <c r="AV31" i="27"/>
  <c r="AT31" i="27"/>
  <c r="AJ31" i="27"/>
  <c r="AH31" i="27"/>
  <c r="AF31" i="27"/>
  <c r="AD31" i="27"/>
  <c r="T31" i="27"/>
  <c r="R31" i="27"/>
  <c r="P31" i="27"/>
  <c r="N31" i="27"/>
  <c r="L31" i="27"/>
  <c r="J31" i="27"/>
  <c r="H31" i="27"/>
  <c r="F31" i="27"/>
  <c r="D31" i="27"/>
  <c r="B31" i="27"/>
  <c r="AV30" i="27"/>
  <c r="AT30" i="27"/>
  <c r="AJ30" i="27"/>
  <c r="AH30" i="27"/>
  <c r="AF30" i="27"/>
  <c r="AD30" i="27"/>
  <c r="T30" i="27"/>
  <c r="R30" i="27"/>
  <c r="P30" i="27"/>
  <c r="N30" i="27"/>
  <c r="L30" i="27"/>
  <c r="J30" i="27"/>
  <c r="H30" i="27"/>
  <c r="F30" i="27"/>
  <c r="D30" i="27"/>
  <c r="B30" i="27"/>
  <c r="AV29" i="27"/>
  <c r="AT29" i="27"/>
  <c r="AJ29" i="27"/>
  <c r="AH29" i="27"/>
  <c r="AF29" i="27"/>
  <c r="AD29" i="27"/>
  <c r="T29" i="27"/>
  <c r="R29" i="27"/>
  <c r="P29" i="27"/>
  <c r="N29" i="27"/>
  <c r="L29" i="27"/>
  <c r="J29" i="27"/>
  <c r="H29" i="27"/>
  <c r="F29" i="27"/>
  <c r="D29" i="27"/>
  <c r="B29" i="27"/>
  <c r="AV28" i="27"/>
  <c r="AT28" i="27"/>
  <c r="AJ28" i="27"/>
  <c r="AH28" i="27"/>
  <c r="AF28" i="27"/>
  <c r="AD28" i="27"/>
  <c r="T28" i="27"/>
  <c r="R28" i="27"/>
  <c r="P28" i="27"/>
  <c r="N28" i="27"/>
  <c r="L28" i="27"/>
  <c r="J28" i="27"/>
  <c r="H28" i="27"/>
  <c r="F28" i="27"/>
  <c r="D28" i="27"/>
  <c r="B28" i="27"/>
  <c r="AV27" i="27"/>
  <c r="AT27" i="27"/>
  <c r="AJ27" i="27"/>
  <c r="AH27" i="27"/>
  <c r="AF27" i="27"/>
  <c r="AD27" i="27"/>
  <c r="T27" i="27"/>
  <c r="R27" i="27"/>
  <c r="P27" i="27"/>
  <c r="N27" i="27"/>
  <c r="L27" i="27"/>
  <c r="J27" i="27"/>
  <c r="H27" i="27"/>
  <c r="F27" i="27"/>
  <c r="D27" i="27"/>
  <c r="B27" i="27"/>
  <c r="AV26" i="27"/>
  <c r="AT26" i="27"/>
  <c r="AJ26" i="27"/>
  <c r="AH26" i="27"/>
  <c r="AF26" i="27"/>
  <c r="AD26" i="27"/>
  <c r="T26" i="27"/>
  <c r="R26" i="27"/>
  <c r="P26" i="27"/>
  <c r="N26" i="27"/>
  <c r="L26" i="27"/>
  <c r="J26" i="27"/>
  <c r="H26" i="27"/>
  <c r="F26" i="27"/>
  <c r="D26" i="27"/>
  <c r="B26" i="27"/>
  <c r="AV25" i="27"/>
  <c r="AT25" i="27"/>
  <c r="AJ25" i="27"/>
  <c r="AH25" i="27"/>
  <c r="AF25" i="27"/>
  <c r="AD25" i="27"/>
  <c r="T25" i="27"/>
  <c r="R25" i="27"/>
  <c r="P25" i="27"/>
  <c r="N25" i="27"/>
  <c r="L25" i="27"/>
  <c r="J25" i="27"/>
  <c r="H25" i="27"/>
  <c r="F25" i="27"/>
  <c r="D25" i="27"/>
  <c r="B25" i="27"/>
  <c r="AV24" i="27"/>
  <c r="AT24" i="27"/>
  <c r="AJ24" i="27"/>
  <c r="AH24" i="27"/>
  <c r="AF24" i="27"/>
  <c r="AD24" i="27"/>
  <c r="T24" i="27"/>
  <c r="R24" i="27"/>
  <c r="P24" i="27"/>
  <c r="N24" i="27"/>
  <c r="L24" i="27"/>
  <c r="J24" i="27"/>
  <c r="H24" i="27"/>
  <c r="F24" i="27"/>
  <c r="D24" i="27"/>
  <c r="B24" i="27"/>
  <c r="AV23" i="27"/>
  <c r="AT23" i="27"/>
  <c r="AJ23" i="27"/>
  <c r="AH23" i="27"/>
  <c r="AF23" i="27"/>
  <c r="AD23" i="27"/>
  <c r="T23" i="27"/>
  <c r="R23" i="27"/>
  <c r="P23" i="27"/>
  <c r="N23" i="27"/>
  <c r="L23" i="27"/>
  <c r="J23" i="27"/>
  <c r="H23" i="27"/>
  <c r="F23" i="27"/>
  <c r="D23" i="27"/>
  <c r="B23" i="27"/>
  <c r="AV22" i="27"/>
  <c r="AT22" i="27"/>
  <c r="AJ22" i="27"/>
  <c r="AH22" i="27"/>
  <c r="AF22" i="27"/>
  <c r="AD22" i="27"/>
  <c r="T22" i="27"/>
  <c r="R22" i="27"/>
  <c r="P22" i="27"/>
  <c r="N22" i="27"/>
  <c r="L22" i="27"/>
  <c r="J22" i="27"/>
  <c r="H22" i="27"/>
  <c r="F22" i="27"/>
  <c r="D22" i="27"/>
  <c r="B22" i="27"/>
  <c r="AV21" i="27"/>
  <c r="AT21" i="27"/>
  <c r="AJ21" i="27"/>
  <c r="AH21" i="27"/>
  <c r="AF21" i="27"/>
  <c r="AD21" i="27"/>
  <c r="T21" i="27"/>
  <c r="R21" i="27"/>
  <c r="P21" i="27"/>
  <c r="N21" i="27"/>
  <c r="L21" i="27"/>
  <c r="J21" i="27"/>
  <c r="H21" i="27"/>
  <c r="F21" i="27"/>
  <c r="D21" i="27"/>
  <c r="B21" i="27"/>
  <c r="AV20" i="27"/>
  <c r="AT20" i="27"/>
  <c r="AJ20" i="27"/>
  <c r="AH20" i="27"/>
  <c r="AF20" i="27"/>
  <c r="AD20" i="27"/>
  <c r="T20" i="27"/>
  <c r="R20" i="27"/>
  <c r="P20" i="27"/>
  <c r="N20" i="27"/>
  <c r="L20" i="27"/>
  <c r="J20" i="27"/>
  <c r="H20" i="27"/>
  <c r="F20" i="27"/>
  <c r="D20" i="27"/>
  <c r="B20" i="27"/>
  <c r="AV19" i="27"/>
  <c r="AT19" i="27"/>
  <c r="AJ19" i="27"/>
  <c r="AH19" i="27"/>
  <c r="AF19" i="27"/>
  <c r="AD19" i="27"/>
  <c r="T19" i="27"/>
  <c r="R19" i="27"/>
  <c r="P19" i="27"/>
  <c r="N19" i="27"/>
  <c r="L19" i="27"/>
  <c r="J19" i="27"/>
  <c r="H19" i="27"/>
  <c r="F19" i="27"/>
  <c r="D19" i="27"/>
  <c r="B19" i="27"/>
  <c r="AV16" i="27"/>
  <c r="AT16" i="27"/>
  <c r="AJ16" i="27"/>
  <c r="AF16" i="27"/>
  <c r="AD16" i="27"/>
  <c r="T16" i="27"/>
  <c r="P16" i="27"/>
  <c r="L16" i="27"/>
  <c r="H16" i="27"/>
  <c r="F16" i="27"/>
  <c r="AV15" i="27"/>
  <c r="AT15" i="27"/>
  <c r="AJ15" i="27"/>
  <c r="AH15" i="27"/>
  <c r="AF15" i="27"/>
  <c r="AD15" i="27"/>
  <c r="T15" i="27"/>
  <c r="P15" i="27"/>
  <c r="N15" i="27"/>
  <c r="L15" i="27"/>
  <c r="J15" i="27"/>
  <c r="H15" i="27"/>
  <c r="F15" i="27"/>
  <c r="AV14" i="27"/>
  <c r="AT14" i="27"/>
  <c r="AJ14" i="27"/>
  <c r="AF14" i="27"/>
  <c r="AD14" i="27"/>
  <c r="T14" i="27"/>
  <c r="P14" i="27"/>
  <c r="L14" i="27"/>
  <c r="H14" i="27"/>
  <c r="F14" i="27"/>
  <c r="AV13" i="27"/>
  <c r="AT13" i="27"/>
  <c r="AJ13" i="27"/>
  <c r="AF13" i="27"/>
  <c r="T13" i="27"/>
  <c r="P13" i="27"/>
  <c r="N13" i="27"/>
  <c r="L13" i="27"/>
  <c r="H13" i="27"/>
  <c r="AV12" i="27"/>
  <c r="AT12" i="27"/>
  <c r="AJ12" i="27"/>
  <c r="AF12" i="27"/>
  <c r="AD12" i="27"/>
  <c r="T12" i="27"/>
  <c r="P12" i="27"/>
  <c r="N12" i="27"/>
  <c r="L12" i="27"/>
  <c r="J12" i="27"/>
  <c r="H12" i="27"/>
  <c r="F12" i="27"/>
  <c r="AV10" i="27"/>
  <c r="AT10" i="27"/>
  <c r="AJ10" i="27"/>
  <c r="AH10" i="27"/>
  <c r="AF10" i="27"/>
  <c r="AD10" i="27"/>
  <c r="T10" i="27"/>
  <c r="P10" i="27"/>
  <c r="N10" i="27"/>
  <c r="L10" i="27"/>
  <c r="J10" i="27"/>
  <c r="H10" i="27"/>
  <c r="F10" i="27"/>
  <c r="AV9" i="27"/>
  <c r="AT9" i="27"/>
  <c r="AJ9" i="27"/>
  <c r="AH9" i="27"/>
  <c r="AF9" i="27"/>
  <c r="AD9" i="27"/>
  <c r="T9" i="27"/>
  <c r="P9" i="27"/>
  <c r="N9" i="27"/>
  <c r="L9" i="27"/>
  <c r="J9" i="27"/>
  <c r="H9" i="27"/>
  <c r="F9" i="27"/>
  <c r="AV8" i="27"/>
  <c r="AT8" i="27"/>
  <c r="AJ8" i="27"/>
  <c r="AH8" i="27"/>
  <c r="AF8" i="27"/>
  <c r="AD8" i="27"/>
  <c r="T8" i="27"/>
  <c r="P8" i="27"/>
  <c r="N8" i="27"/>
  <c r="L8" i="27"/>
  <c r="J8" i="27"/>
  <c r="H8" i="27"/>
  <c r="F8" i="27"/>
  <c r="AV7" i="27"/>
  <c r="AT7" i="27"/>
  <c r="AJ7" i="27"/>
  <c r="AH7" i="27"/>
  <c r="AF7" i="27"/>
  <c r="AD7" i="27"/>
  <c r="T7" i="27"/>
  <c r="P7" i="27"/>
  <c r="N7" i="27"/>
  <c r="L7" i="27"/>
  <c r="J7" i="27"/>
  <c r="H7" i="27"/>
  <c r="F7" i="27"/>
  <c r="AV6" i="27"/>
  <c r="AT6" i="27"/>
  <c r="AJ6" i="27"/>
  <c r="AH6" i="27"/>
  <c r="AF6" i="27"/>
  <c r="AD6" i="27"/>
  <c r="T6" i="27"/>
  <c r="P6" i="27"/>
  <c r="N6" i="27"/>
  <c r="L6" i="27"/>
  <c r="J6" i="27"/>
  <c r="H6" i="27"/>
  <c r="F6" i="27"/>
  <c r="AT83" i="18" l="1"/>
  <c r="AD83" i="18"/>
  <c r="F83" i="18"/>
  <c r="AV77" i="18"/>
  <c r="AT77" i="18"/>
  <c r="AJ77" i="18"/>
  <c r="AF77" i="18"/>
  <c r="T77" i="18"/>
  <c r="P77" i="18"/>
  <c r="L77" i="18"/>
  <c r="H77" i="18"/>
  <c r="F77" i="18"/>
  <c r="D77" i="18"/>
  <c r="AV75" i="18"/>
  <c r="AT75" i="18"/>
  <c r="AJ75" i="18"/>
  <c r="AH75" i="18"/>
  <c r="AF75" i="18"/>
  <c r="AD75" i="18"/>
  <c r="T75" i="18"/>
  <c r="R75" i="18"/>
  <c r="P75" i="18"/>
  <c r="N75" i="18"/>
  <c r="L75" i="18"/>
  <c r="J75" i="18"/>
  <c r="H75" i="18"/>
  <c r="F75" i="18"/>
  <c r="D75" i="18"/>
  <c r="B75" i="18"/>
  <c r="AV74" i="18"/>
  <c r="AT74" i="18"/>
  <c r="AJ74" i="18"/>
  <c r="AH74" i="18"/>
  <c r="AF74" i="18"/>
  <c r="AD74" i="18"/>
  <c r="T74" i="18"/>
  <c r="R74" i="18"/>
  <c r="P74" i="18"/>
  <c r="N74" i="18"/>
  <c r="L74" i="18"/>
  <c r="J74" i="18"/>
  <c r="H74" i="18"/>
  <c r="F74" i="18"/>
  <c r="D74" i="18"/>
  <c r="B74" i="18"/>
  <c r="AV73" i="18"/>
  <c r="AT73" i="18"/>
  <c r="AJ73" i="18"/>
  <c r="AH73" i="18"/>
  <c r="AF73" i="18"/>
  <c r="AD73" i="18"/>
  <c r="T73" i="18"/>
  <c r="R73" i="18"/>
  <c r="P73" i="18"/>
  <c r="N73" i="18"/>
  <c r="L73" i="18"/>
  <c r="J73" i="18"/>
  <c r="H73" i="18"/>
  <c r="F73" i="18"/>
  <c r="D73" i="18"/>
  <c r="B73" i="18"/>
  <c r="AV72" i="18"/>
  <c r="AT72" i="18"/>
  <c r="AJ72" i="18"/>
  <c r="AH72" i="18"/>
  <c r="AF72" i="18"/>
  <c r="AD72" i="18"/>
  <c r="T72" i="18"/>
  <c r="R72" i="18"/>
  <c r="P72" i="18"/>
  <c r="N72" i="18"/>
  <c r="L72" i="18"/>
  <c r="J72" i="18"/>
  <c r="H72" i="18"/>
  <c r="F72" i="18"/>
  <c r="D72" i="18"/>
  <c r="B72" i="18"/>
  <c r="AV71" i="18"/>
  <c r="AT71" i="18"/>
  <c r="AJ71" i="18"/>
  <c r="AH71" i="18"/>
  <c r="AF71" i="18"/>
  <c r="AD71" i="18"/>
  <c r="T71" i="18"/>
  <c r="R71" i="18"/>
  <c r="P71" i="18"/>
  <c r="N71" i="18"/>
  <c r="L71" i="18"/>
  <c r="J71" i="18"/>
  <c r="H71" i="18"/>
  <c r="F71" i="18"/>
  <c r="D71" i="18"/>
  <c r="B71" i="18"/>
  <c r="AV70" i="18"/>
  <c r="AT70" i="18"/>
  <c r="AH70" i="18"/>
  <c r="AD70" i="18"/>
  <c r="R70" i="18"/>
  <c r="N70" i="18"/>
  <c r="J70" i="18"/>
  <c r="H70" i="18"/>
  <c r="F70" i="18"/>
  <c r="D70" i="18"/>
  <c r="B70" i="18"/>
  <c r="AV66" i="18"/>
  <c r="AT66" i="18"/>
  <c r="AJ66" i="18"/>
  <c r="AH66" i="18"/>
  <c r="AF66" i="18"/>
  <c r="AD66" i="18"/>
  <c r="T66" i="18"/>
  <c r="R66" i="18"/>
  <c r="P66" i="18"/>
  <c r="N66" i="18"/>
  <c r="L66" i="18"/>
  <c r="J66" i="18"/>
  <c r="H66" i="18"/>
  <c r="F66" i="18"/>
  <c r="D66" i="18"/>
  <c r="B66" i="18"/>
  <c r="AV65" i="18"/>
  <c r="AT65" i="18"/>
  <c r="AJ65" i="18"/>
  <c r="AH65" i="18"/>
  <c r="AF65" i="18"/>
  <c r="AD65" i="18"/>
  <c r="T65" i="18"/>
  <c r="R65" i="18"/>
  <c r="P65" i="18"/>
  <c r="N65" i="18"/>
  <c r="L65" i="18"/>
  <c r="J65" i="18"/>
  <c r="H65" i="18"/>
  <c r="F65" i="18"/>
  <c r="D65" i="18"/>
  <c r="B65" i="18"/>
  <c r="AV63" i="18"/>
  <c r="AT63" i="18"/>
  <c r="AJ63" i="18"/>
  <c r="AH63" i="18"/>
  <c r="AF63" i="18"/>
  <c r="AD63" i="18"/>
  <c r="T63" i="18"/>
  <c r="R63" i="18"/>
  <c r="P63" i="18"/>
  <c r="N63" i="18"/>
  <c r="L63" i="18"/>
  <c r="J63" i="18"/>
  <c r="H63" i="18"/>
  <c r="F63" i="18"/>
  <c r="D63" i="18"/>
  <c r="B63" i="18"/>
  <c r="AV61" i="18"/>
  <c r="AT61" i="18"/>
  <c r="AJ61" i="18"/>
  <c r="AH61" i="18"/>
  <c r="AF61" i="18"/>
  <c r="AD61" i="18"/>
  <c r="T61" i="18"/>
  <c r="R61" i="18"/>
  <c r="P61" i="18"/>
  <c r="N61" i="18"/>
  <c r="L61" i="18"/>
  <c r="J61" i="18"/>
  <c r="H61" i="18"/>
  <c r="F61" i="18"/>
  <c r="D61" i="18"/>
  <c r="B61" i="18"/>
  <c r="AV60" i="18"/>
  <c r="AT60" i="18"/>
  <c r="AJ60" i="18"/>
  <c r="AH60" i="18"/>
  <c r="AF60" i="18"/>
  <c r="AD60" i="18"/>
  <c r="T60" i="18"/>
  <c r="R60" i="18"/>
  <c r="P60" i="18"/>
  <c r="N60" i="18"/>
  <c r="L60" i="18"/>
  <c r="J60" i="18"/>
  <c r="H60" i="18"/>
  <c r="F60" i="18"/>
  <c r="D60" i="18"/>
  <c r="B60" i="18"/>
  <c r="AV59" i="18"/>
  <c r="AT59" i="18"/>
  <c r="AJ59" i="18"/>
  <c r="AH59" i="18"/>
  <c r="AF59" i="18"/>
  <c r="AD59" i="18"/>
  <c r="T59" i="18"/>
  <c r="R59" i="18"/>
  <c r="P59" i="18"/>
  <c r="N59" i="18"/>
  <c r="L59" i="18"/>
  <c r="J59" i="18"/>
  <c r="H59" i="18"/>
  <c r="F59" i="18"/>
  <c r="D59" i="18"/>
  <c r="B59" i="18"/>
  <c r="AV58" i="18"/>
  <c r="AT58" i="18"/>
  <c r="AJ58" i="18"/>
  <c r="AH58" i="18"/>
  <c r="AF58" i="18"/>
  <c r="AD58" i="18"/>
  <c r="T58" i="18"/>
  <c r="R58" i="18"/>
  <c r="P58" i="18"/>
  <c r="N58" i="18"/>
  <c r="L58" i="18"/>
  <c r="J58" i="18"/>
  <c r="H58" i="18"/>
  <c r="F58" i="18"/>
  <c r="D58" i="18"/>
  <c r="B58" i="18"/>
  <c r="AV57" i="18"/>
  <c r="AT57" i="18"/>
  <c r="AJ57" i="18"/>
  <c r="AH57" i="18"/>
  <c r="AF57" i="18"/>
  <c r="AD57" i="18"/>
  <c r="T57" i="18"/>
  <c r="R57" i="18"/>
  <c r="P57" i="18"/>
  <c r="N57" i="18"/>
  <c r="L57" i="18"/>
  <c r="J57" i="18"/>
  <c r="H57" i="18"/>
  <c r="F57" i="18"/>
  <c r="D57" i="18"/>
  <c r="B57" i="18"/>
  <c r="AV56" i="18"/>
  <c r="AT56" i="18"/>
  <c r="AJ56" i="18"/>
  <c r="AH56" i="18"/>
  <c r="AF56" i="18"/>
  <c r="AD56" i="18"/>
  <c r="T56" i="18"/>
  <c r="R56" i="18"/>
  <c r="P56" i="18"/>
  <c r="N56" i="18"/>
  <c r="L56" i="18"/>
  <c r="J56" i="18"/>
  <c r="H56" i="18"/>
  <c r="F56" i="18"/>
  <c r="D56" i="18"/>
  <c r="B56" i="18"/>
  <c r="AV55" i="18"/>
  <c r="AT55" i="18"/>
  <c r="AJ55" i="18"/>
  <c r="AH55" i="18"/>
  <c r="AF55" i="18"/>
  <c r="AD55" i="18"/>
  <c r="T55" i="18"/>
  <c r="R55" i="18"/>
  <c r="P55" i="18"/>
  <c r="N55" i="18"/>
  <c r="L55" i="18"/>
  <c r="J55" i="18"/>
  <c r="H55" i="18"/>
  <c r="F55" i="18"/>
  <c r="D55" i="18"/>
  <c r="B55" i="18"/>
  <c r="AV53" i="18"/>
  <c r="AT53" i="18"/>
  <c r="AJ53" i="18"/>
  <c r="AH53" i="18"/>
  <c r="AF53" i="18"/>
  <c r="AD53" i="18"/>
  <c r="T53" i="18"/>
  <c r="R53" i="18"/>
  <c r="P53" i="18"/>
  <c r="N53" i="18"/>
  <c r="L53" i="18"/>
  <c r="J53" i="18"/>
  <c r="H53" i="18"/>
  <c r="F53" i="18"/>
  <c r="D53" i="18"/>
  <c r="B53" i="18"/>
  <c r="AV52" i="18"/>
  <c r="AT52" i="18"/>
  <c r="AJ52" i="18"/>
  <c r="AH52" i="18"/>
  <c r="AF52" i="18"/>
  <c r="AD52" i="18"/>
  <c r="T52" i="18"/>
  <c r="R52" i="18"/>
  <c r="P52" i="18"/>
  <c r="N52" i="18"/>
  <c r="L52" i="18"/>
  <c r="J52" i="18"/>
  <c r="H52" i="18"/>
  <c r="F52" i="18"/>
  <c r="D52" i="18"/>
  <c r="B52" i="18"/>
  <c r="AV51" i="18"/>
  <c r="AT51" i="18"/>
  <c r="AJ51" i="18"/>
  <c r="AH51" i="18"/>
  <c r="AF51" i="18"/>
  <c r="AD51" i="18"/>
  <c r="T51" i="18"/>
  <c r="R51" i="18"/>
  <c r="P51" i="18"/>
  <c r="N51" i="18"/>
  <c r="L51" i="18"/>
  <c r="J51" i="18"/>
  <c r="H51" i="18"/>
  <c r="F51" i="18"/>
  <c r="D51" i="18"/>
  <c r="B51" i="18"/>
  <c r="AV50" i="18"/>
  <c r="AT50" i="18"/>
  <c r="AJ50" i="18"/>
  <c r="AH50" i="18"/>
  <c r="AF50" i="18"/>
  <c r="AD50" i="18"/>
  <c r="T50" i="18"/>
  <c r="R50" i="18"/>
  <c r="P50" i="18"/>
  <c r="N50" i="18"/>
  <c r="L50" i="18"/>
  <c r="J50" i="18"/>
  <c r="H50" i="18"/>
  <c r="F50" i="18"/>
  <c r="D50" i="18"/>
  <c r="B50" i="18"/>
  <c r="AV49" i="18"/>
  <c r="AT49" i="18"/>
  <c r="AJ49" i="18"/>
  <c r="AH49" i="18"/>
  <c r="AF49" i="18"/>
  <c r="AD49" i="18"/>
  <c r="T49" i="18"/>
  <c r="R49" i="18"/>
  <c r="P49" i="18"/>
  <c r="N49" i="18"/>
  <c r="L49" i="18"/>
  <c r="J49" i="18"/>
  <c r="H49" i="18"/>
  <c r="F49" i="18"/>
  <c r="D49" i="18"/>
  <c r="B49" i="18"/>
  <c r="AV46" i="18"/>
  <c r="AT46" i="18"/>
  <c r="AJ46" i="18"/>
  <c r="AH46" i="18"/>
  <c r="AF46" i="18"/>
  <c r="AD46" i="18"/>
  <c r="T46" i="18"/>
  <c r="R46" i="18"/>
  <c r="P46" i="18"/>
  <c r="N46" i="18"/>
  <c r="L46" i="18"/>
  <c r="J46" i="18"/>
  <c r="H46" i="18"/>
  <c r="F46" i="18"/>
  <c r="D46" i="18"/>
  <c r="B46" i="18"/>
  <c r="AV45" i="18"/>
  <c r="AT45" i="18"/>
  <c r="AJ45" i="18"/>
  <c r="AH45" i="18"/>
  <c r="AF45" i="18"/>
  <c r="AD45" i="18"/>
  <c r="T45" i="18"/>
  <c r="R45" i="18"/>
  <c r="P45" i="18"/>
  <c r="N45" i="18"/>
  <c r="L45" i="18"/>
  <c r="J45" i="18"/>
  <c r="H45" i="18"/>
  <c r="F45" i="18"/>
  <c r="D45" i="18"/>
  <c r="B45" i="18"/>
  <c r="AV44" i="18"/>
  <c r="AT44" i="18"/>
  <c r="AJ44" i="18"/>
  <c r="AH44" i="18"/>
  <c r="AF44" i="18"/>
  <c r="AD44" i="18"/>
  <c r="T44" i="18"/>
  <c r="R44" i="18"/>
  <c r="P44" i="18"/>
  <c r="N44" i="18"/>
  <c r="L44" i="18"/>
  <c r="J44" i="18"/>
  <c r="H44" i="18"/>
  <c r="F44" i="18"/>
  <c r="D44" i="18"/>
  <c r="B44" i="18"/>
  <c r="AV43" i="18"/>
  <c r="AT43" i="18"/>
  <c r="AJ43" i="18"/>
  <c r="AH43" i="18"/>
  <c r="AF43" i="18"/>
  <c r="AD43" i="18"/>
  <c r="T43" i="18"/>
  <c r="R43" i="18"/>
  <c r="P43" i="18"/>
  <c r="N43" i="18"/>
  <c r="L43" i="18"/>
  <c r="J43" i="18"/>
  <c r="H43" i="18"/>
  <c r="F43" i="18"/>
  <c r="D43" i="18"/>
  <c r="B43" i="18"/>
  <c r="AV42" i="18"/>
  <c r="AT42" i="18"/>
  <c r="AJ42" i="18"/>
  <c r="AH42" i="18"/>
  <c r="AF42" i="18"/>
  <c r="AD42" i="18"/>
  <c r="T42" i="18"/>
  <c r="R42" i="18"/>
  <c r="P42" i="18"/>
  <c r="N42" i="18"/>
  <c r="L42" i="18"/>
  <c r="J42" i="18"/>
  <c r="H42" i="18"/>
  <c r="F42" i="18"/>
  <c r="D42" i="18"/>
  <c r="B42" i="18"/>
  <c r="AV41" i="18"/>
  <c r="AT41" i="18"/>
  <c r="AJ41" i="18"/>
  <c r="AH41" i="18"/>
  <c r="AF41" i="18"/>
  <c r="AD41" i="18"/>
  <c r="T41" i="18"/>
  <c r="R41" i="18"/>
  <c r="P41" i="18"/>
  <c r="N41" i="18"/>
  <c r="L41" i="18"/>
  <c r="J41" i="18"/>
  <c r="H41" i="18"/>
  <c r="F41" i="18"/>
  <c r="D41" i="18"/>
  <c r="B41" i="18"/>
  <c r="AV40" i="18"/>
  <c r="AT40" i="18"/>
  <c r="AJ40" i="18"/>
  <c r="AH40" i="18"/>
  <c r="AF40" i="18"/>
  <c r="AD40" i="18"/>
  <c r="T40" i="18"/>
  <c r="R40" i="18"/>
  <c r="P40" i="18"/>
  <c r="N40" i="18"/>
  <c r="L40" i="18"/>
  <c r="J40" i="18"/>
  <c r="H40" i="18"/>
  <c r="F40" i="18"/>
  <c r="D40" i="18"/>
  <c r="B40" i="18"/>
  <c r="AV39" i="18"/>
  <c r="AT39" i="18"/>
  <c r="AJ39" i="18"/>
  <c r="AH39" i="18"/>
  <c r="AF39" i="18"/>
  <c r="AD39" i="18"/>
  <c r="T39" i="18"/>
  <c r="R39" i="18"/>
  <c r="P39" i="18"/>
  <c r="N39" i="18"/>
  <c r="L39" i="18"/>
  <c r="J39" i="18"/>
  <c r="H39" i="18"/>
  <c r="F39" i="18"/>
  <c r="D39" i="18"/>
  <c r="B39" i="18"/>
  <c r="AV38" i="18"/>
  <c r="AT38" i="18"/>
  <c r="AJ38" i="18"/>
  <c r="AH38" i="18"/>
  <c r="AF38" i="18"/>
  <c r="AD38" i="18"/>
  <c r="T38" i="18"/>
  <c r="R38" i="18"/>
  <c r="P38" i="18"/>
  <c r="N38" i="18"/>
  <c r="L38" i="18"/>
  <c r="J38" i="18"/>
  <c r="H38" i="18"/>
  <c r="F38" i="18"/>
  <c r="D38" i="18"/>
  <c r="B38" i="18"/>
  <c r="AV37" i="18"/>
  <c r="AT37" i="18"/>
  <c r="AJ37" i="18"/>
  <c r="AH37" i="18"/>
  <c r="AF37" i="18"/>
  <c r="AD37" i="18"/>
  <c r="T37" i="18"/>
  <c r="R37" i="18"/>
  <c r="P37" i="18"/>
  <c r="N37" i="18"/>
  <c r="L37" i="18"/>
  <c r="J37" i="18"/>
  <c r="H37" i="18"/>
  <c r="F37" i="18"/>
  <c r="D37" i="18"/>
  <c r="B37" i="18"/>
  <c r="AV36" i="18"/>
  <c r="AT36" i="18"/>
  <c r="AJ36" i="18"/>
  <c r="AH36" i="18"/>
  <c r="AF36" i="18"/>
  <c r="AD36" i="18"/>
  <c r="T36" i="18"/>
  <c r="R36" i="18"/>
  <c r="P36" i="18"/>
  <c r="N36" i="18"/>
  <c r="L36" i="18"/>
  <c r="J36" i="18"/>
  <c r="H36" i="18"/>
  <c r="F36" i="18"/>
  <c r="D36" i="18"/>
  <c r="B36" i="18"/>
  <c r="AV35" i="18"/>
  <c r="AT35" i="18"/>
  <c r="AJ35" i="18"/>
  <c r="AH35" i="18"/>
  <c r="AF35" i="18"/>
  <c r="AD35" i="18"/>
  <c r="T35" i="18"/>
  <c r="R35" i="18"/>
  <c r="P35" i="18"/>
  <c r="N35" i="18"/>
  <c r="L35" i="18"/>
  <c r="J35" i="18"/>
  <c r="H35" i="18"/>
  <c r="F35" i="18"/>
  <c r="D35" i="18"/>
  <c r="B35" i="18"/>
  <c r="AV34" i="18"/>
  <c r="AT34" i="18"/>
  <c r="AJ34" i="18"/>
  <c r="AH34" i="18"/>
  <c r="AF34" i="18"/>
  <c r="AD34" i="18"/>
  <c r="T34" i="18"/>
  <c r="R34" i="18"/>
  <c r="P34" i="18"/>
  <c r="N34" i="18"/>
  <c r="L34" i="18"/>
  <c r="J34" i="18"/>
  <c r="H34" i="18"/>
  <c r="F34" i="18"/>
  <c r="D34" i="18"/>
  <c r="B34" i="18"/>
  <c r="AV33" i="18"/>
  <c r="AT33" i="18"/>
  <c r="AJ33" i="18"/>
  <c r="AH33" i="18"/>
  <c r="AF33" i="18"/>
  <c r="AD33" i="18"/>
  <c r="T33" i="18"/>
  <c r="R33" i="18"/>
  <c r="P33" i="18"/>
  <c r="N33" i="18"/>
  <c r="L33" i="18"/>
  <c r="J33" i="18"/>
  <c r="H33" i="18"/>
  <c r="F33" i="18"/>
  <c r="D33" i="18"/>
  <c r="B33" i="18"/>
  <c r="AV32" i="18"/>
  <c r="AT32" i="18"/>
  <c r="AJ32" i="18"/>
  <c r="AH32" i="18"/>
  <c r="AF32" i="18"/>
  <c r="AD32" i="18"/>
  <c r="T32" i="18"/>
  <c r="R32" i="18"/>
  <c r="P32" i="18"/>
  <c r="N32" i="18"/>
  <c r="L32" i="18"/>
  <c r="J32" i="18"/>
  <c r="H32" i="18"/>
  <c r="F32" i="18"/>
  <c r="D32" i="18"/>
  <c r="B32" i="18"/>
  <c r="AV31" i="18"/>
  <c r="AT31" i="18"/>
  <c r="AJ31" i="18"/>
  <c r="AH31" i="18"/>
  <c r="AF31" i="18"/>
  <c r="AD31" i="18"/>
  <c r="T31" i="18"/>
  <c r="R31" i="18"/>
  <c r="P31" i="18"/>
  <c r="N31" i="18"/>
  <c r="L31" i="18"/>
  <c r="J31" i="18"/>
  <c r="H31" i="18"/>
  <c r="F31" i="18"/>
  <c r="D31" i="18"/>
  <c r="B31" i="18"/>
  <c r="AV30" i="18"/>
  <c r="AT30" i="18"/>
  <c r="AJ30" i="18"/>
  <c r="AH30" i="18"/>
  <c r="AF30" i="18"/>
  <c r="AD30" i="18"/>
  <c r="T30" i="18"/>
  <c r="R30" i="18"/>
  <c r="P30" i="18"/>
  <c r="N30" i="18"/>
  <c r="L30" i="18"/>
  <c r="J30" i="18"/>
  <c r="H30" i="18"/>
  <c r="F30" i="18"/>
  <c r="D30" i="18"/>
  <c r="B30" i="18"/>
  <c r="AV29" i="18"/>
  <c r="AT29" i="18"/>
  <c r="AJ29" i="18"/>
  <c r="AH29" i="18"/>
  <c r="AF29" i="18"/>
  <c r="AD29" i="18"/>
  <c r="T29" i="18"/>
  <c r="R29" i="18"/>
  <c r="P29" i="18"/>
  <c r="N29" i="18"/>
  <c r="L29" i="18"/>
  <c r="J29" i="18"/>
  <c r="H29" i="18"/>
  <c r="F29" i="18"/>
  <c r="D29" i="18"/>
  <c r="B29" i="18"/>
  <c r="AV28" i="18"/>
  <c r="AT28" i="18"/>
  <c r="AJ28" i="18"/>
  <c r="AH28" i="18"/>
  <c r="AF28" i="18"/>
  <c r="AD28" i="18"/>
  <c r="T28" i="18"/>
  <c r="R28" i="18"/>
  <c r="P28" i="18"/>
  <c r="N28" i="18"/>
  <c r="L28" i="18"/>
  <c r="J28" i="18"/>
  <c r="H28" i="18"/>
  <c r="F28" i="18"/>
  <c r="D28" i="18"/>
  <c r="B28" i="18"/>
  <c r="AV27" i="18"/>
  <c r="AT27" i="18"/>
  <c r="AJ27" i="18"/>
  <c r="AH27" i="18"/>
  <c r="AF27" i="18"/>
  <c r="AD27" i="18"/>
  <c r="T27" i="18"/>
  <c r="R27" i="18"/>
  <c r="P27" i="18"/>
  <c r="N27" i="18"/>
  <c r="L27" i="18"/>
  <c r="J27" i="18"/>
  <c r="H27" i="18"/>
  <c r="F27" i="18"/>
  <c r="D27" i="18"/>
  <c r="B27" i="18"/>
  <c r="AV26" i="18"/>
  <c r="AT26" i="18"/>
  <c r="AJ26" i="18"/>
  <c r="AH26" i="18"/>
  <c r="AF26" i="18"/>
  <c r="AD26" i="18"/>
  <c r="T26" i="18"/>
  <c r="R26" i="18"/>
  <c r="P26" i="18"/>
  <c r="N26" i="18"/>
  <c r="L26" i="18"/>
  <c r="J26" i="18"/>
  <c r="H26" i="18"/>
  <c r="F26" i="18"/>
  <c r="D26" i="18"/>
  <c r="B26" i="18"/>
  <c r="AV25" i="18"/>
  <c r="AT25" i="18"/>
  <c r="AJ25" i="18"/>
  <c r="AH25" i="18"/>
  <c r="AF25" i="18"/>
  <c r="AD25" i="18"/>
  <c r="T25" i="18"/>
  <c r="R25" i="18"/>
  <c r="P25" i="18"/>
  <c r="N25" i="18"/>
  <c r="L25" i="18"/>
  <c r="J25" i="18"/>
  <c r="H25" i="18"/>
  <c r="F25" i="18"/>
  <c r="D25" i="18"/>
  <c r="B25" i="18"/>
  <c r="AV24" i="18"/>
  <c r="AT24" i="18"/>
  <c r="AJ24" i="18"/>
  <c r="AH24" i="18"/>
  <c r="AF24" i="18"/>
  <c r="AD24" i="18"/>
  <c r="T24" i="18"/>
  <c r="R24" i="18"/>
  <c r="P24" i="18"/>
  <c r="N24" i="18"/>
  <c r="L24" i="18"/>
  <c r="J24" i="18"/>
  <c r="H24" i="18"/>
  <c r="F24" i="18"/>
  <c r="D24" i="18"/>
  <c r="B24" i="18"/>
  <c r="AV23" i="18"/>
  <c r="AT23" i="18"/>
  <c r="AJ23" i="18"/>
  <c r="AH23" i="18"/>
  <c r="AF23" i="18"/>
  <c r="AD23" i="18"/>
  <c r="T23" i="18"/>
  <c r="R23" i="18"/>
  <c r="P23" i="18"/>
  <c r="N23" i="18"/>
  <c r="L23" i="18"/>
  <c r="J23" i="18"/>
  <c r="H23" i="18"/>
  <c r="F23" i="18"/>
  <c r="D23" i="18"/>
  <c r="B23" i="18"/>
  <c r="AV22" i="18"/>
  <c r="AT22" i="18"/>
  <c r="AJ22" i="18"/>
  <c r="AH22" i="18"/>
  <c r="AF22" i="18"/>
  <c r="AD22" i="18"/>
  <c r="T22" i="18"/>
  <c r="R22" i="18"/>
  <c r="P22" i="18"/>
  <c r="N22" i="18"/>
  <c r="L22" i="18"/>
  <c r="J22" i="18"/>
  <c r="H22" i="18"/>
  <c r="F22" i="18"/>
  <c r="D22" i="18"/>
  <c r="B22" i="18"/>
  <c r="AV21" i="18"/>
  <c r="AT21" i="18"/>
  <c r="AJ21" i="18"/>
  <c r="AH21" i="18"/>
  <c r="AF21" i="18"/>
  <c r="AD21" i="18"/>
  <c r="T21" i="18"/>
  <c r="R21" i="18"/>
  <c r="P21" i="18"/>
  <c r="N21" i="18"/>
  <c r="L21" i="18"/>
  <c r="J21" i="18"/>
  <c r="H21" i="18"/>
  <c r="F21" i="18"/>
  <c r="D21" i="18"/>
  <c r="B21" i="18"/>
  <c r="AV20" i="18"/>
  <c r="AT20" i="18"/>
  <c r="AJ20" i="18"/>
  <c r="AH20" i="18"/>
  <c r="AF20" i="18"/>
  <c r="AD20" i="18"/>
  <c r="T20" i="18"/>
  <c r="R20" i="18"/>
  <c r="P20" i="18"/>
  <c r="N20" i="18"/>
  <c r="L20" i="18"/>
  <c r="J20" i="18"/>
  <c r="H20" i="18"/>
  <c r="F20" i="18"/>
  <c r="D20" i="18"/>
  <c r="B20" i="18"/>
  <c r="AV19" i="18"/>
  <c r="AT19" i="18"/>
  <c r="AJ19" i="18"/>
  <c r="AH19" i="18"/>
  <c r="AF19" i="18"/>
  <c r="AD19" i="18"/>
  <c r="T19" i="18"/>
  <c r="R19" i="18"/>
  <c r="P19" i="18"/>
  <c r="N19" i="18"/>
  <c r="L19" i="18"/>
  <c r="J19" i="18"/>
  <c r="H19" i="18"/>
  <c r="F19" i="18"/>
  <c r="D19" i="18"/>
  <c r="B19" i="18"/>
  <c r="AV16" i="18"/>
  <c r="AT16" i="18"/>
  <c r="AJ16" i="18"/>
  <c r="AF16" i="18"/>
  <c r="AD16" i="18"/>
  <c r="T16" i="18"/>
  <c r="P16" i="18"/>
  <c r="L16" i="18"/>
  <c r="H16" i="18"/>
  <c r="F16" i="18"/>
  <c r="AV15" i="18"/>
  <c r="AT15" i="18"/>
  <c r="AJ15" i="18"/>
  <c r="AH15" i="18"/>
  <c r="AF15" i="18"/>
  <c r="AD15" i="18"/>
  <c r="T15" i="18"/>
  <c r="P15" i="18"/>
  <c r="N15" i="18"/>
  <c r="L15" i="18"/>
  <c r="J15" i="18"/>
  <c r="H15" i="18"/>
  <c r="F15" i="18"/>
  <c r="AV14" i="18"/>
  <c r="AT14" i="18"/>
  <c r="AJ14" i="18"/>
  <c r="AF14" i="18"/>
  <c r="AD14" i="18"/>
  <c r="T14" i="18"/>
  <c r="P14" i="18"/>
  <c r="L14" i="18"/>
  <c r="H14" i="18"/>
  <c r="F14" i="18"/>
  <c r="AV13" i="18"/>
  <c r="AT13" i="18"/>
  <c r="AJ13" i="18"/>
  <c r="AF13" i="18"/>
  <c r="T13" i="18"/>
  <c r="P13" i="18"/>
  <c r="N13" i="18"/>
  <c r="L13" i="18"/>
  <c r="H13" i="18"/>
  <c r="AV12" i="18"/>
  <c r="AT12" i="18"/>
  <c r="AJ12" i="18"/>
  <c r="AF12" i="18"/>
  <c r="AD12" i="18"/>
  <c r="T12" i="18"/>
  <c r="P12" i="18"/>
  <c r="N12" i="18"/>
  <c r="L12" i="18"/>
  <c r="J12" i="18"/>
  <c r="H12" i="18"/>
  <c r="F12" i="18"/>
  <c r="AV10" i="18"/>
  <c r="AT10" i="18"/>
  <c r="AJ10" i="18"/>
  <c r="AH10" i="18"/>
  <c r="AF10" i="18"/>
  <c r="AD10" i="18"/>
  <c r="T10" i="18"/>
  <c r="P10" i="18"/>
  <c r="N10" i="18"/>
  <c r="L10" i="18"/>
  <c r="J10" i="18"/>
  <c r="H10" i="18"/>
  <c r="F10" i="18"/>
  <c r="AV9" i="18"/>
  <c r="AT9" i="18"/>
  <c r="AJ9" i="18"/>
  <c r="AH9" i="18"/>
  <c r="AF9" i="18"/>
  <c r="AD9" i="18"/>
  <c r="T9" i="18"/>
  <c r="P9" i="18"/>
  <c r="N9" i="18"/>
  <c r="L9" i="18"/>
  <c r="J9" i="18"/>
  <c r="H9" i="18"/>
  <c r="F9" i="18"/>
  <c r="AV8" i="18"/>
  <c r="AT8" i="18"/>
  <c r="AJ8" i="18"/>
  <c r="AH8" i="18"/>
  <c r="AF8" i="18"/>
  <c r="AD8" i="18"/>
  <c r="T8" i="18"/>
  <c r="P8" i="18"/>
  <c r="N8" i="18"/>
  <c r="L8" i="18"/>
  <c r="J8" i="18"/>
  <c r="H8" i="18"/>
  <c r="F8" i="18"/>
  <c r="AV7" i="18"/>
  <c r="AT7" i="18"/>
  <c r="AJ7" i="18"/>
  <c r="AH7" i="18"/>
  <c r="AF7" i="18"/>
  <c r="AD7" i="18"/>
  <c r="T7" i="18"/>
  <c r="P7" i="18"/>
  <c r="N7" i="18"/>
  <c r="L7" i="18"/>
  <c r="J7" i="18"/>
  <c r="H7" i="18"/>
  <c r="F7" i="18"/>
  <c r="AV6" i="18"/>
  <c r="AT6" i="18"/>
  <c r="AJ6" i="18"/>
  <c r="AH6" i="18"/>
  <c r="AF6" i="18"/>
  <c r="AD6" i="18"/>
  <c r="T6" i="18"/>
  <c r="P6" i="18"/>
  <c r="N6" i="18"/>
  <c r="L6" i="18"/>
  <c r="J6" i="18"/>
  <c r="H6" i="18"/>
  <c r="F6" i="18"/>
  <c r="AT83" i="17"/>
  <c r="AD83" i="17"/>
  <c r="F83" i="17"/>
  <c r="AV77" i="17"/>
  <c r="AT77" i="17"/>
  <c r="AJ77" i="17"/>
  <c r="AF77" i="17"/>
  <c r="T77" i="17"/>
  <c r="P77" i="17"/>
  <c r="L77" i="17"/>
  <c r="H77" i="17"/>
  <c r="F77" i="17"/>
  <c r="D77" i="17"/>
  <c r="AV75" i="17"/>
  <c r="AT75" i="17"/>
  <c r="AJ75" i="17"/>
  <c r="AH75" i="17"/>
  <c r="AF75" i="17"/>
  <c r="AD75" i="17"/>
  <c r="T75" i="17"/>
  <c r="R75" i="17"/>
  <c r="P75" i="17"/>
  <c r="N75" i="17"/>
  <c r="L75" i="17"/>
  <c r="J75" i="17"/>
  <c r="H75" i="17"/>
  <c r="F75" i="17"/>
  <c r="D75" i="17"/>
  <c r="B75" i="17"/>
  <c r="AV74" i="17"/>
  <c r="AT74" i="17"/>
  <c r="AJ74" i="17"/>
  <c r="AH74" i="17"/>
  <c r="AF74" i="17"/>
  <c r="AD74" i="17"/>
  <c r="T74" i="17"/>
  <c r="R74" i="17"/>
  <c r="P74" i="17"/>
  <c r="N74" i="17"/>
  <c r="L74" i="17"/>
  <c r="J74" i="17"/>
  <c r="H74" i="17"/>
  <c r="F74" i="17"/>
  <c r="D74" i="17"/>
  <c r="B74" i="17"/>
  <c r="AV73" i="17"/>
  <c r="AT73" i="17"/>
  <c r="AJ73" i="17"/>
  <c r="AH73" i="17"/>
  <c r="AF73" i="17"/>
  <c r="AD73" i="17"/>
  <c r="T73" i="17"/>
  <c r="R73" i="17"/>
  <c r="P73" i="17"/>
  <c r="N73" i="17"/>
  <c r="L73" i="17"/>
  <c r="J73" i="17"/>
  <c r="H73" i="17"/>
  <c r="F73" i="17"/>
  <c r="D73" i="17"/>
  <c r="B73" i="17"/>
  <c r="AV72" i="17"/>
  <c r="AT72" i="17"/>
  <c r="AJ72" i="17"/>
  <c r="AH72" i="17"/>
  <c r="AF72" i="17"/>
  <c r="AD72" i="17"/>
  <c r="T72" i="17"/>
  <c r="R72" i="17"/>
  <c r="P72" i="17"/>
  <c r="N72" i="17"/>
  <c r="L72" i="17"/>
  <c r="J72" i="17"/>
  <c r="H72" i="17"/>
  <c r="F72" i="17"/>
  <c r="D72" i="17"/>
  <c r="B72" i="17"/>
  <c r="AV71" i="17"/>
  <c r="AT71" i="17"/>
  <c r="AJ71" i="17"/>
  <c r="AH71" i="17"/>
  <c r="AF71" i="17"/>
  <c r="AD71" i="17"/>
  <c r="T71" i="17"/>
  <c r="R71" i="17"/>
  <c r="P71" i="17"/>
  <c r="N71" i="17"/>
  <c r="L71" i="17"/>
  <c r="J71" i="17"/>
  <c r="H71" i="17"/>
  <c r="F71" i="17"/>
  <c r="D71" i="17"/>
  <c r="B71" i="17"/>
  <c r="AV70" i="17"/>
  <c r="AT70" i="17"/>
  <c r="AH70" i="17"/>
  <c r="AD70" i="17"/>
  <c r="R70" i="17"/>
  <c r="N70" i="17"/>
  <c r="J70" i="17"/>
  <c r="H70" i="17"/>
  <c r="F70" i="17"/>
  <c r="D70" i="17"/>
  <c r="B70" i="17"/>
  <c r="AV66" i="17"/>
  <c r="AT66" i="17"/>
  <c r="AJ66" i="17"/>
  <c r="AH66" i="17"/>
  <c r="AF66" i="17"/>
  <c r="AD66" i="17"/>
  <c r="T66" i="17"/>
  <c r="R66" i="17"/>
  <c r="P66" i="17"/>
  <c r="N66" i="17"/>
  <c r="L66" i="17"/>
  <c r="J66" i="17"/>
  <c r="H66" i="17"/>
  <c r="F66" i="17"/>
  <c r="D66" i="17"/>
  <c r="B66" i="17"/>
  <c r="AV65" i="17"/>
  <c r="AT65" i="17"/>
  <c r="AJ65" i="17"/>
  <c r="AH65" i="17"/>
  <c r="AF65" i="17"/>
  <c r="AD65" i="17"/>
  <c r="T65" i="17"/>
  <c r="R65" i="17"/>
  <c r="P65" i="17"/>
  <c r="N65" i="17"/>
  <c r="L65" i="17"/>
  <c r="J65" i="17"/>
  <c r="H65" i="17"/>
  <c r="F65" i="17"/>
  <c r="D65" i="17"/>
  <c r="B65" i="17"/>
  <c r="AV63" i="17"/>
  <c r="AT63" i="17"/>
  <c r="AJ63" i="17"/>
  <c r="AH63" i="17"/>
  <c r="AF63" i="17"/>
  <c r="AD63" i="17"/>
  <c r="T63" i="17"/>
  <c r="R63" i="17"/>
  <c r="P63" i="17"/>
  <c r="N63" i="17"/>
  <c r="L63" i="17"/>
  <c r="J63" i="17"/>
  <c r="H63" i="17"/>
  <c r="F63" i="17"/>
  <c r="D63" i="17"/>
  <c r="B63" i="17"/>
  <c r="AV61" i="17"/>
  <c r="AT61" i="17"/>
  <c r="AJ61" i="17"/>
  <c r="AH61" i="17"/>
  <c r="AF61" i="17"/>
  <c r="AD61" i="17"/>
  <c r="T61" i="17"/>
  <c r="R61" i="17"/>
  <c r="P61" i="17"/>
  <c r="N61" i="17"/>
  <c r="L61" i="17"/>
  <c r="J61" i="17"/>
  <c r="H61" i="17"/>
  <c r="F61" i="17"/>
  <c r="D61" i="17"/>
  <c r="B61" i="17"/>
  <c r="AV60" i="17"/>
  <c r="AT60" i="17"/>
  <c r="AJ60" i="17"/>
  <c r="AH60" i="17"/>
  <c r="AF60" i="17"/>
  <c r="AD60" i="17"/>
  <c r="T60" i="17"/>
  <c r="R60" i="17"/>
  <c r="P60" i="17"/>
  <c r="N60" i="17"/>
  <c r="L60" i="17"/>
  <c r="J60" i="17"/>
  <c r="H60" i="17"/>
  <c r="F60" i="17"/>
  <c r="D60" i="17"/>
  <c r="B60" i="17"/>
  <c r="AV59" i="17"/>
  <c r="AT59" i="17"/>
  <c r="AJ59" i="17"/>
  <c r="AH59" i="17"/>
  <c r="AF59" i="17"/>
  <c r="AD59" i="17"/>
  <c r="T59" i="17"/>
  <c r="R59" i="17"/>
  <c r="P59" i="17"/>
  <c r="N59" i="17"/>
  <c r="L59" i="17"/>
  <c r="J59" i="17"/>
  <c r="H59" i="17"/>
  <c r="F59" i="17"/>
  <c r="D59" i="17"/>
  <c r="B59" i="17"/>
  <c r="AV58" i="17"/>
  <c r="AT58" i="17"/>
  <c r="AJ58" i="17"/>
  <c r="AH58" i="17"/>
  <c r="AF58" i="17"/>
  <c r="AD58" i="17"/>
  <c r="T58" i="17"/>
  <c r="R58" i="17"/>
  <c r="P58" i="17"/>
  <c r="N58" i="17"/>
  <c r="L58" i="17"/>
  <c r="J58" i="17"/>
  <c r="H58" i="17"/>
  <c r="F58" i="17"/>
  <c r="D58" i="17"/>
  <c r="B58" i="17"/>
  <c r="AV57" i="17"/>
  <c r="AT57" i="17"/>
  <c r="AJ57" i="17"/>
  <c r="AH57" i="17"/>
  <c r="AF57" i="17"/>
  <c r="AD57" i="17"/>
  <c r="T57" i="17"/>
  <c r="R57" i="17"/>
  <c r="P57" i="17"/>
  <c r="N57" i="17"/>
  <c r="L57" i="17"/>
  <c r="J57" i="17"/>
  <c r="H57" i="17"/>
  <c r="F57" i="17"/>
  <c r="D57" i="17"/>
  <c r="B57" i="17"/>
  <c r="AV56" i="17"/>
  <c r="AT56" i="17"/>
  <c r="AJ56" i="17"/>
  <c r="AH56" i="17"/>
  <c r="AF56" i="17"/>
  <c r="AD56" i="17"/>
  <c r="T56" i="17"/>
  <c r="R56" i="17"/>
  <c r="P56" i="17"/>
  <c r="N56" i="17"/>
  <c r="L56" i="17"/>
  <c r="J56" i="17"/>
  <c r="H56" i="17"/>
  <c r="F56" i="17"/>
  <c r="D56" i="17"/>
  <c r="B56" i="17"/>
  <c r="AV55" i="17"/>
  <c r="AT55" i="17"/>
  <c r="AJ55" i="17"/>
  <c r="AH55" i="17"/>
  <c r="AF55" i="17"/>
  <c r="AD55" i="17"/>
  <c r="T55" i="17"/>
  <c r="R55" i="17"/>
  <c r="P55" i="17"/>
  <c r="N55" i="17"/>
  <c r="L55" i="17"/>
  <c r="J55" i="17"/>
  <c r="H55" i="17"/>
  <c r="F55" i="17"/>
  <c r="D55" i="17"/>
  <c r="B55" i="17"/>
  <c r="AV53" i="17"/>
  <c r="AT53" i="17"/>
  <c r="AJ53" i="17"/>
  <c r="AH53" i="17"/>
  <c r="AF53" i="17"/>
  <c r="AD53" i="17"/>
  <c r="T53" i="17"/>
  <c r="R53" i="17"/>
  <c r="P53" i="17"/>
  <c r="N53" i="17"/>
  <c r="L53" i="17"/>
  <c r="J53" i="17"/>
  <c r="H53" i="17"/>
  <c r="F53" i="17"/>
  <c r="D53" i="17"/>
  <c r="B53" i="17"/>
  <c r="AV52" i="17"/>
  <c r="AT52" i="17"/>
  <c r="AJ52" i="17"/>
  <c r="AH52" i="17"/>
  <c r="AF52" i="17"/>
  <c r="AD52" i="17"/>
  <c r="T52" i="17"/>
  <c r="R52" i="17"/>
  <c r="P52" i="17"/>
  <c r="N52" i="17"/>
  <c r="L52" i="17"/>
  <c r="J52" i="17"/>
  <c r="H52" i="17"/>
  <c r="F52" i="17"/>
  <c r="D52" i="17"/>
  <c r="B52" i="17"/>
  <c r="AV51" i="17"/>
  <c r="AT51" i="17"/>
  <c r="AJ51" i="17"/>
  <c r="AH51" i="17"/>
  <c r="AF51" i="17"/>
  <c r="AD51" i="17"/>
  <c r="T51" i="17"/>
  <c r="R51" i="17"/>
  <c r="P51" i="17"/>
  <c r="N51" i="17"/>
  <c r="L51" i="17"/>
  <c r="J51" i="17"/>
  <c r="H51" i="17"/>
  <c r="F51" i="17"/>
  <c r="D51" i="17"/>
  <c r="B51" i="17"/>
  <c r="AV50" i="17"/>
  <c r="AT50" i="17"/>
  <c r="AJ50" i="17"/>
  <c r="AH50" i="17"/>
  <c r="AF50" i="17"/>
  <c r="AD50" i="17"/>
  <c r="T50" i="17"/>
  <c r="R50" i="17"/>
  <c r="P50" i="17"/>
  <c r="N50" i="17"/>
  <c r="L50" i="17"/>
  <c r="J50" i="17"/>
  <c r="H50" i="17"/>
  <c r="F50" i="17"/>
  <c r="D50" i="17"/>
  <c r="B50" i="17"/>
  <c r="AV49" i="17"/>
  <c r="AT49" i="17"/>
  <c r="AJ49" i="17"/>
  <c r="AH49" i="17"/>
  <c r="AF49" i="17"/>
  <c r="AD49" i="17"/>
  <c r="T49" i="17"/>
  <c r="R49" i="17"/>
  <c r="P49" i="17"/>
  <c r="N49" i="17"/>
  <c r="L49" i="17"/>
  <c r="J49" i="17"/>
  <c r="H49" i="17"/>
  <c r="F49" i="17"/>
  <c r="D49" i="17"/>
  <c r="B49" i="17"/>
  <c r="AV46" i="17"/>
  <c r="AT46" i="17"/>
  <c r="AJ46" i="17"/>
  <c r="AH46" i="17"/>
  <c r="AF46" i="17"/>
  <c r="AD46" i="17"/>
  <c r="T46" i="17"/>
  <c r="R46" i="17"/>
  <c r="P46" i="17"/>
  <c r="N46" i="17"/>
  <c r="L46" i="17"/>
  <c r="J46" i="17"/>
  <c r="H46" i="17"/>
  <c r="F46" i="17"/>
  <c r="D46" i="17"/>
  <c r="B46" i="17"/>
  <c r="AV45" i="17"/>
  <c r="AT45" i="17"/>
  <c r="AJ45" i="17"/>
  <c r="AH45" i="17"/>
  <c r="AF45" i="17"/>
  <c r="AD45" i="17"/>
  <c r="T45" i="17"/>
  <c r="R45" i="17"/>
  <c r="P45" i="17"/>
  <c r="N45" i="17"/>
  <c r="L45" i="17"/>
  <c r="J45" i="17"/>
  <c r="H45" i="17"/>
  <c r="F45" i="17"/>
  <c r="D45" i="17"/>
  <c r="B45" i="17"/>
  <c r="AV44" i="17"/>
  <c r="AT44" i="17"/>
  <c r="AJ44" i="17"/>
  <c r="AH44" i="17"/>
  <c r="AF44" i="17"/>
  <c r="AD44" i="17"/>
  <c r="T44" i="17"/>
  <c r="R44" i="17"/>
  <c r="P44" i="17"/>
  <c r="N44" i="17"/>
  <c r="L44" i="17"/>
  <c r="J44" i="17"/>
  <c r="H44" i="17"/>
  <c r="F44" i="17"/>
  <c r="D44" i="17"/>
  <c r="B44" i="17"/>
  <c r="AV43" i="17"/>
  <c r="AT43" i="17"/>
  <c r="AJ43" i="17"/>
  <c r="AH43" i="17"/>
  <c r="AF43" i="17"/>
  <c r="AD43" i="17"/>
  <c r="T43" i="17"/>
  <c r="R43" i="17"/>
  <c r="P43" i="17"/>
  <c r="N43" i="17"/>
  <c r="L43" i="17"/>
  <c r="J43" i="17"/>
  <c r="H43" i="17"/>
  <c r="F43" i="17"/>
  <c r="D43" i="17"/>
  <c r="B43" i="17"/>
  <c r="AV42" i="17"/>
  <c r="AT42" i="17"/>
  <c r="AJ42" i="17"/>
  <c r="AH42" i="17"/>
  <c r="AF42" i="17"/>
  <c r="AD42" i="17"/>
  <c r="T42" i="17"/>
  <c r="R42" i="17"/>
  <c r="P42" i="17"/>
  <c r="N42" i="17"/>
  <c r="L42" i="17"/>
  <c r="J42" i="17"/>
  <c r="H42" i="17"/>
  <c r="F42" i="17"/>
  <c r="D42" i="17"/>
  <c r="B42" i="17"/>
  <c r="AV41" i="17"/>
  <c r="AT41" i="17"/>
  <c r="AJ41" i="17"/>
  <c r="AH41" i="17"/>
  <c r="AF41" i="17"/>
  <c r="AD41" i="17"/>
  <c r="T41" i="17"/>
  <c r="R41" i="17"/>
  <c r="P41" i="17"/>
  <c r="N41" i="17"/>
  <c r="L41" i="17"/>
  <c r="J41" i="17"/>
  <c r="H41" i="17"/>
  <c r="F41" i="17"/>
  <c r="D41" i="17"/>
  <c r="B41" i="17"/>
  <c r="AV40" i="17"/>
  <c r="AT40" i="17"/>
  <c r="AJ40" i="17"/>
  <c r="AH40" i="17"/>
  <c r="AF40" i="17"/>
  <c r="AD40" i="17"/>
  <c r="T40" i="17"/>
  <c r="R40" i="17"/>
  <c r="P40" i="17"/>
  <c r="N40" i="17"/>
  <c r="L40" i="17"/>
  <c r="J40" i="17"/>
  <c r="H40" i="17"/>
  <c r="F40" i="17"/>
  <c r="D40" i="17"/>
  <c r="B40" i="17"/>
  <c r="AV39" i="17"/>
  <c r="AT39" i="17"/>
  <c r="AJ39" i="17"/>
  <c r="AH39" i="17"/>
  <c r="AF39" i="17"/>
  <c r="AD39" i="17"/>
  <c r="T39" i="17"/>
  <c r="R39" i="17"/>
  <c r="P39" i="17"/>
  <c r="N39" i="17"/>
  <c r="L39" i="17"/>
  <c r="J39" i="17"/>
  <c r="H39" i="17"/>
  <c r="F39" i="17"/>
  <c r="D39" i="17"/>
  <c r="B39" i="17"/>
  <c r="AV38" i="17"/>
  <c r="AT38" i="17"/>
  <c r="AJ38" i="17"/>
  <c r="AH38" i="17"/>
  <c r="AF38" i="17"/>
  <c r="AD38" i="17"/>
  <c r="T38" i="17"/>
  <c r="R38" i="17"/>
  <c r="P38" i="17"/>
  <c r="N38" i="17"/>
  <c r="L38" i="17"/>
  <c r="J38" i="17"/>
  <c r="H38" i="17"/>
  <c r="F38" i="17"/>
  <c r="D38" i="17"/>
  <c r="B38" i="17"/>
  <c r="AV37" i="17"/>
  <c r="AT37" i="17"/>
  <c r="AJ37" i="17"/>
  <c r="AH37" i="17"/>
  <c r="AF37" i="17"/>
  <c r="AD37" i="17"/>
  <c r="T37" i="17"/>
  <c r="R37" i="17"/>
  <c r="P37" i="17"/>
  <c r="N37" i="17"/>
  <c r="L37" i="17"/>
  <c r="J37" i="17"/>
  <c r="H37" i="17"/>
  <c r="F37" i="17"/>
  <c r="D37" i="17"/>
  <c r="B37" i="17"/>
  <c r="AV36" i="17"/>
  <c r="AT36" i="17"/>
  <c r="AJ36" i="17"/>
  <c r="AH36" i="17"/>
  <c r="AF36" i="17"/>
  <c r="AD36" i="17"/>
  <c r="T36" i="17"/>
  <c r="R36" i="17"/>
  <c r="P36" i="17"/>
  <c r="N36" i="17"/>
  <c r="L36" i="17"/>
  <c r="J36" i="17"/>
  <c r="H36" i="17"/>
  <c r="F36" i="17"/>
  <c r="D36" i="17"/>
  <c r="B36" i="17"/>
  <c r="AV35" i="17"/>
  <c r="AT35" i="17"/>
  <c r="AJ35" i="17"/>
  <c r="AH35" i="17"/>
  <c r="AF35" i="17"/>
  <c r="AD35" i="17"/>
  <c r="T35" i="17"/>
  <c r="R35" i="17"/>
  <c r="P35" i="17"/>
  <c r="N35" i="17"/>
  <c r="L35" i="17"/>
  <c r="J35" i="17"/>
  <c r="H35" i="17"/>
  <c r="F35" i="17"/>
  <c r="D35" i="17"/>
  <c r="B35" i="17"/>
  <c r="AV34" i="17"/>
  <c r="AT34" i="17"/>
  <c r="AJ34" i="17"/>
  <c r="AH34" i="17"/>
  <c r="AF34" i="17"/>
  <c r="AD34" i="17"/>
  <c r="T34" i="17"/>
  <c r="R34" i="17"/>
  <c r="P34" i="17"/>
  <c r="N34" i="17"/>
  <c r="L34" i="17"/>
  <c r="J34" i="17"/>
  <c r="H34" i="17"/>
  <c r="F34" i="17"/>
  <c r="D34" i="17"/>
  <c r="B34" i="17"/>
  <c r="AV33" i="17"/>
  <c r="AT33" i="17"/>
  <c r="AJ33" i="17"/>
  <c r="AH33" i="17"/>
  <c r="AF33" i="17"/>
  <c r="AD33" i="17"/>
  <c r="T33" i="17"/>
  <c r="R33" i="17"/>
  <c r="P33" i="17"/>
  <c r="N33" i="17"/>
  <c r="L33" i="17"/>
  <c r="J33" i="17"/>
  <c r="H33" i="17"/>
  <c r="F33" i="17"/>
  <c r="D33" i="17"/>
  <c r="B33" i="17"/>
  <c r="AV32" i="17"/>
  <c r="AT32" i="17"/>
  <c r="AJ32" i="17"/>
  <c r="AH32" i="17"/>
  <c r="AF32" i="17"/>
  <c r="AD32" i="17"/>
  <c r="T32" i="17"/>
  <c r="R32" i="17"/>
  <c r="P32" i="17"/>
  <c r="N32" i="17"/>
  <c r="L32" i="17"/>
  <c r="J32" i="17"/>
  <c r="H32" i="17"/>
  <c r="F32" i="17"/>
  <c r="D32" i="17"/>
  <c r="B32" i="17"/>
  <c r="AV31" i="17"/>
  <c r="AT31" i="17"/>
  <c r="AJ31" i="17"/>
  <c r="AH31" i="17"/>
  <c r="AF31" i="17"/>
  <c r="AD31" i="17"/>
  <c r="T31" i="17"/>
  <c r="R31" i="17"/>
  <c r="P31" i="17"/>
  <c r="N31" i="17"/>
  <c r="L31" i="17"/>
  <c r="J31" i="17"/>
  <c r="H31" i="17"/>
  <c r="F31" i="17"/>
  <c r="D31" i="17"/>
  <c r="B31" i="17"/>
  <c r="AV30" i="17"/>
  <c r="AT30" i="17"/>
  <c r="AJ30" i="17"/>
  <c r="AH30" i="17"/>
  <c r="AF30" i="17"/>
  <c r="AD30" i="17"/>
  <c r="T30" i="17"/>
  <c r="R30" i="17"/>
  <c r="P30" i="17"/>
  <c r="N30" i="17"/>
  <c r="L30" i="17"/>
  <c r="J30" i="17"/>
  <c r="H30" i="17"/>
  <c r="F30" i="17"/>
  <c r="D30" i="17"/>
  <c r="B30" i="17"/>
  <c r="AV29" i="17"/>
  <c r="AT29" i="17"/>
  <c r="AJ29" i="17"/>
  <c r="AH29" i="17"/>
  <c r="AF29" i="17"/>
  <c r="AD29" i="17"/>
  <c r="T29" i="17"/>
  <c r="R29" i="17"/>
  <c r="P29" i="17"/>
  <c r="N29" i="17"/>
  <c r="L29" i="17"/>
  <c r="J29" i="17"/>
  <c r="H29" i="17"/>
  <c r="F29" i="17"/>
  <c r="D29" i="17"/>
  <c r="B29" i="17"/>
  <c r="AV28" i="17"/>
  <c r="AT28" i="17"/>
  <c r="AJ28" i="17"/>
  <c r="AH28" i="17"/>
  <c r="AF28" i="17"/>
  <c r="AD28" i="17"/>
  <c r="T28" i="17"/>
  <c r="R28" i="17"/>
  <c r="P28" i="17"/>
  <c r="N28" i="17"/>
  <c r="L28" i="17"/>
  <c r="J28" i="17"/>
  <c r="H28" i="17"/>
  <c r="F28" i="17"/>
  <c r="D28" i="17"/>
  <c r="B28" i="17"/>
  <c r="AV27" i="17"/>
  <c r="AT27" i="17"/>
  <c r="AJ27" i="17"/>
  <c r="AH27" i="17"/>
  <c r="AF27" i="17"/>
  <c r="AD27" i="17"/>
  <c r="T27" i="17"/>
  <c r="R27" i="17"/>
  <c r="P27" i="17"/>
  <c r="N27" i="17"/>
  <c r="L27" i="17"/>
  <c r="J27" i="17"/>
  <c r="H27" i="17"/>
  <c r="F27" i="17"/>
  <c r="D27" i="17"/>
  <c r="B27" i="17"/>
  <c r="AV26" i="17"/>
  <c r="AT26" i="17"/>
  <c r="AJ26" i="17"/>
  <c r="AH26" i="17"/>
  <c r="AF26" i="17"/>
  <c r="AD26" i="17"/>
  <c r="T26" i="17"/>
  <c r="R26" i="17"/>
  <c r="P26" i="17"/>
  <c r="N26" i="17"/>
  <c r="L26" i="17"/>
  <c r="J26" i="17"/>
  <c r="H26" i="17"/>
  <c r="F26" i="17"/>
  <c r="D26" i="17"/>
  <c r="B26" i="17"/>
  <c r="AV25" i="17"/>
  <c r="AT25" i="17"/>
  <c r="AJ25" i="17"/>
  <c r="AH25" i="17"/>
  <c r="AF25" i="17"/>
  <c r="AD25" i="17"/>
  <c r="T25" i="17"/>
  <c r="R25" i="17"/>
  <c r="P25" i="17"/>
  <c r="N25" i="17"/>
  <c r="L25" i="17"/>
  <c r="J25" i="17"/>
  <c r="H25" i="17"/>
  <c r="F25" i="17"/>
  <c r="D25" i="17"/>
  <c r="B25" i="17"/>
  <c r="AV24" i="17"/>
  <c r="AT24" i="17"/>
  <c r="AJ24" i="17"/>
  <c r="AH24" i="17"/>
  <c r="AF24" i="17"/>
  <c r="AD24" i="17"/>
  <c r="T24" i="17"/>
  <c r="R24" i="17"/>
  <c r="P24" i="17"/>
  <c r="N24" i="17"/>
  <c r="L24" i="17"/>
  <c r="J24" i="17"/>
  <c r="H24" i="17"/>
  <c r="F24" i="17"/>
  <c r="D24" i="17"/>
  <c r="B24" i="17"/>
  <c r="AV23" i="17"/>
  <c r="AT23" i="17"/>
  <c r="AJ23" i="17"/>
  <c r="AH23" i="17"/>
  <c r="AF23" i="17"/>
  <c r="AD23" i="17"/>
  <c r="T23" i="17"/>
  <c r="R23" i="17"/>
  <c r="P23" i="17"/>
  <c r="N23" i="17"/>
  <c r="L23" i="17"/>
  <c r="J23" i="17"/>
  <c r="H23" i="17"/>
  <c r="F23" i="17"/>
  <c r="D23" i="17"/>
  <c r="B23" i="17"/>
  <c r="AV22" i="17"/>
  <c r="AT22" i="17"/>
  <c r="AJ22" i="17"/>
  <c r="AH22" i="17"/>
  <c r="AF22" i="17"/>
  <c r="AD22" i="17"/>
  <c r="T22" i="17"/>
  <c r="R22" i="17"/>
  <c r="P22" i="17"/>
  <c r="N22" i="17"/>
  <c r="L22" i="17"/>
  <c r="J22" i="17"/>
  <c r="H22" i="17"/>
  <c r="F22" i="17"/>
  <c r="D22" i="17"/>
  <c r="B22" i="17"/>
  <c r="AV21" i="17"/>
  <c r="AT21" i="17"/>
  <c r="AJ21" i="17"/>
  <c r="AH21" i="17"/>
  <c r="AF21" i="17"/>
  <c r="AD21" i="17"/>
  <c r="T21" i="17"/>
  <c r="R21" i="17"/>
  <c r="P21" i="17"/>
  <c r="N21" i="17"/>
  <c r="L21" i="17"/>
  <c r="J21" i="17"/>
  <c r="H21" i="17"/>
  <c r="F21" i="17"/>
  <c r="D21" i="17"/>
  <c r="B21" i="17"/>
  <c r="AV20" i="17"/>
  <c r="AT20" i="17"/>
  <c r="AJ20" i="17"/>
  <c r="AH20" i="17"/>
  <c r="AF20" i="17"/>
  <c r="AD20" i="17"/>
  <c r="T20" i="17"/>
  <c r="R20" i="17"/>
  <c r="P20" i="17"/>
  <c r="N20" i="17"/>
  <c r="L20" i="17"/>
  <c r="J20" i="17"/>
  <c r="H20" i="17"/>
  <c r="F20" i="17"/>
  <c r="D20" i="17"/>
  <c r="B20" i="17"/>
  <c r="AV19" i="17"/>
  <c r="AT19" i="17"/>
  <c r="AJ19" i="17"/>
  <c r="AH19" i="17"/>
  <c r="AF19" i="17"/>
  <c r="AD19" i="17"/>
  <c r="T19" i="17"/>
  <c r="R19" i="17"/>
  <c r="P19" i="17"/>
  <c r="N19" i="17"/>
  <c r="L19" i="17"/>
  <c r="J19" i="17"/>
  <c r="H19" i="17"/>
  <c r="F19" i="17"/>
  <c r="D19" i="17"/>
  <c r="B19" i="17"/>
  <c r="AV16" i="17"/>
  <c r="AT16" i="17"/>
  <c r="AJ16" i="17"/>
  <c r="AF16" i="17"/>
  <c r="AD16" i="17"/>
  <c r="T16" i="17"/>
  <c r="P16" i="17"/>
  <c r="L16" i="17"/>
  <c r="H16" i="17"/>
  <c r="F16" i="17"/>
  <c r="AV15" i="17"/>
  <c r="AT15" i="17"/>
  <c r="AJ15" i="17"/>
  <c r="AH15" i="17"/>
  <c r="AF15" i="17"/>
  <c r="AD15" i="17"/>
  <c r="T15" i="17"/>
  <c r="P15" i="17"/>
  <c r="N15" i="17"/>
  <c r="L15" i="17"/>
  <c r="J15" i="17"/>
  <c r="H15" i="17"/>
  <c r="F15" i="17"/>
  <c r="AV14" i="17"/>
  <c r="AT14" i="17"/>
  <c r="AJ14" i="17"/>
  <c r="AF14" i="17"/>
  <c r="AD14" i="17"/>
  <c r="T14" i="17"/>
  <c r="P14" i="17"/>
  <c r="L14" i="17"/>
  <c r="H14" i="17"/>
  <c r="F14" i="17"/>
  <c r="AV13" i="17"/>
  <c r="AT13" i="17"/>
  <c r="AJ13" i="17"/>
  <c r="AF13" i="17"/>
  <c r="T13" i="17"/>
  <c r="P13" i="17"/>
  <c r="N13" i="17"/>
  <c r="L13" i="17"/>
  <c r="H13" i="17"/>
  <c r="AV12" i="17"/>
  <c r="AT12" i="17"/>
  <c r="AJ12" i="17"/>
  <c r="AF12" i="17"/>
  <c r="AD12" i="17"/>
  <c r="T12" i="17"/>
  <c r="P12" i="17"/>
  <c r="N12" i="17"/>
  <c r="L12" i="17"/>
  <c r="J12" i="17"/>
  <c r="H12" i="17"/>
  <c r="F12" i="17"/>
  <c r="AV10" i="17"/>
  <c r="AT10" i="17"/>
  <c r="AJ10" i="17"/>
  <c r="AH10" i="17"/>
  <c r="AF10" i="17"/>
  <c r="AD10" i="17"/>
  <c r="T10" i="17"/>
  <c r="P10" i="17"/>
  <c r="N10" i="17"/>
  <c r="L10" i="17"/>
  <c r="J10" i="17"/>
  <c r="H10" i="17"/>
  <c r="F10" i="17"/>
  <c r="AV9" i="17"/>
  <c r="AT9" i="17"/>
  <c r="AJ9" i="17"/>
  <c r="AH9" i="17"/>
  <c r="AF9" i="17"/>
  <c r="AD9" i="17"/>
  <c r="T9" i="17"/>
  <c r="P9" i="17"/>
  <c r="N9" i="17"/>
  <c r="L9" i="17"/>
  <c r="J9" i="17"/>
  <c r="H9" i="17"/>
  <c r="F9" i="17"/>
  <c r="AV8" i="17"/>
  <c r="AT8" i="17"/>
  <c r="AJ8" i="17"/>
  <c r="AH8" i="17"/>
  <c r="AF8" i="17"/>
  <c r="AD8" i="17"/>
  <c r="T8" i="17"/>
  <c r="P8" i="17"/>
  <c r="N8" i="17"/>
  <c r="L8" i="17"/>
  <c r="J8" i="17"/>
  <c r="H8" i="17"/>
  <c r="F8" i="17"/>
  <c r="AV7" i="17"/>
  <c r="AT7" i="17"/>
  <c r="AJ7" i="17"/>
  <c r="AH7" i="17"/>
  <c r="AF7" i="17"/>
  <c r="AD7" i="17"/>
  <c r="T7" i="17"/>
  <c r="P7" i="17"/>
  <c r="N7" i="17"/>
  <c r="L7" i="17"/>
  <c r="J7" i="17"/>
  <c r="H7" i="17"/>
  <c r="F7" i="17"/>
  <c r="AV6" i="17"/>
  <c r="AT6" i="17"/>
  <c r="AJ6" i="17"/>
  <c r="AH6" i="17"/>
  <c r="AF6" i="17"/>
  <c r="AD6" i="17"/>
  <c r="T6" i="17"/>
  <c r="P6" i="17"/>
  <c r="N6" i="17"/>
  <c r="L6" i="17"/>
  <c r="J6" i="17"/>
  <c r="H6" i="17"/>
  <c r="F6" i="17"/>
  <c r="AT83" i="16"/>
  <c r="AD83" i="16"/>
  <c r="F83" i="16"/>
  <c r="AV77" i="16"/>
  <c r="AT77" i="16"/>
  <c r="AJ77" i="16"/>
  <c r="AF77" i="16"/>
  <c r="T77" i="16"/>
  <c r="P77" i="16"/>
  <c r="L77" i="16"/>
  <c r="H77" i="16"/>
  <c r="F77" i="16"/>
  <c r="D77" i="16"/>
  <c r="AV75" i="16"/>
  <c r="AT75" i="16"/>
  <c r="AJ75" i="16"/>
  <c r="AH75" i="16"/>
  <c r="AF75" i="16"/>
  <c r="AD75" i="16"/>
  <c r="T75" i="16"/>
  <c r="R75" i="16"/>
  <c r="P75" i="16"/>
  <c r="N75" i="16"/>
  <c r="L75" i="16"/>
  <c r="J75" i="16"/>
  <c r="H75" i="16"/>
  <c r="F75" i="16"/>
  <c r="D75" i="16"/>
  <c r="B75" i="16"/>
  <c r="AV74" i="16"/>
  <c r="AT74" i="16"/>
  <c r="AJ74" i="16"/>
  <c r="AH74" i="16"/>
  <c r="AF74" i="16"/>
  <c r="AD74" i="16"/>
  <c r="T74" i="16"/>
  <c r="R74" i="16"/>
  <c r="P74" i="16"/>
  <c r="N74" i="16"/>
  <c r="L74" i="16"/>
  <c r="J74" i="16"/>
  <c r="H74" i="16"/>
  <c r="F74" i="16"/>
  <c r="D74" i="16"/>
  <c r="B74" i="16"/>
  <c r="AV73" i="16"/>
  <c r="AT73" i="16"/>
  <c r="AJ73" i="16"/>
  <c r="AH73" i="16"/>
  <c r="AF73" i="16"/>
  <c r="AD73" i="16"/>
  <c r="T73" i="16"/>
  <c r="R73" i="16"/>
  <c r="P73" i="16"/>
  <c r="N73" i="16"/>
  <c r="L73" i="16"/>
  <c r="J73" i="16"/>
  <c r="H73" i="16"/>
  <c r="F73" i="16"/>
  <c r="D73" i="16"/>
  <c r="B73" i="16"/>
  <c r="AV72" i="16"/>
  <c r="AT72" i="16"/>
  <c r="AJ72" i="16"/>
  <c r="AH72" i="16"/>
  <c r="AF72" i="16"/>
  <c r="AD72" i="16"/>
  <c r="T72" i="16"/>
  <c r="R72" i="16"/>
  <c r="P72" i="16"/>
  <c r="N72" i="16"/>
  <c r="L72" i="16"/>
  <c r="J72" i="16"/>
  <c r="H72" i="16"/>
  <c r="F72" i="16"/>
  <c r="D72" i="16"/>
  <c r="B72" i="16"/>
  <c r="AV71" i="16"/>
  <c r="AT71" i="16"/>
  <c r="AJ71" i="16"/>
  <c r="AH71" i="16"/>
  <c r="AF71" i="16"/>
  <c r="AD71" i="16"/>
  <c r="T71" i="16"/>
  <c r="R71" i="16"/>
  <c r="P71" i="16"/>
  <c r="N71" i="16"/>
  <c r="L71" i="16"/>
  <c r="J71" i="16"/>
  <c r="H71" i="16"/>
  <c r="F71" i="16"/>
  <c r="D71" i="16"/>
  <c r="B71" i="16"/>
  <c r="AV70" i="16"/>
  <c r="AT70" i="16"/>
  <c r="AH70" i="16"/>
  <c r="AD70" i="16"/>
  <c r="R70" i="16"/>
  <c r="N70" i="16"/>
  <c r="J70" i="16"/>
  <c r="H70" i="16"/>
  <c r="F70" i="16"/>
  <c r="D70" i="16"/>
  <c r="B70" i="16"/>
  <c r="AV66" i="16"/>
  <c r="AT66" i="16"/>
  <c r="AJ66" i="16"/>
  <c r="AH66" i="16"/>
  <c r="AF66" i="16"/>
  <c r="AD66" i="16"/>
  <c r="T66" i="16"/>
  <c r="R66" i="16"/>
  <c r="P66" i="16"/>
  <c r="N66" i="16"/>
  <c r="L66" i="16"/>
  <c r="J66" i="16"/>
  <c r="H66" i="16"/>
  <c r="F66" i="16"/>
  <c r="D66" i="16"/>
  <c r="B66" i="16"/>
  <c r="AV65" i="16"/>
  <c r="AT65" i="16"/>
  <c r="AJ65" i="16"/>
  <c r="AH65" i="16"/>
  <c r="AF65" i="16"/>
  <c r="AD65" i="16"/>
  <c r="T65" i="16"/>
  <c r="R65" i="16"/>
  <c r="P65" i="16"/>
  <c r="N65" i="16"/>
  <c r="L65" i="16"/>
  <c r="J65" i="16"/>
  <c r="H65" i="16"/>
  <c r="F65" i="16"/>
  <c r="D65" i="16"/>
  <c r="B65" i="16"/>
  <c r="AV63" i="16"/>
  <c r="AT63" i="16"/>
  <c r="AJ63" i="16"/>
  <c r="AH63" i="16"/>
  <c r="AF63" i="16"/>
  <c r="AD63" i="16"/>
  <c r="T63" i="16"/>
  <c r="R63" i="16"/>
  <c r="P63" i="16"/>
  <c r="N63" i="16"/>
  <c r="L63" i="16"/>
  <c r="J63" i="16"/>
  <c r="H63" i="16"/>
  <c r="F63" i="16"/>
  <c r="D63" i="16"/>
  <c r="B63" i="16"/>
  <c r="AV61" i="16"/>
  <c r="AT61" i="16"/>
  <c r="AJ61" i="16"/>
  <c r="AH61" i="16"/>
  <c r="AF61" i="16"/>
  <c r="AD61" i="16"/>
  <c r="T61" i="16"/>
  <c r="R61" i="16"/>
  <c r="P61" i="16"/>
  <c r="N61" i="16"/>
  <c r="L61" i="16"/>
  <c r="J61" i="16"/>
  <c r="H61" i="16"/>
  <c r="F61" i="16"/>
  <c r="D61" i="16"/>
  <c r="B61" i="16"/>
  <c r="AV60" i="16"/>
  <c r="AT60" i="16"/>
  <c r="AJ60" i="16"/>
  <c r="AH60" i="16"/>
  <c r="AF60" i="16"/>
  <c r="AD60" i="16"/>
  <c r="T60" i="16"/>
  <c r="R60" i="16"/>
  <c r="P60" i="16"/>
  <c r="N60" i="16"/>
  <c r="L60" i="16"/>
  <c r="J60" i="16"/>
  <c r="H60" i="16"/>
  <c r="F60" i="16"/>
  <c r="D60" i="16"/>
  <c r="B60" i="16"/>
  <c r="AV59" i="16"/>
  <c r="AT59" i="16"/>
  <c r="AJ59" i="16"/>
  <c r="AH59" i="16"/>
  <c r="AF59" i="16"/>
  <c r="AD59" i="16"/>
  <c r="T59" i="16"/>
  <c r="R59" i="16"/>
  <c r="P59" i="16"/>
  <c r="N59" i="16"/>
  <c r="L59" i="16"/>
  <c r="J59" i="16"/>
  <c r="H59" i="16"/>
  <c r="F59" i="16"/>
  <c r="D59" i="16"/>
  <c r="B59" i="16"/>
  <c r="AV58" i="16"/>
  <c r="AT58" i="16"/>
  <c r="AJ58" i="16"/>
  <c r="AH58" i="16"/>
  <c r="AF58" i="16"/>
  <c r="AD58" i="16"/>
  <c r="T58" i="16"/>
  <c r="R58" i="16"/>
  <c r="P58" i="16"/>
  <c r="N58" i="16"/>
  <c r="L58" i="16"/>
  <c r="J58" i="16"/>
  <c r="H58" i="16"/>
  <c r="F58" i="16"/>
  <c r="D58" i="16"/>
  <c r="B58" i="16"/>
  <c r="AV57" i="16"/>
  <c r="AT57" i="16"/>
  <c r="AJ57" i="16"/>
  <c r="AH57" i="16"/>
  <c r="AF57" i="16"/>
  <c r="AD57" i="16"/>
  <c r="T57" i="16"/>
  <c r="R57" i="16"/>
  <c r="P57" i="16"/>
  <c r="N57" i="16"/>
  <c r="L57" i="16"/>
  <c r="J57" i="16"/>
  <c r="H57" i="16"/>
  <c r="F57" i="16"/>
  <c r="D57" i="16"/>
  <c r="B57" i="16"/>
  <c r="AV56" i="16"/>
  <c r="AT56" i="16"/>
  <c r="AJ56" i="16"/>
  <c r="AH56" i="16"/>
  <c r="AF56" i="16"/>
  <c r="AD56" i="16"/>
  <c r="T56" i="16"/>
  <c r="R56" i="16"/>
  <c r="P56" i="16"/>
  <c r="N56" i="16"/>
  <c r="L56" i="16"/>
  <c r="J56" i="16"/>
  <c r="H56" i="16"/>
  <c r="F56" i="16"/>
  <c r="D56" i="16"/>
  <c r="B56" i="16"/>
  <c r="AV55" i="16"/>
  <c r="AT55" i="16"/>
  <c r="AJ55" i="16"/>
  <c r="AH55" i="16"/>
  <c r="AF55" i="16"/>
  <c r="AD55" i="16"/>
  <c r="T55" i="16"/>
  <c r="R55" i="16"/>
  <c r="P55" i="16"/>
  <c r="N55" i="16"/>
  <c r="L55" i="16"/>
  <c r="J55" i="16"/>
  <c r="H55" i="16"/>
  <c r="F55" i="16"/>
  <c r="D55" i="16"/>
  <c r="B55" i="16"/>
  <c r="AV53" i="16"/>
  <c r="AT53" i="16"/>
  <c r="AJ53" i="16"/>
  <c r="AH53" i="16"/>
  <c r="AF53" i="16"/>
  <c r="AD53" i="16"/>
  <c r="T53" i="16"/>
  <c r="R53" i="16"/>
  <c r="P53" i="16"/>
  <c r="N53" i="16"/>
  <c r="L53" i="16"/>
  <c r="J53" i="16"/>
  <c r="H53" i="16"/>
  <c r="F53" i="16"/>
  <c r="D53" i="16"/>
  <c r="B53" i="16"/>
  <c r="AV52" i="16"/>
  <c r="AT52" i="16"/>
  <c r="AJ52" i="16"/>
  <c r="AH52" i="16"/>
  <c r="AF52" i="16"/>
  <c r="AD52" i="16"/>
  <c r="T52" i="16"/>
  <c r="R52" i="16"/>
  <c r="P52" i="16"/>
  <c r="N52" i="16"/>
  <c r="L52" i="16"/>
  <c r="J52" i="16"/>
  <c r="H52" i="16"/>
  <c r="F52" i="16"/>
  <c r="D52" i="16"/>
  <c r="B52" i="16"/>
  <c r="AV51" i="16"/>
  <c r="AT51" i="16"/>
  <c r="AJ51" i="16"/>
  <c r="AH51" i="16"/>
  <c r="AF51" i="16"/>
  <c r="AD51" i="16"/>
  <c r="T51" i="16"/>
  <c r="R51" i="16"/>
  <c r="P51" i="16"/>
  <c r="N51" i="16"/>
  <c r="L51" i="16"/>
  <c r="J51" i="16"/>
  <c r="H51" i="16"/>
  <c r="F51" i="16"/>
  <c r="D51" i="16"/>
  <c r="B51" i="16"/>
  <c r="AV50" i="16"/>
  <c r="AT50" i="16"/>
  <c r="AJ50" i="16"/>
  <c r="AH50" i="16"/>
  <c r="AF50" i="16"/>
  <c r="AD50" i="16"/>
  <c r="T50" i="16"/>
  <c r="R50" i="16"/>
  <c r="P50" i="16"/>
  <c r="N50" i="16"/>
  <c r="L50" i="16"/>
  <c r="J50" i="16"/>
  <c r="H50" i="16"/>
  <c r="F50" i="16"/>
  <c r="D50" i="16"/>
  <c r="B50" i="16"/>
  <c r="AV49" i="16"/>
  <c r="AT49" i="16"/>
  <c r="AJ49" i="16"/>
  <c r="AH49" i="16"/>
  <c r="AF49" i="16"/>
  <c r="AD49" i="16"/>
  <c r="T49" i="16"/>
  <c r="R49" i="16"/>
  <c r="P49" i="16"/>
  <c r="N49" i="16"/>
  <c r="L49" i="16"/>
  <c r="J49" i="16"/>
  <c r="H49" i="16"/>
  <c r="F49" i="16"/>
  <c r="D49" i="16"/>
  <c r="B49" i="16"/>
  <c r="AV46" i="16"/>
  <c r="AT46" i="16"/>
  <c r="AJ46" i="16"/>
  <c r="AH46" i="16"/>
  <c r="AF46" i="16"/>
  <c r="AD46" i="16"/>
  <c r="T46" i="16"/>
  <c r="R46" i="16"/>
  <c r="P46" i="16"/>
  <c r="N46" i="16"/>
  <c r="L46" i="16"/>
  <c r="J46" i="16"/>
  <c r="H46" i="16"/>
  <c r="F46" i="16"/>
  <c r="D46" i="16"/>
  <c r="B46" i="16"/>
  <c r="AV45" i="16"/>
  <c r="AT45" i="16"/>
  <c r="AJ45" i="16"/>
  <c r="AH45" i="16"/>
  <c r="AF45" i="16"/>
  <c r="AD45" i="16"/>
  <c r="T45" i="16"/>
  <c r="R45" i="16"/>
  <c r="P45" i="16"/>
  <c r="N45" i="16"/>
  <c r="L45" i="16"/>
  <c r="J45" i="16"/>
  <c r="H45" i="16"/>
  <c r="F45" i="16"/>
  <c r="D45" i="16"/>
  <c r="B45" i="16"/>
  <c r="AV44" i="16"/>
  <c r="AT44" i="16"/>
  <c r="AJ44" i="16"/>
  <c r="AH44" i="16"/>
  <c r="AF44" i="16"/>
  <c r="AD44" i="16"/>
  <c r="T44" i="16"/>
  <c r="R44" i="16"/>
  <c r="P44" i="16"/>
  <c r="N44" i="16"/>
  <c r="L44" i="16"/>
  <c r="J44" i="16"/>
  <c r="H44" i="16"/>
  <c r="F44" i="16"/>
  <c r="D44" i="16"/>
  <c r="B44" i="16"/>
  <c r="AV43" i="16"/>
  <c r="AT43" i="16"/>
  <c r="AJ43" i="16"/>
  <c r="AH43" i="16"/>
  <c r="AF43" i="16"/>
  <c r="AD43" i="16"/>
  <c r="T43" i="16"/>
  <c r="R43" i="16"/>
  <c r="P43" i="16"/>
  <c r="N43" i="16"/>
  <c r="L43" i="16"/>
  <c r="J43" i="16"/>
  <c r="H43" i="16"/>
  <c r="F43" i="16"/>
  <c r="D43" i="16"/>
  <c r="B43" i="16"/>
  <c r="AV42" i="16"/>
  <c r="AT42" i="16"/>
  <c r="AJ42" i="16"/>
  <c r="AH42" i="16"/>
  <c r="AF42" i="16"/>
  <c r="AD42" i="16"/>
  <c r="T42" i="16"/>
  <c r="R42" i="16"/>
  <c r="P42" i="16"/>
  <c r="N42" i="16"/>
  <c r="L42" i="16"/>
  <c r="J42" i="16"/>
  <c r="H42" i="16"/>
  <c r="F42" i="16"/>
  <c r="D42" i="16"/>
  <c r="B42" i="16"/>
  <c r="AV41" i="16"/>
  <c r="AT41" i="16"/>
  <c r="AJ41" i="16"/>
  <c r="AH41" i="16"/>
  <c r="AF41" i="16"/>
  <c r="AD41" i="16"/>
  <c r="T41" i="16"/>
  <c r="R41" i="16"/>
  <c r="P41" i="16"/>
  <c r="N41" i="16"/>
  <c r="L41" i="16"/>
  <c r="J41" i="16"/>
  <c r="H41" i="16"/>
  <c r="F41" i="16"/>
  <c r="D41" i="16"/>
  <c r="B41" i="16"/>
  <c r="AV40" i="16"/>
  <c r="AT40" i="16"/>
  <c r="AJ40" i="16"/>
  <c r="AH40" i="16"/>
  <c r="AF40" i="16"/>
  <c r="AD40" i="16"/>
  <c r="T40" i="16"/>
  <c r="R40" i="16"/>
  <c r="P40" i="16"/>
  <c r="N40" i="16"/>
  <c r="L40" i="16"/>
  <c r="J40" i="16"/>
  <c r="H40" i="16"/>
  <c r="F40" i="16"/>
  <c r="D40" i="16"/>
  <c r="B40" i="16"/>
  <c r="AV39" i="16"/>
  <c r="AT39" i="16"/>
  <c r="AJ39" i="16"/>
  <c r="AH39" i="16"/>
  <c r="AF39" i="16"/>
  <c r="AD39" i="16"/>
  <c r="T39" i="16"/>
  <c r="R39" i="16"/>
  <c r="P39" i="16"/>
  <c r="N39" i="16"/>
  <c r="L39" i="16"/>
  <c r="J39" i="16"/>
  <c r="H39" i="16"/>
  <c r="F39" i="16"/>
  <c r="D39" i="16"/>
  <c r="B39" i="16"/>
  <c r="AV38" i="16"/>
  <c r="AT38" i="16"/>
  <c r="AJ38" i="16"/>
  <c r="AH38" i="16"/>
  <c r="AF38" i="16"/>
  <c r="AD38" i="16"/>
  <c r="T38" i="16"/>
  <c r="R38" i="16"/>
  <c r="P38" i="16"/>
  <c r="N38" i="16"/>
  <c r="L38" i="16"/>
  <c r="J38" i="16"/>
  <c r="H38" i="16"/>
  <c r="F38" i="16"/>
  <c r="D38" i="16"/>
  <c r="B38" i="16"/>
  <c r="AV37" i="16"/>
  <c r="AT37" i="16"/>
  <c r="AJ37" i="16"/>
  <c r="AH37" i="16"/>
  <c r="AF37" i="16"/>
  <c r="AD37" i="16"/>
  <c r="T37" i="16"/>
  <c r="R37" i="16"/>
  <c r="P37" i="16"/>
  <c r="N37" i="16"/>
  <c r="L37" i="16"/>
  <c r="J37" i="16"/>
  <c r="H37" i="16"/>
  <c r="F37" i="16"/>
  <c r="D37" i="16"/>
  <c r="B37" i="16"/>
  <c r="AV36" i="16"/>
  <c r="AT36" i="16"/>
  <c r="AJ36" i="16"/>
  <c r="AH36" i="16"/>
  <c r="AF36" i="16"/>
  <c r="AD36" i="16"/>
  <c r="T36" i="16"/>
  <c r="R36" i="16"/>
  <c r="P36" i="16"/>
  <c r="N36" i="16"/>
  <c r="L36" i="16"/>
  <c r="J36" i="16"/>
  <c r="H36" i="16"/>
  <c r="F36" i="16"/>
  <c r="D36" i="16"/>
  <c r="B36" i="16"/>
  <c r="AV35" i="16"/>
  <c r="AT35" i="16"/>
  <c r="AJ35" i="16"/>
  <c r="AH35" i="16"/>
  <c r="AF35" i="16"/>
  <c r="AD35" i="16"/>
  <c r="T35" i="16"/>
  <c r="R35" i="16"/>
  <c r="P35" i="16"/>
  <c r="N35" i="16"/>
  <c r="L35" i="16"/>
  <c r="J35" i="16"/>
  <c r="H35" i="16"/>
  <c r="F35" i="16"/>
  <c r="D35" i="16"/>
  <c r="B35" i="16"/>
  <c r="AV34" i="16"/>
  <c r="AT34" i="16"/>
  <c r="AJ34" i="16"/>
  <c r="AH34" i="16"/>
  <c r="AF34" i="16"/>
  <c r="AD34" i="16"/>
  <c r="T34" i="16"/>
  <c r="R34" i="16"/>
  <c r="P34" i="16"/>
  <c r="N34" i="16"/>
  <c r="L34" i="16"/>
  <c r="J34" i="16"/>
  <c r="H34" i="16"/>
  <c r="F34" i="16"/>
  <c r="D34" i="16"/>
  <c r="B34" i="16"/>
  <c r="AV33" i="16"/>
  <c r="AT33" i="16"/>
  <c r="AJ33" i="16"/>
  <c r="AH33" i="16"/>
  <c r="AF33" i="16"/>
  <c r="AD33" i="16"/>
  <c r="T33" i="16"/>
  <c r="R33" i="16"/>
  <c r="P33" i="16"/>
  <c r="N33" i="16"/>
  <c r="L33" i="16"/>
  <c r="J33" i="16"/>
  <c r="H33" i="16"/>
  <c r="F33" i="16"/>
  <c r="D33" i="16"/>
  <c r="B33" i="16"/>
  <c r="AV32" i="16"/>
  <c r="AT32" i="16"/>
  <c r="AJ32" i="16"/>
  <c r="AH32" i="16"/>
  <c r="AF32" i="16"/>
  <c r="AD32" i="16"/>
  <c r="T32" i="16"/>
  <c r="R32" i="16"/>
  <c r="P32" i="16"/>
  <c r="N32" i="16"/>
  <c r="L32" i="16"/>
  <c r="J32" i="16"/>
  <c r="H32" i="16"/>
  <c r="F32" i="16"/>
  <c r="D32" i="16"/>
  <c r="B32" i="16"/>
  <c r="AV31" i="16"/>
  <c r="AT31" i="16"/>
  <c r="AJ31" i="16"/>
  <c r="AH31" i="16"/>
  <c r="AF31" i="16"/>
  <c r="AD31" i="16"/>
  <c r="T31" i="16"/>
  <c r="R31" i="16"/>
  <c r="P31" i="16"/>
  <c r="N31" i="16"/>
  <c r="L31" i="16"/>
  <c r="J31" i="16"/>
  <c r="H31" i="16"/>
  <c r="F31" i="16"/>
  <c r="D31" i="16"/>
  <c r="B31" i="16"/>
  <c r="AV30" i="16"/>
  <c r="AT30" i="16"/>
  <c r="AJ30" i="16"/>
  <c r="AH30" i="16"/>
  <c r="AF30" i="16"/>
  <c r="AD30" i="16"/>
  <c r="T30" i="16"/>
  <c r="R30" i="16"/>
  <c r="P30" i="16"/>
  <c r="N30" i="16"/>
  <c r="L30" i="16"/>
  <c r="J30" i="16"/>
  <c r="H30" i="16"/>
  <c r="F30" i="16"/>
  <c r="D30" i="16"/>
  <c r="B30" i="16"/>
  <c r="AV29" i="16"/>
  <c r="AT29" i="16"/>
  <c r="AJ29" i="16"/>
  <c r="AH29" i="16"/>
  <c r="AF29" i="16"/>
  <c r="AD29" i="16"/>
  <c r="T29" i="16"/>
  <c r="R29" i="16"/>
  <c r="P29" i="16"/>
  <c r="N29" i="16"/>
  <c r="L29" i="16"/>
  <c r="J29" i="16"/>
  <c r="H29" i="16"/>
  <c r="F29" i="16"/>
  <c r="D29" i="16"/>
  <c r="B29" i="16"/>
  <c r="AV28" i="16"/>
  <c r="AT28" i="16"/>
  <c r="AJ28" i="16"/>
  <c r="AH28" i="16"/>
  <c r="AF28" i="16"/>
  <c r="AD28" i="16"/>
  <c r="T28" i="16"/>
  <c r="R28" i="16"/>
  <c r="P28" i="16"/>
  <c r="N28" i="16"/>
  <c r="L28" i="16"/>
  <c r="J28" i="16"/>
  <c r="H28" i="16"/>
  <c r="F28" i="16"/>
  <c r="D28" i="16"/>
  <c r="B28" i="16"/>
  <c r="AV27" i="16"/>
  <c r="AT27" i="16"/>
  <c r="AJ27" i="16"/>
  <c r="AH27" i="16"/>
  <c r="AF27" i="16"/>
  <c r="AD27" i="16"/>
  <c r="T27" i="16"/>
  <c r="R27" i="16"/>
  <c r="P27" i="16"/>
  <c r="N27" i="16"/>
  <c r="L27" i="16"/>
  <c r="J27" i="16"/>
  <c r="H27" i="16"/>
  <c r="F27" i="16"/>
  <c r="D27" i="16"/>
  <c r="B27" i="16"/>
  <c r="AV26" i="16"/>
  <c r="AT26" i="16"/>
  <c r="AJ26" i="16"/>
  <c r="AH26" i="16"/>
  <c r="AF26" i="16"/>
  <c r="AD26" i="16"/>
  <c r="T26" i="16"/>
  <c r="R26" i="16"/>
  <c r="P26" i="16"/>
  <c r="N26" i="16"/>
  <c r="L26" i="16"/>
  <c r="J26" i="16"/>
  <c r="H26" i="16"/>
  <c r="F26" i="16"/>
  <c r="D26" i="16"/>
  <c r="B26" i="16"/>
  <c r="AV25" i="16"/>
  <c r="AT25" i="16"/>
  <c r="AJ25" i="16"/>
  <c r="AH25" i="16"/>
  <c r="AF25" i="16"/>
  <c r="AD25" i="16"/>
  <c r="T25" i="16"/>
  <c r="R25" i="16"/>
  <c r="P25" i="16"/>
  <c r="N25" i="16"/>
  <c r="L25" i="16"/>
  <c r="J25" i="16"/>
  <c r="H25" i="16"/>
  <c r="F25" i="16"/>
  <c r="D25" i="16"/>
  <c r="B25" i="16"/>
  <c r="AV24" i="16"/>
  <c r="AT24" i="16"/>
  <c r="AJ24" i="16"/>
  <c r="AH24" i="16"/>
  <c r="AF24" i="16"/>
  <c r="AD24" i="16"/>
  <c r="T24" i="16"/>
  <c r="R24" i="16"/>
  <c r="P24" i="16"/>
  <c r="N24" i="16"/>
  <c r="L24" i="16"/>
  <c r="J24" i="16"/>
  <c r="H24" i="16"/>
  <c r="F24" i="16"/>
  <c r="D24" i="16"/>
  <c r="B24" i="16"/>
  <c r="AV23" i="16"/>
  <c r="AT23" i="16"/>
  <c r="AJ23" i="16"/>
  <c r="AH23" i="16"/>
  <c r="AF23" i="16"/>
  <c r="AD23" i="16"/>
  <c r="T23" i="16"/>
  <c r="R23" i="16"/>
  <c r="P23" i="16"/>
  <c r="N23" i="16"/>
  <c r="L23" i="16"/>
  <c r="J23" i="16"/>
  <c r="H23" i="16"/>
  <c r="F23" i="16"/>
  <c r="D23" i="16"/>
  <c r="B23" i="16"/>
  <c r="AV22" i="16"/>
  <c r="AT22" i="16"/>
  <c r="AJ22" i="16"/>
  <c r="AH22" i="16"/>
  <c r="AF22" i="16"/>
  <c r="AD22" i="16"/>
  <c r="T22" i="16"/>
  <c r="R22" i="16"/>
  <c r="P22" i="16"/>
  <c r="N22" i="16"/>
  <c r="L22" i="16"/>
  <c r="J22" i="16"/>
  <c r="H22" i="16"/>
  <c r="F22" i="16"/>
  <c r="D22" i="16"/>
  <c r="B22" i="16"/>
  <c r="AV21" i="16"/>
  <c r="AT21" i="16"/>
  <c r="AJ21" i="16"/>
  <c r="AH21" i="16"/>
  <c r="AF21" i="16"/>
  <c r="AD21" i="16"/>
  <c r="T21" i="16"/>
  <c r="R21" i="16"/>
  <c r="P21" i="16"/>
  <c r="N21" i="16"/>
  <c r="L21" i="16"/>
  <c r="J21" i="16"/>
  <c r="H21" i="16"/>
  <c r="F21" i="16"/>
  <c r="D21" i="16"/>
  <c r="B21" i="16"/>
  <c r="AV20" i="16"/>
  <c r="AT20" i="16"/>
  <c r="AJ20" i="16"/>
  <c r="AH20" i="16"/>
  <c r="AF20" i="16"/>
  <c r="AD20" i="16"/>
  <c r="T20" i="16"/>
  <c r="R20" i="16"/>
  <c r="P20" i="16"/>
  <c r="N20" i="16"/>
  <c r="L20" i="16"/>
  <c r="J20" i="16"/>
  <c r="H20" i="16"/>
  <c r="F20" i="16"/>
  <c r="D20" i="16"/>
  <c r="B20" i="16"/>
  <c r="AV19" i="16"/>
  <c r="AT19" i="16"/>
  <c r="AJ19" i="16"/>
  <c r="AH19" i="16"/>
  <c r="AF19" i="16"/>
  <c r="AD19" i="16"/>
  <c r="T19" i="16"/>
  <c r="R19" i="16"/>
  <c r="P19" i="16"/>
  <c r="N19" i="16"/>
  <c r="L19" i="16"/>
  <c r="J19" i="16"/>
  <c r="H19" i="16"/>
  <c r="F19" i="16"/>
  <c r="D19" i="16"/>
  <c r="B19" i="16"/>
  <c r="AV16" i="16"/>
  <c r="AT16" i="16"/>
  <c r="AJ16" i="16"/>
  <c r="AF16" i="16"/>
  <c r="AD16" i="16"/>
  <c r="T16" i="16"/>
  <c r="P16" i="16"/>
  <c r="L16" i="16"/>
  <c r="H16" i="16"/>
  <c r="F16" i="16"/>
  <c r="AV15" i="16"/>
  <c r="AT15" i="16"/>
  <c r="AJ15" i="16"/>
  <c r="AH15" i="16"/>
  <c r="AF15" i="16"/>
  <c r="AD15" i="16"/>
  <c r="T15" i="16"/>
  <c r="P15" i="16"/>
  <c r="N15" i="16"/>
  <c r="L15" i="16"/>
  <c r="J15" i="16"/>
  <c r="H15" i="16"/>
  <c r="F15" i="16"/>
  <c r="AV14" i="16"/>
  <c r="AT14" i="16"/>
  <c r="AJ14" i="16"/>
  <c r="AF14" i="16"/>
  <c r="AD14" i="16"/>
  <c r="T14" i="16"/>
  <c r="P14" i="16"/>
  <c r="L14" i="16"/>
  <c r="H14" i="16"/>
  <c r="F14" i="16"/>
  <c r="AV13" i="16"/>
  <c r="AT13" i="16"/>
  <c r="AJ13" i="16"/>
  <c r="AF13" i="16"/>
  <c r="T13" i="16"/>
  <c r="P13" i="16"/>
  <c r="N13" i="16"/>
  <c r="L13" i="16"/>
  <c r="H13" i="16"/>
  <c r="AV12" i="16"/>
  <c r="AT12" i="16"/>
  <c r="AJ12" i="16"/>
  <c r="AF12" i="16"/>
  <c r="AD12" i="16"/>
  <c r="T12" i="16"/>
  <c r="P12" i="16"/>
  <c r="N12" i="16"/>
  <c r="L12" i="16"/>
  <c r="J12" i="16"/>
  <c r="H12" i="16"/>
  <c r="F12" i="16"/>
  <c r="AV10" i="16"/>
  <c r="AT10" i="16"/>
  <c r="AJ10" i="16"/>
  <c r="AH10" i="16"/>
  <c r="AF10" i="16"/>
  <c r="AD10" i="16"/>
  <c r="T10" i="16"/>
  <c r="P10" i="16"/>
  <c r="N10" i="16"/>
  <c r="L10" i="16"/>
  <c r="J10" i="16"/>
  <c r="H10" i="16"/>
  <c r="F10" i="16"/>
  <c r="AV9" i="16"/>
  <c r="AT9" i="16"/>
  <c r="AJ9" i="16"/>
  <c r="AH9" i="16"/>
  <c r="AF9" i="16"/>
  <c r="AD9" i="16"/>
  <c r="T9" i="16"/>
  <c r="P9" i="16"/>
  <c r="N9" i="16"/>
  <c r="L9" i="16"/>
  <c r="J9" i="16"/>
  <c r="H9" i="16"/>
  <c r="F9" i="16"/>
  <c r="AV8" i="16"/>
  <c r="AT8" i="16"/>
  <c r="AJ8" i="16"/>
  <c r="AH8" i="16"/>
  <c r="AF8" i="16"/>
  <c r="AD8" i="16"/>
  <c r="T8" i="16"/>
  <c r="P8" i="16"/>
  <c r="N8" i="16"/>
  <c r="L8" i="16"/>
  <c r="J8" i="16"/>
  <c r="H8" i="16"/>
  <c r="F8" i="16"/>
  <c r="AV7" i="16"/>
  <c r="AT7" i="16"/>
  <c r="AJ7" i="16"/>
  <c r="AH7" i="16"/>
  <c r="AF7" i="16"/>
  <c r="AD7" i="16"/>
  <c r="T7" i="16"/>
  <c r="P7" i="16"/>
  <c r="N7" i="16"/>
  <c r="L7" i="16"/>
  <c r="J7" i="16"/>
  <c r="H7" i="16"/>
  <c r="F7" i="16"/>
  <c r="AV6" i="16"/>
  <c r="AT6" i="16"/>
  <c r="AJ6" i="16"/>
  <c r="AH6" i="16"/>
  <c r="AF6" i="16"/>
  <c r="AD6" i="16"/>
  <c r="T6" i="16"/>
  <c r="P6" i="16"/>
  <c r="N6" i="16"/>
  <c r="L6" i="16"/>
  <c r="J6" i="16"/>
  <c r="H6" i="16"/>
  <c r="F6" i="16"/>
  <c r="AT63" i="1"/>
  <c r="AH63" i="1"/>
  <c r="AD63" i="1"/>
  <c r="R63" i="1"/>
  <c r="N63" i="1"/>
  <c r="J63" i="1"/>
  <c r="F63" i="1"/>
  <c r="B63" i="1"/>
  <c r="F53" i="1" l="1"/>
  <c r="B53" i="1"/>
  <c r="AD75" i="1"/>
  <c r="AD74" i="1"/>
  <c r="AT83" i="1" l="1"/>
  <c r="AD83" i="1"/>
  <c r="F83" i="1"/>
  <c r="AT77" i="1"/>
  <c r="F77" i="1"/>
  <c r="AT75" i="1"/>
  <c r="AH75" i="1"/>
  <c r="R75" i="1"/>
  <c r="N75" i="1"/>
  <c r="J75" i="1"/>
  <c r="F75" i="1"/>
  <c r="B75" i="1"/>
  <c r="AT74" i="1"/>
  <c r="AH74" i="1"/>
  <c r="R74" i="1"/>
  <c r="N74" i="1"/>
  <c r="J74" i="1"/>
  <c r="F74" i="1"/>
  <c r="B74" i="1"/>
  <c r="AT73" i="1"/>
  <c r="AH73" i="1"/>
  <c r="AD73" i="1"/>
  <c r="R73" i="1"/>
  <c r="N73" i="1"/>
  <c r="J73" i="1"/>
  <c r="F73" i="1"/>
  <c r="B73" i="1"/>
  <c r="AT72" i="1"/>
  <c r="AH72" i="1"/>
  <c r="AD72" i="1"/>
  <c r="R72" i="1"/>
  <c r="N72" i="1"/>
  <c r="J72" i="1"/>
  <c r="F72" i="1"/>
  <c r="B72" i="1"/>
  <c r="AT71" i="1"/>
  <c r="AH71" i="1"/>
  <c r="AD71" i="1"/>
  <c r="R71" i="1"/>
  <c r="N71" i="1"/>
  <c r="J71" i="1"/>
  <c r="F71" i="1"/>
  <c r="B71" i="1"/>
  <c r="AT70" i="1"/>
  <c r="AH70" i="1"/>
  <c r="AD70" i="1"/>
  <c r="R70" i="1"/>
  <c r="N70" i="1"/>
  <c r="J70" i="1"/>
  <c r="F70" i="1"/>
  <c r="B70" i="1"/>
  <c r="AT66" i="1"/>
  <c r="AH66" i="1"/>
  <c r="AD66" i="1"/>
  <c r="R66" i="1"/>
  <c r="N66" i="1"/>
  <c r="J66" i="1"/>
  <c r="F66" i="1"/>
  <c r="B66" i="1"/>
  <c r="AT65" i="1"/>
  <c r="AH65" i="1"/>
  <c r="AD65" i="1"/>
  <c r="R65" i="1"/>
  <c r="N65" i="1"/>
  <c r="J65" i="1"/>
  <c r="F65" i="1"/>
  <c r="B65" i="1"/>
  <c r="AT61" i="1"/>
  <c r="AH61" i="1"/>
  <c r="AD61" i="1"/>
  <c r="R61" i="1"/>
  <c r="N61" i="1"/>
  <c r="J61" i="1"/>
  <c r="F61" i="1"/>
  <c r="B61" i="1"/>
  <c r="AT60" i="1"/>
  <c r="AH60" i="1"/>
  <c r="AD60" i="1"/>
  <c r="R60" i="1"/>
  <c r="N60" i="1"/>
  <c r="J60" i="1"/>
  <c r="F60" i="1"/>
  <c r="B60" i="1"/>
  <c r="AT59" i="1"/>
  <c r="AH59" i="1"/>
  <c r="AD59" i="1"/>
  <c r="R59" i="1"/>
  <c r="N59" i="1"/>
  <c r="J59" i="1"/>
  <c r="F59" i="1"/>
  <c r="B59" i="1"/>
  <c r="AT58" i="1"/>
  <c r="AH58" i="1"/>
  <c r="AD58" i="1"/>
  <c r="R58" i="1"/>
  <c r="N58" i="1"/>
  <c r="J58" i="1"/>
  <c r="F58" i="1"/>
  <c r="B58" i="1"/>
  <c r="AT57" i="1"/>
  <c r="AH57" i="1"/>
  <c r="AD57" i="1"/>
  <c r="R57" i="1"/>
  <c r="N57" i="1"/>
  <c r="J57" i="1"/>
  <c r="F57" i="1"/>
  <c r="B57" i="1"/>
  <c r="AT56" i="1"/>
  <c r="AH56" i="1"/>
  <c r="AD56" i="1"/>
  <c r="R56" i="1"/>
  <c r="N56" i="1"/>
  <c r="J56" i="1"/>
  <c r="F56" i="1"/>
  <c r="B56" i="1"/>
  <c r="AT55" i="1"/>
  <c r="AH55" i="1"/>
  <c r="AD55" i="1"/>
  <c r="R55" i="1"/>
  <c r="N55" i="1"/>
  <c r="J55" i="1"/>
  <c r="F55" i="1"/>
  <c r="B55" i="1"/>
  <c r="AT53" i="1"/>
  <c r="AH53" i="1"/>
  <c r="AD53" i="1"/>
  <c r="R53" i="1"/>
  <c r="N53" i="1"/>
  <c r="J53" i="1"/>
  <c r="AT52" i="1"/>
  <c r="AH52" i="1"/>
  <c r="AD52" i="1"/>
  <c r="R52" i="1"/>
  <c r="N52" i="1"/>
  <c r="J52" i="1"/>
  <c r="F52" i="1"/>
  <c r="B52" i="1"/>
  <c r="AT51" i="1"/>
  <c r="AH51" i="1"/>
  <c r="AD51" i="1"/>
  <c r="R51" i="1"/>
  <c r="N51" i="1"/>
  <c r="J51" i="1"/>
  <c r="F51" i="1"/>
  <c r="B51" i="1"/>
  <c r="AT50" i="1"/>
  <c r="AH50" i="1"/>
  <c r="AD50" i="1"/>
  <c r="R50" i="1"/>
  <c r="N50" i="1"/>
  <c r="J50" i="1"/>
  <c r="F50" i="1"/>
  <c r="B50" i="1"/>
  <c r="AT49" i="1"/>
  <c r="AH49" i="1"/>
  <c r="AD49" i="1"/>
  <c r="R49" i="1"/>
  <c r="N49" i="1"/>
  <c r="J49" i="1"/>
  <c r="F49" i="1"/>
  <c r="B49" i="1"/>
  <c r="AT46" i="1"/>
  <c r="AH46" i="1"/>
  <c r="AD46" i="1"/>
  <c r="R46" i="1"/>
  <c r="N46" i="1"/>
  <c r="J46" i="1"/>
  <c r="F46" i="1"/>
  <c r="B46" i="1"/>
  <c r="AT45" i="1"/>
  <c r="AH45" i="1"/>
  <c r="AD45" i="1"/>
  <c r="R45" i="1"/>
  <c r="N45" i="1"/>
  <c r="J45" i="1"/>
  <c r="F45" i="1"/>
  <c r="B45" i="1"/>
  <c r="AT44" i="1"/>
  <c r="AH44" i="1"/>
  <c r="AD44" i="1"/>
  <c r="R44" i="1"/>
  <c r="N44" i="1"/>
  <c r="J44" i="1"/>
  <c r="F44" i="1"/>
  <c r="B44" i="1"/>
  <c r="AT43" i="1"/>
  <c r="AH43" i="1"/>
  <c r="AD43" i="1"/>
  <c r="R43" i="1"/>
  <c r="N43" i="1"/>
  <c r="J43" i="1"/>
  <c r="F43" i="1"/>
  <c r="B43" i="1"/>
  <c r="AT42" i="1"/>
  <c r="AH42" i="1"/>
  <c r="AD42" i="1"/>
  <c r="R42" i="1"/>
  <c r="N42" i="1"/>
  <c r="J42" i="1"/>
  <c r="F42" i="1"/>
  <c r="B42" i="1"/>
  <c r="AT41" i="1"/>
  <c r="AH41" i="1"/>
  <c r="AD41" i="1"/>
  <c r="R41" i="1"/>
  <c r="N41" i="1"/>
  <c r="J41" i="1"/>
  <c r="F41" i="1"/>
  <c r="B41" i="1"/>
  <c r="AT40" i="1"/>
  <c r="AH40" i="1"/>
  <c r="AD40" i="1"/>
  <c r="R40" i="1"/>
  <c r="N40" i="1"/>
  <c r="J40" i="1"/>
  <c r="F40" i="1"/>
  <c r="B40" i="1"/>
  <c r="AT39" i="1"/>
  <c r="AH39" i="1"/>
  <c r="AD39" i="1"/>
  <c r="R39" i="1"/>
  <c r="N39" i="1"/>
  <c r="J39" i="1"/>
  <c r="F39" i="1"/>
  <c r="B39" i="1"/>
  <c r="AT38" i="1"/>
  <c r="AH38" i="1"/>
  <c r="AD38" i="1"/>
  <c r="R38" i="1"/>
  <c r="N38" i="1"/>
  <c r="J38" i="1"/>
  <c r="F38" i="1"/>
  <c r="B38" i="1"/>
  <c r="AT37" i="1"/>
  <c r="AH37" i="1"/>
  <c r="AD37" i="1"/>
  <c r="R37" i="1"/>
  <c r="N37" i="1"/>
  <c r="J37" i="1"/>
  <c r="F37" i="1"/>
  <c r="B37" i="1"/>
  <c r="AT36" i="1"/>
  <c r="AH36" i="1"/>
  <c r="AD36" i="1"/>
  <c r="R36" i="1"/>
  <c r="N36" i="1"/>
  <c r="J36" i="1"/>
  <c r="F36" i="1"/>
  <c r="B36" i="1"/>
  <c r="AT35" i="1"/>
  <c r="AH35" i="1"/>
  <c r="AD35" i="1"/>
  <c r="R35" i="1"/>
  <c r="N35" i="1"/>
  <c r="J35" i="1"/>
  <c r="F35" i="1"/>
  <c r="B35" i="1"/>
  <c r="AT34" i="1"/>
  <c r="AH34" i="1"/>
  <c r="AD34" i="1"/>
  <c r="R34" i="1"/>
  <c r="N34" i="1"/>
  <c r="J34" i="1"/>
  <c r="F34" i="1"/>
  <c r="B34" i="1"/>
  <c r="AT33" i="1"/>
  <c r="AH33" i="1"/>
  <c r="AD33" i="1"/>
  <c r="R33" i="1"/>
  <c r="N33" i="1"/>
  <c r="J33" i="1"/>
  <c r="F33" i="1"/>
  <c r="B33" i="1"/>
  <c r="AT32" i="1"/>
  <c r="AH32" i="1"/>
  <c r="AD32" i="1"/>
  <c r="R32" i="1"/>
  <c r="N32" i="1"/>
  <c r="J32" i="1"/>
  <c r="F32" i="1"/>
  <c r="B32" i="1"/>
  <c r="AT31" i="1"/>
  <c r="AH31" i="1"/>
  <c r="AD31" i="1"/>
  <c r="R31" i="1"/>
  <c r="N31" i="1"/>
  <c r="J31" i="1"/>
  <c r="F31" i="1"/>
  <c r="B31" i="1"/>
  <c r="AT30" i="1"/>
  <c r="AH30" i="1"/>
  <c r="AD30" i="1"/>
  <c r="R30" i="1"/>
  <c r="N30" i="1"/>
  <c r="J30" i="1"/>
  <c r="F30" i="1"/>
  <c r="B30" i="1"/>
  <c r="AT29" i="1"/>
  <c r="AH29" i="1"/>
  <c r="AD29" i="1"/>
  <c r="R29" i="1"/>
  <c r="N29" i="1"/>
  <c r="J29" i="1"/>
  <c r="F29" i="1"/>
  <c r="B29" i="1"/>
  <c r="AT28" i="1"/>
  <c r="AH28" i="1"/>
  <c r="AD28" i="1"/>
  <c r="R28" i="1"/>
  <c r="N28" i="1"/>
  <c r="J28" i="1"/>
  <c r="F28" i="1"/>
  <c r="B28" i="1"/>
  <c r="AT27" i="1"/>
  <c r="AH27" i="1"/>
  <c r="AD27" i="1"/>
  <c r="R27" i="1"/>
  <c r="N27" i="1"/>
  <c r="J27" i="1"/>
  <c r="F27" i="1"/>
  <c r="B27" i="1"/>
  <c r="AT26" i="1"/>
  <c r="AH26" i="1"/>
  <c r="AD26" i="1"/>
  <c r="R26" i="1"/>
  <c r="N26" i="1"/>
  <c r="J26" i="1"/>
  <c r="F26" i="1"/>
  <c r="B26" i="1"/>
  <c r="AT25" i="1"/>
  <c r="AH25" i="1"/>
  <c r="AD25" i="1"/>
  <c r="R25" i="1"/>
  <c r="N25" i="1"/>
  <c r="J25" i="1"/>
  <c r="F25" i="1"/>
  <c r="B25" i="1"/>
  <c r="AT24" i="1"/>
  <c r="AH24" i="1"/>
  <c r="AD24" i="1"/>
  <c r="R24" i="1"/>
  <c r="N24" i="1"/>
  <c r="J24" i="1"/>
  <c r="F24" i="1"/>
  <c r="B24" i="1"/>
  <c r="AT23" i="1"/>
  <c r="AH23" i="1"/>
  <c r="AD23" i="1"/>
  <c r="R23" i="1"/>
  <c r="N23" i="1"/>
  <c r="J23" i="1"/>
  <c r="F23" i="1"/>
  <c r="B23" i="1"/>
  <c r="AT22" i="1"/>
  <c r="AH22" i="1"/>
  <c r="AD22" i="1"/>
  <c r="R22" i="1"/>
  <c r="N22" i="1"/>
  <c r="J22" i="1"/>
  <c r="F22" i="1"/>
  <c r="B22" i="1"/>
  <c r="AT21" i="1"/>
  <c r="AH21" i="1"/>
  <c r="AD21" i="1"/>
  <c r="R21" i="1"/>
  <c r="N21" i="1"/>
  <c r="J21" i="1"/>
  <c r="F21" i="1"/>
  <c r="B21" i="1"/>
  <c r="AT20" i="1"/>
  <c r="AH20" i="1"/>
  <c r="AD20" i="1"/>
  <c r="R20" i="1"/>
  <c r="N20" i="1"/>
  <c r="J20" i="1"/>
  <c r="F20" i="1"/>
  <c r="B20" i="1"/>
  <c r="AT19" i="1"/>
  <c r="AH19" i="1"/>
  <c r="AD19" i="1"/>
  <c r="R19" i="1"/>
  <c r="N19" i="1"/>
  <c r="J19" i="1"/>
  <c r="F19" i="1"/>
  <c r="B19" i="1"/>
  <c r="AT16" i="1"/>
  <c r="AD16" i="1"/>
  <c r="F16" i="1"/>
  <c r="AT15" i="1"/>
  <c r="AH15" i="1"/>
  <c r="AD15" i="1"/>
  <c r="N15" i="1"/>
  <c r="J15" i="1"/>
  <c r="F15" i="1"/>
  <c r="AT14" i="1"/>
  <c r="AD14" i="1"/>
  <c r="F14" i="1"/>
  <c r="AT13" i="1"/>
  <c r="N13" i="1"/>
  <c r="AT12" i="1"/>
  <c r="AD12" i="1"/>
  <c r="N12" i="1"/>
  <c r="J12" i="1"/>
  <c r="F12" i="1"/>
  <c r="AT10" i="1"/>
  <c r="AH10" i="1"/>
  <c r="AD10" i="1"/>
  <c r="N10" i="1"/>
  <c r="J10" i="1"/>
  <c r="F10" i="1"/>
  <c r="AT9" i="1"/>
  <c r="AH9" i="1"/>
  <c r="AD9" i="1"/>
  <c r="N9" i="1"/>
  <c r="J9" i="1"/>
  <c r="F9" i="1"/>
  <c r="AT8" i="1"/>
  <c r="AH8" i="1"/>
  <c r="AD8" i="1"/>
  <c r="N8" i="1"/>
  <c r="J8" i="1"/>
  <c r="F8" i="1"/>
  <c r="AT7" i="1"/>
  <c r="AH7" i="1"/>
  <c r="AD7" i="1"/>
  <c r="N7" i="1"/>
  <c r="J7" i="1"/>
  <c r="F7" i="1"/>
  <c r="AT6" i="1"/>
  <c r="AH6" i="1"/>
  <c r="AD6" i="1"/>
  <c r="N6" i="1"/>
  <c r="J6" i="1"/>
  <c r="F6" i="1"/>
  <c r="E59" i="30" l="1"/>
  <c r="AN56" i="30"/>
  <c r="E56" i="30"/>
  <c r="AN52" i="30"/>
  <c r="E49" i="30"/>
  <c r="C44" i="30"/>
  <c r="C40" i="30"/>
  <c r="X13" i="30"/>
  <c r="V12" i="30"/>
  <c r="AL8" i="30"/>
  <c r="AL6" i="30"/>
  <c r="F81" i="30"/>
  <c r="Z81" i="30" s="1"/>
  <c r="P70" i="29"/>
  <c r="AB66" i="29"/>
  <c r="E65" i="29"/>
  <c r="T62" i="29"/>
  <c r="E53" i="29"/>
  <c r="AJ54" i="29"/>
  <c r="E50" i="29"/>
  <c r="L54" i="29"/>
  <c r="E45" i="29"/>
  <c r="L47" i="29"/>
  <c r="X43" i="29"/>
  <c r="AL42" i="29"/>
  <c r="Z40" i="29"/>
  <c r="AN39" i="29"/>
  <c r="AL39" i="29"/>
  <c r="AB37" i="29"/>
  <c r="AR37" i="29" s="1"/>
  <c r="BA37" i="29" s="1"/>
  <c r="AL36" i="29"/>
  <c r="V34" i="29"/>
  <c r="AN33" i="29"/>
  <c r="Z32" i="29"/>
  <c r="X31" i="29"/>
  <c r="V31" i="29"/>
  <c r="C31" i="29"/>
  <c r="Z28" i="29"/>
  <c r="AN27" i="29"/>
  <c r="AL27" i="29"/>
  <c r="Z26" i="29"/>
  <c r="AB25" i="29"/>
  <c r="AL24" i="29"/>
  <c r="X22" i="29"/>
  <c r="V22" i="29"/>
  <c r="C22" i="29"/>
  <c r="AF47" i="29"/>
  <c r="AL21" i="29"/>
  <c r="Z20" i="29"/>
  <c r="AL16" i="29"/>
  <c r="X16" i="29"/>
  <c r="Z12" i="29"/>
  <c r="H11" i="29"/>
  <c r="Z8" i="29"/>
  <c r="X7" i="29"/>
  <c r="AN75" i="28"/>
  <c r="AN74" i="28"/>
  <c r="E73" i="28"/>
  <c r="AN73" i="28"/>
  <c r="V73" i="28"/>
  <c r="AL72" i="28"/>
  <c r="AJ70" i="28"/>
  <c r="X66" i="28"/>
  <c r="C66" i="28"/>
  <c r="AN65" i="28"/>
  <c r="V65" i="28"/>
  <c r="V63" i="28"/>
  <c r="AB63" i="28"/>
  <c r="Z63" i="28"/>
  <c r="V61" i="28"/>
  <c r="AH62" i="28"/>
  <c r="E60" i="28"/>
  <c r="C60" i="28"/>
  <c r="Z59" i="28"/>
  <c r="AL58" i="28"/>
  <c r="X58" i="28"/>
  <c r="C58" i="28"/>
  <c r="AN57" i="28"/>
  <c r="C57" i="28"/>
  <c r="AB55" i="28"/>
  <c r="AR55" i="28" s="1"/>
  <c r="AZ55" i="28" s="1"/>
  <c r="E55" i="28"/>
  <c r="C55" i="28"/>
  <c r="C53" i="28"/>
  <c r="AB51" i="28"/>
  <c r="C51" i="28"/>
  <c r="AJ54" i="28"/>
  <c r="Z50" i="28"/>
  <c r="E50" i="28"/>
  <c r="X46" i="28"/>
  <c r="C46" i="28"/>
  <c r="AN45" i="28"/>
  <c r="Z45" i="28"/>
  <c r="E45" i="28"/>
  <c r="C45" i="28"/>
  <c r="AB44" i="28"/>
  <c r="AR44" i="28" s="1"/>
  <c r="C44" i="28"/>
  <c r="X43" i="28"/>
  <c r="C43" i="28"/>
  <c r="AL42" i="28"/>
  <c r="C42" i="28"/>
  <c r="X41" i="28"/>
  <c r="X40" i="28"/>
  <c r="E40" i="28"/>
  <c r="AN39" i="28"/>
  <c r="C39" i="28"/>
  <c r="AV47" i="28"/>
  <c r="C38" i="28"/>
  <c r="AB37" i="28"/>
  <c r="C37" i="28"/>
  <c r="Z36" i="28"/>
  <c r="C36" i="28"/>
  <c r="Z35" i="28"/>
  <c r="C35" i="28"/>
  <c r="V34" i="28"/>
  <c r="C34" i="28"/>
  <c r="C32" i="28"/>
  <c r="C31" i="28"/>
  <c r="AL30" i="28"/>
  <c r="C30" i="28"/>
  <c r="AL28" i="28"/>
  <c r="C26" i="28"/>
  <c r="X25" i="28"/>
  <c r="Z24" i="28"/>
  <c r="C24" i="28"/>
  <c r="AB23" i="28"/>
  <c r="AL22" i="28"/>
  <c r="C22" i="28"/>
  <c r="AN21" i="28"/>
  <c r="AR21" i="28" s="1"/>
  <c r="Z21" i="28"/>
  <c r="C21" i="28"/>
  <c r="AL20" i="28"/>
  <c r="C20" i="28"/>
  <c r="E19" i="28"/>
  <c r="AV17" i="28"/>
  <c r="AL14" i="28"/>
  <c r="Z13" i="28"/>
  <c r="AL12" i="28"/>
  <c r="V9" i="28"/>
  <c r="AV11" i="28"/>
  <c r="X7" i="28"/>
  <c r="Z7" i="28"/>
  <c r="V75" i="27"/>
  <c r="AL74" i="27"/>
  <c r="Z73" i="27"/>
  <c r="V72" i="27"/>
  <c r="AL71" i="27"/>
  <c r="N62" i="27"/>
  <c r="AT54" i="27"/>
  <c r="F54" i="27"/>
  <c r="F47" i="27"/>
  <c r="C20" i="27"/>
  <c r="AL16" i="27"/>
  <c r="Z16" i="27"/>
  <c r="J17" i="27"/>
  <c r="J18" i="27" s="1"/>
  <c r="Z71" i="18"/>
  <c r="L70" i="18"/>
  <c r="AL66" i="18"/>
  <c r="C66" i="18"/>
  <c r="V63" i="18"/>
  <c r="C63" i="18"/>
  <c r="V61" i="18"/>
  <c r="C61" i="18"/>
  <c r="V60" i="18"/>
  <c r="C60" i="18"/>
  <c r="V59" i="18"/>
  <c r="C59" i="18"/>
  <c r="C58" i="18"/>
  <c r="C57" i="18"/>
  <c r="AL56" i="18"/>
  <c r="N62" i="18"/>
  <c r="C53" i="18"/>
  <c r="V52" i="18"/>
  <c r="C52" i="18"/>
  <c r="V51" i="18"/>
  <c r="C51" i="18"/>
  <c r="AL50" i="18"/>
  <c r="V50" i="18"/>
  <c r="Z50" i="18"/>
  <c r="C50" i="18"/>
  <c r="AL49" i="18"/>
  <c r="V49" i="18"/>
  <c r="C46" i="18"/>
  <c r="C45" i="18"/>
  <c r="AL43" i="18"/>
  <c r="C43" i="18"/>
  <c r="Z42" i="18"/>
  <c r="C41" i="18"/>
  <c r="AL40" i="18"/>
  <c r="V39" i="18"/>
  <c r="C39" i="18"/>
  <c r="C38" i="18"/>
  <c r="AL37" i="18"/>
  <c r="V37" i="18"/>
  <c r="Z37" i="18"/>
  <c r="C37" i="18"/>
  <c r="S35" i="18"/>
  <c r="V34" i="18"/>
  <c r="C33" i="18"/>
  <c r="C32" i="18"/>
  <c r="C31" i="18"/>
  <c r="AL30" i="18"/>
  <c r="V30" i="18"/>
  <c r="AL29" i="18"/>
  <c r="C29" i="18"/>
  <c r="AT47" i="18"/>
  <c r="AL27" i="18"/>
  <c r="C27" i="18"/>
  <c r="C26" i="18"/>
  <c r="V25" i="18"/>
  <c r="C25" i="18"/>
  <c r="C24" i="18"/>
  <c r="Z16" i="18"/>
  <c r="Z15" i="18"/>
  <c r="F17" i="18"/>
  <c r="Z8" i="18"/>
  <c r="Z6" i="18"/>
  <c r="Z77" i="17"/>
  <c r="C75" i="17"/>
  <c r="AL74" i="17"/>
  <c r="E73" i="17"/>
  <c r="C74" i="17"/>
  <c r="Z73" i="17"/>
  <c r="AL71" i="17"/>
  <c r="C71" i="17"/>
  <c r="X66" i="17"/>
  <c r="AB66" i="17"/>
  <c r="AB65" i="17"/>
  <c r="AL63" i="17"/>
  <c r="AN63" i="17"/>
  <c r="AN61" i="17"/>
  <c r="AN60" i="17"/>
  <c r="AB60" i="17"/>
  <c r="E60" i="17"/>
  <c r="AN58" i="17"/>
  <c r="X58" i="17"/>
  <c r="AN57" i="17"/>
  <c r="AB57" i="17"/>
  <c r="E57" i="17"/>
  <c r="AV62" i="17"/>
  <c r="H62" i="17"/>
  <c r="AB53" i="17"/>
  <c r="AF54" i="17"/>
  <c r="AB51" i="17"/>
  <c r="AL50" i="17"/>
  <c r="AB49" i="17"/>
  <c r="AB45" i="17"/>
  <c r="C44" i="17"/>
  <c r="AN43" i="17"/>
  <c r="E43" i="17"/>
  <c r="AN42" i="17"/>
  <c r="AN41" i="17"/>
  <c r="X41" i="17"/>
  <c r="AN39" i="17"/>
  <c r="C39" i="17"/>
  <c r="E38" i="17"/>
  <c r="C38" i="17"/>
  <c r="E37" i="17"/>
  <c r="AB36" i="17"/>
  <c r="N47" i="17"/>
  <c r="C36" i="17"/>
  <c r="C34" i="17"/>
  <c r="AB33" i="17"/>
  <c r="AN32" i="17"/>
  <c r="C32" i="17"/>
  <c r="AN31" i="17"/>
  <c r="AB30" i="17"/>
  <c r="E27" i="17"/>
  <c r="AN26" i="17"/>
  <c r="C26" i="17"/>
  <c r="AB24" i="17"/>
  <c r="AN23" i="17"/>
  <c r="C23" i="17"/>
  <c r="C22" i="17"/>
  <c r="AN20" i="17"/>
  <c r="X20" i="17"/>
  <c r="C20" i="17"/>
  <c r="E19" i="17"/>
  <c r="AL16" i="17"/>
  <c r="Z16" i="17"/>
  <c r="Z14" i="17"/>
  <c r="V12" i="17"/>
  <c r="AN10" i="17"/>
  <c r="AL8" i="17"/>
  <c r="X8" i="17"/>
  <c r="Z6" i="17"/>
  <c r="X75" i="16"/>
  <c r="C75" i="16"/>
  <c r="AL72" i="16"/>
  <c r="X72" i="16"/>
  <c r="AN71" i="16"/>
  <c r="AN66" i="16"/>
  <c r="Z66" i="16"/>
  <c r="AL63" i="16"/>
  <c r="E61" i="16"/>
  <c r="Z60" i="16"/>
  <c r="AL59" i="16"/>
  <c r="X59" i="16"/>
  <c r="Z58" i="16"/>
  <c r="E58" i="16"/>
  <c r="F62" i="16"/>
  <c r="E55" i="16"/>
  <c r="Z51" i="16"/>
  <c r="AD54" i="16"/>
  <c r="Z45" i="16"/>
  <c r="AL44" i="16"/>
  <c r="X44" i="16"/>
  <c r="C41" i="16"/>
  <c r="AN40" i="16"/>
  <c r="AB39" i="16"/>
  <c r="AL38" i="16"/>
  <c r="X38" i="16"/>
  <c r="AB35" i="16"/>
  <c r="AB30" i="16"/>
  <c r="X29" i="16"/>
  <c r="C29" i="16"/>
  <c r="AN28" i="16"/>
  <c r="AB26" i="16"/>
  <c r="AN25" i="16"/>
  <c r="X23" i="16"/>
  <c r="C23" i="16"/>
  <c r="AN22" i="16"/>
  <c r="X20" i="16"/>
  <c r="AV17" i="16"/>
  <c r="AN15" i="16"/>
  <c r="AL15" i="16"/>
  <c r="Z14" i="16"/>
  <c r="AN13" i="16"/>
  <c r="V12" i="16"/>
  <c r="AN8" i="16"/>
  <c r="AL7" i="16"/>
  <c r="AD81" i="16"/>
  <c r="AL81" i="16" s="1"/>
  <c r="H75" i="1"/>
  <c r="S73" i="1"/>
  <c r="AV72" i="1"/>
  <c r="P72" i="1"/>
  <c r="C72" i="1"/>
  <c r="P71" i="1"/>
  <c r="AV70" i="1"/>
  <c r="V70" i="1"/>
  <c r="AV66" i="1"/>
  <c r="AJ66" i="1"/>
  <c r="AV65" i="1"/>
  <c r="P65" i="1"/>
  <c r="AJ63" i="1"/>
  <c r="P63" i="1"/>
  <c r="AV61" i="1"/>
  <c r="P61" i="1"/>
  <c r="H61" i="1"/>
  <c r="AJ60" i="1"/>
  <c r="P60" i="1"/>
  <c r="AV58" i="1"/>
  <c r="V58" i="1"/>
  <c r="AV57" i="1"/>
  <c r="V57" i="1"/>
  <c r="AV56" i="1"/>
  <c r="P56" i="1"/>
  <c r="P55" i="1"/>
  <c r="AV53" i="1"/>
  <c r="L53" i="1"/>
  <c r="AV52" i="1"/>
  <c r="AV51" i="1"/>
  <c r="P51" i="1"/>
  <c r="C51" i="1"/>
  <c r="P50" i="1"/>
  <c r="P49" i="1"/>
  <c r="AV46" i="1"/>
  <c r="V46" i="1"/>
  <c r="L46" i="1"/>
  <c r="S45" i="1"/>
  <c r="AV44" i="1"/>
  <c r="AJ44" i="1"/>
  <c r="P44" i="1"/>
  <c r="L44" i="1"/>
  <c r="P43" i="1"/>
  <c r="L43" i="1"/>
  <c r="AV42" i="1"/>
  <c r="AJ42" i="1"/>
  <c r="AV41" i="1"/>
  <c r="AJ41" i="1"/>
  <c r="P41" i="1"/>
  <c r="AV40" i="1"/>
  <c r="AJ40" i="1"/>
  <c r="P40" i="1"/>
  <c r="L40" i="1"/>
  <c r="P39" i="1"/>
  <c r="AJ38" i="1"/>
  <c r="AV37" i="1"/>
  <c r="P37" i="1"/>
  <c r="L37" i="1"/>
  <c r="AV36" i="1"/>
  <c r="AJ36" i="1"/>
  <c r="P36" i="1"/>
  <c r="AJ35" i="1"/>
  <c r="P35" i="1"/>
  <c r="L35" i="1"/>
  <c r="AV34" i="1"/>
  <c r="P34" i="1"/>
  <c r="AV33" i="1"/>
  <c r="AV32" i="1"/>
  <c r="P31" i="1"/>
  <c r="L31" i="1"/>
  <c r="AV30" i="1"/>
  <c r="P30" i="1"/>
  <c r="L30" i="1"/>
  <c r="AV28" i="1"/>
  <c r="P27" i="1"/>
  <c r="AV26" i="1"/>
  <c r="P26" i="1"/>
  <c r="L26" i="1"/>
  <c r="AV25" i="1"/>
  <c r="AJ25" i="1"/>
  <c r="P24" i="1"/>
  <c r="P23" i="1"/>
  <c r="AV22" i="1"/>
  <c r="AV21" i="1"/>
  <c r="AV20" i="1"/>
  <c r="AJ19" i="1"/>
  <c r="AV16" i="1"/>
  <c r="J17" i="1"/>
  <c r="L17" i="1" s="1"/>
  <c r="H14" i="1"/>
  <c r="AB14" i="1" s="1"/>
  <c r="L12" i="1"/>
  <c r="L10" i="1"/>
  <c r="L9" i="1"/>
  <c r="AJ8" i="1"/>
  <c r="L8" i="1"/>
  <c r="AV6" i="1"/>
  <c r="AN77" i="31"/>
  <c r="AB77" i="31"/>
  <c r="Z77" i="31"/>
  <c r="X74" i="31"/>
  <c r="X73" i="31"/>
  <c r="X72" i="31"/>
  <c r="AN71" i="31"/>
  <c r="T70" i="31"/>
  <c r="AL66" i="31"/>
  <c r="Z66" i="31"/>
  <c r="C66" i="31"/>
  <c r="X63" i="31"/>
  <c r="Z61" i="31"/>
  <c r="AN60" i="31"/>
  <c r="Z60" i="31"/>
  <c r="AL59" i="31"/>
  <c r="C59" i="31"/>
  <c r="AL58" i="31"/>
  <c r="V58" i="31"/>
  <c r="X58" i="31"/>
  <c r="C58" i="31"/>
  <c r="AL57" i="31"/>
  <c r="C57" i="31"/>
  <c r="AL56" i="31"/>
  <c r="C56" i="31"/>
  <c r="AL53" i="31"/>
  <c r="V53" i="31"/>
  <c r="C52" i="31"/>
  <c r="V51" i="31"/>
  <c r="S50" i="31"/>
  <c r="Z50" i="31"/>
  <c r="AL49" i="31"/>
  <c r="AN46" i="31"/>
  <c r="AL45" i="31"/>
  <c r="AN45" i="31"/>
  <c r="C45" i="31"/>
  <c r="AL44" i="31"/>
  <c r="S44" i="31"/>
  <c r="Z44" i="31"/>
  <c r="AL43" i="31"/>
  <c r="AN43" i="31"/>
  <c r="AN42" i="31"/>
  <c r="C42" i="31"/>
  <c r="V41" i="31"/>
  <c r="C41" i="31"/>
  <c r="AL40" i="31"/>
  <c r="V40" i="31"/>
  <c r="Z40" i="31"/>
  <c r="C39" i="31"/>
  <c r="S38" i="31"/>
  <c r="AL37" i="31"/>
  <c r="AN37" i="31"/>
  <c r="V37" i="31"/>
  <c r="AL36" i="31"/>
  <c r="C36" i="31"/>
  <c r="AN35" i="31"/>
  <c r="S35" i="31"/>
  <c r="Z35" i="31"/>
  <c r="AL34" i="31"/>
  <c r="Z34" i="31"/>
  <c r="AL33" i="31"/>
  <c r="V33" i="31"/>
  <c r="C33" i="31"/>
  <c r="AL32" i="31"/>
  <c r="C32" i="31"/>
  <c r="S31" i="31"/>
  <c r="C31" i="31"/>
  <c r="Z30" i="31"/>
  <c r="Z29" i="31"/>
  <c r="C29" i="31"/>
  <c r="Z28" i="31"/>
  <c r="C28" i="31"/>
  <c r="AL27" i="31"/>
  <c r="F47" i="31"/>
  <c r="C27" i="31"/>
  <c r="Z26" i="31"/>
  <c r="E26" i="31"/>
  <c r="S25" i="31"/>
  <c r="Z25" i="31"/>
  <c r="Z24" i="31"/>
  <c r="C23" i="31"/>
  <c r="Z22" i="31"/>
  <c r="AP22" i="31" s="1"/>
  <c r="X20" i="31"/>
  <c r="Z20" i="31"/>
  <c r="X19" i="31"/>
  <c r="C19" i="31"/>
  <c r="AL16" i="31"/>
  <c r="L17" i="31"/>
  <c r="F17" i="31"/>
  <c r="AL15" i="31"/>
  <c r="AF17" i="31"/>
  <c r="Z14" i="31"/>
  <c r="AN13" i="31"/>
  <c r="AB13" i="31"/>
  <c r="Z12" i="31"/>
  <c r="AH11" i="31"/>
  <c r="V9" i="31"/>
  <c r="AN7" i="31"/>
  <c r="AV11" i="31"/>
  <c r="AL6" i="31"/>
  <c r="J11" i="31"/>
  <c r="AB6" i="31"/>
  <c r="E74" i="30"/>
  <c r="E73" i="30"/>
  <c r="E72" i="30"/>
  <c r="AN72" i="30"/>
  <c r="C66" i="30"/>
  <c r="C65" i="30"/>
  <c r="C61" i="30"/>
  <c r="C60" i="30"/>
  <c r="C57" i="30"/>
  <c r="C53" i="30"/>
  <c r="C50" i="30"/>
  <c r="C49" i="30"/>
  <c r="C46" i="30"/>
  <c r="C39" i="30"/>
  <c r="C38" i="30"/>
  <c r="Z37" i="30"/>
  <c r="C37" i="30"/>
  <c r="C35" i="30"/>
  <c r="C32" i="30"/>
  <c r="C28" i="30"/>
  <c r="C26" i="30"/>
  <c r="C25" i="30"/>
  <c r="AL10" i="30"/>
  <c r="AT11" i="30"/>
  <c r="AU71" i="30" s="1"/>
  <c r="X75" i="28"/>
  <c r="V70" i="28"/>
  <c r="AL65" i="28"/>
  <c r="AL59" i="28"/>
  <c r="AL56" i="28"/>
  <c r="AL50" i="28"/>
  <c r="AL45" i="28"/>
  <c r="V42" i="28"/>
  <c r="Z41" i="28"/>
  <c r="AL37" i="28"/>
  <c r="Z34" i="28"/>
  <c r="V31" i="28"/>
  <c r="Z28" i="28"/>
  <c r="V24" i="28"/>
  <c r="X21" i="28"/>
  <c r="AB21" i="28"/>
  <c r="E21" i="28"/>
  <c r="AN20" i="28"/>
  <c r="AR20" i="28" s="1"/>
  <c r="AZ20" i="28" s="1"/>
  <c r="E20" i="28"/>
  <c r="AN16" i="28"/>
  <c r="AN15" i="28"/>
  <c r="AB13" i="28"/>
  <c r="AH11" i="28"/>
  <c r="AB9" i="28"/>
  <c r="AL7" i="28"/>
  <c r="N17" i="27"/>
  <c r="AL12" i="27"/>
  <c r="V10" i="27"/>
  <c r="V6" i="27"/>
  <c r="V22" i="18"/>
  <c r="E76" i="17"/>
  <c r="AL75" i="17"/>
  <c r="V74" i="17"/>
  <c r="Z74" i="17"/>
  <c r="C73" i="17"/>
  <c r="C72" i="17"/>
  <c r="AF70" i="17"/>
  <c r="AN66" i="17"/>
  <c r="AT62" i="17"/>
  <c r="N54" i="17"/>
  <c r="AN40" i="17"/>
  <c r="X36" i="17"/>
  <c r="X33" i="17"/>
  <c r="V8" i="17"/>
  <c r="AN6" i="17"/>
  <c r="Z77" i="16"/>
  <c r="AL74" i="16"/>
  <c r="AL73" i="16"/>
  <c r="E72" i="16"/>
  <c r="E71" i="16"/>
  <c r="X71" i="16"/>
  <c r="Z71" i="16"/>
  <c r="AF70" i="16"/>
  <c r="T70" i="16"/>
  <c r="P70" i="16"/>
  <c r="E66" i="16"/>
  <c r="C66" i="16"/>
  <c r="E65" i="16"/>
  <c r="C65" i="16"/>
  <c r="V63" i="16"/>
  <c r="C63" i="16"/>
  <c r="X60" i="16"/>
  <c r="AB60" i="16"/>
  <c r="C60" i="16"/>
  <c r="E59" i="16"/>
  <c r="C59" i="16"/>
  <c r="AN58" i="16"/>
  <c r="C58" i="16"/>
  <c r="AN57" i="16"/>
  <c r="AL57" i="16"/>
  <c r="C57" i="16"/>
  <c r="AN56" i="16"/>
  <c r="X56" i="16"/>
  <c r="E56" i="16"/>
  <c r="C56" i="16"/>
  <c r="AJ62" i="16"/>
  <c r="E53" i="16"/>
  <c r="C53" i="16"/>
  <c r="E52" i="16"/>
  <c r="C52" i="16"/>
  <c r="E51" i="16"/>
  <c r="X50" i="16"/>
  <c r="AN49" i="16"/>
  <c r="L54" i="16"/>
  <c r="J54" i="16"/>
  <c r="X45" i="16"/>
  <c r="C45" i="16"/>
  <c r="AN44" i="16"/>
  <c r="E44" i="16"/>
  <c r="C44" i="16"/>
  <c r="AL43" i="16"/>
  <c r="X43" i="16"/>
  <c r="C43" i="16"/>
  <c r="C42" i="16"/>
  <c r="E41" i="16"/>
  <c r="C40" i="16"/>
  <c r="AN39" i="16"/>
  <c r="AL39" i="16"/>
  <c r="E39" i="16"/>
  <c r="E38" i="16"/>
  <c r="C38" i="16"/>
  <c r="C37" i="16"/>
  <c r="E36" i="16"/>
  <c r="C36" i="16"/>
  <c r="C35" i="16"/>
  <c r="AL34" i="16"/>
  <c r="X34" i="16"/>
  <c r="E33" i="16"/>
  <c r="E32" i="16"/>
  <c r="C32" i="16"/>
  <c r="X31" i="16"/>
  <c r="AB31" i="16"/>
  <c r="C31" i="16"/>
  <c r="AL30" i="16"/>
  <c r="C30" i="16"/>
  <c r="AL28" i="16"/>
  <c r="E28" i="16"/>
  <c r="AN27" i="16"/>
  <c r="X27" i="16"/>
  <c r="E27" i="16"/>
  <c r="C26" i="16"/>
  <c r="C25" i="16"/>
  <c r="AL23" i="16"/>
  <c r="E23" i="16"/>
  <c r="X22" i="16"/>
  <c r="C22" i="16"/>
  <c r="AN21" i="16"/>
  <c r="AL21" i="16"/>
  <c r="E19" i="16"/>
  <c r="AN16" i="16"/>
  <c r="AL16" i="16"/>
  <c r="V15" i="16"/>
  <c r="AL12" i="16"/>
  <c r="X7" i="16"/>
  <c r="V6" i="16"/>
  <c r="J11" i="16"/>
  <c r="Z6" i="16"/>
  <c r="AV31" i="1"/>
  <c r="D73" i="1"/>
  <c r="D71" i="1"/>
  <c r="L63" i="1"/>
  <c r="L60" i="1"/>
  <c r="V59" i="1"/>
  <c r="D39" i="1"/>
  <c r="AV83" i="31"/>
  <c r="E74" i="31"/>
  <c r="AL74" i="31"/>
  <c r="C74" i="31"/>
  <c r="AL73" i="31"/>
  <c r="Z73" i="31"/>
  <c r="AL72" i="31"/>
  <c r="V72" i="31"/>
  <c r="E71" i="31"/>
  <c r="C72" i="31"/>
  <c r="Z71" i="31"/>
  <c r="AJ70" i="31"/>
  <c r="P70" i="31"/>
  <c r="AN66" i="31"/>
  <c r="X66" i="31"/>
  <c r="E66" i="31"/>
  <c r="Z65" i="31"/>
  <c r="E65" i="31"/>
  <c r="C63" i="31"/>
  <c r="AN61" i="31"/>
  <c r="E61" i="31"/>
  <c r="AL60" i="31"/>
  <c r="AP60" i="31" s="1"/>
  <c r="E60" i="31"/>
  <c r="C60" i="31"/>
  <c r="AN59" i="31"/>
  <c r="X59" i="31"/>
  <c r="AB59" i="31"/>
  <c r="E59" i="31"/>
  <c r="AN58" i="31"/>
  <c r="E58" i="31"/>
  <c r="AN57" i="31"/>
  <c r="E57" i="31"/>
  <c r="E56" i="31"/>
  <c r="C55" i="31"/>
  <c r="E53" i="31"/>
  <c r="AN52" i="31"/>
  <c r="AB52" i="31"/>
  <c r="E52" i="31"/>
  <c r="AN51" i="31"/>
  <c r="C51" i="31"/>
  <c r="E50" i="31"/>
  <c r="X49" i="31"/>
  <c r="E46" i="31"/>
  <c r="C46" i="31"/>
  <c r="X45" i="31"/>
  <c r="E45" i="31"/>
  <c r="E44" i="31"/>
  <c r="C44" i="31"/>
  <c r="X43" i="31"/>
  <c r="C43" i="31"/>
  <c r="E41" i="31"/>
  <c r="E40" i="31"/>
  <c r="E38" i="31"/>
  <c r="AN36" i="31"/>
  <c r="X36" i="31"/>
  <c r="E36" i="31"/>
  <c r="E35" i="31"/>
  <c r="S34" i="31"/>
  <c r="E34" i="31"/>
  <c r="AN32" i="31"/>
  <c r="E32" i="31"/>
  <c r="X31" i="31"/>
  <c r="E31" i="31"/>
  <c r="AL30" i="31"/>
  <c r="E30" i="31"/>
  <c r="AN28" i="31"/>
  <c r="AN27" i="31"/>
  <c r="C25" i="31"/>
  <c r="X24" i="31"/>
  <c r="C24" i="31"/>
  <c r="AN23" i="31"/>
  <c r="E23" i="31"/>
  <c r="AL22" i="31"/>
  <c r="E22" i="31"/>
  <c r="AL21" i="31"/>
  <c r="AL20" i="31"/>
  <c r="AN19" i="31"/>
  <c r="AT17" i="31"/>
  <c r="T17" i="31"/>
  <c r="X13" i="31"/>
  <c r="AN12" i="31"/>
  <c r="AL12" i="31"/>
  <c r="V12" i="31"/>
  <c r="V10" i="31"/>
  <c r="Z10" i="31"/>
  <c r="AN9" i="31"/>
  <c r="AL7" i="31"/>
  <c r="X7" i="31"/>
  <c r="V6" i="31"/>
  <c r="AJ83" i="31"/>
  <c r="AF83" i="31"/>
  <c r="AN83" i="31" s="1"/>
  <c r="AL83" i="31"/>
  <c r="V83" i="31"/>
  <c r="T83" i="31"/>
  <c r="P83" i="31"/>
  <c r="X83" i="31" s="1"/>
  <c r="L83" i="31"/>
  <c r="AL82" i="31"/>
  <c r="Z82" i="31"/>
  <c r="V82" i="31"/>
  <c r="AJ81" i="31"/>
  <c r="V81" i="31"/>
  <c r="T81" i="31"/>
  <c r="P81" i="31"/>
  <c r="X81" i="31"/>
  <c r="L81" i="31"/>
  <c r="E79" i="31"/>
  <c r="AV78" i="31"/>
  <c r="AL78" i="31"/>
  <c r="AJ78" i="31"/>
  <c r="AF78" i="31"/>
  <c r="AB78" i="31"/>
  <c r="Z78" i="31"/>
  <c r="AP78" i="31" s="1"/>
  <c r="V78" i="31"/>
  <c r="T78" i="31"/>
  <c r="P78" i="31"/>
  <c r="L78" i="31"/>
  <c r="H78" i="31"/>
  <c r="E78" i="31"/>
  <c r="D78" i="31"/>
  <c r="C78" i="31"/>
  <c r="AL77" i="31"/>
  <c r="V77" i="31"/>
  <c r="E77" i="31"/>
  <c r="C77" i="31"/>
  <c r="AV76" i="31"/>
  <c r="AL76" i="31"/>
  <c r="AJ76" i="31"/>
  <c r="AN76" i="31" s="1"/>
  <c r="AF76" i="31"/>
  <c r="Z76" i="31"/>
  <c r="V76" i="31"/>
  <c r="T76" i="31"/>
  <c r="P76" i="31"/>
  <c r="L76" i="31"/>
  <c r="H76" i="31"/>
  <c r="E76" i="31"/>
  <c r="D76" i="31"/>
  <c r="E75" i="31" s="1"/>
  <c r="C76" i="31"/>
  <c r="E73" i="31"/>
  <c r="C73" i="31"/>
  <c r="C71" i="31"/>
  <c r="AF70" i="31"/>
  <c r="AN68" i="31"/>
  <c r="AL68" i="31"/>
  <c r="AB68" i="31"/>
  <c r="Z68" i="31"/>
  <c r="X68" i="31"/>
  <c r="V68" i="31"/>
  <c r="E68" i="31"/>
  <c r="C68" i="31"/>
  <c r="AL65" i="31"/>
  <c r="AP65" i="31" s="1"/>
  <c r="AV62" i="31"/>
  <c r="AW62" i="31" s="1"/>
  <c r="V42" i="31"/>
  <c r="C20" i="31"/>
  <c r="E18" i="31"/>
  <c r="C18" i="31"/>
  <c r="R17" i="31"/>
  <c r="J17" i="31"/>
  <c r="E17" i="31"/>
  <c r="C17" i="31"/>
  <c r="V16" i="31"/>
  <c r="E16" i="31"/>
  <c r="C16" i="31"/>
  <c r="X15" i="31"/>
  <c r="E15" i="31"/>
  <c r="C15" i="31"/>
  <c r="V14" i="31"/>
  <c r="E14" i="31"/>
  <c r="C14" i="31"/>
  <c r="AL13" i="31"/>
  <c r="R11" i="31"/>
  <c r="S43" i="31" s="1"/>
  <c r="E11" i="31"/>
  <c r="C11" i="31"/>
  <c r="E10" i="31"/>
  <c r="C10" i="31"/>
  <c r="E9" i="31"/>
  <c r="C9" i="31"/>
  <c r="S8" i="31"/>
  <c r="V8" i="31"/>
  <c r="E8" i="31"/>
  <c r="C8" i="31"/>
  <c r="S7" i="31"/>
  <c r="E7" i="31"/>
  <c r="C7" i="31"/>
  <c r="E6" i="31"/>
  <c r="C6" i="31"/>
  <c r="Z83" i="30"/>
  <c r="C75" i="30"/>
  <c r="AB74" i="30"/>
  <c r="AL72" i="30"/>
  <c r="V72" i="30"/>
  <c r="Z72" i="30"/>
  <c r="E71" i="30"/>
  <c r="C72" i="30"/>
  <c r="AL71" i="30"/>
  <c r="V71" i="30"/>
  <c r="C71" i="30"/>
  <c r="T70" i="30"/>
  <c r="AN65" i="30"/>
  <c r="AB65" i="30"/>
  <c r="AR65" i="30" s="1"/>
  <c r="AZ65" i="30" s="1"/>
  <c r="AN63" i="30"/>
  <c r="E61" i="30"/>
  <c r="X59" i="30"/>
  <c r="AB59" i="30"/>
  <c r="X58" i="30"/>
  <c r="E58" i="30"/>
  <c r="X57" i="30"/>
  <c r="AV62" i="30"/>
  <c r="AF62" i="30"/>
  <c r="X52" i="30"/>
  <c r="AV54" i="30"/>
  <c r="AN51" i="30"/>
  <c r="X51" i="30"/>
  <c r="C51" i="30"/>
  <c r="E50" i="30"/>
  <c r="AD54" i="30"/>
  <c r="AB49" i="30"/>
  <c r="AN46" i="30"/>
  <c r="X46" i="30"/>
  <c r="AB46" i="30"/>
  <c r="AR46" i="30" s="1"/>
  <c r="E46" i="30"/>
  <c r="AN45" i="30"/>
  <c r="E45" i="30"/>
  <c r="X43" i="30"/>
  <c r="E42" i="30"/>
  <c r="E41" i="30"/>
  <c r="C41" i="30"/>
  <c r="E40" i="30"/>
  <c r="AB37" i="30"/>
  <c r="E37" i="30"/>
  <c r="AN36" i="30"/>
  <c r="AN35" i="30"/>
  <c r="X35" i="30"/>
  <c r="AN34" i="30"/>
  <c r="E34" i="30"/>
  <c r="E33" i="30"/>
  <c r="AN32" i="30"/>
  <c r="X32" i="30"/>
  <c r="AB32" i="30"/>
  <c r="E32" i="30"/>
  <c r="X31" i="30"/>
  <c r="AB31" i="30"/>
  <c r="C31" i="30"/>
  <c r="AN30" i="30"/>
  <c r="X30" i="30"/>
  <c r="AB30" i="30"/>
  <c r="C30" i="30"/>
  <c r="AN29" i="30"/>
  <c r="AR29" i="30" s="1"/>
  <c r="BA29" i="30" s="1"/>
  <c r="X29" i="30"/>
  <c r="AN28" i="30"/>
  <c r="AB28" i="30"/>
  <c r="AN27" i="30"/>
  <c r="E27" i="30"/>
  <c r="C27" i="30"/>
  <c r="AN26" i="30"/>
  <c r="E26" i="30"/>
  <c r="AB25" i="30"/>
  <c r="AN24" i="30"/>
  <c r="AB24" i="30"/>
  <c r="C24" i="30"/>
  <c r="AN23" i="30"/>
  <c r="X23" i="30"/>
  <c r="AB23" i="30"/>
  <c r="C23" i="30"/>
  <c r="AN22" i="30"/>
  <c r="X22" i="30"/>
  <c r="E21" i="30"/>
  <c r="C21" i="30"/>
  <c r="C20" i="30"/>
  <c r="AN19" i="30"/>
  <c r="V19" i="30"/>
  <c r="AN15" i="30"/>
  <c r="AJ17" i="30"/>
  <c r="T17" i="30"/>
  <c r="AN13" i="30"/>
  <c r="Z13" i="30"/>
  <c r="AP13" i="30" s="1"/>
  <c r="AX13" i="30" s="1"/>
  <c r="AN12" i="30"/>
  <c r="AL12" i="30"/>
  <c r="Z10" i="30"/>
  <c r="AN9" i="30"/>
  <c r="AL9" i="30"/>
  <c r="AN8" i="30"/>
  <c r="Z8" i="30"/>
  <c r="AL7" i="30"/>
  <c r="AJ11" i="30"/>
  <c r="AJ83" i="30"/>
  <c r="AF83" i="30"/>
  <c r="V83" i="30"/>
  <c r="T83" i="30"/>
  <c r="P83" i="30"/>
  <c r="X83" i="30" s="1"/>
  <c r="L83" i="30"/>
  <c r="AL82" i="30"/>
  <c r="Z82" i="30"/>
  <c r="V82" i="30"/>
  <c r="AJ81" i="30"/>
  <c r="V81" i="30"/>
  <c r="T81" i="30"/>
  <c r="P81" i="30"/>
  <c r="L81" i="30"/>
  <c r="E79" i="30"/>
  <c r="AV78" i="30"/>
  <c r="AL78" i="30"/>
  <c r="AJ78" i="30"/>
  <c r="AN78" i="30" s="1"/>
  <c r="AF78" i="30"/>
  <c r="Z78" i="30"/>
  <c r="V78" i="30"/>
  <c r="T78" i="30"/>
  <c r="P78" i="30"/>
  <c r="L78" i="30"/>
  <c r="H78" i="30"/>
  <c r="E78" i="30"/>
  <c r="D78" i="30"/>
  <c r="C78" i="30"/>
  <c r="AL77" i="30"/>
  <c r="V77" i="30"/>
  <c r="E77" i="30"/>
  <c r="C77" i="30"/>
  <c r="AV76" i="30"/>
  <c r="AL76" i="30"/>
  <c r="AJ76" i="30"/>
  <c r="AF76" i="30"/>
  <c r="AN76" i="30" s="1"/>
  <c r="Z76" i="30"/>
  <c r="V76" i="30"/>
  <c r="T76" i="30"/>
  <c r="P76" i="30"/>
  <c r="X76" i="30" s="1"/>
  <c r="L76" i="30"/>
  <c r="H76" i="30"/>
  <c r="E76" i="30"/>
  <c r="D76" i="30"/>
  <c r="E75" i="30" s="1"/>
  <c r="C76" i="30"/>
  <c r="AB73" i="30"/>
  <c r="C73" i="30"/>
  <c r="AJ70" i="30"/>
  <c r="AN68" i="30"/>
  <c r="AL68" i="30"/>
  <c r="AB68" i="30"/>
  <c r="AR68" i="30" s="1"/>
  <c r="Z68" i="30"/>
  <c r="AP68" i="30" s="1"/>
  <c r="X68" i="30"/>
  <c r="V68" i="30"/>
  <c r="E68" i="30"/>
  <c r="C68" i="30"/>
  <c r="E66" i="30"/>
  <c r="E65" i="30"/>
  <c r="AN58" i="30"/>
  <c r="AN57" i="30"/>
  <c r="E57" i="30"/>
  <c r="E51" i="30"/>
  <c r="X49" i="30"/>
  <c r="L54" i="30"/>
  <c r="E38" i="30"/>
  <c r="X36" i="30"/>
  <c r="E36" i="30"/>
  <c r="AB35" i="30"/>
  <c r="E35" i="30"/>
  <c r="AN31" i="30"/>
  <c r="E31" i="30"/>
  <c r="E30" i="30"/>
  <c r="C29" i="30"/>
  <c r="X27" i="30"/>
  <c r="AB27" i="30"/>
  <c r="X24" i="30"/>
  <c r="E20" i="30"/>
  <c r="X19" i="30"/>
  <c r="E18" i="30"/>
  <c r="C18" i="30"/>
  <c r="R17" i="30"/>
  <c r="E17" i="30"/>
  <c r="C17" i="30"/>
  <c r="V16" i="30"/>
  <c r="Z16" i="30"/>
  <c r="E16" i="30"/>
  <c r="C16" i="30"/>
  <c r="V15" i="30"/>
  <c r="E15" i="30"/>
  <c r="C15" i="30"/>
  <c r="V14" i="30"/>
  <c r="P17" i="30"/>
  <c r="E14" i="30"/>
  <c r="C14" i="30"/>
  <c r="AL13" i="30"/>
  <c r="R11" i="30"/>
  <c r="S17" i="30" s="1"/>
  <c r="E11" i="30"/>
  <c r="C11" i="30"/>
  <c r="V10" i="30"/>
  <c r="E10" i="30"/>
  <c r="C10" i="30"/>
  <c r="E9" i="30"/>
  <c r="C9" i="30"/>
  <c r="V8" i="30"/>
  <c r="E8" i="30"/>
  <c r="C8" i="30"/>
  <c r="E7" i="30"/>
  <c r="C7" i="30"/>
  <c r="E6" i="30"/>
  <c r="C6" i="30"/>
  <c r="AV83" i="29"/>
  <c r="AD81" i="30"/>
  <c r="AL81" i="30" s="1"/>
  <c r="Z77" i="29"/>
  <c r="AP77" i="29" s="1"/>
  <c r="AN75" i="29"/>
  <c r="C75" i="29"/>
  <c r="E73" i="29"/>
  <c r="C74" i="29"/>
  <c r="AN72" i="29"/>
  <c r="X72" i="29"/>
  <c r="E71" i="29"/>
  <c r="C72" i="29"/>
  <c r="C71" i="29"/>
  <c r="AJ70" i="29"/>
  <c r="AF70" i="29"/>
  <c r="AL66" i="29"/>
  <c r="E66" i="29"/>
  <c r="AL65" i="29"/>
  <c r="V65" i="29"/>
  <c r="C65" i="29"/>
  <c r="V63" i="29"/>
  <c r="Z63" i="29"/>
  <c r="C63" i="29"/>
  <c r="Z61" i="29"/>
  <c r="C61" i="29"/>
  <c r="AL60" i="29"/>
  <c r="V59" i="29"/>
  <c r="C59" i="29"/>
  <c r="AL58" i="29"/>
  <c r="V58" i="29"/>
  <c r="C58" i="29"/>
  <c r="C57" i="29"/>
  <c r="Z56" i="29"/>
  <c r="H62" i="29"/>
  <c r="AL53" i="29"/>
  <c r="C53" i="29"/>
  <c r="V52" i="29"/>
  <c r="Z52" i="29"/>
  <c r="E52" i="29"/>
  <c r="C52" i="29"/>
  <c r="AL51" i="29"/>
  <c r="E51" i="29"/>
  <c r="AV54" i="29"/>
  <c r="AL49" i="29"/>
  <c r="R54" i="29"/>
  <c r="S54" i="29" s="1"/>
  <c r="P54" i="29"/>
  <c r="J54" i="29"/>
  <c r="H54" i="29"/>
  <c r="F54" i="29"/>
  <c r="AL46" i="29"/>
  <c r="V46" i="29"/>
  <c r="C46" i="29"/>
  <c r="AL45" i="29"/>
  <c r="V45" i="29"/>
  <c r="Z45" i="29"/>
  <c r="C45" i="29"/>
  <c r="V44" i="29"/>
  <c r="AL43" i="29"/>
  <c r="V43" i="29"/>
  <c r="Z43" i="29"/>
  <c r="E43" i="29"/>
  <c r="V42" i="29"/>
  <c r="E42" i="29"/>
  <c r="C42" i="29"/>
  <c r="AL41" i="29"/>
  <c r="V41" i="29"/>
  <c r="C41" i="29"/>
  <c r="AL40" i="29"/>
  <c r="C40" i="29"/>
  <c r="Z39" i="29"/>
  <c r="E39" i="29"/>
  <c r="AL38" i="29"/>
  <c r="E38" i="29"/>
  <c r="C38" i="29"/>
  <c r="S37" i="29"/>
  <c r="S35" i="29"/>
  <c r="E35" i="29"/>
  <c r="C34" i="29"/>
  <c r="C33" i="29"/>
  <c r="Z30" i="29"/>
  <c r="E30" i="29"/>
  <c r="C30" i="29"/>
  <c r="C29" i="29"/>
  <c r="AL28" i="29"/>
  <c r="C28" i="29"/>
  <c r="V27" i="29"/>
  <c r="Z27" i="29"/>
  <c r="C27" i="29"/>
  <c r="AL26" i="29"/>
  <c r="E26" i="29"/>
  <c r="AL25" i="29"/>
  <c r="X25" i="29"/>
  <c r="E25" i="29"/>
  <c r="C25" i="29"/>
  <c r="AN24" i="29"/>
  <c r="X24" i="29"/>
  <c r="AB24" i="29"/>
  <c r="C24" i="29"/>
  <c r="AN23" i="29"/>
  <c r="AL23" i="29"/>
  <c r="X23" i="29"/>
  <c r="V23" i="29"/>
  <c r="C23" i="29"/>
  <c r="AN22" i="29"/>
  <c r="AL22" i="29"/>
  <c r="AN21" i="29"/>
  <c r="Z21" i="29"/>
  <c r="C21" i="29"/>
  <c r="AN20" i="29"/>
  <c r="X20" i="29"/>
  <c r="V20" i="29"/>
  <c r="AB20" i="29"/>
  <c r="E19" i="29"/>
  <c r="C19" i="29"/>
  <c r="AF17" i="29"/>
  <c r="Z14" i="29"/>
  <c r="V13" i="29"/>
  <c r="AN12" i="29"/>
  <c r="AL12" i="29"/>
  <c r="AN10" i="29"/>
  <c r="Z10" i="29"/>
  <c r="AN9" i="29"/>
  <c r="X9" i="29"/>
  <c r="V9" i="29"/>
  <c r="X8" i="29"/>
  <c r="AN7" i="29"/>
  <c r="AL7" i="29"/>
  <c r="AT11" i="29"/>
  <c r="AU73" i="29" s="1"/>
  <c r="AN6" i="29"/>
  <c r="Z6" i="29"/>
  <c r="AL83" i="29"/>
  <c r="AJ83" i="29"/>
  <c r="AF83" i="29"/>
  <c r="V83" i="29"/>
  <c r="T83" i="29"/>
  <c r="X83" i="29" s="1"/>
  <c r="P83" i="29"/>
  <c r="L83" i="29"/>
  <c r="AL82" i="29"/>
  <c r="Z82" i="29"/>
  <c r="V82" i="29"/>
  <c r="AJ81" i="29"/>
  <c r="V81" i="29"/>
  <c r="T81" i="29"/>
  <c r="P81" i="29"/>
  <c r="X81" i="29" s="1"/>
  <c r="L81" i="29"/>
  <c r="E79" i="29"/>
  <c r="AV78" i="29"/>
  <c r="AN78" i="29"/>
  <c r="AL78" i="29"/>
  <c r="AJ78" i="29"/>
  <c r="AF78" i="29"/>
  <c r="Z78" i="29"/>
  <c r="V78" i="29"/>
  <c r="T78" i="29"/>
  <c r="P78" i="29"/>
  <c r="L78" i="29"/>
  <c r="H78" i="29"/>
  <c r="AB78" i="29" s="1"/>
  <c r="E78" i="29"/>
  <c r="D78" i="29"/>
  <c r="C78" i="29"/>
  <c r="AL77" i="29"/>
  <c r="V77" i="29"/>
  <c r="E77" i="29"/>
  <c r="C77" i="29"/>
  <c r="AV76" i="29"/>
  <c r="AL76" i="29"/>
  <c r="AJ76" i="29"/>
  <c r="AF76" i="29"/>
  <c r="Z76" i="29"/>
  <c r="V76" i="29"/>
  <c r="T76" i="29"/>
  <c r="P76" i="29"/>
  <c r="L76" i="29"/>
  <c r="H76" i="29"/>
  <c r="D76" i="29"/>
  <c r="C76" i="29"/>
  <c r="T70" i="29"/>
  <c r="L70" i="29"/>
  <c r="AN68" i="29"/>
  <c r="AL68" i="29"/>
  <c r="AB68" i="29"/>
  <c r="Z68" i="29"/>
  <c r="X68" i="29"/>
  <c r="V68" i="29"/>
  <c r="E68" i="29"/>
  <c r="C68" i="29"/>
  <c r="AL61" i="29"/>
  <c r="E61" i="29"/>
  <c r="C60" i="29"/>
  <c r="Z59" i="29"/>
  <c r="E59" i="29"/>
  <c r="E56" i="29"/>
  <c r="C56" i="29"/>
  <c r="AL52" i="29"/>
  <c r="C51" i="29"/>
  <c r="C50" i="29"/>
  <c r="E49" i="29"/>
  <c r="C49" i="29"/>
  <c r="Z46" i="29"/>
  <c r="AP46" i="29" s="1"/>
  <c r="AY46" i="29" s="1"/>
  <c r="E46" i="29"/>
  <c r="E44" i="29"/>
  <c r="C44" i="29"/>
  <c r="C43" i="29"/>
  <c r="Z42" i="29"/>
  <c r="E41" i="29"/>
  <c r="E40" i="29"/>
  <c r="C39" i="29"/>
  <c r="E37" i="29"/>
  <c r="V36" i="29"/>
  <c r="E36" i="29"/>
  <c r="E34" i="29"/>
  <c r="E33" i="29"/>
  <c r="E32" i="29"/>
  <c r="C32" i="29"/>
  <c r="E31" i="29"/>
  <c r="E29" i="29"/>
  <c r="E28" i="29"/>
  <c r="E27" i="29"/>
  <c r="C26" i="29"/>
  <c r="E24" i="29"/>
  <c r="E22" i="29"/>
  <c r="E21" i="29"/>
  <c r="E20" i="29"/>
  <c r="E18" i="29"/>
  <c r="C18" i="29"/>
  <c r="R17" i="29"/>
  <c r="S17" i="29" s="1"/>
  <c r="E17" i="29"/>
  <c r="C17" i="29"/>
  <c r="V16" i="29"/>
  <c r="Z16" i="29"/>
  <c r="E16" i="29"/>
  <c r="C16" i="29"/>
  <c r="AH17" i="29"/>
  <c r="AL15" i="29"/>
  <c r="S15" i="29"/>
  <c r="E15" i="29"/>
  <c r="C15" i="29"/>
  <c r="V14" i="29"/>
  <c r="S14" i="29"/>
  <c r="E14" i="29"/>
  <c r="C14" i="29"/>
  <c r="AL13" i="29"/>
  <c r="X13" i="29"/>
  <c r="V12" i="29"/>
  <c r="S11" i="29"/>
  <c r="R11" i="29"/>
  <c r="E11" i="29"/>
  <c r="C11" i="29"/>
  <c r="V10" i="29"/>
  <c r="E10" i="29"/>
  <c r="C10" i="29"/>
  <c r="E9" i="29"/>
  <c r="C9" i="29"/>
  <c r="S8" i="29"/>
  <c r="E8" i="29"/>
  <c r="C8" i="29"/>
  <c r="S7" i="29"/>
  <c r="E7" i="29"/>
  <c r="C7" i="29"/>
  <c r="V6" i="29"/>
  <c r="E6" i="29"/>
  <c r="C6" i="29"/>
  <c r="AD81" i="29"/>
  <c r="AL81" i="29" s="1"/>
  <c r="H83" i="28"/>
  <c r="E74" i="28"/>
  <c r="AL73" i="28"/>
  <c r="E71" i="28"/>
  <c r="P70" i="28"/>
  <c r="E66" i="28"/>
  <c r="E65" i="28"/>
  <c r="C65" i="28"/>
  <c r="X63" i="28"/>
  <c r="AB61" i="28"/>
  <c r="C61" i="28"/>
  <c r="X60" i="28"/>
  <c r="C59" i="28"/>
  <c r="E58" i="28"/>
  <c r="X56" i="28"/>
  <c r="E56" i="28"/>
  <c r="C56" i="28"/>
  <c r="C52" i="28"/>
  <c r="C50" i="28"/>
  <c r="X44" i="28"/>
  <c r="E44" i="28"/>
  <c r="AN43" i="28"/>
  <c r="AN42" i="28"/>
  <c r="AB42" i="28"/>
  <c r="AN41" i="28"/>
  <c r="E41" i="28"/>
  <c r="C40" i="28"/>
  <c r="X39" i="28"/>
  <c r="AB39" i="28"/>
  <c r="AN38" i="28"/>
  <c r="X38" i="28"/>
  <c r="E36" i="28"/>
  <c r="AN34" i="28"/>
  <c r="E34" i="28"/>
  <c r="E33" i="28"/>
  <c r="C33" i="28"/>
  <c r="E32" i="28"/>
  <c r="AN30" i="28"/>
  <c r="E30" i="28"/>
  <c r="AN29" i="28"/>
  <c r="E29" i="28"/>
  <c r="C29" i="28"/>
  <c r="E28" i="28"/>
  <c r="X27" i="28"/>
  <c r="AB27" i="28"/>
  <c r="X26" i="28"/>
  <c r="E26" i="28"/>
  <c r="C25" i="28"/>
  <c r="E23" i="28"/>
  <c r="C23" i="28"/>
  <c r="E22" i="28"/>
  <c r="V21" i="28"/>
  <c r="C19" i="28"/>
  <c r="Z16" i="28"/>
  <c r="X15" i="28"/>
  <c r="T17" i="28"/>
  <c r="AN12" i="28"/>
  <c r="V12" i="28"/>
  <c r="V8" i="28"/>
  <c r="V7" i="28"/>
  <c r="AJ83" i="28"/>
  <c r="V83" i="28"/>
  <c r="T83" i="28"/>
  <c r="X83" i="28" s="1"/>
  <c r="P83" i="28"/>
  <c r="L83" i="28"/>
  <c r="AL82" i="28"/>
  <c r="Z82" i="28"/>
  <c r="V82" i="28"/>
  <c r="AJ81" i="28"/>
  <c r="V81" i="28"/>
  <c r="T81" i="28"/>
  <c r="P81" i="28"/>
  <c r="X81" i="28" s="1"/>
  <c r="L81" i="28"/>
  <c r="E79" i="28"/>
  <c r="AV78" i="28"/>
  <c r="AP78" i="28"/>
  <c r="AL78" i="28"/>
  <c r="AJ78" i="28"/>
  <c r="AF78" i="28"/>
  <c r="Z78" i="28"/>
  <c r="V78" i="28"/>
  <c r="T78" i="28"/>
  <c r="P78" i="28"/>
  <c r="X78" i="28" s="1"/>
  <c r="L78" i="28"/>
  <c r="H78" i="28"/>
  <c r="E78" i="28"/>
  <c r="D78" i="28"/>
  <c r="C78" i="28"/>
  <c r="AL77" i="28"/>
  <c r="V77" i="28"/>
  <c r="E77" i="28"/>
  <c r="E76" i="28"/>
  <c r="C77" i="28"/>
  <c r="AV76" i="28"/>
  <c r="AL76" i="28"/>
  <c r="AP76" i="28" s="1"/>
  <c r="AJ76" i="28"/>
  <c r="AF76" i="28"/>
  <c r="Z76" i="28"/>
  <c r="V76" i="28"/>
  <c r="T76" i="28"/>
  <c r="P76" i="28"/>
  <c r="L76" i="28"/>
  <c r="H76" i="28"/>
  <c r="D76" i="28"/>
  <c r="C76" i="28"/>
  <c r="C75" i="28"/>
  <c r="C74" i="28"/>
  <c r="V71" i="28"/>
  <c r="C71" i="28"/>
  <c r="AF70" i="28"/>
  <c r="AN68" i="28"/>
  <c r="AL68" i="28"/>
  <c r="AB68" i="28"/>
  <c r="AR68" i="28" s="1"/>
  <c r="Z68" i="28"/>
  <c r="AP68" i="28" s="1"/>
  <c r="AY68" i="28" s="1"/>
  <c r="X68" i="28"/>
  <c r="V68" i="28"/>
  <c r="E68" i="28"/>
  <c r="C68" i="28"/>
  <c r="E63" i="28"/>
  <c r="AN52" i="28"/>
  <c r="E51" i="28"/>
  <c r="E46" i="28"/>
  <c r="X45" i="28"/>
  <c r="AN44" i="28"/>
  <c r="E43" i="28"/>
  <c r="X42" i="28"/>
  <c r="AN37" i="28"/>
  <c r="E37" i="28"/>
  <c r="X29" i="28"/>
  <c r="E25" i="28"/>
  <c r="E24" i="28"/>
  <c r="E18" i="28"/>
  <c r="C18" i="28"/>
  <c r="R17" i="28"/>
  <c r="S17" i="28" s="1"/>
  <c r="E17" i="28"/>
  <c r="C17" i="28"/>
  <c r="V16" i="28"/>
  <c r="E16" i="28"/>
  <c r="C16" i="28"/>
  <c r="J17" i="28"/>
  <c r="E15" i="28"/>
  <c r="C15" i="28"/>
  <c r="V14" i="28"/>
  <c r="E14" i="28"/>
  <c r="C14" i="28"/>
  <c r="AL13" i="28"/>
  <c r="R11" i="28"/>
  <c r="E11" i="28"/>
  <c r="C11" i="28"/>
  <c r="S10" i="28"/>
  <c r="E10" i="28"/>
  <c r="C10" i="28"/>
  <c r="E9" i="28"/>
  <c r="C9" i="28"/>
  <c r="E8" i="28"/>
  <c r="C8" i="28"/>
  <c r="E7" i="28"/>
  <c r="C7" i="28"/>
  <c r="E6" i="28"/>
  <c r="C6" i="28"/>
  <c r="AT81" i="28"/>
  <c r="C74" i="27"/>
  <c r="C71" i="27"/>
  <c r="T70" i="27"/>
  <c r="AT62" i="27"/>
  <c r="AD54" i="27"/>
  <c r="N54" i="27"/>
  <c r="AV83" i="27"/>
  <c r="AJ83" i="27"/>
  <c r="AF83" i="27"/>
  <c r="X83" i="27"/>
  <c r="V83" i="27"/>
  <c r="T83" i="27"/>
  <c r="P83" i="27"/>
  <c r="L83" i="27"/>
  <c r="AL82" i="27"/>
  <c r="Z82" i="27"/>
  <c r="V82" i="27"/>
  <c r="AJ81" i="27"/>
  <c r="V81" i="27"/>
  <c r="T81" i="27"/>
  <c r="P81" i="27"/>
  <c r="L81" i="27"/>
  <c r="E79" i="27"/>
  <c r="AV78" i="27"/>
  <c r="AP78" i="27"/>
  <c r="AY78" i="27" s="1"/>
  <c r="AL78" i="27"/>
  <c r="AJ78" i="27"/>
  <c r="AF78" i="27"/>
  <c r="Z78" i="27"/>
  <c r="X78" i="27"/>
  <c r="V78" i="27"/>
  <c r="T78" i="27"/>
  <c r="P78" i="27"/>
  <c r="AB78" i="27" s="1"/>
  <c r="AR78" i="27" s="1"/>
  <c r="L78" i="27"/>
  <c r="H78" i="27"/>
  <c r="E78" i="27"/>
  <c r="D78" i="27"/>
  <c r="C78" i="27"/>
  <c r="AL77" i="27"/>
  <c r="V77" i="27"/>
  <c r="E77" i="27"/>
  <c r="C77" i="27"/>
  <c r="AV76" i="27"/>
  <c r="AL76" i="27"/>
  <c r="AJ76" i="27"/>
  <c r="AF76" i="27"/>
  <c r="AN76" i="27"/>
  <c r="Z76" i="27"/>
  <c r="V76" i="27"/>
  <c r="T76" i="27"/>
  <c r="P76" i="27"/>
  <c r="L76" i="27"/>
  <c r="H76" i="27"/>
  <c r="D76" i="27"/>
  <c r="C76" i="27"/>
  <c r="C75" i="27"/>
  <c r="AF70" i="27"/>
  <c r="P70" i="27"/>
  <c r="X70" i="27" s="1"/>
  <c r="AN68" i="27"/>
  <c r="AL68" i="27"/>
  <c r="AB68" i="27"/>
  <c r="Z68" i="27"/>
  <c r="AP68" i="27" s="1"/>
  <c r="X68" i="27"/>
  <c r="V68" i="27"/>
  <c r="E68" i="27"/>
  <c r="C68" i="27"/>
  <c r="E18" i="27"/>
  <c r="C18" i="27"/>
  <c r="R17" i="27"/>
  <c r="S17" i="27" s="1"/>
  <c r="E17" i="27"/>
  <c r="C17" i="27"/>
  <c r="V16" i="27"/>
  <c r="E16" i="27"/>
  <c r="C16" i="27"/>
  <c r="E15" i="27"/>
  <c r="C15" i="27"/>
  <c r="V14" i="27"/>
  <c r="E14" i="27"/>
  <c r="C14" i="27"/>
  <c r="AL13" i="27"/>
  <c r="R11" i="27"/>
  <c r="E11" i="27"/>
  <c r="C11" i="27"/>
  <c r="S10" i="27"/>
  <c r="E10" i="27"/>
  <c r="C10" i="27"/>
  <c r="E9" i="27"/>
  <c r="C9" i="27"/>
  <c r="E8" i="27"/>
  <c r="C8" i="27"/>
  <c r="V7" i="27"/>
  <c r="E7" i="27"/>
  <c r="C7" i="27"/>
  <c r="E6" i="27"/>
  <c r="C6" i="27"/>
  <c r="AT81" i="27"/>
  <c r="AD81" i="27"/>
  <c r="AL81" i="27" s="1"/>
  <c r="C75" i="18"/>
  <c r="AL57" i="18"/>
  <c r="C56" i="18"/>
  <c r="AT62" i="18"/>
  <c r="AL53" i="18"/>
  <c r="AH54" i="18"/>
  <c r="C44" i="18"/>
  <c r="C40" i="18"/>
  <c r="C35" i="18"/>
  <c r="AL32" i="18"/>
  <c r="C28" i="18"/>
  <c r="AD62" i="17"/>
  <c r="L62" i="17"/>
  <c r="AD54" i="17"/>
  <c r="T54" i="17"/>
  <c r="E24" i="17"/>
  <c r="AL12" i="17"/>
  <c r="AL9" i="17"/>
  <c r="AF83" i="16"/>
  <c r="S74" i="16"/>
  <c r="AN65" i="16"/>
  <c r="AN63" i="16"/>
  <c r="AB50" i="16"/>
  <c r="X36" i="16"/>
  <c r="E29" i="16"/>
  <c r="AN26" i="16"/>
  <c r="AV71" i="1"/>
  <c r="AV60" i="1"/>
  <c r="AV45" i="1"/>
  <c r="AV38" i="1"/>
  <c r="AV29" i="1"/>
  <c r="AV14" i="1"/>
  <c r="AV10" i="1"/>
  <c r="L73" i="1"/>
  <c r="AJ71" i="1"/>
  <c r="AJ70" i="1"/>
  <c r="D70" i="1"/>
  <c r="T61" i="1"/>
  <c r="L61" i="1"/>
  <c r="D61" i="1"/>
  <c r="T57" i="1"/>
  <c r="AJ56" i="1"/>
  <c r="AJ52" i="1"/>
  <c r="AJ51" i="1"/>
  <c r="L51" i="1"/>
  <c r="D46" i="1"/>
  <c r="L45" i="1"/>
  <c r="AJ43" i="1"/>
  <c r="L42" i="1"/>
  <c r="L39" i="1"/>
  <c r="L36" i="1"/>
  <c r="AJ31" i="1"/>
  <c r="D31" i="1"/>
  <c r="L28" i="1"/>
  <c r="L22" i="1"/>
  <c r="T21" i="1"/>
  <c r="U21" i="1" s="1"/>
  <c r="D21" i="1"/>
  <c r="AJ20" i="1"/>
  <c r="L20" i="1"/>
  <c r="AL16" i="1"/>
  <c r="L15" i="1"/>
  <c r="Z14" i="1"/>
  <c r="H8" i="1"/>
  <c r="C73" i="18"/>
  <c r="C72" i="18"/>
  <c r="C71" i="18"/>
  <c r="C42" i="18"/>
  <c r="C30" i="18"/>
  <c r="AL12" i="18"/>
  <c r="V10" i="18"/>
  <c r="V8" i="18"/>
  <c r="V7" i="18"/>
  <c r="AJ83" i="18"/>
  <c r="V83" i="18"/>
  <c r="T83" i="18"/>
  <c r="X83" i="18" s="1"/>
  <c r="P83" i="18"/>
  <c r="L83" i="18"/>
  <c r="AL82" i="18"/>
  <c r="Z82" i="18"/>
  <c r="V82" i="18"/>
  <c r="AJ81" i="18"/>
  <c r="V81" i="18"/>
  <c r="T81" i="18"/>
  <c r="X81" i="18" s="1"/>
  <c r="P81" i="18"/>
  <c r="L81" i="18"/>
  <c r="E79" i="18"/>
  <c r="AV78" i="18"/>
  <c r="AL78" i="18"/>
  <c r="AJ78" i="18"/>
  <c r="AF78" i="18"/>
  <c r="AN78" i="18" s="1"/>
  <c r="Z78" i="18"/>
  <c r="AP78" i="18" s="1"/>
  <c r="V78" i="18"/>
  <c r="T78" i="18"/>
  <c r="X78" i="18" s="1"/>
  <c r="P78" i="18"/>
  <c r="L78" i="18"/>
  <c r="AB78" i="18" s="1"/>
  <c r="H78" i="18"/>
  <c r="E78" i="18"/>
  <c r="D78" i="18"/>
  <c r="C78" i="18"/>
  <c r="AL77" i="18"/>
  <c r="V77" i="18"/>
  <c r="E77" i="18"/>
  <c r="C77" i="18"/>
  <c r="AV76" i="18"/>
  <c r="AL76" i="18"/>
  <c r="AJ76" i="18"/>
  <c r="AF76" i="18"/>
  <c r="AN76" i="18"/>
  <c r="Z76" i="18"/>
  <c r="V76" i="18"/>
  <c r="T76" i="18"/>
  <c r="X76" i="18" s="1"/>
  <c r="P76" i="18"/>
  <c r="L76" i="18"/>
  <c r="AB76" i="18" s="1"/>
  <c r="H76" i="18"/>
  <c r="D76" i="18"/>
  <c r="E75" i="18" s="1"/>
  <c r="C76" i="18"/>
  <c r="T70" i="18"/>
  <c r="AN68" i="18"/>
  <c r="AL68" i="18"/>
  <c r="AB68" i="18"/>
  <c r="AR68" i="18" s="1"/>
  <c r="Z68" i="18"/>
  <c r="AP68" i="18" s="1"/>
  <c r="X68" i="18"/>
  <c r="V68" i="18"/>
  <c r="E68" i="18"/>
  <c r="C68" i="18"/>
  <c r="E18" i="18"/>
  <c r="C18" i="18"/>
  <c r="R17" i="18"/>
  <c r="E17" i="18"/>
  <c r="C17" i="18"/>
  <c r="V16" i="18"/>
  <c r="E16" i="18"/>
  <c r="C16" i="18"/>
  <c r="E15" i="18"/>
  <c r="C15" i="18"/>
  <c r="V14" i="18"/>
  <c r="S14" i="18"/>
  <c r="E14" i="18"/>
  <c r="C14" i="18"/>
  <c r="AL13" i="18"/>
  <c r="R11" i="18"/>
  <c r="S15" i="18" s="1"/>
  <c r="E11" i="18"/>
  <c r="C11" i="18"/>
  <c r="S10" i="18"/>
  <c r="E10" i="18"/>
  <c r="C10" i="18"/>
  <c r="S9" i="18"/>
  <c r="E9" i="18"/>
  <c r="C9" i="18"/>
  <c r="E8" i="18"/>
  <c r="C8" i="18"/>
  <c r="S7" i="18"/>
  <c r="E7" i="18"/>
  <c r="C7" i="18"/>
  <c r="E6" i="18"/>
  <c r="C6" i="18"/>
  <c r="E35" i="17"/>
  <c r="E31" i="17"/>
  <c r="H76" i="17"/>
  <c r="AV83" i="17"/>
  <c r="AJ83" i="17"/>
  <c r="X83" i="17"/>
  <c r="V83" i="17"/>
  <c r="T83" i="17"/>
  <c r="P83" i="17"/>
  <c r="L83" i="17"/>
  <c r="AL82" i="17"/>
  <c r="Z82" i="17"/>
  <c r="V82" i="17"/>
  <c r="AJ81" i="17"/>
  <c r="V81" i="17"/>
  <c r="T81" i="17"/>
  <c r="P81" i="17"/>
  <c r="X81" i="17"/>
  <c r="L81" i="17"/>
  <c r="T70" i="17"/>
  <c r="N17" i="17"/>
  <c r="V17" i="17" s="1"/>
  <c r="V7" i="17"/>
  <c r="E79" i="17"/>
  <c r="AV78" i="17"/>
  <c r="AL78" i="17"/>
  <c r="AJ78" i="17"/>
  <c r="AF78" i="17"/>
  <c r="Z78" i="17"/>
  <c r="AP78" i="17" s="1"/>
  <c r="V78" i="17"/>
  <c r="T78" i="17"/>
  <c r="P78" i="17"/>
  <c r="L78" i="17"/>
  <c r="H78" i="17"/>
  <c r="E78" i="17"/>
  <c r="D78" i="17"/>
  <c r="C78" i="17"/>
  <c r="AL77" i="17"/>
  <c r="V77" i="17"/>
  <c r="E77" i="17"/>
  <c r="C77" i="17"/>
  <c r="AV76" i="17"/>
  <c r="AL76" i="17"/>
  <c r="AJ76" i="17"/>
  <c r="AF76" i="17"/>
  <c r="AN76" i="17" s="1"/>
  <c r="Z76" i="17"/>
  <c r="V76" i="17"/>
  <c r="T76" i="17"/>
  <c r="X76" i="17" s="1"/>
  <c r="P76" i="17"/>
  <c r="L76" i="17"/>
  <c r="D76" i="17"/>
  <c r="E75" i="17"/>
  <c r="C76" i="17"/>
  <c r="AN68" i="17"/>
  <c r="AL68" i="17"/>
  <c r="AB68" i="17"/>
  <c r="Z68" i="17"/>
  <c r="X68" i="17"/>
  <c r="V68" i="17"/>
  <c r="E68" i="17"/>
  <c r="C68" i="17"/>
  <c r="E18" i="17"/>
  <c r="C18" i="17"/>
  <c r="R17" i="17"/>
  <c r="S17" i="17" s="1"/>
  <c r="E17" i="17"/>
  <c r="C17" i="17"/>
  <c r="V16" i="17"/>
  <c r="S16" i="17"/>
  <c r="E16" i="17"/>
  <c r="C16" i="17"/>
  <c r="E15" i="17"/>
  <c r="C15" i="17"/>
  <c r="V14" i="17"/>
  <c r="E14" i="17"/>
  <c r="C14" i="17"/>
  <c r="AL13" i="17"/>
  <c r="S11" i="17"/>
  <c r="R11" i="17"/>
  <c r="E11" i="17"/>
  <c r="C11" i="17"/>
  <c r="E10" i="17"/>
  <c r="C10" i="17"/>
  <c r="E9" i="17"/>
  <c r="C9" i="17"/>
  <c r="E8" i="17"/>
  <c r="C8" i="17"/>
  <c r="S7" i="17"/>
  <c r="E7" i="17"/>
  <c r="C7" i="17"/>
  <c r="E6" i="17"/>
  <c r="C6" i="17"/>
  <c r="AV76" i="16"/>
  <c r="D83" i="16"/>
  <c r="D82" i="16"/>
  <c r="D81" i="16"/>
  <c r="D78" i="16"/>
  <c r="D76" i="16"/>
  <c r="AJ83" i="16"/>
  <c r="AJ81" i="16"/>
  <c r="AJ78" i="16"/>
  <c r="AJ76" i="16"/>
  <c r="AF78" i="16"/>
  <c r="AF76" i="16"/>
  <c r="AN76" i="16" s="1"/>
  <c r="T83" i="16"/>
  <c r="T81" i="16"/>
  <c r="X81" i="16" s="1"/>
  <c r="T78" i="16"/>
  <c r="T76" i="16"/>
  <c r="P83" i="16"/>
  <c r="P81" i="16"/>
  <c r="P78" i="16"/>
  <c r="P76" i="16"/>
  <c r="L78" i="16"/>
  <c r="L76" i="16"/>
  <c r="AL75" i="16"/>
  <c r="V74" i="16"/>
  <c r="Z16" i="16"/>
  <c r="AP16" i="16" s="1"/>
  <c r="V8" i="16"/>
  <c r="X83" i="16"/>
  <c r="V83" i="16"/>
  <c r="L83" i="16"/>
  <c r="AL82" i="16"/>
  <c r="Z82" i="16"/>
  <c r="V82" i="16"/>
  <c r="V81" i="16"/>
  <c r="L81" i="16"/>
  <c r="AV78" i="16"/>
  <c r="AL78" i="16"/>
  <c r="AN78" i="16"/>
  <c r="Z78" i="16"/>
  <c r="AP78" i="16" s="1"/>
  <c r="V78" i="16"/>
  <c r="H78" i="16"/>
  <c r="AB78" i="16" s="1"/>
  <c r="AR78" i="16" s="1"/>
  <c r="AL77" i="16"/>
  <c r="V77" i="16"/>
  <c r="AL76" i="16"/>
  <c r="Z76" i="16"/>
  <c r="V76" i="16"/>
  <c r="H76" i="16"/>
  <c r="AL68" i="16"/>
  <c r="AP68" i="16" s="1"/>
  <c r="Z68" i="16"/>
  <c r="V68" i="16"/>
  <c r="AB68" i="16"/>
  <c r="X68" i="16"/>
  <c r="C18" i="16"/>
  <c r="R17" i="16"/>
  <c r="R18" i="16" s="1"/>
  <c r="S18" i="16" s="1"/>
  <c r="S17" i="16"/>
  <c r="C17" i="16"/>
  <c r="V16" i="16"/>
  <c r="S16" i="16"/>
  <c r="C16" i="16"/>
  <c r="V14" i="16"/>
  <c r="AL13" i="16"/>
  <c r="S11" i="16"/>
  <c r="R11" i="16"/>
  <c r="S44" i="16" s="1"/>
  <c r="S15" i="16"/>
  <c r="C11" i="16"/>
  <c r="C10" i="16"/>
  <c r="S10" i="16"/>
  <c r="S9" i="16"/>
  <c r="C9" i="16"/>
  <c r="S8" i="16"/>
  <c r="C8" i="16"/>
  <c r="C7" i="16"/>
  <c r="S6" i="16"/>
  <c r="C6" i="16"/>
  <c r="AJ74" i="1"/>
  <c r="S59" i="1"/>
  <c r="T30" i="1"/>
  <c r="T23" i="1"/>
  <c r="L74" i="1"/>
  <c r="C59" i="1"/>
  <c r="C39" i="1"/>
  <c r="C6" i="1"/>
  <c r="D6" i="1"/>
  <c r="T6" i="1"/>
  <c r="U6" i="1" s="1"/>
  <c r="C7" i="1"/>
  <c r="D7" i="1"/>
  <c r="S7" i="1"/>
  <c r="T7" i="1"/>
  <c r="D8" i="1"/>
  <c r="S8" i="1"/>
  <c r="T8" i="1"/>
  <c r="C9" i="1"/>
  <c r="D9" i="1"/>
  <c r="T9" i="1"/>
  <c r="U9" i="1" s="1"/>
  <c r="AV9" i="1"/>
  <c r="D10" i="1"/>
  <c r="S10" i="1"/>
  <c r="T10" i="1"/>
  <c r="U10" i="1" s="1"/>
  <c r="B11" i="1"/>
  <c r="C8" i="1" s="1"/>
  <c r="R11" i="1"/>
  <c r="S9" i="1" s="1"/>
  <c r="S11" i="1"/>
  <c r="T11" i="1"/>
  <c r="U14" i="1" s="1"/>
  <c r="T12" i="1"/>
  <c r="AJ12" i="1"/>
  <c r="H13" i="1"/>
  <c r="L13" i="1"/>
  <c r="T13" i="1"/>
  <c r="AF13" i="1"/>
  <c r="AN13" i="1" s="1"/>
  <c r="AJ13" i="1"/>
  <c r="AL13" i="1"/>
  <c r="C14" i="1"/>
  <c r="D14" i="1"/>
  <c r="L14" i="1"/>
  <c r="P14" i="1"/>
  <c r="S14" i="1"/>
  <c r="T14" i="1"/>
  <c r="V14" i="1"/>
  <c r="AJ14" i="1"/>
  <c r="T15" i="1"/>
  <c r="U15" i="1" s="1"/>
  <c r="C16" i="1"/>
  <c r="D16" i="1"/>
  <c r="L16" i="1"/>
  <c r="P16" i="1"/>
  <c r="T16" i="1"/>
  <c r="U16" i="1" s="1"/>
  <c r="V16" i="1"/>
  <c r="X16" i="1"/>
  <c r="AJ16" i="1"/>
  <c r="B17" i="1"/>
  <c r="D17" i="1"/>
  <c r="R17" i="1"/>
  <c r="S17" i="1" s="1"/>
  <c r="T17" i="1"/>
  <c r="U17" i="1"/>
  <c r="X59" i="1"/>
  <c r="AN59" i="1"/>
  <c r="C68" i="1"/>
  <c r="D68" i="1"/>
  <c r="AR68" i="1" s="1"/>
  <c r="C76" i="1"/>
  <c r="D76" i="1"/>
  <c r="AR76" i="1" s="1"/>
  <c r="H76" i="1"/>
  <c r="L76" i="1"/>
  <c r="P76" i="1"/>
  <c r="X76" i="1" s="1"/>
  <c r="S76" i="1"/>
  <c r="T76" i="1"/>
  <c r="V76" i="1"/>
  <c r="Z76" i="1"/>
  <c r="AB76" i="1"/>
  <c r="AF76" i="1"/>
  <c r="AJ76" i="1"/>
  <c r="AL76" i="1"/>
  <c r="AN76" i="1"/>
  <c r="AP76" i="1"/>
  <c r="AX76" i="1" s="1"/>
  <c r="AV76" i="1"/>
  <c r="D77" i="1"/>
  <c r="L77" i="1"/>
  <c r="P77" i="1"/>
  <c r="X77" i="1" s="1"/>
  <c r="S77" i="1"/>
  <c r="T77" i="1"/>
  <c r="V77" i="1"/>
  <c r="AF77" i="1"/>
  <c r="AJ77" i="1"/>
  <c r="AL77" i="1"/>
  <c r="AN77" i="1"/>
  <c r="D78" i="1"/>
  <c r="H78" i="1"/>
  <c r="AB78" i="1" s="1"/>
  <c r="AR78" i="1" s="1"/>
  <c r="L78" i="1"/>
  <c r="P78" i="1"/>
  <c r="X78" i="1" s="1"/>
  <c r="S78" i="1"/>
  <c r="T78" i="1"/>
  <c r="U78" i="1"/>
  <c r="V78" i="1"/>
  <c r="Z78" i="1"/>
  <c r="AF78" i="1"/>
  <c r="AN78" i="1" s="1"/>
  <c r="AJ78" i="1"/>
  <c r="AL78" i="1"/>
  <c r="AP78" i="1"/>
  <c r="AX78" i="1" s="1"/>
  <c r="AV78" i="1"/>
  <c r="H81" i="1"/>
  <c r="H81" i="31" s="1"/>
  <c r="AB81" i="31" s="1"/>
  <c r="L81" i="1"/>
  <c r="P81" i="1"/>
  <c r="X81" i="1" s="1"/>
  <c r="T81" i="1"/>
  <c r="V81" i="1"/>
  <c r="Z81" i="1"/>
  <c r="AF81" i="1"/>
  <c r="AF81" i="30" s="1"/>
  <c r="AN81" i="30" s="1"/>
  <c r="AJ81" i="1"/>
  <c r="AL81" i="1"/>
  <c r="AN81" i="1" s="1"/>
  <c r="AV81" i="1"/>
  <c r="H82" i="1"/>
  <c r="H82" i="16" s="1"/>
  <c r="L82" i="1"/>
  <c r="P82" i="1"/>
  <c r="P82" i="16"/>
  <c r="T82" i="1"/>
  <c r="T82" i="16" s="1"/>
  <c r="T82" i="17" s="1"/>
  <c r="T82" i="18" s="1"/>
  <c r="T82" i="27" s="1"/>
  <c r="T82" i="28" s="1"/>
  <c r="T82" i="29" s="1"/>
  <c r="T82" i="30" s="1"/>
  <c r="T82" i="31" s="1"/>
  <c r="V82" i="1"/>
  <c r="Z82" i="1"/>
  <c r="AP82" i="1" s="1"/>
  <c r="AF82" i="1"/>
  <c r="AF82" i="16" s="1"/>
  <c r="AJ82" i="1"/>
  <c r="AJ82" i="16" s="1"/>
  <c r="AJ82" i="17" s="1"/>
  <c r="AJ82" i="18" s="1"/>
  <c r="AJ82" i="27" s="1"/>
  <c r="AJ82" i="28" s="1"/>
  <c r="AJ82" i="29" s="1"/>
  <c r="AJ82" i="30" s="1"/>
  <c r="AJ82" i="31" s="1"/>
  <c r="AL82" i="1"/>
  <c r="AN82" i="1" s="1"/>
  <c r="AV82" i="1"/>
  <c r="AV82" i="16" s="1"/>
  <c r="AV82" i="17" s="1"/>
  <c r="AV82" i="18" s="1"/>
  <c r="AV82" i="27" s="1"/>
  <c r="AV82" i="28" s="1"/>
  <c r="AV82" i="29" s="1"/>
  <c r="AV82" i="30" s="1"/>
  <c r="AV82" i="31" s="1"/>
  <c r="L83" i="1"/>
  <c r="P83" i="1"/>
  <c r="X83" i="1" s="1"/>
  <c r="T83" i="1"/>
  <c r="V83" i="1"/>
  <c r="AJ83" i="1"/>
  <c r="X14" i="1"/>
  <c r="H68" i="1"/>
  <c r="L68" i="1"/>
  <c r="AB68" i="1" s="1"/>
  <c r="P68" i="1"/>
  <c r="X68" i="1" s="1"/>
  <c r="S68" i="1"/>
  <c r="T68" i="1"/>
  <c r="U68" i="1" s="1"/>
  <c r="Z68" i="1"/>
  <c r="AP68" i="1" s="1"/>
  <c r="V68" i="1"/>
  <c r="AF68" i="1"/>
  <c r="AJ68" i="1"/>
  <c r="AN68" i="1"/>
  <c r="AL68" i="1"/>
  <c r="AV68" i="1"/>
  <c r="S7" i="16"/>
  <c r="C78" i="16"/>
  <c r="C77" i="16"/>
  <c r="C76" i="16"/>
  <c r="C74" i="16"/>
  <c r="C68" i="16"/>
  <c r="S78" i="16"/>
  <c r="S77" i="16"/>
  <c r="S76" i="16"/>
  <c r="S68" i="16"/>
  <c r="S14" i="16"/>
  <c r="C14" i="16"/>
  <c r="C15" i="16"/>
  <c r="AN68" i="16"/>
  <c r="AR68" i="16"/>
  <c r="BA68" i="16" s="1"/>
  <c r="AP76" i="16"/>
  <c r="AY76" i="16" s="1"/>
  <c r="X78" i="16"/>
  <c r="C73" i="16"/>
  <c r="E17" i="16"/>
  <c r="E15" i="16"/>
  <c r="E77" i="16"/>
  <c r="E45" i="16"/>
  <c r="E16" i="16"/>
  <c r="E9" i="16"/>
  <c r="E7" i="16"/>
  <c r="E76" i="16"/>
  <c r="E20" i="16"/>
  <c r="E25" i="16"/>
  <c r="E68" i="16"/>
  <c r="E43" i="16"/>
  <c r="E8" i="16"/>
  <c r="E37" i="16"/>
  <c r="E31" i="16"/>
  <c r="E79" i="16"/>
  <c r="E78" i="16"/>
  <c r="E11" i="16"/>
  <c r="E21" i="16"/>
  <c r="E10" i="16"/>
  <c r="E14" i="16"/>
  <c r="E6" i="16"/>
  <c r="E18" i="16"/>
  <c r="AN30" i="16"/>
  <c r="X14" i="16"/>
  <c r="N17" i="16"/>
  <c r="V17" i="16" s="1"/>
  <c r="F17" i="16"/>
  <c r="Z83" i="17"/>
  <c r="AP68" i="17"/>
  <c r="AY68" i="17" s="1"/>
  <c r="AL7" i="17"/>
  <c r="AR68" i="17"/>
  <c r="AZ68" i="17" s="1"/>
  <c r="V15" i="17"/>
  <c r="V10" i="17"/>
  <c r="S77" i="17"/>
  <c r="S78" i="17"/>
  <c r="S76" i="17"/>
  <c r="S68" i="17"/>
  <c r="S9" i="17"/>
  <c r="S15" i="17"/>
  <c r="S14" i="17"/>
  <c r="R18" i="17"/>
  <c r="S18" i="17" s="1"/>
  <c r="S10" i="17"/>
  <c r="S6" i="17"/>
  <c r="AH17" i="17"/>
  <c r="AL73" i="17"/>
  <c r="S74" i="17"/>
  <c r="AP76" i="17"/>
  <c r="AB76" i="17"/>
  <c r="AN78" i="17"/>
  <c r="AR78" i="17" s="1"/>
  <c r="AB78" i="17"/>
  <c r="X78" i="17"/>
  <c r="AY76" i="17"/>
  <c r="AX76" i="17"/>
  <c r="X13" i="17"/>
  <c r="AN77" i="17"/>
  <c r="E65" i="17"/>
  <c r="E63" i="17"/>
  <c r="E61" i="17"/>
  <c r="E59" i="17"/>
  <c r="E58" i="17"/>
  <c r="E56" i="17"/>
  <c r="E50" i="17"/>
  <c r="E49" i="17"/>
  <c r="X9" i="17"/>
  <c r="E36" i="17"/>
  <c r="E32" i="17"/>
  <c r="E45" i="17"/>
  <c r="E22" i="17"/>
  <c r="AN34" i="17"/>
  <c r="E20" i="17"/>
  <c r="E51" i="17"/>
  <c r="E66" i="17"/>
  <c r="E42" i="17"/>
  <c r="E39" i="17"/>
  <c r="E44" i="17"/>
  <c r="AN25" i="17"/>
  <c r="X40" i="17"/>
  <c r="AB35" i="17"/>
  <c r="E41" i="17"/>
  <c r="E34" i="17"/>
  <c r="E30" i="17"/>
  <c r="E26" i="17"/>
  <c r="AN46" i="17"/>
  <c r="AN45" i="17"/>
  <c r="X43" i="17"/>
  <c r="X39" i="17"/>
  <c r="X35" i="17"/>
  <c r="X32" i="17"/>
  <c r="X45" i="17"/>
  <c r="AB46" i="17"/>
  <c r="E46" i="17"/>
  <c r="E40" i="17"/>
  <c r="E33" i="17"/>
  <c r="E23" i="17"/>
  <c r="X42" i="17"/>
  <c r="X38" i="17"/>
  <c r="X34" i="17"/>
  <c r="X22" i="17"/>
  <c r="AB29" i="17"/>
  <c r="V6" i="17"/>
  <c r="AB38" i="17"/>
  <c r="AN27" i="17"/>
  <c r="AB39" i="17"/>
  <c r="AR39" i="17" s="1"/>
  <c r="AZ39" i="17" s="1"/>
  <c r="AB43" i="17"/>
  <c r="X49" i="17"/>
  <c r="AD81" i="17"/>
  <c r="AL81" i="17" s="1"/>
  <c r="AL83" i="16"/>
  <c r="AL72" i="17"/>
  <c r="X52" i="17"/>
  <c r="AN14" i="17"/>
  <c r="N62" i="17"/>
  <c r="AB52" i="17"/>
  <c r="C74" i="18"/>
  <c r="AF83" i="18"/>
  <c r="AN83" i="18" s="1"/>
  <c r="AL9" i="18"/>
  <c r="N17" i="18"/>
  <c r="V15" i="18"/>
  <c r="V6" i="18"/>
  <c r="AL7" i="18"/>
  <c r="AL16" i="18"/>
  <c r="S78" i="18"/>
  <c r="S77" i="18"/>
  <c r="S75" i="18"/>
  <c r="S74" i="18"/>
  <c r="S76" i="18"/>
  <c r="S73" i="18"/>
  <c r="S72" i="18"/>
  <c r="S68" i="18"/>
  <c r="S16" i="18"/>
  <c r="AT54" i="18"/>
  <c r="V40" i="18"/>
  <c r="F54" i="18"/>
  <c r="Z41" i="18"/>
  <c r="S45" i="18"/>
  <c r="AL51" i="18"/>
  <c r="C49" i="18"/>
  <c r="N54" i="18"/>
  <c r="AD54" i="18"/>
  <c r="AL54" i="18" s="1"/>
  <c r="Z53" i="18"/>
  <c r="AP53" i="18" s="1"/>
  <c r="S59" i="18"/>
  <c r="S50" i="18"/>
  <c r="S65" i="18"/>
  <c r="V65" i="18"/>
  <c r="Z66" i="18"/>
  <c r="S63" i="18"/>
  <c r="C65" i="18"/>
  <c r="S66" i="18"/>
  <c r="S61" i="18"/>
  <c r="V66" i="18"/>
  <c r="AP76" i="18"/>
  <c r="AX76" i="18" s="1"/>
  <c r="Z77" i="18"/>
  <c r="AP77" i="18" s="1"/>
  <c r="X25" i="16"/>
  <c r="AB56" i="17"/>
  <c r="X63" i="17"/>
  <c r="AN36" i="16"/>
  <c r="E53" i="17"/>
  <c r="D54" i="17"/>
  <c r="E54" i="17" s="1"/>
  <c r="F54" i="17"/>
  <c r="X56" i="17"/>
  <c r="L54" i="17"/>
  <c r="AB20" i="17"/>
  <c r="X16" i="16"/>
  <c r="AF83" i="17"/>
  <c r="AN83" i="17" s="1"/>
  <c r="AY76" i="18"/>
  <c r="AN51" i="17"/>
  <c r="AB13" i="17"/>
  <c r="C50" i="1"/>
  <c r="D50" i="1"/>
  <c r="AN49" i="17"/>
  <c r="AJ46" i="1"/>
  <c r="H83" i="17"/>
  <c r="AB83" i="17" s="1"/>
  <c r="F81" i="18"/>
  <c r="Z81" i="18" s="1"/>
  <c r="L38" i="1"/>
  <c r="D38" i="1"/>
  <c r="Z60" i="18"/>
  <c r="C61" i="1"/>
  <c r="V31" i="18"/>
  <c r="AB59" i="17"/>
  <c r="X59" i="17"/>
  <c r="V12" i="18"/>
  <c r="AL83" i="18"/>
  <c r="AF70" i="18"/>
  <c r="AT81" i="18"/>
  <c r="D28" i="1"/>
  <c r="T36" i="1"/>
  <c r="U36" i="1" s="1"/>
  <c r="S36" i="1"/>
  <c r="S42" i="1"/>
  <c r="P42" i="1"/>
  <c r="AJ45" i="1"/>
  <c r="L29" i="1"/>
  <c r="S35" i="1"/>
  <c r="C21" i="1"/>
  <c r="D58" i="1"/>
  <c r="C58" i="1"/>
  <c r="T49" i="1"/>
  <c r="U49" i="1" s="1"/>
  <c r="S49" i="1"/>
  <c r="D53" i="1"/>
  <c r="C65" i="1"/>
  <c r="D65" i="1"/>
  <c r="C44" i="1"/>
  <c r="D44" i="1"/>
  <c r="V70" i="16"/>
  <c r="X30" i="16"/>
  <c r="X46" i="16"/>
  <c r="AB59" i="16"/>
  <c r="X65" i="16"/>
  <c r="E26" i="16"/>
  <c r="E30" i="16"/>
  <c r="E42" i="16"/>
  <c r="E46" i="16"/>
  <c r="E57" i="16"/>
  <c r="D62" i="16"/>
  <c r="E62" i="16" s="1"/>
  <c r="P70" i="17"/>
  <c r="X70" i="17" s="1"/>
  <c r="AN44" i="17"/>
  <c r="AN24" i="17"/>
  <c r="AN28" i="17"/>
  <c r="AN36" i="17"/>
  <c r="E21" i="17"/>
  <c r="E25" i="17"/>
  <c r="E28" i="17"/>
  <c r="E55" i="17"/>
  <c r="D62" i="17"/>
  <c r="E62" i="17" s="1"/>
  <c r="AN50" i="17"/>
  <c r="Z10" i="16"/>
  <c r="X51" i="17"/>
  <c r="F62" i="18"/>
  <c r="Z55" i="18"/>
  <c r="D23" i="1"/>
  <c r="N54" i="16"/>
  <c r="E52" i="17"/>
  <c r="AB34" i="16"/>
  <c r="AN14" i="16"/>
  <c r="Z34" i="18"/>
  <c r="AV83" i="18"/>
  <c r="L66" i="1"/>
  <c r="V7" i="16"/>
  <c r="J17" i="16"/>
  <c r="K17" i="16" s="1"/>
  <c r="C71" i="16"/>
  <c r="C72" i="16"/>
  <c r="AJ54" i="16"/>
  <c r="AD81" i="18"/>
  <c r="AL81" i="18" s="1"/>
  <c r="AL83" i="17"/>
  <c r="S61" i="1"/>
  <c r="C46" i="1"/>
  <c r="AB82" i="1"/>
  <c r="L82" i="16"/>
  <c r="L82" i="17" s="1"/>
  <c r="L82" i="18" s="1"/>
  <c r="L82" i="27" s="1"/>
  <c r="L82" i="28" s="1"/>
  <c r="L82" i="29" s="1"/>
  <c r="L82" i="30" s="1"/>
  <c r="L82" i="31" s="1"/>
  <c r="AF81" i="16"/>
  <c r="AN81" i="16" s="1"/>
  <c r="AF81" i="17"/>
  <c r="AN81" i="17" s="1"/>
  <c r="AF81" i="18"/>
  <c r="AN81" i="18" s="1"/>
  <c r="AR81" i="18" s="1"/>
  <c r="H81" i="16"/>
  <c r="AB81" i="16" s="1"/>
  <c r="P9" i="1"/>
  <c r="X9" i="1" s="1"/>
  <c r="L19" i="1"/>
  <c r="S21" i="1"/>
  <c r="C25" i="1"/>
  <c r="D25" i="1"/>
  <c r="C33" i="1"/>
  <c r="D33" i="1"/>
  <c r="T33" i="1"/>
  <c r="U33" i="1" s="1"/>
  <c r="S37" i="1"/>
  <c r="T37" i="1"/>
  <c r="U37" i="1" s="1"/>
  <c r="V40" i="1"/>
  <c r="D45" i="1"/>
  <c r="C56" i="1"/>
  <c r="T60" i="1"/>
  <c r="U60" i="1" s="1"/>
  <c r="S60" i="1"/>
  <c r="L71" i="1"/>
  <c r="L75" i="1"/>
  <c r="C31" i="1"/>
  <c r="D22" i="1"/>
  <c r="T38" i="1"/>
  <c r="U38" i="1" s="1"/>
  <c r="S38" i="1"/>
  <c r="AJ30" i="1"/>
  <c r="T73" i="1"/>
  <c r="U73" i="1" s="1"/>
  <c r="D41" i="1"/>
  <c r="C41" i="1"/>
  <c r="S29" i="1"/>
  <c r="S58" i="1"/>
  <c r="T58" i="1"/>
  <c r="U58" i="1" s="1"/>
  <c r="S63" i="1"/>
  <c r="T63" i="1"/>
  <c r="U63" i="1" s="1"/>
  <c r="V43" i="1"/>
  <c r="C42" i="1"/>
  <c r="D42" i="1"/>
  <c r="L41" i="1"/>
  <c r="T20" i="1"/>
  <c r="T35" i="1"/>
  <c r="U35" i="1"/>
  <c r="T45" i="1"/>
  <c r="AJ21" i="1"/>
  <c r="AJ75" i="1"/>
  <c r="L72" i="1"/>
  <c r="S57" i="1"/>
  <c r="D56" i="1"/>
  <c r="L57" i="1"/>
  <c r="T53" i="1"/>
  <c r="U53" i="1" s="1"/>
  <c r="S53" i="1"/>
  <c r="C73" i="1"/>
  <c r="C74" i="1"/>
  <c r="D74" i="1"/>
  <c r="AH17" i="16"/>
  <c r="AJ23" i="1"/>
  <c r="C35" i="1"/>
  <c r="D35" i="1"/>
  <c r="C32" i="1"/>
  <c r="D32" i="1"/>
  <c r="D49" i="1"/>
  <c r="C49" i="1"/>
  <c r="AV15" i="1"/>
  <c r="S28" i="18"/>
  <c r="V32" i="18"/>
  <c r="S37" i="18"/>
  <c r="Z46" i="18"/>
  <c r="V55" i="18"/>
  <c r="S55" i="18"/>
  <c r="AL55" i="18"/>
  <c r="AP55" i="18" s="1"/>
  <c r="AH62" i="18"/>
  <c r="S22" i="18"/>
  <c r="B54" i="18"/>
  <c r="C54" i="18" s="1"/>
  <c r="S52" i="18"/>
  <c r="V53" i="18"/>
  <c r="S53" i="18"/>
  <c r="C55" i="18"/>
  <c r="B62" i="18"/>
  <c r="C62" i="18" s="1"/>
  <c r="S56" i="18"/>
  <c r="V56" i="18"/>
  <c r="X16" i="18"/>
  <c r="T17" i="18"/>
  <c r="X14" i="18"/>
  <c r="Z59" i="18"/>
  <c r="AL59" i="18"/>
  <c r="AD62" i="18"/>
  <c r="AL62" i="18" s="1"/>
  <c r="V45" i="18"/>
  <c r="Z51" i="18"/>
  <c r="Z56" i="18"/>
  <c r="AP56" i="18" s="1"/>
  <c r="AX56" i="18" s="1"/>
  <c r="AL31" i="18"/>
  <c r="V42" i="18"/>
  <c r="V43" i="18"/>
  <c r="Z58" i="18"/>
  <c r="AL75" i="27"/>
  <c r="Z83" i="27"/>
  <c r="S78" i="27"/>
  <c r="S77" i="27"/>
  <c r="S75" i="27"/>
  <c r="S76" i="27"/>
  <c r="S68" i="27"/>
  <c r="S71" i="27"/>
  <c r="V15" i="27"/>
  <c r="S16" i="27"/>
  <c r="S11" i="27"/>
  <c r="S14" i="27"/>
  <c r="S15" i="27"/>
  <c r="AR68" i="27"/>
  <c r="V70" i="27"/>
  <c r="V71" i="27"/>
  <c r="Z72" i="27"/>
  <c r="S72" i="27"/>
  <c r="C73" i="27"/>
  <c r="C72" i="27"/>
  <c r="AL72" i="27"/>
  <c r="S73" i="27"/>
  <c r="V73" i="27"/>
  <c r="S74" i="27"/>
  <c r="AX78" i="27"/>
  <c r="AL73" i="27"/>
  <c r="V74" i="27"/>
  <c r="Z74" i="27"/>
  <c r="AP74" i="27" s="1"/>
  <c r="Z75" i="27"/>
  <c r="AP75" i="27" s="1"/>
  <c r="AP76" i="27"/>
  <c r="AY76" i="27" s="1"/>
  <c r="AN78" i="27"/>
  <c r="AX76" i="27"/>
  <c r="L33" i="1"/>
  <c r="AJ33" i="1"/>
  <c r="L34" i="1"/>
  <c r="AJ50" i="1"/>
  <c r="P57" i="1"/>
  <c r="AJ57" i="1"/>
  <c r="P58" i="1"/>
  <c r="X58" i="1" s="1"/>
  <c r="AJ58" i="1"/>
  <c r="C60" i="1"/>
  <c r="D60" i="1"/>
  <c r="V60" i="1"/>
  <c r="C63" i="1"/>
  <c r="D63" i="1"/>
  <c r="V63" i="1"/>
  <c r="S74" i="1"/>
  <c r="T74" i="1"/>
  <c r="U74" i="1" s="1"/>
  <c r="S75" i="1"/>
  <c r="T75" i="1"/>
  <c r="U75" i="1" s="1"/>
  <c r="AV24" i="1"/>
  <c r="AV63" i="1"/>
  <c r="V12" i="27"/>
  <c r="V20" i="28"/>
  <c r="AD62" i="27"/>
  <c r="T62" i="28"/>
  <c r="V13" i="28"/>
  <c r="Z14" i="28"/>
  <c r="AL16" i="28"/>
  <c r="AB24" i="28"/>
  <c r="C27" i="28"/>
  <c r="AN32" i="28"/>
  <c r="E57" i="28"/>
  <c r="X6" i="28"/>
  <c r="X10" i="28"/>
  <c r="AB10" i="28"/>
  <c r="S78" i="28"/>
  <c r="S77" i="28"/>
  <c r="S76" i="28"/>
  <c r="S68" i="28"/>
  <c r="S53" i="28"/>
  <c r="S58" i="28"/>
  <c r="S16" i="28"/>
  <c r="AD17" i="28"/>
  <c r="AH17" i="28"/>
  <c r="AB20" i="28"/>
  <c r="X22" i="28"/>
  <c r="AB22" i="28"/>
  <c r="AN22" i="28"/>
  <c r="X23" i="28"/>
  <c r="AN23" i="28"/>
  <c r="X24" i="28"/>
  <c r="AB25" i="28"/>
  <c r="S26" i="28"/>
  <c r="E27" i="28"/>
  <c r="X32" i="28"/>
  <c r="E35" i="28"/>
  <c r="S11" i="28"/>
  <c r="S14" i="28"/>
  <c r="S15" i="28"/>
  <c r="AN28" i="28"/>
  <c r="AN36" i="28"/>
  <c r="Z40" i="28"/>
  <c r="R18" i="28"/>
  <c r="Z19" i="28"/>
  <c r="AN24" i="28"/>
  <c r="AN27" i="28"/>
  <c r="X28" i="28"/>
  <c r="AB29" i="28"/>
  <c r="E31" i="28"/>
  <c r="AN35" i="28"/>
  <c r="X36" i="28"/>
  <c r="S38" i="28"/>
  <c r="AB38" i="28"/>
  <c r="E39" i="28"/>
  <c r="S65" i="28"/>
  <c r="AB32" i="28"/>
  <c r="S40" i="28"/>
  <c r="AB59" i="28"/>
  <c r="S24" i="28"/>
  <c r="AN51" i="28"/>
  <c r="AR51" i="28" s="1"/>
  <c r="L62" i="28"/>
  <c r="S45" i="28"/>
  <c r="X51" i="28"/>
  <c r="E52" i="28"/>
  <c r="X52" i="28"/>
  <c r="AB52" i="28"/>
  <c r="E53" i="28"/>
  <c r="B62" i="28"/>
  <c r="C62" i="28" s="1"/>
  <c r="AB57" i="28"/>
  <c r="E61" i="28"/>
  <c r="AN46" i="28"/>
  <c r="E49" i="28"/>
  <c r="L54" i="28"/>
  <c r="T54" i="28"/>
  <c r="R62" i="28"/>
  <c r="S62" i="28" s="1"/>
  <c r="E59" i="28"/>
  <c r="C63" i="28"/>
  <c r="AV62" i="28"/>
  <c r="D62" i="28"/>
  <c r="E62" i="28" s="1"/>
  <c r="AB56" i="28"/>
  <c r="AN56" i="28"/>
  <c r="X57" i="28"/>
  <c r="AN58" i="28"/>
  <c r="X59" i="28"/>
  <c r="AB60" i="28"/>
  <c r="AN60" i="28"/>
  <c r="X61" i="28"/>
  <c r="AN53" i="28"/>
  <c r="H62" i="28"/>
  <c r="C72" i="28"/>
  <c r="S66" i="28"/>
  <c r="S72" i="28"/>
  <c r="S63" i="28"/>
  <c r="BA68" i="28"/>
  <c r="AZ68" i="28"/>
  <c r="S75" i="28"/>
  <c r="S71" i="28"/>
  <c r="Z73" i="28"/>
  <c r="AX68" i="28"/>
  <c r="AL71" i="28"/>
  <c r="V72" i="28"/>
  <c r="AX78" i="28"/>
  <c r="AY78" i="28"/>
  <c r="C73" i="28"/>
  <c r="S73" i="28"/>
  <c r="S74" i="28"/>
  <c r="Z77" i="28"/>
  <c r="AP77" i="28"/>
  <c r="X77" i="28"/>
  <c r="AB78" i="28"/>
  <c r="AR78" i="28" s="1"/>
  <c r="V74" i="28"/>
  <c r="Z74" i="28"/>
  <c r="AL74" i="28"/>
  <c r="V75" i="28"/>
  <c r="Z75" i="28"/>
  <c r="AL75" i="28"/>
  <c r="Z83" i="28"/>
  <c r="AN78" i="28"/>
  <c r="S18" i="28"/>
  <c r="X14" i="28"/>
  <c r="AB30" i="28"/>
  <c r="H47" i="28"/>
  <c r="AN33" i="28"/>
  <c r="AF47" i="28"/>
  <c r="C49" i="28"/>
  <c r="B54" i="28"/>
  <c r="C54" i="28" s="1"/>
  <c r="AN49" i="28"/>
  <c r="X50" i="28"/>
  <c r="AB53" i="28"/>
  <c r="L70" i="28"/>
  <c r="X30" i="28"/>
  <c r="P47" i="28"/>
  <c r="X31" i="28"/>
  <c r="S41" i="28"/>
  <c r="S46" i="28"/>
  <c r="H54" i="28"/>
  <c r="AB50" i="28"/>
  <c r="AN59" i="28"/>
  <c r="AJ62" i="28"/>
  <c r="AN31" i="28"/>
  <c r="X33" i="28"/>
  <c r="X49" i="28"/>
  <c r="P54" i="28"/>
  <c r="AB49" i="28"/>
  <c r="AV54" i="28"/>
  <c r="X53" i="28"/>
  <c r="F81" i="16"/>
  <c r="Z81" i="16" s="1"/>
  <c r="Z9" i="28"/>
  <c r="AN40" i="28"/>
  <c r="AB66" i="28"/>
  <c r="V29" i="28"/>
  <c r="AN63" i="28"/>
  <c r="X65" i="28"/>
  <c r="AB65" i="28"/>
  <c r="AF6" i="1"/>
  <c r="AL57" i="28"/>
  <c r="AD62" i="28"/>
  <c r="AN25" i="28"/>
  <c r="AB31" i="28"/>
  <c r="AB36" i="28"/>
  <c r="AF54" i="28"/>
  <c r="AB77" i="28"/>
  <c r="F81" i="29"/>
  <c r="Z81" i="29"/>
  <c r="V60" i="28"/>
  <c r="AN66" i="28"/>
  <c r="B47" i="29"/>
  <c r="C47" i="29" s="1"/>
  <c r="AL9" i="28"/>
  <c r="AB26" i="28"/>
  <c r="AB35" i="28"/>
  <c r="AR35" i="28" s="1"/>
  <c r="J62" i="28"/>
  <c r="Z13" i="29"/>
  <c r="AP13" i="29" s="1"/>
  <c r="AX13" i="29" s="1"/>
  <c r="P17" i="29"/>
  <c r="C20" i="29"/>
  <c r="AN25" i="29"/>
  <c r="AR25" i="29" s="1"/>
  <c r="AB26" i="29"/>
  <c r="AR26" i="29" s="1"/>
  <c r="X26" i="29"/>
  <c r="AN26" i="29"/>
  <c r="AB27" i="29"/>
  <c r="AR27" i="29" s="1"/>
  <c r="X27" i="29"/>
  <c r="AB28" i="29"/>
  <c r="X28" i="29"/>
  <c r="AN28" i="29"/>
  <c r="AB30" i="29"/>
  <c r="AN30" i="29"/>
  <c r="AN32" i="29"/>
  <c r="AB34" i="29"/>
  <c r="AN34" i="29"/>
  <c r="AR34" i="29" s="1"/>
  <c r="AB35" i="29"/>
  <c r="AR35" i="29" s="1"/>
  <c r="X35" i="29"/>
  <c r="AN35" i="29"/>
  <c r="AB36" i="29"/>
  <c r="X36" i="29"/>
  <c r="AN36" i="29"/>
  <c r="X37" i="29"/>
  <c r="AN37" i="29"/>
  <c r="AB38" i="29"/>
  <c r="X38" i="29"/>
  <c r="AN38" i="29"/>
  <c r="AB39" i="29"/>
  <c r="X39" i="29"/>
  <c r="AB40" i="29"/>
  <c r="X40" i="29"/>
  <c r="AN40" i="29"/>
  <c r="AB41" i="29"/>
  <c r="AR41" i="29" s="1"/>
  <c r="X41" i="29"/>
  <c r="AN41" i="29"/>
  <c r="AB42" i="29"/>
  <c r="X42" i="29"/>
  <c r="AN42" i="29"/>
  <c r="AN43" i="29"/>
  <c r="AB44" i="29"/>
  <c r="X44" i="29"/>
  <c r="AN44" i="29"/>
  <c r="AB45" i="29"/>
  <c r="X45" i="29"/>
  <c r="AN45" i="29"/>
  <c r="AB46" i="29"/>
  <c r="X46" i="29"/>
  <c r="AN46" i="29"/>
  <c r="AB50" i="29"/>
  <c r="X50" i="29"/>
  <c r="AN50" i="29"/>
  <c r="AB51" i="29"/>
  <c r="X51" i="29"/>
  <c r="AN51" i="29"/>
  <c r="AR51" i="29" s="1"/>
  <c r="AB52" i="29"/>
  <c r="X52" i="29"/>
  <c r="AN52" i="29"/>
  <c r="AB53" i="29"/>
  <c r="X53" i="29"/>
  <c r="AN53" i="29"/>
  <c r="AB56" i="29"/>
  <c r="X56" i="29"/>
  <c r="AN56" i="29"/>
  <c r="X57" i="29"/>
  <c r="AN57" i="29"/>
  <c r="AB58" i="29"/>
  <c r="X59" i="29"/>
  <c r="AB60" i="29"/>
  <c r="AN60" i="29"/>
  <c r="X61" i="29"/>
  <c r="AB65" i="29"/>
  <c r="X65" i="29"/>
  <c r="AN65" i="29"/>
  <c r="AR65" i="29" s="1"/>
  <c r="X66" i="29"/>
  <c r="AN66" i="29"/>
  <c r="Z73" i="29"/>
  <c r="Z74" i="29"/>
  <c r="V74" i="29"/>
  <c r="AL74" i="29"/>
  <c r="Z75" i="29"/>
  <c r="V75" i="29"/>
  <c r="AL75" i="29"/>
  <c r="AP82" i="29"/>
  <c r="AY82" i="29" s="1"/>
  <c r="AF7" i="1"/>
  <c r="AF10" i="1"/>
  <c r="AB34" i="28"/>
  <c r="Z58" i="28"/>
  <c r="Z12" i="28"/>
  <c r="AN26" i="28"/>
  <c r="AB43" i="28"/>
  <c r="AR43" i="28" s="1"/>
  <c r="AB46" i="28"/>
  <c r="AR46" i="28" s="1"/>
  <c r="AN55" i="28"/>
  <c r="V56" i="28"/>
  <c r="Z56" i="28"/>
  <c r="AN61" i="28"/>
  <c r="AB75" i="28"/>
  <c r="V57" i="28"/>
  <c r="T11" i="29"/>
  <c r="U41" i="29" s="1"/>
  <c r="AH11" i="29"/>
  <c r="AI46" i="29" s="1"/>
  <c r="F11" i="29"/>
  <c r="X12" i="29"/>
  <c r="AN13" i="29"/>
  <c r="AD17" i="29"/>
  <c r="AL17" i="29" s="1"/>
  <c r="AT17" i="29"/>
  <c r="AB16" i="29"/>
  <c r="AP45" i="29"/>
  <c r="AY45" i="29" s="1"/>
  <c r="X77" i="29"/>
  <c r="AB7" i="29"/>
  <c r="AR7" i="29" s="1"/>
  <c r="BA7" i="29" s="1"/>
  <c r="AL8" i="29"/>
  <c r="S49" i="29"/>
  <c r="AB12" i="29"/>
  <c r="L17" i="29"/>
  <c r="C36" i="29"/>
  <c r="V49" i="29"/>
  <c r="S53" i="29"/>
  <c r="AH54" i="29"/>
  <c r="AP8" i="29"/>
  <c r="V8" i="29"/>
  <c r="AL9" i="29"/>
  <c r="AB10" i="29"/>
  <c r="X10" i="29"/>
  <c r="AJ17" i="29"/>
  <c r="AV17" i="29"/>
  <c r="F17" i="29"/>
  <c r="F18" i="29" s="1"/>
  <c r="Z15" i="29"/>
  <c r="AP15" i="29" s="1"/>
  <c r="N17" i="29"/>
  <c r="V17" i="29" s="1"/>
  <c r="V15" i="29"/>
  <c r="L11" i="29"/>
  <c r="AN14" i="29"/>
  <c r="AD11" i="29"/>
  <c r="AJ11" i="29"/>
  <c r="AK14" i="29" s="1"/>
  <c r="AU78" i="29"/>
  <c r="AU76" i="29"/>
  <c r="AU68" i="29"/>
  <c r="AU74" i="29"/>
  <c r="AU61" i="29"/>
  <c r="AU60" i="29"/>
  <c r="AU50" i="29"/>
  <c r="AU45" i="29"/>
  <c r="AU43" i="29"/>
  <c r="AU38" i="29"/>
  <c r="AU58" i="29"/>
  <c r="AU53" i="29"/>
  <c r="AU46" i="29"/>
  <c r="AU44" i="29"/>
  <c r="AU36" i="29"/>
  <c r="AU7" i="29"/>
  <c r="AU26" i="29"/>
  <c r="AU25" i="29"/>
  <c r="AU24" i="29"/>
  <c r="AU22" i="29"/>
  <c r="AU21" i="29"/>
  <c r="AU20" i="29"/>
  <c r="AU39" i="29"/>
  <c r="N11" i="29"/>
  <c r="O8" i="29" s="1"/>
  <c r="AU10" i="29"/>
  <c r="AB13" i="29"/>
  <c r="J17" i="29"/>
  <c r="K17" i="29" s="1"/>
  <c r="AR24" i="29"/>
  <c r="AB6" i="29"/>
  <c r="P11" i="29"/>
  <c r="Q50" i="29" s="1"/>
  <c r="AV11" i="29"/>
  <c r="AW29" i="29" s="1"/>
  <c r="J11" i="29"/>
  <c r="AU8" i="29"/>
  <c r="AU11" i="29"/>
  <c r="H17" i="29"/>
  <c r="AB14" i="29"/>
  <c r="AU15" i="29"/>
  <c r="AN16" i="29"/>
  <c r="X30" i="29"/>
  <c r="AB31" i="29"/>
  <c r="X32" i="29"/>
  <c r="X34" i="29"/>
  <c r="AU35" i="29"/>
  <c r="AL6" i="29"/>
  <c r="AN8" i="29"/>
  <c r="S9" i="29"/>
  <c r="AL10" i="29"/>
  <c r="AP10" i="29" s="1"/>
  <c r="AF11" i="29"/>
  <c r="AG46" i="29" s="1"/>
  <c r="X14" i="29"/>
  <c r="X15" i="29"/>
  <c r="AN15" i="29"/>
  <c r="R18" i="29"/>
  <c r="J47" i="29"/>
  <c r="R47" i="29"/>
  <c r="S47" i="29" s="1"/>
  <c r="V19" i="29"/>
  <c r="Z19" i="29"/>
  <c r="AP19" i="29" s="1"/>
  <c r="AX19" i="29" s="1"/>
  <c r="AL19" i="29"/>
  <c r="AT47" i="29"/>
  <c r="AT48" i="29" s="1"/>
  <c r="V29" i="29"/>
  <c r="AL29" i="29"/>
  <c r="AU29" i="29"/>
  <c r="S30" i="29"/>
  <c r="AL31" i="29"/>
  <c r="AU31" i="29"/>
  <c r="S32" i="29"/>
  <c r="V33" i="29"/>
  <c r="AL33" i="29"/>
  <c r="AU33" i="29"/>
  <c r="S34" i="29"/>
  <c r="AL35" i="29"/>
  <c r="S36" i="29"/>
  <c r="AU37" i="29"/>
  <c r="AB29" i="29"/>
  <c r="S6" i="29"/>
  <c r="AU6" i="29"/>
  <c r="V7" i="29"/>
  <c r="Z7" i="29"/>
  <c r="AP7" i="29" s="1"/>
  <c r="AX7" i="29" s="1"/>
  <c r="S10" i="29"/>
  <c r="AL14" i="29"/>
  <c r="S19" i="29"/>
  <c r="S20" i="29"/>
  <c r="S21" i="29"/>
  <c r="S22" i="29"/>
  <c r="S23" i="29"/>
  <c r="S24" i="29"/>
  <c r="S25" i="29"/>
  <c r="S26" i="29"/>
  <c r="S27" i="29"/>
  <c r="S28" i="29"/>
  <c r="X29" i="29"/>
  <c r="AN29" i="29"/>
  <c r="AN31" i="29"/>
  <c r="AB32" i="29"/>
  <c r="X33" i="29"/>
  <c r="Z35" i="29"/>
  <c r="V35" i="29"/>
  <c r="Z37" i="29"/>
  <c r="S39" i="29"/>
  <c r="S41" i="29"/>
  <c r="S44" i="29"/>
  <c r="AB33" i="29"/>
  <c r="AR33" i="29" s="1"/>
  <c r="S78" i="29"/>
  <c r="S76" i="29"/>
  <c r="S77" i="29"/>
  <c r="S75" i="29"/>
  <c r="S74" i="29"/>
  <c r="S68" i="29"/>
  <c r="S60" i="29"/>
  <c r="S58" i="29"/>
  <c r="S63" i="29"/>
  <c r="S61" i="29"/>
  <c r="S59" i="29"/>
  <c r="S57" i="29"/>
  <c r="S56" i="29"/>
  <c r="S52" i="29"/>
  <c r="S50" i="29"/>
  <c r="S45" i="29"/>
  <c r="S43" i="29"/>
  <c r="S42" i="29"/>
  <c r="S40" i="29"/>
  <c r="S38" i="29"/>
  <c r="S16" i="29"/>
  <c r="D47" i="29"/>
  <c r="T47" i="29"/>
  <c r="X19" i="29"/>
  <c r="AB19" i="29"/>
  <c r="AJ47" i="29"/>
  <c r="AN47" i="29" s="1"/>
  <c r="AN19" i="29"/>
  <c r="AV47" i="29"/>
  <c r="AU28" i="29"/>
  <c r="S29" i="29"/>
  <c r="Z29" i="29"/>
  <c r="V30" i="29"/>
  <c r="AL30" i="29"/>
  <c r="AP30" i="29" s="1"/>
  <c r="AU30" i="29"/>
  <c r="S31" i="29"/>
  <c r="Z31" i="29"/>
  <c r="AP31" i="29" s="1"/>
  <c r="AY31" i="29" s="1"/>
  <c r="V32" i="29"/>
  <c r="AL32" i="29"/>
  <c r="AU32" i="29"/>
  <c r="S33" i="29"/>
  <c r="Z33" i="29"/>
  <c r="AL34" i="29"/>
  <c r="AU34" i="29"/>
  <c r="C35" i="29"/>
  <c r="C37" i="29"/>
  <c r="AL37" i="29"/>
  <c r="S46" i="29"/>
  <c r="S51" i="29"/>
  <c r="V57" i="29"/>
  <c r="V37" i="29"/>
  <c r="R62" i="29"/>
  <c r="S55" i="29"/>
  <c r="V55" i="29"/>
  <c r="AL57" i="29"/>
  <c r="Z58" i="29"/>
  <c r="F62" i="29"/>
  <c r="Z55" i="29"/>
  <c r="AP55" i="29" s="1"/>
  <c r="AH62" i="29"/>
  <c r="AL55" i="29"/>
  <c r="X49" i="29"/>
  <c r="AB49" i="29"/>
  <c r="AR49" i="29"/>
  <c r="AN49" i="29"/>
  <c r="N54" i="29"/>
  <c r="AD54" i="29"/>
  <c r="AL54" i="29" s="1"/>
  <c r="L62" i="29"/>
  <c r="M62" i="29" s="1"/>
  <c r="AB55" i="29"/>
  <c r="V56" i="29"/>
  <c r="AL56" i="29"/>
  <c r="AP56" i="29" s="1"/>
  <c r="AU56" i="29"/>
  <c r="AB57" i="29"/>
  <c r="AR57" i="29" s="1"/>
  <c r="B62" i="29"/>
  <c r="C62" i="29" s="1"/>
  <c r="C55" i="29"/>
  <c r="E60" i="29"/>
  <c r="Z65" i="29"/>
  <c r="Z49" i="29"/>
  <c r="AP49" i="29" s="1"/>
  <c r="E55" i="29"/>
  <c r="D62" i="29"/>
  <c r="E62" i="29" s="1"/>
  <c r="X55" i="29"/>
  <c r="P62" i="29"/>
  <c r="AN55" i="29"/>
  <c r="AF62" i="29"/>
  <c r="AV62" i="29"/>
  <c r="AW62" i="29" s="1"/>
  <c r="E57" i="29"/>
  <c r="Z57" i="29"/>
  <c r="E58" i="29"/>
  <c r="AB63" i="29"/>
  <c r="AU63" i="29"/>
  <c r="Z66" i="29"/>
  <c r="AP66" i="29" s="1"/>
  <c r="S66" i="29"/>
  <c r="AB71" i="29"/>
  <c r="AR71" i="29" s="1"/>
  <c r="X71" i="29"/>
  <c r="AN71" i="29"/>
  <c r="N62" i="29"/>
  <c r="AD62" i="29"/>
  <c r="AT62" i="29"/>
  <c r="AU62" i="29" s="1"/>
  <c r="AB59" i="29"/>
  <c r="AR59" i="29" s="1"/>
  <c r="BA59" i="29" s="1"/>
  <c r="AN59" i="29"/>
  <c r="X60" i="29"/>
  <c r="AB61" i="29"/>
  <c r="AN61" i="29"/>
  <c r="AR61" i="29" s="1"/>
  <c r="E63" i="29"/>
  <c r="AL63" i="29"/>
  <c r="AN63" i="29"/>
  <c r="AR63" i="29" s="1"/>
  <c r="BA63" i="29" s="1"/>
  <c r="C66" i="29"/>
  <c r="AU66" i="29"/>
  <c r="J62" i="29"/>
  <c r="X58" i="29"/>
  <c r="AN58" i="29"/>
  <c r="AJ62" i="29"/>
  <c r="X63" i="29"/>
  <c r="V66" i="29"/>
  <c r="S65" i="29"/>
  <c r="AP68" i="29"/>
  <c r="AY68" i="29" s="1"/>
  <c r="AU65" i="29"/>
  <c r="S72" i="29"/>
  <c r="AU72" i="29"/>
  <c r="E72" i="29"/>
  <c r="S73" i="29"/>
  <c r="AR68" i="29"/>
  <c r="S71" i="29"/>
  <c r="AB72" i="29"/>
  <c r="AG74" i="29"/>
  <c r="AN74" i="29"/>
  <c r="AN70" i="29"/>
  <c r="AU71" i="29"/>
  <c r="AB74" i="29"/>
  <c r="Q73" i="29"/>
  <c r="V73" i="29"/>
  <c r="AL73" i="29"/>
  <c r="AB76" i="29"/>
  <c r="AU77" i="29"/>
  <c r="AR78" i="29"/>
  <c r="AZ78" i="29" s="1"/>
  <c r="V70" i="29"/>
  <c r="AL70" i="29"/>
  <c r="V71" i="29"/>
  <c r="Z71" i="29"/>
  <c r="AL71" i="29"/>
  <c r="V72" i="29"/>
  <c r="Z72" i="29"/>
  <c r="AL72" i="29"/>
  <c r="AB73" i="29"/>
  <c r="AP76" i="29"/>
  <c r="AB77" i="29"/>
  <c r="H83" i="29"/>
  <c r="AB83" i="29" s="1"/>
  <c r="Z83" i="29"/>
  <c r="C73" i="29"/>
  <c r="X73" i="29"/>
  <c r="AN73" i="29"/>
  <c r="X74" i="29"/>
  <c r="E74" i="29"/>
  <c r="E75" i="29"/>
  <c r="X76" i="29"/>
  <c r="E76" i="29"/>
  <c r="AN77" i="29"/>
  <c r="AP78" i="29"/>
  <c r="AN76" i="29"/>
  <c r="X78" i="29"/>
  <c r="O9" i="29"/>
  <c r="O65" i="29"/>
  <c r="O33" i="29"/>
  <c r="O56" i="29"/>
  <c r="AE8" i="29"/>
  <c r="AG47" i="29"/>
  <c r="S18" i="29"/>
  <c r="AW22" i="29"/>
  <c r="AG7" i="29"/>
  <c r="Q16" i="29"/>
  <c r="AX78" i="29"/>
  <c r="AY78" i="29"/>
  <c r="AX68" i="29"/>
  <c r="AG76" i="29"/>
  <c r="AG68" i="29"/>
  <c r="AG63" i="29"/>
  <c r="AG66" i="29"/>
  <c r="AG53" i="29"/>
  <c r="AG52" i="29"/>
  <c r="AG51" i="29"/>
  <c r="AG50" i="29"/>
  <c r="AG49" i="29"/>
  <c r="AG44" i="29"/>
  <c r="AG43" i="29"/>
  <c r="AG37" i="29"/>
  <c r="AG41" i="29"/>
  <c r="AG39" i="29"/>
  <c r="AG35" i="29"/>
  <c r="AG42" i="29"/>
  <c r="AG40" i="29"/>
  <c r="AG38" i="29"/>
  <c r="AF18" i="29"/>
  <c r="AG18" i="29" s="1"/>
  <c r="AG14" i="29"/>
  <c r="AG11" i="29"/>
  <c r="AG27" i="29"/>
  <c r="AG25" i="29"/>
  <c r="AG23" i="29"/>
  <c r="AG21" i="29"/>
  <c r="AG19" i="29"/>
  <c r="AG26" i="29"/>
  <c r="AG24" i="29"/>
  <c r="AG22" i="29"/>
  <c r="AG6" i="29"/>
  <c r="AG16" i="29"/>
  <c r="AG15" i="29"/>
  <c r="AX76" i="29"/>
  <c r="AY76" i="29"/>
  <c r="AR76" i="29"/>
  <c r="AZ68" i="29"/>
  <c r="BA68" i="29"/>
  <c r="V54" i="29"/>
  <c r="Q66" i="29"/>
  <c r="Q21" i="29"/>
  <c r="Q22" i="29"/>
  <c r="AR6" i="29"/>
  <c r="BA6" i="29" s="1"/>
  <c r="O77" i="29"/>
  <c r="O76" i="29"/>
  <c r="O68" i="29"/>
  <c r="O59" i="29"/>
  <c r="O73" i="29"/>
  <c r="O60" i="29"/>
  <c r="O51" i="29"/>
  <c r="O49" i="29"/>
  <c r="O44" i="29"/>
  <c r="O39" i="29"/>
  <c r="O6" i="29"/>
  <c r="O25" i="29"/>
  <c r="O24" i="29"/>
  <c r="O22" i="29"/>
  <c r="O20" i="29"/>
  <c r="O14" i="29"/>
  <c r="AZ6" i="29"/>
  <c r="AZ76" i="29"/>
  <c r="BA76" i="29"/>
  <c r="E23" i="29"/>
  <c r="AB76" i="30"/>
  <c r="AB15" i="30"/>
  <c r="AR15" i="30" s="1"/>
  <c r="AT17" i="30"/>
  <c r="AB16" i="30"/>
  <c r="Z19" i="30"/>
  <c r="AP19" i="30" s="1"/>
  <c r="AL19" i="30"/>
  <c r="V32" i="30"/>
  <c r="AL32" i="30"/>
  <c r="AL33" i="30"/>
  <c r="Z34" i="30"/>
  <c r="V34" i="30"/>
  <c r="Z35" i="30"/>
  <c r="V35" i="30"/>
  <c r="AL35" i="30"/>
  <c r="V36" i="30"/>
  <c r="AL36" i="30"/>
  <c r="Z39" i="30"/>
  <c r="AL42" i="30"/>
  <c r="Z50" i="30"/>
  <c r="V50" i="30"/>
  <c r="AL50" i="30"/>
  <c r="AP50" i="30" s="1"/>
  <c r="AX50" i="30" s="1"/>
  <c r="Z51" i="30"/>
  <c r="V51" i="30"/>
  <c r="AL51" i="30"/>
  <c r="Z53" i="30"/>
  <c r="Z56" i="30"/>
  <c r="Z58" i="30"/>
  <c r="Z61" i="30"/>
  <c r="AL61" i="30"/>
  <c r="AB71" i="30"/>
  <c r="X71" i="30"/>
  <c r="AB72" i="30"/>
  <c r="X73" i="30"/>
  <c r="AN73" i="30"/>
  <c r="X74" i="30"/>
  <c r="AN74" i="30"/>
  <c r="AR74" i="30" s="1"/>
  <c r="BA74" i="30" s="1"/>
  <c r="AB75" i="30"/>
  <c r="AR75" i="30" s="1"/>
  <c r="AN75" i="30"/>
  <c r="AF17" i="30"/>
  <c r="AJ39" i="1"/>
  <c r="S44" i="1"/>
  <c r="T44" i="1"/>
  <c r="L21" i="1"/>
  <c r="L49" i="1"/>
  <c r="AJ49" i="1"/>
  <c r="AF16" i="1"/>
  <c r="AN16" i="1" s="1"/>
  <c r="P25" i="1"/>
  <c r="AJ26" i="1"/>
  <c r="AJ37" i="1"/>
  <c r="P46" i="1"/>
  <c r="N62" i="1"/>
  <c r="P62" i="1" s="1"/>
  <c r="V56" i="1"/>
  <c r="S65" i="1"/>
  <c r="T65" i="1"/>
  <c r="U65" i="1" s="1"/>
  <c r="AJ72" i="1"/>
  <c r="D29" i="1"/>
  <c r="T52" i="1"/>
  <c r="U52" i="1" s="1"/>
  <c r="AJ22" i="1"/>
  <c r="D24" i="1"/>
  <c r="L70" i="1"/>
  <c r="T11" i="30"/>
  <c r="U76" i="30" s="1"/>
  <c r="AF11" i="30"/>
  <c r="AG74" i="30" s="1"/>
  <c r="X12" i="30"/>
  <c r="F11" i="30"/>
  <c r="G55" i="30" s="1"/>
  <c r="N11" i="30"/>
  <c r="O41" i="30" s="1"/>
  <c r="AH11" i="30"/>
  <c r="AI35" i="30" s="1"/>
  <c r="AN7" i="30"/>
  <c r="AR7" i="30" s="1"/>
  <c r="AB8" i="30"/>
  <c r="AR8" i="30" s="1"/>
  <c r="BA8" i="30" s="1"/>
  <c r="V13" i="30"/>
  <c r="AK10" i="30"/>
  <c r="AK56" i="30"/>
  <c r="AK50" i="30"/>
  <c r="AK25" i="30"/>
  <c r="AK11" i="30"/>
  <c r="V7" i="30"/>
  <c r="Z7" i="30"/>
  <c r="X9" i="30"/>
  <c r="AB9" i="30"/>
  <c r="AL14" i="30"/>
  <c r="AV17" i="30"/>
  <c r="E19" i="30"/>
  <c r="J47" i="30"/>
  <c r="S20" i="30"/>
  <c r="V21" i="30"/>
  <c r="AL21" i="30"/>
  <c r="C22" i="30"/>
  <c r="S22" i="30"/>
  <c r="S23" i="30"/>
  <c r="S24" i="30"/>
  <c r="S25" i="30"/>
  <c r="S29" i="30"/>
  <c r="X6" i="30"/>
  <c r="AB6" i="30"/>
  <c r="AN6" i="30"/>
  <c r="X10" i="30"/>
  <c r="AB10" i="30"/>
  <c r="AN10" i="30"/>
  <c r="S78" i="30"/>
  <c r="S77" i="30"/>
  <c r="S76" i="30"/>
  <c r="S68" i="30"/>
  <c r="S50" i="30"/>
  <c r="S35" i="30"/>
  <c r="S32" i="30"/>
  <c r="AL15" i="30"/>
  <c r="S16" i="30"/>
  <c r="AN16" i="30"/>
  <c r="L17" i="30"/>
  <c r="AH17" i="30"/>
  <c r="F47" i="30"/>
  <c r="AB19" i="30"/>
  <c r="AB20" i="30"/>
  <c r="X21" i="30"/>
  <c r="AN21" i="30"/>
  <c r="E22" i="30"/>
  <c r="S26" i="30"/>
  <c r="S30" i="30"/>
  <c r="AK6" i="30"/>
  <c r="S11" i="30"/>
  <c r="S14" i="30"/>
  <c r="AN14" i="30"/>
  <c r="S15" i="30"/>
  <c r="X16" i="30"/>
  <c r="H17" i="30"/>
  <c r="N17" i="30"/>
  <c r="B47" i="30"/>
  <c r="B48" i="30" s="1"/>
  <c r="C48" i="30" s="1"/>
  <c r="C19" i="30"/>
  <c r="R47" i="30"/>
  <c r="S19" i="30"/>
  <c r="AH47" i="30"/>
  <c r="V20" i="30"/>
  <c r="AL20" i="30"/>
  <c r="S21" i="30"/>
  <c r="Z21" i="30"/>
  <c r="Z22" i="30"/>
  <c r="S27" i="30"/>
  <c r="S31" i="30"/>
  <c r="AI31" i="30"/>
  <c r="X8" i="30"/>
  <c r="X14" i="30"/>
  <c r="X15" i="30"/>
  <c r="R18" i="30"/>
  <c r="N47" i="30"/>
  <c r="AD47" i="30"/>
  <c r="AJ47" i="30"/>
  <c r="AK47" i="30" s="1"/>
  <c r="AT47" i="30"/>
  <c r="X20" i="30"/>
  <c r="AN20" i="30"/>
  <c r="AB21" i="30"/>
  <c r="AB22" i="30"/>
  <c r="S28" i="30"/>
  <c r="E23" i="30"/>
  <c r="E24" i="30"/>
  <c r="E25" i="30"/>
  <c r="V22" i="30"/>
  <c r="AL22" i="30"/>
  <c r="V23" i="30"/>
  <c r="Z23" i="30"/>
  <c r="AL23" i="30"/>
  <c r="V24" i="30"/>
  <c r="Z24" i="30"/>
  <c r="AL24" i="30"/>
  <c r="V25" i="30"/>
  <c r="Z25" i="30"/>
  <c r="AL25" i="30"/>
  <c r="V26" i="30"/>
  <c r="Z26" i="30"/>
  <c r="AL26" i="30"/>
  <c r="V27" i="30"/>
  <c r="Z27" i="30"/>
  <c r="AL27" i="30"/>
  <c r="V28" i="30"/>
  <c r="Z28" i="30"/>
  <c r="AL28" i="30"/>
  <c r="AP28" i="30" s="1"/>
  <c r="V29" i="30"/>
  <c r="Z29" i="30"/>
  <c r="AL29" i="30"/>
  <c r="V30" i="30"/>
  <c r="Z30" i="30"/>
  <c r="AL30" i="30"/>
  <c r="V31" i="30"/>
  <c r="Z31" i="30"/>
  <c r="AL31" i="30"/>
  <c r="Z32" i="30"/>
  <c r="Z33" i="30"/>
  <c r="AP33" i="30" s="1"/>
  <c r="V33" i="30"/>
  <c r="AB33" i="30"/>
  <c r="C33" i="30"/>
  <c r="S33" i="30"/>
  <c r="AN33" i="30"/>
  <c r="S34" i="30"/>
  <c r="C34" i="30"/>
  <c r="O34" i="30"/>
  <c r="AL34" i="30"/>
  <c r="C36" i="30"/>
  <c r="S36" i="30"/>
  <c r="S37" i="30"/>
  <c r="AI37" i="30"/>
  <c r="V38" i="30"/>
  <c r="AL38" i="30"/>
  <c r="S39" i="30"/>
  <c r="S41" i="30"/>
  <c r="AL41" i="30"/>
  <c r="AB43" i="30"/>
  <c r="E44" i="30"/>
  <c r="AN44" i="30"/>
  <c r="X34" i="30"/>
  <c r="AB34" i="30"/>
  <c r="Z36" i="30"/>
  <c r="AP36" i="30" s="1"/>
  <c r="AX36" i="30" s="1"/>
  <c r="X38" i="30"/>
  <c r="AN38" i="30"/>
  <c r="E39" i="30"/>
  <c r="AB39" i="30"/>
  <c r="V40" i="30"/>
  <c r="AI40" i="30"/>
  <c r="C42" i="30"/>
  <c r="S42" i="30"/>
  <c r="C43" i="30"/>
  <c r="S46" i="30"/>
  <c r="V37" i="30"/>
  <c r="AL37" i="30"/>
  <c r="S38" i="30"/>
  <c r="Z38" i="30"/>
  <c r="AP38" i="30" s="1"/>
  <c r="AX38" i="30" s="1"/>
  <c r="V39" i="30"/>
  <c r="AL39" i="30"/>
  <c r="Z40" i="30"/>
  <c r="AK40" i="30"/>
  <c r="V41" i="30"/>
  <c r="AI41" i="30"/>
  <c r="S43" i="30"/>
  <c r="V44" i="30"/>
  <c r="AK44" i="30"/>
  <c r="AI45" i="30"/>
  <c r="AB36" i="30"/>
  <c r="X37" i="30"/>
  <c r="AN37" i="30"/>
  <c r="AB38" i="30"/>
  <c r="X39" i="30"/>
  <c r="AN39" i="30"/>
  <c r="S40" i="30"/>
  <c r="AL40" i="30"/>
  <c r="Z41" i="30"/>
  <c r="AK41" i="30"/>
  <c r="Z42" i="30"/>
  <c r="AP42" i="30" s="1"/>
  <c r="AX42" i="30" s="1"/>
  <c r="V42" i="30"/>
  <c r="X44" i="30"/>
  <c r="AL44" i="30"/>
  <c r="X45" i="30"/>
  <c r="AB52" i="30"/>
  <c r="AL52" i="30"/>
  <c r="E53" i="30"/>
  <c r="O43" i="30"/>
  <c r="Z44" i="30"/>
  <c r="Z45" i="30"/>
  <c r="O46" i="30"/>
  <c r="C52" i="30"/>
  <c r="X53" i="30"/>
  <c r="C56" i="30"/>
  <c r="C58" i="30"/>
  <c r="S66" i="30"/>
  <c r="X40" i="30"/>
  <c r="AB40" i="30"/>
  <c r="AN40" i="30"/>
  <c r="X41" i="30"/>
  <c r="AB41" i="30"/>
  <c r="AN41" i="30"/>
  <c r="E43" i="30"/>
  <c r="Z43" i="30"/>
  <c r="AB44" i="30"/>
  <c r="C45" i="30"/>
  <c r="S45" i="30"/>
  <c r="S52" i="30"/>
  <c r="V52" i="30"/>
  <c r="AB53" i="30"/>
  <c r="V53" i="30"/>
  <c r="AN53" i="30"/>
  <c r="AT54" i="30"/>
  <c r="V60" i="30"/>
  <c r="AK60" i="30"/>
  <c r="C63" i="30"/>
  <c r="V43" i="30"/>
  <c r="AL43" i="30"/>
  <c r="S44" i="30"/>
  <c r="AI44" i="30"/>
  <c r="O45" i="30"/>
  <c r="S49" i="30"/>
  <c r="Z52" i="30"/>
  <c r="AL53" i="30"/>
  <c r="AP53" i="30" s="1"/>
  <c r="H54" i="30"/>
  <c r="V45" i="30"/>
  <c r="AL45" i="30"/>
  <c r="V46" i="30"/>
  <c r="Z46" i="30"/>
  <c r="AL46" i="30"/>
  <c r="V49" i="30"/>
  <c r="Z49" i="30"/>
  <c r="AL49" i="30"/>
  <c r="S51" i="30"/>
  <c r="AI51" i="30"/>
  <c r="O52" i="30"/>
  <c r="B54" i="30"/>
  <c r="C54" i="30" s="1"/>
  <c r="J54" i="30"/>
  <c r="R54" i="30"/>
  <c r="S54" i="30" s="1"/>
  <c r="AH54" i="30"/>
  <c r="N62" i="30"/>
  <c r="V55" i="30"/>
  <c r="AH62" i="30"/>
  <c r="AI62" i="30" s="1"/>
  <c r="AT62" i="30"/>
  <c r="S56" i="30"/>
  <c r="AL56" i="30"/>
  <c r="O57" i="30"/>
  <c r="V57" i="30"/>
  <c r="S58" i="30"/>
  <c r="AL58" i="30"/>
  <c r="Z59" i="30"/>
  <c r="V59" i="30"/>
  <c r="AL60" i="30"/>
  <c r="X61" i="30"/>
  <c r="S63" i="30"/>
  <c r="AI66" i="30"/>
  <c r="O73" i="30"/>
  <c r="V73" i="30"/>
  <c r="S75" i="30"/>
  <c r="X77" i="30"/>
  <c r="E52" i="30"/>
  <c r="D54" i="30"/>
  <c r="B62" i="30"/>
  <c r="C55" i="30"/>
  <c r="Z55" i="30"/>
  <c r="AJ62" i="30"/>
  <c r="Z57" i="30"/>
  <c r="C59" i="30"/>
  <c r="AI59" i="30"/>
  <c r="AL59" i="30"/>
  <c r="E60" i="30"/>
  <c r="AN60" i="30"/>
  <c r="T54" i="30"/>
  <c r="AJ54" i="30"/>
  <c r="AK54" i="30" s="1"/>
  <c r="AN49" i="30"/>
  <c r="AR49" i="30" s="1"/>
  <c r="AZ49" i="30" s="1"/>
  <c r="S53" i="30"/>
  <c r="J62" i="30"/>
  <c r="R62" i="30"/>
  <c r="S55" i="30"/>
  <c r="AD62" i="30"/>
  <c r="AL55" i="30"/>
  <c r="O56" i="30"/>
  <c r="V56" i="30"/>
  <c r="S57" i="30"/>
  <c r="AL57" i="30"/>
  <c r="V58" i="30"/>
  <c r="S59" i="30"/>
  <c r="X60" i="30"/>
  <c r="AN61" i="30"/>
  <c r="F62" i="30"/>
  <c r="AB63" i="30"/>
  <c r="AR63" i="30" s="1"/>
  <c r="BA63" i="30" s="1"/>
  <c r="AR76" i="30"/>
  <c r="AZ76" i="30" s="1"/>
  <c r="X78" i="30"/>
  <c r="AB78" i="30"/>
  <c r="AR78" i="30" s="1"/>
  <c r="Z60" i="30"/>
  <c r="AB61" i="30"/>
  <c r="H62" i="30"/>
  <c r="P70" i="30"/>
  <c r="V70" i="30"/>
  <c r="S74" i="30"/>
  <c r="Z77" i="30"/>
  <c r="AP77" i="30" s="1"/>
  <c r="AX77" i="30" s="1"/>
  <c r="X55" i="30"/>
  <c r="AN55" i="30"/>
  <c r="S61" i="30"/>
  <c r="AI61" i="30"/>
  <c r="E63" i="30"/>
  <c r="X63" i="30"/>
  <c r="AY68" i="30"/>
  <c r="AX68" i="30"/>
  <c r="AP78" i="30"/>
  <c r="AY78" i="30" s="1"/>
  <c r="S60" i="30"/>
  <c r="AI60" i="30"/>
  <c r="O61" i="30"/>
  <c r="Z63" i="30"/>
  <c r="V63" i="30"/>
  <c r="S65" i="30"/>
  <c r="AI65" i="30"/>
  <c r="G66" i="30"/>
  <c r="BA68" i="30"/>
  <c r="AZ68" i="30"/>
  <c r="Z71" i="30"/>
  <c r="Z73" i="30"/>
  <c r="AL73" i="30"/>
  <c r="C74" i="30"/>
  <c r="AL63" i="30"/>
  <c r="V65" i="30"/>
  <c r="Z65" i="30"/>
  <c r="AL65" i="30"/>
  <c r="V66" i="30"/>
  <c r="Z66" i="30"/>
  <c r="AL66" i="30"/>
  <c r="S71" i="30"/>
  <c r="O74" i="30"/>
  <c r="O75" i="30"/>
  <c r="O71" i="30"/>
  <c r="S72" i="30"/>
  <c r="AI72" i="30"/>
  <c r="O72" i="30"/>
  <c r="S73" i="30"/>
  <c r="Z74" i="30"/>
  <c r="AP76" i="30"/>
  <c r="AY76" i="30" s="1"/>
  <c r="AB77" i="30"/>
  <c r="X81" i="30"/>
  <c r="V74" i="30"/>
  <c r="AL74" i="30"/>
  <c r="V75" i="30"/>
  <c r="Z75" i="30"/>
  <c r="AL75" i="30"/>
  <c r="AN77" i="30"/>
  <c r="G10" i="30"/>
  <c r="S18" i="30"/>
  <c r="C47" i="30"/>
  <c r="BA76" i="30"/>
  <c r="AX78" i="30"/>
  <c r="AP82" i="31"/>
  <c r="AY82" i="31" s="1"/>
  <c r="Z6" i="31"/>
  <c r="Z15" i="31"/>
  <c r="AP15" i="31" s="1"/>
  <c r="AX15" i="31" s="1"/>
  <c r="N17" i="31"/>
  <c r="V15" i="31"/>
  <c r="X16" i="31"/>
  <c r="P17" i="31"/>
  <c r="E55" i="31"/>
  <c r="D62" i="31"/>
  <c r="E63" i="31"/>
  <c r="C26" i="1"/>
  <c r="D26" i="1"/>
  <c r="AJ29" i="1"/>
  <c r="V30" i="1"/>
  <c r="AV7" i="1"/>
  <c r="V9" i="30"/>
  <c r="Z9" i="30"/>
  <c r="AL70" i="30"/>
  <c r="AF70" i="30"/>
  <c r="AJ28" i="1"/>
  <c r="V72" i="1"/>
  <c r="AF54" i="30"/>
  <c r="AN50" i="30"/>
  <c r="AB14" i="30"/>
  <c r="V61" i="1"/>
  <c r="T25" i="1"/>
  <c r="Z15" i="30"/>
  <c r="J17" i="30"/>
  <c r="AD17" i="30"/>
  <c r="AL17" i="30" s="1"/>
  <c r="AL16" i="30"/>
  <c r="L11" i="30"/>
  <c r="M55" i="30" s="1"/>
  <c r="J11" i="30"/>
  <c r="K66" i="30" s="1"/>
  <c r="H47" i="30"/>
  <c r="P47" i="30"/>
  <c r="AF47" i="30"/>
  <c r="AR30" i="30"/>
  <c r="X25" i="30"/>
  <c r="AN25" i="30"/>
  <c r="AB26" i="30"/>
  <c r="AR26" i="30" s="1"/>
  <c r="X26" i="30"/>
  <c r="AB42" i="30"/>
  <c r="X42" i="30"/>
  <c r="AN42" i="30"/>
  <c r="AN43" i="30"/>
  <c r="AB60" i="30"/>
  <c r="V61" i="30"/>
  <c r="AB66" i="30"/>
  <c r="X66" i="30"/>
  <c r="AN66" i="30"/>
  <c r="H11" i="30"/>
  <c r="I57" i="30" s="1"/>
  <c r="AB12" i="30"/>
  <c r="AR12" i="30" s="1"/>
  <c r="AZ12" i="30" s="1"/>
  <c r="AB13" i="30"/>
  <c r="F54" i="30"/>
  <c r="N54" i="30"/>
  <c r="T62" i="30"/>
  <c r="AJ11" i="31"/>
  <c r="S62" i="30"/>
  <c r="AJ73" i="1"/>
  <c r="D75" i="1"/>
  <c r="C75" i="1"/>
  <c r="AV50" i="1"/>
  <c r="AV55" i="1"/>
  <c r="AT62" i="1"/>
  <c r="AV62" i="1" s="1"/>
  <c r="AP73" i="29"/>
  <c r="AK33" i="29"/>
  <c r="AK78" i="29"/>
  <c r="AK40" i="29"/>
  <c r="AK37" i="29"/>
  <c r="AK6" i="29"/>
  <c r="AK36" i="29"/>
  <c r="U28" i="29"/>
  <c r="U27" i="29"/>
  <c r="U38" i="29"/>
  <c r="U33" i="29"/>
  <c r="U60" i="29"/>
  <c r="U36" i="29"/>
  <c r="U16" i="29"/>
  <c r="U32" i="29"/>
  <c r="U22" i="29"/>
  <c r="U57" i="29"/>
  <c r="AG72" i="29"/>
  <c r="AG57" i="29"/>
  <c r="AG8" i="29"/>
  <c r="AG30" i="29"/>
  <c r="AG59" i="29"/>
  <c r="AG56" i="29"/>
  <c r="AG34" i="29"/>
  <c r="AG71" i="29"/>
  <c r="AG60" i="29"/>
  <c r="AG29" i="29"/>
  <c r="AG55" i="29"/>
  <c r="AG58" i="29"/>
  <c r="AG61" i="29"/>
  <c r="AG65" i="29"/>
  <c r="AG73" i="29"/>
  <c r="AW59" i="29"/>
  <c r="AW60" i="29"/>
  <c r="C71" i="1"/>
  <c r="L55" i="1"/>
  <c r="AJ6" i="1"/>
  <c r="P22" i="1"/>
  <c r="AJ24" i="1"/>
  <c r="S32" i="1"/>
  <c r="T32" i="1"/>
  <c r="U32" i="1" s="1"/>
  <c r="D37" i="1"/>
  <c r="C37" i="1"/>
  <c r="AJ34" i="1"/>
  <c r="V50" i="29"/>
  <c r="Z50" i="29"/>
  <c r="Z14" i="30"/>
  <c r="F17" i="30"/>
  <c r="E28" i="30"/>
  <c r="D47" i="30"/>
  <c r="X28" i="30"/>
  <c r="T47" i="30"/>
  <c r="E29" i="30"/>
  <c r="L70" i="30"/>
  <c r="Z70" i="30"/>
  <c r="AJ15" i="1"/>
  <c r="AJ61" i="1"/>
  <c r="C66" i="1"/>
  <c r="D66" i="1"/>
  <c r="S66" i="1"/>
  <c r="T66" i="1"/>
  <c r="U66" i="1" s="1"/>
  <c r="AB8" i="29"/>
  <c r="P7" i="1"/>
  <c r="X7" i="1" s="1"/>
  <c r="V7" i="1"/>
  <c r="T29" i="1"/>
  <c r="U29" i="1" s="1"/>
  <c r="V37" i="1"/>
  <c r="S51" i="1"/>
  <c r="AB9" i="29"/>
  <c r="Z22" i="29"/>
  <c r="AP22" i="29" s="1"/>
  <c r="AY22" i="29" s="1"/>
  <c r="N47" i="29"/>
  <c r="V38" i="29"/>
  <c r="Z38" i="29"/>
  <c r="X75" i="29"/>
  <c r="AB75" i="29"/>
  <c r="Z41" i="29"/>
  <c r="B54" i="29"/>
  <c r="C54" i="29" s="1"/>
  <c r="V53" i="29"/>
  <c r="V24" i="29"/>
  <c r="Z44" i="29"/>
  <c r="Z60" i="29"/>
  <c r="AP60" i="29" s="1"/>
  <c r="AY60" i="29" s="1"/>
  <c r="P11" i="30"/>
  <c r="Q52" i="30" s="1"/>
  <c r="L47" i="30"/>
  <c r="E55" i="30"/>
  <c r="D62" i="30"/>
  <c r="E62" i="30" s="1"/>
  <c r="AT81" i="31"/>
  <c r="AV83" i="30"/>
  <c r="V26" i="29"/>
  <c r="V28" i="29"/>
  <c r="AP43" i="29"/>
  <c r="AX43" i="29" s="1"/>
  <c r="P54" i="30"/>
  <c r="X54" i="30" s="1"/>
  <c r="X50" i="30"/>
  <c r="AT81" i="30"/>
  <c r="AB12" i="31"/>
  <c r="V27" i="31"/>
  <c r="C49" i="31"/>
  <c r="AL8" i="31"/>
  <c r="AN15" i="31"/>
  <c r="K76" i="31"/>
  <c r="K73" i="31"/>
  <c r="AW56" i="31"/>
  <c r="X14" i="31"/>
  <c r="V7" i="31"/>
  <c r="N11" i="31"/>
  <c r="O57" i="31" s="1"/>
  <c r="E20" i="31"/>
  <c r="AL23" i="31"/>
  <c r="E25" i="31"/>
  <c r="AB28" i="31"/>
  <c r="AR28" i="31" s="1"/>
  <c r="AN30" i="31"/>
  <c r="AN34" i="31"/>
  <c r="AW38" i="31"/>
  <c r="X44" i="31"/>
  <c r="AB45" i="31"/>
  <c r="AW51" i="31"/>
  <c r="AL14" i="31"/>
  <c r="AB21" i="31"/>
  <c r="AR21" i="31" s="1"/>
  <c r="AZ21" i="31" s="1"/>
  <c r="C22" i="31"/>
  <c r="AN24" i="31"/>
  <c r="AN26" i="31"/>
  <c r="AL28" i="31"/>
  <c r="AP28" i="31" s="1"/>
  <c r="AY28" i="31" s="1"/>
  <c r="AB29" i="31"/>
  <c r="AL31" i="31"/>
  <c r="AB33" i="31"/>
  <c r="AL35" i="31"/>
  <c r="X42" i="31"/>
  <c r="X6" i="31"/>
  <c r="Z16" i="31"/>
  <c r="AL19" i="31"/>
  <c r="AB20" i="31"/>
  <c r="X22" i="31"/>
  <c r="AN22" i="31"/>
  <c r="E24" i="31"/>
  <c r="X30" i="31"/>
  <c r="V31" i="31"/>
  <c r="X34" i="31"/>
  <c r="V35" i="31"/>
  <c r="X38" i="31"/>
  <c r="S40" i="31"/>
  <c r="X46" i="31"/>
  <c r="AT54" i="31"/>
  <c r="AL10" i="31"/>
  <c r="AP10" i="31" s="1"/>
  <c r="AH17" i="31"/>
  <c r="AI17" i="31" s="1"/>
  <c r="AV17" i="31"/>
  <c r="AV47" i="31"/>
  <c r="AW47" i="31" s="1"/>
  <c r="E21" i="31"/>
  <c r="X21" i="31"/>
  <c r="AN21" i="31"/>
  <c r="X26" i="31"/>
  <c r="AB32" i="31"/>
  <c r="AR32" i="31" s="1"/>
  <c r="E33" i="31"/>
  <c r="AB36" i="31"/>
  <c r="E37" i="31"/>
  <c r="AN38" i="31"/>
  <c r="AB46" i="31"/>
  <c r="AB26" i="31"/>
  <c r="AR26" i="31" s="1"/>
  <c r="AB30" i="31"/>
  <c r="AR30" i="31" s="1"/>
  <c r="Z32" i="31"/>
  <c r="AB34" i="31"/>
  <c r="AR34" i="31" s="1"/>
  <c r="Z36" i="31"/>
  <c r="AP36" i="31" s="1"/>
  <c r="AB40" i="31"/>
  <c r="X41" i="31"/>
  <c r="V43" i="31"/>
  <c r="V44" i="31"/>
  <c r="L54" i="31"/>
  <c r="M54" i="31" s="1"/>
  <c r="AN50" i="31"/>
  <c r="AX78" i="31"/>
  <c r="AY78" i="31"/>
  <c r="AW8" i="31"/>
  <c r="S78" i="31"/>
  <c r="S77" i="31"/>
  <c r="S75" i="31"/>
  <c r="S76" i="31"/>
  <c r="S68" i="31"/>
  <c r="S15" i="31"/>
  <c r="S14" i="31"/>
  <c r="S10" i="31"/>
  <c r="S6" i="31"/>
  <c r="S73" i="31"/>
  <c r="S72" i="31"/>
  <c r="S51" i="31"/>
  <c r="S45" i="31"/>
  <c r="S42" i="31"/>
  <c r="S71" i="31"/>
  <c r="E19" i="31"/>
  <c r="AB25" i="31"/>
  <c r="C26" i="31"/>
  <c r="Z27" i="31"/>
  <c r="AW28" i="31"/>
  <c r="X37" i="31"/>
  <c r="AB38" i="31"/>
  <c r="AB39" i="31"/>
  <c r="X39" i="31"/>
  <c r="AN39" i="31"/>
  <c r="AN40" i="31"/>
  <c r="S41" i="31"/>
  <c r="AB41" i="31"/>
  <c r="K42" i="31"/>
  <c r="Z42" i="31"/>
  <c r="AB42" i="31"/>
  <c r="AR42" i="31" s="1"/>
  <c r="AB43" i="31"/>
  <c r="AR43" i="31" s="1"/>
  <c r="AB44" i="31"/>
  <c r="AW45" i="31"/>
  <c r="T47" i="31"/>
  <c r="N54" i="31"/>
  <c r="V49" i="31"/>
  <c r="V50" i="31"/>
  <c r="E51" i="31"/>
  <c r="X51" i="31"/>
  <c r="Z57" i="31"/>
  <c r="AP57" i="31" s="1"/>
  <c r="AY57" i="31" s="1"/>
  <c r="S59" i="31"/>
  <c r="AH62" i="31"/>
  <c r="S11" i="31"/>
  <c r="AD11" i="31"/>
  <c r="AE49" i="31" s="1"/>
  <c r="AT11" i="31"/>
  <c r="AU35" i="31" s="1"/>
  <c r="AB15" i="31"/>
  <c r="AB16" i="31"/>
  <c r="S17" i="31"/>
  <c r="K19" i="31"/>
  <c r="P47" i="31"/>
  <c r="AW19" i="31"/>
  <c r="X25" i="31"/>
  <c r="AN25" i="31"/>
  <c r="X29" i="31"/>
  <c r="AN29" i="31"/>
  <c r="AW31" i="31"/>
  <c r="S33" i="31"/>
  <c r="X33" i="31"/>
  <c r="AN33" i="31"/>
  <c r="AR33" i="31" s="1"/>
  <c r="BA33" i="31" s="1"/>
  <c r="AW35" i="31"/>
  <c r="AB37" i="31"/>
  <c r="AR37" i="31" s="1"/>
  <c r="S37" i="31"/>
  <c r="C38" i="31"/>
  <c r="V38" i="31"/>
  <c r="AL38" i="31"/>
  <c r="Z39" i="31"/>
  <c r="C40" i="31"/>
  <c r="AP40" i="31"/>
  <c r="Z41" i="31"/>
  <c r="AL41" i="31"/>
  <c r="AW41" i="31"/>
  <c r="E42" i="31"/>
  <c r="AL42" i="31"/>
  <c r="Z43" i="31"/>
  <c r="AP43" i="31" s="1"/>
  <c r="V45" i="31"/>
  <c r="S46" i="31"/>
  <c r="AJ47" i="31"/>
  <c r="H54" i="31"/>
  <c r="AB49" i="31"/>
  <c r="AH54" i="31"/>
  <c r="C50" i="31"/>
  <c r="AL51" i="31"/>
  <c r="AD54" i="31"/>
  <c r="R62" i="31"/>
  <c r="S62" i="31" s="1"/>
  <c r="S57" i="31"/>
  <c r="S58" i="31"/>
  <c r="E39" i="31"/>
  <c r="Z45" i="31"/>
  <c r="AL46" i="31"/>
  <c r="P54" i="31"/>
  <c r="AV54" i="31"/>
  <c r="AW54" i="31" s="1"/>
  <c r="AW49" i="31"/>
  <c r="AB50" i="31"/>
  <c r="AR52" i="31"/>
  <c r="C53" i="31"/>
  <c r="J62" i="31"/>
  <c r="K62" i="31" s="1"/>
  <c r="AD62" i="31"/>
  <c r="AT62" i="31"/>
  <c r="V61" i="31"/>
  <c r="AL63" i="31"/>
  <c r="X78" i="31"/>
  <c r="X40" i="31"/>
  <c r="AW40" i="31"/>
  <c r="E43" i="31"/>
  <c r="AP44" i="31"/>
  <c r="AX44" i="31" s="1"/>
  <c r="Z49" i="31"/>
  <c r="Z51" i="31"/>
  <c r="F54" i="31"/>
  <c r="B62" i="31"/>
  <c r="C62" i="31" s="1"/>
  <c r="AL55" i="31"/>
  <c r="V57" i="31"/>
  <c r="N62" i="31"/>
  <c r="O62" i="31" s="1"/>
  <c r="V63" i="31"/>
  <c r="AB65" i="31"/>
  <c r="AB73" i="31"/>
  <c r="AW42" i="31"/>
  <c r="D54" i="31"/>
  <c r="E49" i="31"/>
  <c r="J54" i="31"/>
  <c r="K54" i="31" s="1"/>
  <c r="AJ54" i="31"/>
  <c r="K57" i="31"/>
  <c r="C61" i="31"/>
  <c r="S61" i="31"/>
  <c r="Z63" i="31"/>
  <c r="X65" i="31"/>
  <c r="AN65" i="31"/>
  <c r="AR68" i="31"/>
  <c r="BA68" i="31" s="1"/>
  <c r="AN72" i="31"/>
  <c r="E72" i="31"/>
  <c r="AP68" i="31"/>
  <c r="AL70" i="31"/>
  <c r="AP76" i="31"/>
  <c r="X77" i="31"/>
  <c r="X55" i="31"/>
  <c r="AB55" i="31"/>
  <c r="AN55" i="31"/>
  <c r="AP66" i="31"/>
  <c r="V70" i="31"/>
  <c r="AP73" i="31"/>
  <c r="AN73" i="31"/>
  <c r="AB76" i="31"/>
  <c r="Z83" i="31"/>
  <c r="X76" i="31"/>
  <c r="AN78" i="31"/>
  <c r="I16" i="30"/>
  <c r="I71" i="30"/>
  <c r="I44" i="30"/>
  <c r="I28" i="30"/>
  <c r="I7" i="30"/>
  <c r="I21" i="30"/>
  <c r="I46" i="30"/>
  <c r="I76" i="30"/>
  <c r="M7" i="30"/>
  <c r="M72" i="30"/>
  <c r="M59" i="30"/>
  <c r="M63" i="30"/>
  <c r="M51" i="30"/>
  <c r="M32" i="30"/>
  <c r="M28" i="30"/>
  <c r="M6" i="30"/>
  <c r="M24" i="30"/>
  <c r="M34" i="30"/>
  <c r="M78" i="30"/>
  <c r="M71" i="30"/>
  <c r="M74" i="30"/>
  <c r="M66" i="30"/>
  <c r="M50" i="30"/>
  <c r="M31" i="30"/>
  <c r="M27" i="30"/>
  <c r="M16" i="30"/>
  <c r="M33" i="30"/>
  <c r="M68" i="30"/>
  <c r="M65" i="30"/>
  <c r="M75" i="30"/>
  <c r="M52" i="30"/>
  <c r="M43" i="30"/>
  <c r="M30" i="30"/>
  <c r="M26" i="30"/>
  <c r="M15" i="30"/>
  <c r="M9" i="30"/>
  <c r="M60" i="30"/>
  <c r="M56" i="30"/>
  <c r="M49" i="30"/>
  <c r="M46" i="30"/>
  <c r="M29" i="30"/>
  <c r="M10" i="30"/>
  <c r="M8" i="30"/>
  <c r="M23" i="30"/>
  <c r="M19" i="30"/>
  <c r="M21" i="30"/>
  <c r="M37" i="30"/>
  <c r="M76" i="30"/>
  <c r="M77" i="30"/>
  <c r="M39" i="30"/>
  <c r="M44" i="30"/>
  <c r="M42" i="30"/>
  <c r="M36" i="30"/>
  <c r="M38" i="30"/>
  <c r="M54" i="30"/>
  <c r="M41" i="30"/>
  <c r="O32" i="31"/>
  <c r="O23" i="31"/>
  <c r="AP38" i="29"/>
  <c r="AX38" i="29" s="1"/>
  <c r="O61" i="31"/>
  <c r="O58" i="31"/>
  <c r="AY43" i="29"/>
  <c r="AX73" i="29"/>
  <c r="AY73" i="29"/>
  <c r="O7" i="31"/>
  <c r="Q15" i="30"/>
  <c r="AY76" i="31"/>
  <c r="AX76" i="31"/>
  <c r="AY68" i="31"/>
  <c r="AX68" i="31"/>
  <c r="AZ68" i="31"/>
  <c r="AI76" i="31"/>
  <c r="AI78" i="31"/>
  <c r="AR76" i="31"/>
  <c r="AZ76" i="31" s="1"/>
  <c r="AR78" i="31"/>
  <c r="E54" i="31"/>
  <c r="AR15" i="31"/>
  <c r="BA15" i="31" s="1"/>
  <c r="AP77" i="31"/>
  <c r="AY77" i="31" s="1"/>
  <c r="O74" i="31"/>
  <c r="O78" i="31"/>
  <c r="O72" i="31"/>
  <c r="O68" i="31"/>
  <c r="O16" i="31"/>
  <c r="O71" i="31"/>
  <c r="O55" i="31"/>
  <c r="O10" i="31"/>
  <c r="O42" i="31"/>
  <c r="O11" i="31"/>
  <c r="O25" i="31"/>
  <c r="O14" i="31"/>
  <c r="O37" i="31"/>
  <c r="O33" i="31"/>
  <c r="O29" i="31"/>
  <c r="BA76" i="31"/>
  <c r="BA78" i="31"/>
  <c r="AZ78" i="31"/>
  <c r="AP42" i="31"/>
  <c r="X17" i="31"/>
  <c r="O22" i="31"/>
  <c r="O31" i="31"/>
  <c r="AN6" i="31"/>
  <c r="AF11" i="31"/>
  <c r="AG23" i="31" s="1"/>
  <c r="AB7" i="31"/>
  <c r="L11" i="31"/>
  <c r="M36" i="31" s="1"/>
  <c r="X23" i="31"/>
  <c r="AB23" i="31"/>
  <c r="H47" i="31"/>
  <c r="AB24" i="31"/>
  <c r="AL24" i="31"/>
  <c r="AD47" i="31"/>
  <c r="E27" i="31"/>
  <c r="C37" i="31"/>
  <c r="Z46" i="31"/>
  <c r="V46" i="31"/>
  <c r="X60" i="31"/>
  <c r="AB60" i="31"/>
  <c r="AR60" i="31" s="1"/>
  <c r="C75" i="31"/>
  <c r="O50" i="31"/>
  <c r="O41" i="31"/>
  <c r="AK57" i="31"/>
  <c r="AJ10" i="1"/>
  <c r="AN10" i="1" s="1"/>
  <c r="V12" i="1"/>
  <c r="P12" i="1"/>
  <c r="X12" i="1" s="1"/>
  <c r="V13" i="1"/>
  <c r="P13" i="1"/>
  <c r="Z13" i="1"/>
  <c r="AP13" i="1" s="1"/>
  <c r="H15" i="1"/>
  <c r="AF15" i="1"/>
  <c r="R47" i="1"/>
  <c r="T47" i="1" s="1"/>
  <c r="T19" i="1"/>
  <c r="U19" i="1" s="1"/>
  <c r="S19" i="1"/>
  <c r="S46" i="1"/>
  <c r="T46" i="1"/>
  <c r="L50" i="1"/>
  <c r="C52" i="1"/>
  <c r="S52" i="1"/>
  <c r="P53" i="1"/>
  <c r="X53" i="1" s="1"/>
  <c r="V53" i="1"/>
  <c r="C55" i="1"/>
  <c r="D55" i="1"/>
  <c r="S55" i="1"/>
  <c r="R62" i="1"/>
  <c r="V55" i="1"/>
  <c r="T55" i="1"/>
  <c r="U55" i="1" s="1"/>
  <c r="AJ65" i="1"/>
  <c r="P66" i="1"/>
  <c r="V66" i="1"/>
  <c r="P70" i="1"/>
  <c r="AN56" i="31"/>
  <c r="AJ62" i="31"/>
  <c r="P45" i="1"/>
  <c r="V45" i="1"/>
  <c r="X10" i="31"/>
  <c r="AB10" i="31"/>
  <c r="L23" i="1"/>
  <c r="L24" i="1"/>
  <c r="L25" i="1"/>
  <c r="S26" i="1"/>
  <c r="T26" i="1"/>
  <c r="U26" i="1" s="1"/>
  <c r="V26" i="1"/>
  <c r="C27" i="1"/>
  <c r="D27" i="1"/>
  <c r="AJ27" i="1"/>
  <c r="V41" i="1"/>
  <c r="S41" i="1"/>
  <c r="T41" i="1"/>
  <c r="S56" i="1"/>
  <c r="T56" i="1"/>
  <c r="V29" i="31"/>
  <c r="AB35" i="31"/>
  <c r="AR35" i="31" s="1"/>
  <c r="X35" i="31"/>
  <c r="F62" i="31"/>
  <c r="Z62" i="31" s="1"/>
  <c r="AB74" i="31"/>
  <c r="Z8" i="31"/>
  <c r="AP8" i="31" s="1"/>
  <c r="AB53" i="31"/>
  <c r="X53" i="31"/>
  <c r="Z75" i="31"/>
  <c r="AN31" i="31"/>
  <c r="V34" i="31"/>
  <c r="Z38" i="31"/>
  <c r="X50" i="31"/>
  <c r="X52" i="31"/>
  <c r="AL52" i="31"/>
  <c r="AB63" i="31"/>
  <c r="Z72" i="31"/>
  <c r="V75" i="31"/>
  <c r="X28" i="31"/>
  <c r="X32" i="31"/>
  <c r="Z37" i="31"/>
  <c r="AL61" i="31"/>
  <c r="AB72" i="31"/>
  <c r="AR72" i="31" s="1"/>
  <c r="M23" i="31"/>
  <c r="M33" i="31"/>
  <c r="M19" i="31"/>
  <c r="M24" i="31"/>
  <c r="M11" i="31"/>
  <c r="M35" i="31"/>
  <c r="M9" i="31"/>
  <c r="M8" i="31"/>
  <c r="M60" i="31"/>
  <c r="M68" i="31"/>
  <c r="AP38" i="31"/>
  <c r="AG24" i="31"/>
  <c r="AG19" i="31"/>
  <c r="AG34" i="31"/>
  <c r="AP46" i="31"/>
  <c r="AX46" i="31" s="1"/>
  <c r="AI19" i="31"/>
  <c r="AI49" i="31"/>
  <c r="AI44" i="31"/>
  <c r="AI40" i="31"/>
  <c r="AN17" i="30"/>
  <c r="AR17" i="30" s="1"/>
  <c r="BA17" i="30" s="1"/>
  <c r="AX49" i="29"/>
  <c r="AY49" i="29"/>
  <c r="K36" i="31"/>
  <c r="AW9" i="31"/>
  <c r="AW52" i="31"/>
  <c r="AW53" i="31"/>
  <c r="AW11" i="31"/>
  <c r="AW63" i="31"/>
  <c r="K6" i="31"/>
  <c r="K22" i="31"/>
  <c r="K44" i="31"/>
  <c r="K71" i="31"/>
  <c r="J18" i="31"/>
  <c r="K60" i="31"/>
  <c r="K49" i="31"/>
  <c r="K72" i="31"/>
  <c r="G37" i="30"/>
  <c r="AI34" i="30"/>
  <c r="AI19" i="30"/>
  <c r="AI23" i="30"/>
  <c r="AI16" i="30"/>
  <c r="AI9" i="30"/>
  <c r="G76" i="30"/>
  <c r="K35" i="29"/>
  <c r="AI23" i="29"/>
  <c r="AI52" i="29"/>
  <c r="AG25" i="30"/>
  <c r="U45" i="30"/>
  <c r="S31" i="1"/>
  <c r="T31" i="1"/>
  <c r="U31" i="1" s="1"/>
  <c r="V31" i="1"/>
  <c r="D36" i="1"/>
  <c r="C36" i="1"/>
  <c r="AL9" i="16"/>
  <c r="V10" i="16"/>
  <c r="AN10" i="16"/>
  <c r="Z15" i="17"/>
  <c r="J17" i="17"/>
  <c r="X15" i="17"/>
  <c r="T17" i="17"/>
  <c r="AJ17" i="17"/>
  <c r="AN15" i="17"/>
  <c r="AN30" i="17"/>
  <c r="AR30" i="17"/>
  <c r="BA30" i="17" s="1"/>
  <c r="AF47" i="17"/>
  <c r="X37" i="17"/>
  <c r="AB37" i="17"/>
  <c r="AN37" i="17"/>
  <c r="X65" i="17"/>
  <c r="AN65" i="17"/>
  <c r="AH17" i="18"/>
  <c r="AL28" i="18"/>
  <c r="Z83" i="16"/>
  <c r="F81" i="17"/>
  <c r="Z81" i="17" s="1"/>
  <c r="H83" i="16"/>
  <c r="AB83" i="16" s="1"/>
  <c r="AP83" i="16" s="1"/>
  <c r="AY83" i="16" s="1"/>
  <c r="AN8" i="17"/>
  <c r="AB9" i="17"/>
  <c r="E29" i="17"/>
  <c r="AB50" i="17"/>
  <c r="AR50" i="17" s="1"/>
  <c r="P62" i="17"/>
  <c r="X57" i="17"/>
  <c r="AF62" i="17"/>
  <c r="F62" i="17"/>
  <c r="AH17" i="27"/>
  <c r="AN32" i="16"/>
  <c r="AN35" i="16"/>
  <c r="AN46" i="16"/>
  <c r="AT54" i="16"/>
  <c r="AL56" i="16"/>
  <c r="H62" i="16"/>
  <c r="V71" i="16"/>
  <c r="S71" i="16"/>
  <c r="AB44" i="17"/>
  <c r="AR45" i="17"/>
  <c r="BA45" i="17" s="1"/>
  <c r="AJ70" i="18"/>
  <c r="AL70" i="18"/>
  <c r="S71" i="18"/>
  <c r="AF47" i="16"/>
  <c r="AN19" i="16"/>
  <c r="AT47" i="16"/>
  <c r="F47" i="16"/>
  <c r="AN23" i="16"/>
  <c r="E24" i="16"/>
  <c r="AT47" i="17"/>
  <c r="AB22" i="17"/>
  <c r="P47" i="17"/>
  <c r="AN22" i="17"/>
  <c r="AB40" i="17"/>
  <c r="AR40" i="17" s="1"/>
  <c r="BA40" i="17" s="1"/>
  <c r="L47" i="17"/>
  <c r="T47" i="17"/>
  <c r="N47" i="18"/>
  <c r="V44" i="1"/>
  <c r="X13" i="16"/>
  <c r="J54" i="18"/>
  <c r="V6" i="30"/>
  <c r="Z6" i="30"/>
  <c r="AP6" i="30" s="1"/>
  <c r="AX6" i="30" s="1"/>
  <c r="T62" i="31"/>
  <c r="AN52" i="16"/>
  <c r="X53" i="16"/>
  <c r="X63" i="16"/>
  <c r="Z72" i="16"/>
  <c r="AP72" i="16" s="1"/>
  <c r="AD47" i="18"/>
  <c r="AL25" i="18"/>
  <c r="Z30" i="18"/>
  <c r="AL35" i="18"/>
  <c r="AL39" i="18"/>
  <c r="V46" i="18"/>
  <c r="Z52" i="18"/>
  <c r="Z57" i="18"/>
  <c r="AP57" i="18" s="1"/>
  <c r="AL60" i="18"/>
  <c r="Z15" i="27"/>
  <c r="F62" i="27"/>
  <c r="AD81" i="28"/>
  <c r="AL81" i="28" s="1"/>
  <c r="AL83" i="27"/>
  <c r="AB33" i="28"/>
  <c r="X34" i="28"/>
  <c r="AN74" i="17"/>
  <c r="Z26" i="18"/>
  <c r="V58" i="18"/>
  <c r="Z61" i="18"/>
  <c r="AL61" i="18"/>
  <c r="AB41" i="28"/>
  <c r="AR41" i="28" s="1"/>
  <c r="AL46" i="28"/>
  <c r="AL61" i="28"/>
  <c r="AL20" i="29"/>
  <c r="AD47" i="29"/>
  <c r="X56" i="30"/>
  <c r="P62" i="30"/>
  <c r="X62" i="30" s="1"/>
  <c r="AB56" i="30"/>
  <c r="AR56" i="30" s="1"/>
  <c r="X13" i="28"/>
  <c r="Z20" i="28"/>
  <c r="AP20" i="28" s="1"/>
  <c r="AV47" i="30"/>
  <c r="X27" i="31"/>
  <c r="AB27" i="31"/>
  <c r="AR27" i="31" s="1"/>
  <c r="Z58" i="31"/>
  <c r="AH47" i="28"/>
  <c r="AI47" i="28" s="1"/>
  <c r="X35" i="28"/>
  <c r="Z72" i="28"/>
  <c r="AT81" i="29"/>
  <c r="AV83" i="28"/>
  <c r="X21" i="29"/>
  <c r="AB21" i="29"/>
  <c r="AR21" i="29" s="1"/>
  <c r="Z25" i="29"/>
  <c r="AP25" i="29" s="1"/>
  <c r="V25" i="29"/>
  <c r="AB55" i="30"/>
  <c r="AR55" i="30" s="1"/>
  <c r="BA55" i="30" s="1"/>
  <c r="L62" i="30"/>
  <c r="M62" i="30" s="1"/>
  <c r="X56" i="31"/>
  <c r="AB56" i="31"/>
  <c r="X61" i="31"/>
  <c r="AB61" i="31"/>
  <c r="AR61" i="31" s="1"/>
  <c r="AH47" i="29"/>
  <c r="D54" i="29"/>
  <c r="E54" i="29" s="1"/>
  <c r="T54" i="29"/>
  <c r="Z70" i="29"/>
  <c r="AP70" i="29" s="1"/>
  <c r="AX70" i="29" s="1"/>
  <c r="AB29" i="30"/>
  <c r="AB58" i="31"/>
  <c r="AR58" i="31" s="1"/>
  <c r="F81" i="31"/>
  <c r="Z81" i="31" s="1"/>
  <c r="E38" i="28"/>
  <c r="E42" i="28"/>
  <c r="V39" i="29"/>
  <c r="Z53" i="29"/>
  <c r="AP53" i="29" s="1"/>
  <c r="V60" i="29"/>
  <c r="X33" i="30"/>
  <c r="AB50" i="30"/>
  <c r="AR50" i="30" s="1"/>
  <c r="BA50" i="30" s="1"/>
  <c r="AB19" i="31"/>
  <c r="AR19" i="31" s="1"/>
  <c r="V25" i="31"/>
  <c r="AL25" i="31"/>
  <c r="AL26" i="31"/>
  <c r="AB31" i="31"/>
  <c r="AR31" i="31" s="1"/>
  <c r="AN53" i="31"/>
  <c r="H62" i="31"/>
  <c r="F47" i="29"/>
  <c r="AB23" i="29"/>
  <c r="AR23" i="29" s="1"/>
  <c r="AZ23" i="29" s="1"/>
  <c r="AL44" i="29"/>
  <c r="AL50" i="29"/>
  <c r="AP50" i="29" s="1"/>
  <c r="AY50" i="29" s="1"/>
  <c r="AT54" i="29"/>
  <c r="AU54" i="29" s="1"/>
  <c r="Z51" i="29"/>
  <c r="AP51" i="29" s="1"/>
  <c r="V51" i="29"/>
  <c r="H83" i="30"/>
  <c r="AB83" i="30" s="1"/>
  <c r="AP83" i="30" s="1"/>
  <c r="AY83" i="30" s="1"/>
  <c r="AB7" i="30"/>
  <c r="X7" i="30"/>
  <c r="X75" i="30"/>
  <c r="AD81" i="31"/>
  <c r="AL81" i="31" s="1"/>
  <c r="AL83" i="30"/>
  <c r="AN8" i="31"/>
  <c r="AL9" i="31"/>
  <c r="AN10" i="31"/>
  <c r="X12" i="31"/>
  <c r="AN16" i="31"/>
  <c r="AR16" i="31" s="1"/>
  <c r="AN20" i="31"/>
  <c r="AL29" i="31"/>
  <c r="AP29" i="31" s="1"/>
  <c r="B54" i="31"/>
  <c r="C54" i="31" s="1"/>
  <c r="V71" i="31"/>
  <c r="AL71" i="31"/>
  <c r="AP71" i="31" s="1"/>
  <c r="AX71" i="31" s="1"/>
  <c r="V73" i="31"/>
  <c r="Z74" i="31"/>
  <c r="AL75" i="31"/>
  <c r="AP75" i="31" s="1"/>
  <c r="AE47" i="29"/>
  <c r="K18" i="31"/>
  <c r="AP74" i="31"/>
  <c r="X54" i="29"/>
  <c r="AW53" i="28"/>
  <c r="H6" i="1"/>
  <c r="AF12" i="1"/>
  <c r="AN12" i="1" s="1"/>
  <c r="AL12" i="1"/>
  <c r="Z77" i="1"/>
  <c r="AP77" i="1" s="1"/>
  <c r="AY77" i="1" s="1"/>
  <c r="H77" i="1"/>
  <c r="AB77" i="1" s="1"/>
  <c r="AR77" i="1" s="1"/>
  <c r="AL6" i="1"/>
  <c r="AF9" i="1"/>
  <c r="Z83" i="1"/>
  <c r="H83" i="1"/>
  <c r="AB83" i="1" s="1"/>
  <c r="H10" i="1"/>
  <c r="AV81" i="29"/>
  <c r="AV81" i="18"/>
  <c r="AV81" i="28"/>
  <c r="AV81" i="30"/>
  <c r="AF81" i="29"/>
  <c r="AN81" i="29" s="1"/>
  <c r="H81" i="17"/>
  <c r="AB81" i="17" s="1"/>
  <c r="AB81" i="1"/>
  <c r="AP81" i="1" s="1"/>
  <c r="H81" i="18"/>
  <c r="AB81" i="18" s="1"/>
  <c r="AP81" i="18" s="1"/>
  <c r="AY81" i="18" s="1"/>
  <c r="H81" i="28"/>
  <c r="AB81" i="28" s="1"/>
  <c r="H81" i="30"/>
  <c r="AB81" i="30" s="1"/>
  <c r="H81" i="27"/>
  <c r="AB81" i="27" s="1"/>
  <c r="AP81" i="27" s="1"/>
  <c r="H81" i="29"/>
  <c r="AB81" i="29" s="1"/>
  <c r="AX66" i="31"/>
  <c r="AY66" i="31"/>
  <c r="BA43" i="31"/>
  <c r="AZ43" i="31"/>
  <c r="AI25" i="31"/>
  <c r="AI29" i="31"/>
  <c r="AI56" i="31"/>
  <c r="AI75" i="31"/>
  <c r="AI72" i="31"/>
  <c r="AI66" i="31"/>
  <c r="AI57" i="31"/>
  <c r="AI33" i="31"/>
  <c r="AI9" i="31"/>
  <c r="AI7" i="31"/>
  <c r="AI24" i="31"/>
  <c r="AI20" i="31"/>
  <c r="AI46" i="31"/>
  <c r="AI10" i="31"/>
  <c r="AI61" i="31"/>
  <c r="AI59" i="31"/>
  <c r="AI63" i="31"/>
  <c r="AI27" i="31"/>
  <c r="AI74" i="31"/>
  <c r="AI68" i="31"/>
  <c r="AI77" i="31"/>
  <c r="AI39" i="31"/>
  <c r="AI14" i="31"/>
  <c r="AI51" i="31"/>
  <c r="AI37" i="31"/>
  <c r="AI23" i="31"/>
  <c r="AI28" i="31"/>
  <c r="AI31" i="31"/>
  <c r="AI73" i="31"/>
  <c r="AI71" i="31"/>
  <c r="AI53" i="31"/>
  <c r="AI60" i="31"/>
  <c r="AI13" i="31"/>
  <c r="AI41" i="31"/>
  <c r="AI36" i="31"/>
  <c r="AH18" i="31"/>
  <c r="AI8" i="31"/>
  <c r="AI35" i="31"/>
  <c r="AI15" i="31"/>
  <c r="AI42" i="31"/>
  <c r="AI30" i="31"/>
  <c r="AI26" i="31"/>
  <c r="AY10" i="31"/>
  <c r="AX10" i="31"/>
  <c r="AR75" i="29"/>
  <c r="AP60" i="30"/>
  <c r="C62" i="30"/>
  <c r="O62" i="30"/>
  <c r="I54" i="30"/>
  <c r="AI17" i="30"/>
  <c r="AR61" i="28"/>
  <c r="AR49" i="17"/>
  <c r="AX60" i="29"/>
  <c r="AK54" i="31"/>
  <c r="AL47" i="30"/>
  <c r="AR19" i="30"/>
  <c r="AZ19" i="30" s="1"/>
  <c r="U55" i="30"/>
  <c r="U24" i="30"/>
  <c r="U37" i="30"/>
  <c r="U31" i="30"/>
  <c r="U42" i="30"/>
  <c r="U61" i="30"/>
  <c r="U71" i="30"/>
  <c r="U41" i="30"/>
  <c r="U78" i="30"/>
  <c r="U62" i="30"/>
  <c r="AF48" i="29"/>
  <c r="AG48" i="29" s="1"/>
  <c r="AR32" i="28"/>
  <c r="AZ32" i="28" s="1"/>
  <c r="AR22" i="28"/>
  <c r="V62" i="31"/>
  <c r="AY40" i="31"/>
  <c r="AX40" i="31"/>
  <c r="AR9" i="29"/>
  <c r="BA9" i="29" s="1"/>
  <c r="AP21" i="30"/>
  <c r="AX21" i="30" s="1"/>
  <c r="AG62" i="29"/>
  <c r="AN62" i="29"/>
  <c r="AP37" i="29"/>
  <c r="AX37" i="29" s="1"/>
  <c r="AW32" i="29"/>
  <c r="AW71" i="29"/>
  <c r="AW28" i="29"/>
  <c r="AW72" i="29"/>
  <c r="AW63" i="29"/>
  <c r="AW50" i="29"/>
  <c r="AW44" i="29"/>
  <c r="AW65" i="29"/>
  <c r="AV18" i="29"/>
  <c r="AW38" i="29"/>
  <c r="AW16" i="29"/>
  <c r="AW19" i="29"/>
  <c r="AW20" i="29"/>
  <c r="AW7" i="29"/>
  <c r="AW75" i="29"/>
  <c r="AW77" i="29"/>
  <c r="AW52" i="29"/>
  <c r="AW46" i="29"/>
  <c r="AW42" i="29"/>
  <c r="AW39" i="29"/>
  <c r="AW9" i="29"/>
  <c r="AW27" i="29"/>
  <c r="AW23" i="29"/>
  <c r="AW24" i="29"/>
  <c r="AW6" i="29"/>
  <c r="AW15" i="29"/>
  <c r="AU17" i="29"/>
  <c r="AT18" i="29"/>
  <c r="AU18" i="29" s="1"/>
  <c r="AR44" i="29"/>
  <c r="Q76" i="29"/>
  <c r="Q65" i="29"/>
  <c r="Q57" i="29"/>
  <c r="Q71" i="29"/>
  <c r="Q31" i="29"/>
  <c r="Q29" i="29"/>
  <c r="AG31" i="29"/>
  <c r="Q32" i="29"/>
  <c r="Q30" i="29"/>
  <c r="Q10" i="29"/>
  <c r="U10" i="29"/>
  <c r="U7" i="29"/>
  <c r="AG75" i="29"/>
  <c r="Q61" i="29"/>
  <c r="U29" i="29"/>
  <c r="U34" i="29"/>
  <c r="U6" i="29"/>
  <c r="V8" i="27"/>
  <c r="AR20" i="29"/>
  <c r="BA20" i="29" s="1"/>
  <c r="V21" i="29"/>
  <c r="AB51" i="30"/>
  <c r="AR51" i="30" s="1"/>
  <c r="BA51" i="30" s="1"/>
  <c r="X82" i="16"/>
  <c r="P82" i="17"/>
  <c r="X82" i="17" s="1"/>
  <c r="X82" i="1"/>
  <c r="U44" i="1"/>
  <c r="U41" i="1"/>
  <c r="BA19" i="30"/>
  <c r="N47" i="1"/>
  <c r="V19" i="1"/>
  <c r="P19" i="1"/>
  <c r="C20" i="1"/>
  <c r="D20" i="1"/>
  <c r="B47" i="1"/>
  <c r="C47" i="1" s="1"/>
  <c r="L32" i="1"/>
  <c r="AJ32" i="1"/>
  <c r="V33" i="1"/>
  <c r="P33" i="1"/>
  <c r="X33" i="1"/>
  <c r="D34" i="1"/>
  <c r="C34" i="1"/>
  <c r="S34" i="1"/>
  <c r="T34" i="1"/>
  <c r="U34" i="1" s="1"/>
  <c r="AJ55" i="1"/>
  <c r="AH62" i="1"/>
  <c r="AJ62" i="1" s="1"/>
  <c r="L56" i="1"/>
  <c r="J62" i="1"/>
  <c r="L62" i="1" s="1"/>
  <c r="P73" i="1"/>
  <c r="X73" i="1" s="1"/>
  <c r="V73" i="1"/>
  <c r="AV73" i="1"/>
  <c r="P74" i="1"/>
  <c r="V74" i="1"/>
  <c r="AV74" i="1"/>
  <c r="P75" i="1"/>
  <c r="X75" i="1" s="1"/>
  <c r="V75" i="1"/>
  <c r="AV75" i="1"/>
  <c r="AL83" i="1"/>
  <c r="AN83" i="1" s="1"/>
  <c r="AF83" i="1"/>
  <c r="AV49" i="1"/>
  <c r="AT54" i="1"/>
  <c r="AV54" i="1" s="1"/>
  <c r="AV43" i="1"/>
  <c r="AV39" i="1"/>
  <c r="AV35" i="1"/>
  <c r="AV27" i="1"/>
  <c r="AV23" i="1"/>
  <c r="AT47" i="1"/>
  <c r="AV19" i="1"/>
  <c r="AV13" i="1"/>
  <c r="AV8" i="1"/>
  <c r="X26" i="1"/>
  <c r="L6" i="1"/>
  <c r="V9" i="1"/>
  <c r="C19" i="1"/>
  <c r="D19" i="1"/>
  <c r="S23" i="1"/>
  <c r="V23" i="1"/>
  <c r="S24" i="1"/>
  <c r="V24" i="1"/>
  <c r="T24" i="1"/>
  <c r="U24" i="1" s="1"/>
  <c r="J47" i="1"/>
  <c r="L47" i="1" s="1"/>
  <c r="L27" i="1"/>
  <c r="V28" i="1"/>
  <c r="P28" i="1"/>
  <c r="C43" i="1"/>
  <c r="D43" i="1"/>
  <c r="T43" i="1"/>
  <c r="S43" i="1"/>
  <c r="AJ53" i="1"/>
  <c r="AH54" i="1"/>
  <c r="AJ54" i="1" s="1"/>
  <c r="S71" i="1"/>
  <c r="V71" i="1"/>
  <c r="T71" i="1"/>
  <c r="S72" i="1"/>
  <c r="T72" i="1"/>
  <c r="U72" i="1" s="1"/>
  <c r="U23" i="1"/>
  <c r="AH47" i="1"/>
  <c r="AJ47" i="1" s="1"/>
  <c r="P21" i="1"/>
  <c r="X21" i="1" s="1"/>
  <c r="V21" i="1"/>
  <c r="T22" i="1"/>
  <c r="V22" i="1"/>
  <c r="S22" i="1"/>
  <c r="T42" i="1"/>
  <c r="V42" i="1"/>
  <c r="L52" i="1"/>
  <c r="J54" i="1"/>
  <c r="L54" i="1" s="1"/>
  <c r="L65" i="1"/>
  <c r="U46" i="1"/>
  <c r="V38" i="1"/>
  <c r="P38" i="1"/>
  <c r="X38" i="1" s="1"/>
  <c r="T39" i="1"/>
  <c r="U39" i="1" s="1"/>
  <c r="S39" i="1"/>
  <c r="V39" i="1"/>
  <c r="C40" i="1"/>
  <c r="D40" i="1"/>
  <c r="S40" i="1"/>
  <c r="T40" i="1"/>
  <c r="U40" i="1" s="1"/>
  <c r="S50" i="1"/>
  <c r="T50" i="1"/>
  <c r="U50" i="1" s="1"/>
  <c r="R54" i="1"/>
  <c r="T54" i="1" s="1"/>
  <c r="U54" i="1" s="1"/>
  <c r="D51" i="1"/>
  <c r="B54" i="1"/>
  <c r="C54" i="1" s="1"/>
  <c r="V51" i="1"/>
  <c r="T51" i="1"/>
  <c r="U51" i="1" s="1"/>
  <c r="D52" i="1"/>
  <c r="B62" i="1"/>
  <c r="D57" i="1"/>
  <c r="C57" i="1"/>
  <c r="AL8" i="16"/>
  <c r="J47" i="16"/>
  <c r="K47" i="16" s="1"/>
  <c r="AV11" i="16"/>
  <c r="AW58" i="16" s="1"/>
  <c r="AF17" i="16"/>
  <c r="AJ17" i="16"/>
  <c r="AT81" i="16"/>
  <c r="AV83" i="1"/>
  <c r="L11" i="16"/>
  <c r="M65" i="16" s="1"/>
  <c r="AD11" i="16"/>
  <c r="AE60" i="16" s="1"/>
  <c r="AL6" i="16"/>
  <c r="AP6" i="16" s="1"/>
  <c r="AT11" i="16"/>
  <c r="AU66" i="16" s="1"/>
  <c r="AN7" i="16"/>
  <c r="AB8" i="16"/>
  <c r="AR8" i="16" s="1"/>
  <c r="BA8" i="16" s="1"/>
  <c r="X8" i="16"/>
  <c r="P11" i="16"/>
  <c r="Q28" i="16" s="1"/>
  <c r="V9" i="16"/>
  <c r="N11" i="16"/>
  <c r="O46" i="16" s="1"/>
  <c r="Z13" i="16"/>
  <c r="AP13" i="16" s="1"/>
  <c r="V13" i="16"/>
  <c r="L17" i="16"/>
  <c r="M17" i="16" s="1"/>
  <c r="AB15" i="16"/>
  <c r="AR15" i="16" s="1"/>
  <c r="AT17" i="16"/>
  <c r="AB16" i="16"/>
  <c r="C19" i="16"/>
  <c r="AL19" i="16"/>
  <c r="C21" i="16"/>
  <c r="V21" i="16"/>
  <c r="S21" i="16"/>
  <c r="C24" i="16"/>
  <c r="AL24" i="16"/>
  <c r="V25" i="16"/>
  <c r="S25" i="16"/>
  <c r="S26" i="16"/>
  <c r="C27" i="16"/>
  <c r="V29" i="16"/>
  <c r="S29" i="16"/>
  <c r="AL31" i="16"/>
  <c r="S32" i="16"/>
  <c r="C33" i="16"/>
  <c r="AL33" i="16"/>
  <c r="C34" i="16"/>
  <c r="S35" i="16"/>
  <c r="V35" i="16"/>
  <c r="AL37" i="16"/>
  <c r="V38" i="16"/>
  <c r="S38" i="16"/>
  <c r="S40" i="16"/>
  <c r="V40" i="16"/>
  <c r="AL40" i="16"/>
  <c r="AL41" i="16"/>
  <c r="S42" i="16"/>
  <c r="V42" i="16"/>
  <c r="AL42" i="16"/>
  <c r="S43" i="16"/>
  <c r="V43" i="16"/>
  <c r="AL45" i="16"/>
  <c r="AL46" i="16"/>
  <c r="S50" i="16"/>
  <c r="V50" i="16"/>
  <c r="S51" i="16"/>
  <c r="V51" i="16"/>
  <c r="AL51" i="16"/>
  <c r="AP51" i="16" s="1"/>
  <c r="AY51" i="16" s="1"/>
  <c r="V52" i="16"/>
  <c r="S52" i="16"/>
  <c r="AL52" i="16"/>
  <c r="AH62" i="16"/>
  <c r="AL55" i="16"/>
  <c r="S56" i="16"/>
  <c r="V56" i="16"/>
  <c r="V58" i="16"/>
  <c r="S58" i="16"/>
  <c r="V59" i="16"/>
  <c r="S59" i="16"/>
  <c r="AL60" i="16"/>
  <c r="AP60" i="16" s="1"/>
  <c r="C61" i="16"/>
  <c r="AL61" i="16"/>
  <c r="AL65" i="16"/>
  <c r="S66" i="16"/>
  <c r="V66" i="16"/>
  <c r="Z70" i="16"/>
  <c r="L70" i="16"/>
  <c r="AJ70" i="16"/>
  <c r="AN70" i="16" s="1"/>
  <c r="AL70" i="16"/>
  <c r="AB71" i="16"/>
  <c r="AR71" i="16" s="1"/>
  <c r="AB73" i="16"/>
  <c r="AB74" i="16"/>
  <c r="AB75" i="16"/>
  <c r="M75" i="16"/>
  <c r="M22" i="16"/>
  <c r="AB27" i="16"/>
  <c r="AR27" i="16" s="1"/>
  <c r="E34" i="16"/>
  <c r="AB38" i="16"/>
  <c r="AB43" i="16"/>
  <c r="AB44" i="16"/>
  <c r="AR44" i="16" s="1"/>
  <c r="BA44" i="16" s="1"/>
  <c r="E49" i="16"/>
  <c r="M54" i="16"/>
  <c r="AB55" i="16"/>
  <c r="X55" i="16"/>
  <c r="T62" i="16"/>
  <c r="AB56" i="16"/>
  <c r="AR56" i="16" s="1"/>
  <c r="AB58" i="16"/>
  <c r="AR58" i="16" s="1"/>
  <c r="BA58" i="16" s="1"/>
  <c r="E60" i="16"/>
  <c r="E63" i="16"/>
  <c r="AB63" i="16"/>
  <c r="AR63" i="16" s="1"/>
  <c r="AB65" i="16"/>
  <c r="AR65" i="16" s="1"/>
  <c r="AB66" i="16"/>
  <c r="AR66" i="16" s="1"/>
  <c r="Z7" i="16"/>
  <c r="AP7" i="16" s="1"/>
  <c r="X12" i="16"/>
  <c r="AB12" i="16"/>
  <c r="H17" i="16"/>
  <c r="AB14" i="16"/>
  <c r="AD17" i="16"/>
  <c r="AL14" i="16"/>
  <c r="AP14" i="16" s="1"/>
  <c r="AY14" i="16" s="1"/>
  <c r="V19" i="16"/>
  <c r="S19" i="16"/>
  <c r="S20" i="16"/>
  <c r="V20" i="16"/>
  <c r="Z22" i="16"/>
  <c r="V22" i="16"/>
  <c r="S22" i="16"/>
  <c r="S23" i="16"/>
  <c r="V23" i="16"/>
  <c r="S24" i="16"/>
  <c r="V24" i="16"/>
  <c r="V27" i="16"/>
  <c r="S27" i="16"/>
  <c r="Z28" i="16"/>
  <c r="S28" i="16"/>
  <c r="V28" i="16"/>
  <c r="Z30" i="16"/>
  <c r="AP30" i="16" s="1"/>
  <c r="AY30" i="16" s="1"/>
  <c r="S30" i="16"/>
  <c r="V30" i="16"/>
  <c r="S31" i="16"/>
  <c r="V31" i="16"/>
  <c r="V33" i="16"/>
  <c r="S33" i="16"/>
  <c r="S37" i="16"/>
  <c r="V37" i="16"/>
  <c r="K40" i="16"/>
  <c r="V41" i="16"/>
  <c r="S41" i="16"/>
  <c r="Z42" i="16"/>
  <c r="S45" i="16"/>
  <c r="V45" i="16"/>
  <c r="S46" i="16"/>
  <c r="V46" i="16"/>
  <c r="C49" i="16"/>
  <c r="B54" i="16"/>
  <c r="C54" i="16" s="1"/>
  <c r="Z49" i="16"/>
  <c r="S49" i="16"/>
  <c r="R54" i="16"/>
  <c r="S54" i="16" s="1"/>
  <c r="V49" i="16"/>
  <c r="AH54" i="16"/>
  <c r="AL49" i="16"/>
  <c r="C50" i="16"/>
  <c r="C51" i="16"/>
  <c r="S53" i="16"/>
  <c r="V53" i="16"/>
  <c r="C55" i="16"/>
  <c r="B62" i="16"/>
  <c r="C62" i="16" s="1"/>
  <c r="Z55" i="16"/>
  <c r="J62" i="16"/>
  <c r="K62" i="16" s="1"/>
  <c r="S55" i="16"/>
  <c r="V55" i="16"/>
  <c r="R62" i="16"/>
  <c r="S62" i="16" s="1"/>
  <c r="Z56" i="16"/>
  <c r="Z57" i="16"/>
  <c r="S57" i="16"/>
  <c r="V57" i="16"/>
  <c r="S63" i="16"/>
  <c r="X74" i="16"/>
  <c r="X77" i="16"/>
  <c r="X70" i="16"/>
  <c r="AB76" i="16"/>
  <c r="AR76" i="16" s="1"/>
  <c r="AZ76" i="16"/>
  <c r="X76" i="16"/>
  <c r="E75" i="16"/>
  <c r="F11" i="16"/>
  <c r="AB6" i="16"/>
  <c r="AB10" i="16"/>
  <c r="AR10" i="16" s="1"/>
  <c r="Z12" i="16"/>
  <c r="AP12" i="16" s="1"/>
  <c r="Z20" i="16"/>
  <c r="Z23" i="16"/>
  <c r="AP23" i="16" s="1"/>
  <c r="AL32" i="16"/>
  <c r="Z36" i="16"/>
  <c r="V36" i="16"/>
  <c r="Z37" i="16"/>
  <c r="V39" i="16"/>
  <c r="Z41" i="16"/>
  <c r="Z44" i="16"/>
  <c r="AP44" i="16" s="1"/>
  <c r="V44" i="16"/>
  <c r="AL58" i="16"/>
  <c r="AP58" i="16" s="1"/>
  <c r="V60" i="16"/>
  <c r="V61" i="16"/>
  <c r="V65" i="16"/>
  <c r="AL66" i="16"/>
  <c r="AP66" i="16" s="1"/>
  <c r="AW72" i="16"/>
  <c r="M45" i="16"/>
  <c r="M60" i="16"/>
  <c r="M40" i="16"/>
  <c r="O14" i="16"/>
  <c r="O59" i="16"/>
  <c r="O22" i="16"/>
  <c r="O42" i="16"/>
  <c r="O71" i="16"/>
  <c r="AU8" i="16"/>
  <c r="AU9" i="16"/>
  <c r="AU57" i="16"/>
  <c r="AU52" i="16"/>
  <c r="AU39" i="16"/>
  <c r="AU28" i="16"/>
  <c r="AU50" i="16"/>
  <c r="AU78" i="16"/>
  <c r="AU23" i="16"/>
  <c r="AE31" i="16"/>
  <c r="AE63" i="16"/>
  <c r="AX14" i="16"/>
  <c r="K77" i="16"/>
  <c r="K78" i="16"/>
  <c r="K36" i="16"/>
  <c r="K50" i="16"/>
  <c r="K72" i="16"/>
  <c r="K33" i="16"/>
  <c r="K52" i="16"/>
  <c r="K41" i="16"/>
  <c r="K14" i="16"/>
  <c r="K15" i="16"/>
  <c r="K34" i="16"/>
  <c r="K38" i="16"/>
  <c r="BA76" i="16"/>
  <c r="E50" i="16"/>
  <c r="D54" i="16"/>
  <c r="P54" i="16"/>
  <c r="X51" i="16"/>
  <c r="AB51" i="16"/>
  <c r="AN51" i="16"/>
  <c r="AB61" i="16"/>
  <c r="L62" i="16"/>
  <c r="M62" i="16" s="1"/>
  <c r="M61" i="16"/>
  <c r="E73" i="16"/>
  <c r="E74" i="16"/>
  <c r="AT81" i="17"/>
  <c r="AV83" i="16"/>
  <c r="V32" i="16"/>
  <c r="Z32" i="16"/>
  <c r="S34" i="16"/>
  <c r="V34" i="16"/>
  <c r="AN34" i="16"/>
  <c r="AR34" i="16" s="1"/>
  <c r="AH47" i="16"/>
  <c r="AN37" i="16"/>
  <c r="C39" i="16"/>
  <c r="E40" i="16"/>
  <c r="X41" i="16"/>
  <c r="AB41" i="16"/>
  <c r="C46" i="16"/>
  <c r="Z46" i="16"/>
  <c r="K42" i="16"/>
  <c r="K26" i="16"/>
  <c r="K37" i="16"/>
  <c r="K43" i="16"/>
  <c r="K49" i="16"/>
  <c r="K30" i="16"/>
  <c r="K39" i="16"/>
  <c r="AB9" i="16"/>
  <c r="X9" i="16"/>
  <c r="AL10" i="16"/>
  <c r="AP10" i="16" s="1"/>
  <c r="AH11" i="16"/>
  <c r="AI22" i="16" s="1"/>
  <c r="C20" i="16"/>
  <c r="B47" i="16"/>
  <c r="B48" i="16" s="1"/>
  <c r="K20" i="16"/>
  <c r="AB21" i="16"/>
  <c r="AR21" i="16" s="1"/>
  <c r="H47" i="16"/>
  <c r="E22" i="16"/>
  <c r="D47" i="16"/>
  <c r="E47" i="16" s="1"/>
  <c r="Z24" i="16"/>
  <c r="N47" i="16"/>
  <c r="V26" i="16"/>
  <c r="Z26" i="16"/>
  <c r="C28" i="16"/>
  <c r="AN29" i="16"/>
  <c r="AJ47" i="16"/>
  <c r="X6" i="16"/>
  <c r="T11" i="16"/>
  <c r="U7" i="16" s="1"/>
  <c r="AN6" i="16"/>
  <c r="AJ11" i="16"/>
  <c r="AK78" i="16" s="1"/>
  <c r="H11" i="16"/>
  <c r="I51" i="16" s="1"/>
  <c r="AB7" i="16"/>
  <c r="T47" i="16"/>
  <c r="AV47" i="16"/>
  <c r="AL22" i="16"/>
  <c r="AB24" i="16"/>
  <c r="X24" i="16"/>
  <c r="AR26" i="16"/>
  <c r="X32" i="16"/>
  <c r="AL35" i="16"/>
  <c r="S39" i="16"/>
  <c r="Z39" i="16"/>
  <c r="AP39" i="16" s="1"/>
  <c r="AY39" i="16" s="1"/>
  <c r="Z40" i="16"/>
  <c r="Z50" i="16"/>
  <c r="N62" i="16"/>
  <c r="AD62" i="16"/>
  <c r="Z61" i="16"/>
  <c r="V72" i="16"/>
  <c r="Z73" i="16"/>
  <c r="Z75" i="16"/>
  <c r="AP75" i="16" s="1"/>
  <c r="Z9" i="16"/>
  <c r="Z15" i="16"/>
  <c r="AP15" i="16" s="1"/>
  <c r="Z19" i="16"/>
  <c r="AP19" i="16" s="1"/>
  <c r="AY19" i="16" s="1"/>
  <c r="AL20" i="16"/>
  <c r="AD47" i="16"/>
  <c r="AE47" i="16" s="1"/>
  <c r="Z34" i="16"/>
  <c r="AP34" i="16" s="1"/>
  <c r="X35" i="16"/>
  <c r="AL36" i="16"/>
  <c r="X40" i="16"/>
  <c r="AB40" i="16"/>
  <c r="AR40" i="16" s="1"/>
  <c r="BA40" i="16" s="1"/>
  <c r="AN43" i="16"/>
  <c r="AN55" i="16"/>
  <c r="X57" i="16"/>
  <c r="P62" i="16"/>
  <c r="AN61" i="16"/>
  <c r="AF62" i="16"/>
  <c r="AN62" i="16" s="1"/>
  <c r="Z63" i="16"/>
  <c r="AP63" i="16" s="1"/>
  <c r="AX63" i="16" s="1"/>
  <c r="AN72" i="16"/>
  <c r="X19" i="16"/>
  <c r="P47" i="16"/>
  <c r="AB19" i="16"/>
  <c r="AR19" i="16" s="1"/>
  <c r="AZ19" i="16" s="1"/>
  <c r="L47" i="16"/>
  <c r="M47" i="16" s="1"/>
  <c r="R47" i="16"/>
  <c r="R48" i="16" s="1"/>
  <c r="X33" i="16"/>
  <c r="AB33" i="16"/>
  <c r="AB49" i="16"/>
  <c r="H54" i="16"/>
  <c r="AN50" i="16"/>
  <c r="AF54" i="16"/>
  <c r="AB52" i="16"/>
  <c r="AR52" i="16" s="1"/>
  <c r="X52" i="16"/>
  <c r="Z53" i="16"/>
  <c r="F54" i="16"/>
  <c r="Z54" i="16" s="1"/>
  <c r="V75" i="16"/>
  <c r="S75" i="16"/>
  <c r="AB32" i="16"/>
  <c r="AR49" i="16"/>
  <c r="AZ49" i="16" s="1"/>
  <c r="I29" i="16"/>
  <c r="AK28" i="16"/>
  <c r="AI72" i="16"/>
  <c r="AI6" i="16"/>
  <c r="AI40" i="16"/>
  <c r="AI66" i="16"/>
  <c r="AI33" i="16"/>
  <c r="AI59" i="16"/>
  <c r="AI63" i="16"/>
  <c r="U41" i="16"/>
  <c r="X37" i="16"/>
  <c r="AB37" i="16"/>
  <c r="X6" i="17"/>
  <c r="S72" i="17"/>
  <c r="V72" i="17"/>
  <c r="V73" i="17"/>
  <c r="S73" i="17"/>
  <c r="V75" i="17"/>
  <c r="S75" i="17"/>
  <c r="AN24" i="16"/>
  <c r="AB13" i="16"/>
  <c r="AR13" i="16" s="1"/>
  <c r="AB20" i="16"/>
  <c r="AL25" i="16"/>
  <c r="AL26" i="16"/>
  <c r="AL27" i="16"/>
  <c r="AN33" i="16"/>
  <c r="E35" i="16"/>
  <c r="AR35" i="16"/>
  <c r="AN42" i="16"/>
  <c r="AB45" i="16"/>
  <c r="AN53" i="16"/>
  <c r="AT62" i="16"/>
  <c r="Z59" i="16"/>
  <c r="AP59" i="16" s="1"/>
  <c r="Z65" i="16"/>
  <c r="AB72" i="16"/>
  <c r="AB77" i="16"/>
  <c r="AN9" i="16"/>
  <c r="X15" i="16"/>
  <c r="T17" i="16"/>
  <c r="X28" i="16"/>
  <c r="AB28" i="16"/>
  <c r="AN59" i="16"/>
  <c r="AN73" i="16"/>
  <c r="AR73" i="16" s="1"/>
  <c r="AZ73" i="16" s="1"/>
  <c r="AN74" i="16"/>
  <c r="X10" i="17"/>
  <c r="AN12" i="17"/>
  <c r="P17" i="17"/>
  <c r="X17" i="17" s="1"/>
  <c r="AD47" i="17"/>
  <c r="Z23" i="17"/>
  <c r="AL28" i="17"/>
  <c r="AP74" i="17"/>
  <c r="AY74" i="17" s="1"/>
  <c r="AB19" i="17"/>
  <c r="X76" i="27"/>
  <c r="AB76" i="27"/>
  <c r="AD11" i="18"/>
  <c r="AL6" i="18"/>
  <c r="AP6" i="18" s="1"/>
  <c r="AX6" i="18" s="1"/>
  <c r="AT11" i="18"/>
  <c r="AU27" i="18" s="1"/>
  <c r="J11" i="18"/>
  <c r="K74" i="18" s="1"/>
  <c r="Z7" i="18"/>
  <c r="AP7" i="18" s="1"/>
  <c r="T11" i="18"/>
  <c r="T18" i="18" s="1"/>
  <c r="U18" i="18" s="1"/>
  <c r="AH11" i="18"/>
  <c r="AL8" i="18"/>
  <c r="V9" i="18"/>
  <c r="N11" i="18"/>
  <c r="O46" i="18" s="1"/>
  <c r="AL10" i="18"/>
  <c r="V13" i="18"/>
  <c r="Z13" i="18"/>
  <c r="AP13" i="18" s="1"/>
  <c r="AX13" i="18" s="1"/>
  <c r="AL14" i="18"/>
  <c r="AD17" i="18"/>
  <c r="AL15" i="18"/>
  <c r="AP15" i="18" s="1"/>
  <c r="AX15" i="18" s="1"/>
  <c r="AT17" i="18"/>
  <c r="AB16" i="18"/>
  <c r="AN16" i="18"/>
  <c r="C19" i="18"/>
  <c r="B47" i="18"/>
  <c r="C47" i="18" s="1"/>
  <c r="J47" i="18"/>
  <c r="Z19" i="18"/>
  <c r="R47" i="18"/>
  <c r="V19" i="18"/>
  <c r="S19" i="18"/>
  <c r="AH47" i="18"/>
  <c r="AL19" i="18"/>
  <c r="C20" i="18"/>
  <c r="Z20" i="18"/>
  <c r="S20" i="18"/>
  <c r="V20" i="18"/>
  <c r="C21" i="18"/>
  <c r="Z21" i="18"/>
  <c r="S21" i="18"/>
  <c r="V21" i="18"/>
  <c r="AL21" i="18"/>
  <c r="C22" i="18"/>
  <c r="Z22" i="18"/>
  <c r="AL22" i="18"/>
  <c r="C23" i="18"/>
  <c r="Z23" i="18"/>
  <c r="S23" i="18"/>
  <c r="V23" i="18"/>
  <c r="Z24" i="18"/>
  <c r="S24" i="18"/>
  <c r="V24" i="18"/>
  <c r="AL24" i="18"/>
  <c r="AP24" i="18" s="1"/>
  <c r="P70" i="18"/>
  <c r="X70" i="18" s="1"/>
  <c r="V70" i="18"/>
  <c r="Z70" i="18"/>
  <c r="AP70" i="18" s="1"/>
  <c r="AX70" i="18" s="1"/>
  <c r="V71" i="18"/>
  <c r="AL71" i="18"/>
  <c r="V72" i="18"/>
  <c r="AL72" i="18"/>
  <c r="Z73" i="18"/>
  <c r="V73" i="18"/>
  <c r="AL73" i="18"/>
  <c r="Z74" i="18"/>
  <c r="V74" i="18"/>
  <c r="AL74" i="18"/>
  <c r="V75" i="18"/>
  <c r="AL75" i="18"/>
  <c r="F81" i="27"/>
  <c r="Z81" i="27" s="1"/>
  <c r="H83" i="18"/>
  <c r="AB83" i="18" s="1"/>
  <c r="AP83" i="18" s="1"/>
  <c r="Z83" i="18"/>
  <c r="AL6" i="27"/>
  <c r="AD11" i="27"/>
  <c r="AE62" i="27" s="1"/>
  <c r="Z7" i="27"/>
  <c r="J11" i="27"/>
  <c r="AH11" i="27"/>
  <c r="AL8" i="27"/>
  <c r="Z9" i="27"/>
  <c r="F11" i="27"/>
  <c r="G66" i="27" s="1"/>
  <c r="N11" i="27"/>
  <c r="O29" i="27" s="1"/>
  <c r="V9" i="27"/>
  <c r="AL10" i="27"/>
  <c r="Z13" i="27"/>
  <c r="AP13" i="27" s="1"/>
  <c r="AX13" i="27" s="1"/>
  <c r="V13" i="27"/>
  <c r="AD17" i="27"/>
  <c r="AL17" i="27" s="1"/>
  <c r="AL14" i="27"/>
  <c r="AL15" i="27"/>
  <c r="AT17" i="27"/>
  <c r="AB16" i="27"/>
  <c r="AN16" i="27"/>
  <c r="C19" i="27"/>
  <c r="B47" i="27"/>
  <c r="C47" i="27" s="1"/>
  <c r="Z19" i="27"/>
  <c r="J47" i="27"/>
  <c r="V19" i="27"/>
  <c r="R47" i="27"/>
  <c r="S19" i="27"/>
  <c r="AL19" i="27"/>
  <c r="AH47" i="27"/>
  <c r="Z20" i="27"/>
  <c r="S20" i="27"/>
  <c r="V20" i="27"/>
  <c r="AL20" i="27"/>
  <c r="C21" i="27"/>
  <c r="Z21" i="27"/>
  <c r="S21" i="27"/>
  <c r="V21" i="27"/>
  <c r="AL21" i="27"/>
  <c r="C22" i="27"/>
  <c r="S22" i="27"/>
  <c r="V22" i="27"/>
  <c r="AL22" i="27"/>
  <c r="C23" i="27"/>
  <c r="Z23" i="27"/>
  <c r="V23" i="27"/>
  <c r="S23" i="27"/>
  <c r="AL23" i="27"/>
  <c r="AP23" i="27" s="1"/>
  <c r="C24" i="27"/>
  <c r="Z24" i="27"/>
  <c r="V24" i="27"/>
  <c r="S24" i="27"/>
  <c r="AL24" i="27"/>
  <c r="C25" i="27"/>
  <c r="Z25" i="27"/>
  <c r="S25" i="27"/>
  <c r="V25" i="27"/>
  <c r="AL25" i="27"/>
  <c r="C26" i="27"/>
  <c r="Z26" i="27"/>
  <c r="V26" i="27"/>
  <c r="S26" i="27"/>
  <c r="AL26" i="27"/>
  <c r="C27" i="27"/>
  <c r="Z27" i="27"/>
  <c r="S27" i="27"/>
  <c r="V27" i="27"/>
  <c r="AL27" i="27"/>
  <c r="C28" i="27"/>
  <c r="Z28" i="27"/>
  <c r="V28" i="27"/>
  <c r="S28" i="27"/>
  <c r="AL28" i="27"/>
  <c r="C29" i="27"/>
  <c r="Z29" i="27"/>
  <c r="V29" i="27"/>
  <c r="S29" i="27"/>
  <c r="AL29" i="27"/>
  <c r="C30" i="27"/>
  <c r="Z30" i="27"/>
  <c r="S30" i="27"/>
  <c r="V30" i="27"/>
  <c r="AL30" i="27"/>
  <c r="C31" i="27"/>
  <c r="S31" i="27"/>
  <c r="V31" i="27"/>
  <c r="AL31" i="27"/>
  <c r="C32" i="27"/>
  <c r="Z32" i="27"/>
  <c r="V32" i="27"/>
  <c r="S32" i="27"/>
  <c r="AL32" i="27"/>
  <c r="AP32" i="27" s="1"/>
  <c r="AY32" i="27" s="1"/>
  <c r="C33" i="27"/>
  <c r="Z33" i="27"/>
  <c r="V33" i="27"/>
  <c r="S33" i="27"/>
  <c r="AL33" i="27"/>
  <c r="C34" i="27"/>
  <c r="Z34" i="27"/>
  <c r="V34" i="27"/>
  <c r="S34" i="27"/>
  <c r="AL34" i="27"/>
  <c r="C35" i="27"/>
  <c r="Z35" i="27"/>
  <c r="S35" i="27"/>
  <c r="V35" i="27"/>
  <c r="AL35" i="27"/>
  <c r="C36" i="27"/>
  <c r="Z36" i="27"/>
  <c r="V36" i="27"/>
  <c r="S36" i="27"/>
  <c r="AL36" i="27"/>
  <c r="C37" i="27"/>
  <c r="Z37" i="27"/>
  <c r="S37" i="27"/>
  <c r="V37" i="27"/>
  <c r="AL37" i="27"/>
  <c r="C38" i="27"/>
  <c r="Z38" i="27"/>
  <c r="V38" i="27"/>
  <c r="S38" i="27"/>
  <c r="AL38" i="27"/>
  <c r="C39" i="27"/>
  <c r="Z39" i="27"/>
  <c r="K39" i="27"/>
  <c r="V39" i="27"/>
  <c r="S39" i="27"/>
  <c r="AL39" i="27"/>
  <c r="AP39" i="27" s="1"/>
  <c r="AY39" i="27" s="1"/>
  <c r="C40" i="27"/>
  <c r="Z40" i="27"/>
  <c r="S40" i="27"/>
  <c r="V40" i="27"/>
  <c r="AL40" i="27"/>
  <c r="C41" i="27"/>
  <c r="Z41" i="27"/>
  <c r="V41" i="27"/>
  <c r="S41" i="27"/>
  <c r="AL41" i="27"/>
  <c r="C42" i="27"/>
  <c r="Z42" i="27"/>
  <c r="S42" i="27"/>
  <c r="V42" i="27"/>
  <c r="AL42" i="27"/>
  <c r="C43" i="27"/>
  <c r="Z43" i="27"/>
  <c r="AP43" i="27" s="1"/>
  <c r="AX43" i="27" s="1"/>
  <c r="V43" i="27"/>
  <c r="S43" i="27"/>
  <c r="AL43" i="27"/>
  <c r="C44" i="27"/>
  <c r="Z44" i="27"/>
  <c r="V44" i="27"/>
  <c r="S44" i="27"/>
  <c r="AL44" i="27"/>
  <c r="C45" i="27"/>
  <c r="Z45" i="27"/>
  <c r="V45" i="27"/>
  <c r="S45" i="27"/>
  <c r="AL45" i="27"/>
  <c r="C46" i="27"/>
  <c r="Z46" i="27"/>
  <c r="K46" i="27"/>
  <c r="V46" i="27"/>
  <c r="S46" i="27"/>
  <c r="AL46" i="27"/>
  <c r="C49" i="27"/>
  <c r="B54" i="27"/>
  <c r="J54" i="27"/>
  <c r="Z49" i="27"/>
  <c r="R54" i="27"/>
  <c r="S54" i="27" s="1"/>
  <c r="S49" i="27"/>
  <c r="V49" i="27"/>
  <c r="AH54" i="27"/>
  <c r="AL54" i="27" s="1"/>
  <c r="AL49" i="27"/>
  <c r="C50" i="27"/>
  <c r="Z50" i="27"/>
  <c r="AP50" i="27" s="1"/>
  <c r="AX50" i="27" s="1"/>
  <c r="V50" i="27"/>
  <c r="S50" i="27"/>
  <c r="AL50" i="27"/>
  <c r="C51" i="27"/>
  <c r="Z51" i="27"/>
  <c r="V51" i="27"/>
  <c r="S51" i="27"/>
  <c r="AL51" i="27"/>
  <c r="C52" i="27"/>
  <c r="Z52" i="27"/>
  <c r="V52" i="27"/>
  <c r="S52" i="27"/>
  <c r="AL52" i="27"/>
  <c r="C53" i="27"/>
  <c r="Z53" i="27"/>
  <c r="V53" i="27"/>
  <c r="S53" i="27"/>
  <c r="AL53" i="27"/>
  <c r="C55" i="27"/>
  <c r="B62" i="27"/>
  <c r="C62" i="27" s="1"/>
  <c r="J62" i="27"/>
  <c r="Z55" i="27"/>
  <c r="V55" i="27"/>
  <c r="R62" i="27"/>
  <c r="Z62" i="27" s="1"/>
  <c r="S55" i="27"/>
  <c r="AH62" i="27"/>
  <c r="AL62" i="27" s="1"/>
  <c r="AL55" i="27"/>
  <c r="C56" i="27"/>
  <c r="Z56" i="27"/>
  <c r="V56" i="27"/>
  <c r="S56" i="27"/>
  <c r="AL56" i="27"/>
  <c r="C57" i="27"/>
  <c r="V57" i="27"/>
  <c r="S57" i="27"/>
  <c r="AL57" i="27"/>
  <c r="C58" i="27"/>
  <c r="Z58" i="27"/>
  <c r="S58" i="27"/>
  <c r="V58" i="27"/>
  <c r="AL58" i="27"/>
  <c r="C59" i="27"/>
  <c r="Z59" i="27"/>
  <c r="V59" i="27"/>
  <c r="S59" i="27"/>
  <c r="AL59" i="27"/>
  <c r="C60" i="27"/>
  <c r="Z60" i="27"/>
  <c r="V60" i="27"/>
  <c r="S60" i="27"/>
  <c r="AL60" i="27"/>
  <c r="C61" i="27"/>
  <c r="Z61" i="27"/>
  <c r="V61" i="27"/>
  <c r="S61" i="27"/>
  <c r="C63" i="27"/>
  <c r="Z63" i="27"/>
  <c r="V63" i="27"/>
  <c r="S63" i="27"/>
  <c r="AL63" i="27"/>
  <c r="C65" i="27"/>
  <c r="Z65" i="27"/>
  <c r="V65" i="27"/>
  <c r="S65" i="27"/>
  <c r="C66" i="27"/>
  <c r="Z66" i="27"/>
  <c r="V66" i="27"/>
  <c r="S66" i="27"/>
  <c r="AL66" i="27"/>
  <c r="L70" i="27"/>
  <c r="AB70" i="27" s="1"/>
  <c r="Z70" i="27"/>
  <c r="AJ70" i="27"/>
  <c r="AN70" i="27" s="1"/>
  <c r="AL70" i="27"/>
  <c r="Z77" i="27"/>
  <c r="AP77" i="27" s="1"/>
  <c r="AT11" i="27"/>
  <c r="AU40" i="27" s="1"/>
  <c r="K57" i="27"/>
  <c r="AL61" i="27"/>
  <c r="T11" i="27"/>
  <c r="F81" i="28"/>
  <c r="Z81" i="28" s="1"/>
  <c r="H83" i="27"/>
  <c r="AB83" i="27" s="1"/>
  <c r="AP83" i="27" s="1"/>
  <c r="S47" i="18"/>
  <c r="AH18" i="18"/>
  <c r="AI74" i="18"/>
  <c r="AI12" i="18"/>
  <c r="AI7" i="18"/>
  <c r="O59" i="18"/>
  <c r="O32" i="18"/>
  <c r="V11" i="18"/>
  <c r="W30" i="18" s="1"/>
  <c r="O44" i="18"/>
  <c r="O31" i="18"/>
  <c r="O21" i="18"/>
  <c r="O15" i="18"/>
  <c r="O39" i="18"/>
  <c r="AE39" i="18"/>
  <c r="AE57" i="18"/>
  <c r="U17" i="18"/>
  <c r="U76" i="18"/>
  <c r="AE60" i="27"/>
  <c r="AE46" i="27"/>
  <c r="AU75" i="27"/>
  <c r="AU63" i="27"/>
  <c r="K54" i="27"/>
  <c r="K76" i="27"/>
  <c r="K78" i="27"/>
  <c r="K73" i="27"/>
  <c r="AP28" i="27"/>
  <c r="AX28" i="27" s="1"/>
  <c r="G72" i="27"/>
  <c r="G24" i="27"/>
  <c r="G58" i="27"/>
  <c r="G32" i="27"/>
  <c r="G46" i="27"/>
  <c r="G68" i="27"/>
  <c r="G44" i="27"/>
  <c r="G30" i="27"/>
  <c r="G42" i="27"/>
  <c r="G34" i="27"/>
  <c r="G31" i="27"/>
  <c r="G74" i="27"/>
  <c r="G60" i="27"/>
  <c r="G45" i="27"/>
  <c r="G39" i="27"/>
  <c r="G29" i="27"/>
  <c r="G22" i="27"/>
  <c r="G21" i="27"/>
  <c r="G16" i="27"/>
  <c r="G55" i="27"/>
  <c r="G78" i="27"/>
  <c r="G7" i="27"/>
  <c r="G47" i="27"/>
  <c r="G71" i="27"/>
  <c r="G37" i="27"/>
  <c r="G8" i="27"/>
  <c r="G54" i="27"/>
  <c r="AY68" i="18"/>
  <c r="AX68" i="18"/>
  <c r="AX68" i="27"/>
  <c r="AY68" i="27"/>
  <c r="BA68" i="18"/>
  <c r="AZ68" i="18"/>
  <c r="AY77" i="18"/>
  <c r="AX77" i="18"/>
  <c r="BA78" i="27"/>
  <c r="AZ78" i="27"/>
  <c r="Z12" i="27"/>
  <c r="AP12" i="27" s="1"/>
  <c r="AX12" i="27" s="1"/>
  <c r="Z10" i="27"/>
  <c r="Z71" i="27"/>
  <c r="E19" i="18"/>
  <c r="AN14" i="18"/>
  <c r="E22" i="18"/>
  <c r="AN74" i="18"/>
  <c r="AN61" i="18"/>
  <c r="AN25" i="18"/>
  <c r="AN12" i="18"/>
  <c r="AN6" i="18"/>
  <c r="X72" i="18"/>
  <c r="X31" i="18"/>
  <c r="X13" i="18"/>
  <c r="X12" i="18"/>
  <c r="U73" i="18"/>
  <c r="U59" i="18"/>
  <c r="U58" i="18"/>
  <c r="U53" i="18"/>
  <c r="U46" i="18"/>
  <c r="U36" i="18"/>
  <c r="AB32" i="18"/>
  <c r="U27" i="18"/>
  <c r="U25" i="18"/>
  <c r="U21" i="18"/>
  <c r="E71" i="18"/>
  <c r="E65" i="18"/>
  <c r="E51" i="18"/>
  <c r="E27" i="18"/>
  <c r="E21" i="18"/>
  <c r="AN75" i="18"/>
  <c r="AN59" i="18"/>
  <c r="AN41" i="18"/>
  <c r="AN36" i="18"/>
  <c r="AN13" i="18"/>
  <c r="AB46" i="18"/>
  <c r="AB42" i="18"/>
  <c r="AB38" i="18"/>
  <c r="AB13" i="18"/>
  <c r="AB12" i="18"/>
  <c r="AB6" i="18"/>
  <c r="H11" i="18"/>
  <c r="I38" i="18" s="1"/>
  <c r="AB19" i="18"/>
  <c r="AB66" i="18"/>
  <c r="AN9" i="18"/>
  <c r="AN29" i="18"/>
  <c r="AN45" i="18"/>
  <c r="AN58" i="18"/>
  <c r="AN73" i="18"/>
  <c r="E20" i="18"/>
  <c r="E24" i="18"/>
  <c r="E36" i="18"/>
  <c r="E37" i="18"/>
  <c r="E41" i="18"/>
  <c r="E46" i="18"/>
  <c r="E52" i="18"/>
  <c r="E73" i="18"/>
  <c r="AB71" i="18"/>
  <c r="X10" i="18"/>
  <c r="X27" i="18"/>
  <c r="X35" i="18"/>
  <c r="X49" i="18"/>
  <c r="X58" i="18"/>
  <c r="X63" i="18"/>
  <c r="X73" i="18"/>
  <c r="X74" i="18"/>
  <c r="AJ17" i="18"/>
  <c r="AB15" i="18"/>
  <c r="AB25" i="18"/>
  <c r="AB45" i="18"/>
  <c r="AN8" i="18"/>
  <c r="AN28" i="18"/>
  <c r="AN32" i="18"/>
  <c r="AN44" i="18"/>
  <c r="AN52" i="18"/>
  <c r="E23" i="18"/>
  <c r="E31" i="18"/>
  <c r="E56" i="18"/>
  <c r="E60" i="18"/>
  <c r="E66" i="18"/>
  <c r="E74" i="18"/>
  <c r="AB35" i="18"/>
  <c r="U44" i="18"/>
  <c r="U65" i="18"/>
  <c r="X23" i="18"/>
  <c r="X42" i="18"/>
  <c r="X57" i="18"/>
  <c r="X75" i="18"/>
  <c r="AJ47" i="18"/>
  <c r="AB21" i="18"/>
  <c r="AB40" i="18"/>
  <c r="H62" i="18"/>
  <c r="AB73" i="18"/>
  <c r="AB74" i="18"/>
  <c r="AN23" i="18"/>
  <c r="AN27" i="18"/>
  <c r="AN31" i="18"/>
  <c r="AN43" i="18"/>
  <c r="AN51" i="18"/>
  <c r="AN56" i="18"/>
  <c r="AN60" i="18"/>
  <c r="AN66" i="18"/>
  <c r="AN72" i="18"/>
  <c r="E30" i="18"/>
  <c r="E34" i="18"/>
  <c r="E39" i="18"/>
  <c r="E50" i="18"/>
  <c r="E55" i="18"/>
  <c r="E59" i="18"/>
  <c r="L11" i="18"/>
  <c r="M66" i="18" s="1"/>
  <c r="U39" i="18"/>
  <c r="U49" i="18"/>
  <c r="X15" i="18"/>
  <c r="P17" i="18"/>
  <c r="X17" i="18" s="1"/>
  <c r="X22" i="18"/>
  <c r="X25" i="18"/>
  <c r="X37" i="18"/>
  <c r="X45" i="18"/>
  <c r="X51" i="18"/>
  <c r="P62" i="18"/>
  <c r="X60" i="18"/>
  <c r="X66" i="18"/>
  <c r="AN10" i="18"/>
  <c r="AB14" i="18"/>
  <c r="H17" i="18"/>
  <c r="AB20" i="18"/>
  <c r="AB27" i="18"/>
  <c r="AB31" i="18"/>
  <c r="AB39" i="18"/>
  <c r="AB49" i="18"/>
  <c r="AB58" i="18"/>
  <c r="AB75" i="18"/>
  <c r="AN19" i="18"/>
  <c r="AF47" i="18"/>
  <c r="AN30" i="18"/>
  <c r="AN34" i="18"/>
  <c r="AN38" i="18"/>
  <c r="AN42" i="18"/>
  <c r="AN46" i="18"/>
  <c r="AN49" i="18"/>
  <c r="AN50" i="18"/>
  <c r="AF62" i="18"/>
  <c r="AN65" i="18"/>
  <c r="AN71" i="18"/>
  <c r="AN77" i="18"/>
  <c r="E25" i="18"/>
  <c r="E29" i="18"/>
  <c r="E43" i="18"/>
  <c r="E58" i="18"/>
  <c r="E72" i="18"/>
  <c r="E76" i="18"/>
  <c r="L17" i="18"/>
  <c r="U19" i="18"/>
  <c r="U30" i="18"/>
  <c r="U61" i="18"/>
  <c r="X21" i="18"/>
  <c r="X28" i="18"/>
  <c r="X36" i="18"/>
  <c r="X44" i="18"/>
  <c r="P54" i="18"/>
  <c r="X55" i="18"/>
  <c r="X65" i="18"/>
  <c r="X71" i="18"/>
  <c r="X77" i="18"/>
  <c r="AJ54" i="18"/>
  <c r="X41" i="18"/>
  <c r="X33" i="18"/>
  <c r="X29" i="18"/>
  <c r="L47" i="18"/>
  <c r="AN39" i="18"/>
  <c r="X30" i="18"/>
  <c r="T62" i="18"/>
  <c r="U62" i="18" s="1"/>
  <c r="AN21" i="18"/>
  <c r="AB37" i="18"/>
  <c r="X39" i="18"/>
  <c r="AN37" i="18"/>
  <c r="X50" i="18"/>
  <c r="X40" i="18"/>
  <c r="X7" i="18"/>
  <c r="E42" i="18"/>
  <c r="E33" i="18"/>
  <c r="AB7" i="18"/>
  <c r="AB50" i="18"/>
  <c r="E40" i="18"/>
  <c r="AN40" i="18"/>
  <c r="AB60" i="18"/>
  <c r="AB51" i="18"/>
  <c r="AR51" i="18" s="1"/>
  <c r="AZ51" i="18" s="1"/>
  <c r="E61" i="18"/>
  <c r="AB52" i="18"/>
  <c r="AB34" i="18"/>
  <c r="AB30" i="18"/>
  <c r="X8" i="18"/>
  <c r="T54" i="18"/>
  <c r="E44" i="18"/>
  <c r="E26" i="18"/>
  <c r="AN35" i="18"/>
  <c r="AB24" i="18"/>
  <c r="AB8" i="18"/>
  <c r="X61" i="18"/>
  <c r="X52" i="18"/>
  <c r="P47" i="18"/>
  <c r="L54" i="18"/>
  <c r="AN24" i="18"/>
  <c r="AB33" i="18"/>
  <c r="AN63" i="18"/>
  <c r="AN53" i="18"/>
  <c r="AB26" i="18"/>
  <c r="E63" i="18"/>
  <c r="E53" i="18"/>
  <c r="E38" i="18"/>
  <c r="AJ11" i="18"/>
  <c r="AK78" i="18" s="1"/>
  <c r="AN20" i="18"/>
  <c r="AB63" i="18"/>
  <c r="AB55" i="18"/>
  <c r="AB36" i="18"/>
  <c r="E45" i="18"/>
  <c r="E35" i="18"/>
  <c r="AB77" i="18"/>
  <c r="AB56" i="18"/>
  <c r="X6" i="18"/>
  <c r="P11" i="18"/>
  <c r="Q45" i="18" s="1"/>
  <c r="E28" i="18"/>
  <c r="D47" i="18"/>
  <c r="D48" i="18" s="1"/>
  <c r="AN33" i="18"/>
  <c r="AN22" i="18"/>
  <c r="AV47" i="18"/>
  <c r="AV11" i="18"/>
  <c r="AW11" i="18" s="1"/>
  <c r="AV62" i="18"/>
  <c r="AV54" i="18"/>
  <c r="AV17" i="18"/>
  <c r="E71" i="27"/>
  <c r="E65" i="27"/>
  <c r="D62" i="27"/>
  <c r="E62" i="27" s="1"/>
  <c r="E50" i="27"/>
  <c r="E40" i="27"/>
  <c r="E36" i="27"/>
  <c r="E32" i="27"/>
  <c r="D47" i="27"/>
  <c r="U35" i="27"/>
  <c r="U36" i="27"/>
  <c r="AJ17" i="27"/>
  <c r="AN22" i="27"/>
  <c r="AN24" i="27"/>
  <c r="AN28" i="27"/>
  <c r="AN30" i="27"/>
  <c r="AN34" i="27"/>
  <c r="AN15" i="27"/>
  <c r="AN13" i="27"/>
  <c r="AN12" i="27"/>
  <c r="AN8" i="27"/>
  <c r="AN7" i="27"/>
  <c r="AN27" i="27"/>
  <c r="E19" i="27"/>
  <c r="E23" i="27"/>
  <c r="E27" i="27"/>
  <c r="E31" i="27"/>
  <c r="E35" i="27"/>
  <c r="E39" i="27"/>
  <c r="E43" i="27"/>
  <c r="E49" i="27"/>
  <c r="E53" i="27"/>
  <c r="E66" i="27"/>
  <c r="AB23" i="27"/>
  <c r="AN26" i="27"/>
  <c r="E22" i="27"/>
  <c r="E26" i="27"/>
  <c r="E30" i="27"/>
  <c r="E34" i="27"/>
  <c r="E38" i="27"/>
  <c r="E42" i="27"/>
  <c r="E46" i="27"/>
  <c r="E52" i="27"/>
  <c r="E57" i="27"/>
  <c r="E60" i="27"/>
  <c r="E76" i="27"/>
  <c r="AJ62" i="27"/>
  <c r="X23" i="27"/>
  <c r="E21" i="27"/>
  <c r="E25" i="27"/>
  <c r="E29" i="27"/>
  <c r="E33" i="27"/>
  <c r="E37" i="27"/>
  <c r="E41" i="27"/>
  <c r="E45" i="27"/>
  <c r="E51" i="27"/>
  <c r="E56" i="27"/>
  <c r="E59" i="27"/>
  <c r="E63" i="27"/>
  <c r="E72" i="27"/>
  <c r="E73" i="27"/>
  <c r="AB26" i="27"/>
  <c r="AN33" i="27"/>
  <c r="AN10" i="27"/>
  <c r="AN32" i="27"/>
  <c r="AJ54" i="27"/>
  <c r="X26" i="27"/>
  <c r="X22" i="27"/>
  <c r="E24" i="27"/>
  <c r="E28" i="27"/>
  <c r="E44" i="27"/>
  <c r="E55" i="27"/>
  <c r="E58" i="27"/>
  <c r="E61" i="27"/>
  <c r="E74" i="27"/>
  <c r="U77" i="27"/>
  <c r="U73" i="27"/>
  <c r="U52" i="27"/>
  <c r="X77" i="27"/>
  <c r="X74" i="27"/>
  <c r="X72" i="27"/>
  <c r="X73" i="27"/>
  <c r="X66" i="27"/>
  <c r="X60" i="27"/>
  <c r="AB56" i="27"/>
  <c r="X52" i="27"/>
  <c r="X49" i="27"/>
  <c r="X43" i="27"/>
  <c r="AB42" i="27"/>
  <c r="AB39" i="27"/>
  <c r="X31" i="27"/>
  <c r="AB30" i="27"/>
  <c r="AB29" i="27"/>
  <c r="AB20" i="27"/>
  <c r="AB7" i="27"/>
  <c r="AN72" i="27"/>
  <c r="AN66" i="27"/>
  <c r="AN58" i="27"/>
  <c r="AN56" i="27"/>
  <c r="AN53" i="27"/>
  <c r="AN45" i="27"/>
  <c r="AN39" i="27"/>
  <c r="AN37" i="27"/>
  <c r="AN35" i="27"/>
  <c r="AN20" i="27"/>
  <c r="AN19" i="27"/>
  <c r="X37" i="27"/>
  <c r="AN14" i="27"/>
  <c r="AF17" i="27"/>
  <c r="AN50" i="27"/>
  <c r="X13" i="27"/>
  <c r="X36" i="27"/>
  <c r="X40" i="27"/>
  <c r="X65" i="27"/>
  <c r="U57" i="27"/>
  <c r="X51" i="27"/>
  <c r="X56" i="27"/>
  <c r="AN43" i="27"/>
  <c r="AN49" i="27"/>
  <c r="AN63" i="27"/>
  <c r="AN74" i="27"/>
  <c r="X12" i="27"/>
  <c r="X35" i="27"/>
  <c r="L17" i="27"/>
  <c r="AB34" i="27"/>
  <c r="AB10" i="27"/>
  <c r="AB33" i="27"/>
  <c r="AB45" i="27"/>
  <c r="H54" i="27"/>
  <c r="AB72" i="27"/>
  <c r="AN51" i="27"/>
  <c r="X9" i="27"/>
  <c r="X29" i="27"/>
  <c r="X33" i="27"/>
  <c r="X41" i="27"/>
  <c r="AB43" i="27"/>
  <c r="AN38" i="27"/>
  <c r="AN46" i="27"/>
  <c r="AN52" i="27"/>
  <c r="AN57" i="27"/>
  <c r="AN61" i="27"/>
  <c r="AN75" i="27"/>
  <c r="X6" i="27"/>
  <c r="P11" i="27"/>
  <c r="Q63" i="27" s="1"/>
  <c r="X10" i="27"/>
  <c r="X19" i="27"/>
  <c r="X30" i="27"/>
  <c r="X34" i="27"/>
  <c r="X42" i="27"/>
  <c r="X46" i="27"/>
  <c r="X61" i="27"/>
  <c r="X75" i="27"/>
  <c r="U44" i="27"/>
  <c r="U71" i="27"/>
  <c r="AB9" i="27"/>
  <c r="AB32" i="27"/>
  <c r="AB36" i="27"/>
  <c r="AB59" i="27"/>
  <c r="AB65" i="27"/>
  <c r="AB77" i="27"/>
  <c r="H17" i="27"/>
  <c r="AB14" i="27"/>
  <c r="AB38" i="27"/>
  <c r="L54" i="27"/>
  <c r="X59" i="27"/>
  <c r="X28" i="27"/>
  <c r="AB28" i="27"/>
  <c r="AN77" i="27"/>
  <c r="AN65" i="27"/>
  <c r="AN40" i="27"/>
  <c r="AN42" i="27"/>
  <c r="AB66" i="27"/>
  <c r="AB37" i="27"/>
  <c r="AB6" i="27"/>
  <c r="H11" i="27"/>
  <c r="AB49" i="27"/>
  <c r="P62" i="27"/>
  <c r="X32" i="27"/>
  <c r="X21" i="27"/>
  <c r="X8" i="27"/>
  <c r="AN71" i="27"/>
  <c r="AN55" i="27"/>
  <c r="AF62" i="27"/>
  <c r="AN44" i="27"/>
  <c r="AB51" i="27"/>
  <c r="AB41" i="27"/>
  <c r="AB61" i="27"/>
  <c r="AB46" i="27"/>
  <c r="L47" i="27"/>
  <c r="AN59" i="27"/>
  <c r="AN36" i="27"/>
  <c r="X15" i="27"/>
  <c r="AN41" i="27"/>
  <c r="AV17" i="27"/>
  <c r="AB15" i="27"/>
  <c r="X58" i="27"/>
  <c r="H47" i="27"/>
  <c r="AB21" i="27"/>
  <c r="AB52" i="27"/>
  <c r="AB8" i="27"/>
  <c r="AN25" i="27"/>
  <c r="AN21" i="27"/>
  <c r="AN9" i="27"/>
  <c r="AN23" i="27"/>
  <c r="AB22" i="27"/>
  <c r="AR22" i="27" s="1"/>
  <c r="AV11" i="27"/>
  <c r="AW40" i="27" s="1"/>
  <c r="AB44" i="27"/>
  <c r="AB58" i="27"/>
  <c r="AN6" i="27"/>
  <c r="AB25" i="27"/>
  <c r="AB63" i="27"/>
  <c r="AR63" i="27" s="1"/>
  <c r="AL7" i="27"/>
  <c r="BA35" i="28"/>
  <c r="AZ35" i="28"/>
  <c r="AX75" i="27"/>
  <c r="AY75" i="27"/>
  <c r="X55" i="27"/>
  <c r="X63" i="27"/>
  <c r="P17" i="27"/>
  <c r="AB19" i="27"/>
  <c r="X71" i="27"/>
  <c r="AB55" i="27"/>
  <c r="AB74" i="27"/>
  <c r="X53" i="27"/>
  <c r="AB53" i="27"/>
  <c r="X27" i="27"/>
  <c r="AB27" i="27"/>
  <c r="AR27" i="27" s="1"/>
  <c r="L11" i="27"/>
  <c r="M43" i="27" s="1"/>
  <c r="AB35" i="27"/>
  <c r="AB40" i="27"/>
  <c r="AB73" i="27"/>
  <c r="V17" i="27"/>
  <c r="AV47" i="27"/>
  <c r="AV48" i="27" s="1"/>
  <c r="AV64" i="27" s="1"/>
  <c r="AV62" i="27"/>
  <c r="AB50" i="27"/>
  <c r="X57" i="27"/>
  <c r="X39" i="27"/>
  <c r="T54" i="27"/>
  <c r="AB13" i="27"/>
  <c r="AB31" i="27"/>
  <c r="AP72" i="27"/>
  <c r="AB60" i="27"/>
  <c r="X45" i="27"/>
  <c r="E20" i="27"/>
  <c r="D54" i="27"/>
  <c r="E54" i="27" s="1"/>
  <c r="X25" i="27"/>
  <c r="AN31" i="27"/>
  <c r="AN29" i="27"/>
  <c r="Z6" i="27"/>
  <c r="AP6" i="27" s="1"/>
  <c r="Z31" i="27"/>
  <c r="AF47" i="27"/>
  <c r="AB75" i="27"/>
  <c r="AJ47" i="27"/>
  <c r="Z57" i="27"/>
  <c r="AB24" i="27"/>
  <c r="AL9" i="27"/>
  <c r="AW57" i="28"/>
  <c r="AW28" i="28"/>
  <c r="AW56" i="28"/>
  <c r="AW27" i="28"/>
  <c r="AW35" i="28"/>
  <c r="AW43" i="28"/>
  <c r="AW45" i="28"/>
  <c r="AW22" i="28"/>
  <c r="AP75" i="28"/>
  <c r="AP74" i="28"/>
  <c r="AX74" i="28" s="1"/>
  <c r="AW21" i="18"/>
  <c r="AW43" i="18"/>
  <c r="AB57" i="27"/>
  <c r="AR57" i="27" s="1"/>
  <c r="AZ57" i="27" s="1"/>
  <c r="AB71" i="27"/>
  <c r="H62" i="27"/>
  <c r="T62" i="27"/>
  <c r="U62" i="27" s="1"/>
  <c r="T47" i="27"/>
  <c r="U47" i="27" s="1"/>
  <c r="X38" i="27"/>
  <c r="X20" i="27"/>
  <c r="AF54" i="27"/>
  <c r="AJ11" i="27"/>
  <c r="AK15" i="27" s="1"/>
  <c r="X24" i="27"/>
  <c r="AB22" i="18"/>
  <c r="M23" i="18"/>
  <c r="M15" i="18"/>
  <c r="I25" i="18"/>
  <c r="H47" i="18"/>
  <c r="AB23" i="18"/>
  <c r="AB28" i="18"/>
  <c r="AB44" i="18"/>
  <c r="H54" i="18"/>
  <c r="AB57" i="18"/>
  <c r="AB65" i="18"/>
  <c r="AB72" i="18"/>
  <c r="AR72" i="18" s="1"/>
  <c r="AZ72" i="18" s="1"/>
  <c r="AN7" i="18"/>
  <c r="AF11" i="18"/>
  <c r="AG6" i="18" s="1"/>
  <c r="AN15" i="18"/>
  <c r="AR15" i="18" s="1"/>
  <c r="AF17" i="18"/>
  <c r="AN17" i="18" s="1"/>
  <c r="AN26" i="18"/>
  <c r="AF54" i="18"/>
  <c r="AN55" i="18"/>
  <c r="E32" i="18"/>
  <c r="D62" i="18"/>
  <c r="E62" i="18" s="1"/>
  <c r="E57" i="18"/>
  <c r="L62" i="18"/>
  <c r="M62" i="18" s="1"/>
  <c r="AB61" i="18"/>
  <c r="X19" i="18"/>
  <c r="T47" i="18"/>
  <c r="X24" i="18"/>
  <c r="AB29" i="18"/>
  <c r="U34" i="18"/>
  <c r="X34" i="18"/>
  <c r="X38" i="18"/>
  <c r="X43" i="18"/>
  <c r="AB43" i="18"/>
  <c r="AR43" i="18" s="1"/>
  <c r="AV54" i="27"/>
  <c r="X44" i="27"/>
  <c r="AB12" i="27"/>
  <c r="AR12" i="27" s="1"/>
  <c r="AZ12" i="27" s="1"/>
  <c r="P47" i="27"/>
  <c r="AN60" i="27"/>
  <c r="P54" i="27"/>
  <c r="X54" i="27" s="1"/>
  <c r="AN73" i="27"/>
  <c r="X50" i="27"/>
  <c r="AF11" i="27"/>
  <c r="E49" i="18"/>
  <c r="I74" i="18"/>
  <c r="I20" i="18"/>
  <c r="AB10" i="18"/>
  <c r="U32" i="18"/>
  <c r="X32" i="18"/>
  <c r="AB9" i="18"/>
  <c r="X9" i="18"/>
  <c r="X20" i="18"/>
  <c r="X26" i="18"/>
  <c r="X46" i="18"/>
  <c r="X53" i="18"/>
  <c r="AB53" i="18"/>
  <c r="AB59" i="18"/>
  <c r="X59" i="18"/>
  <c r="AN57" i="18"/>
  <c r="AJ62" i="18"/>
  <c r="L62" i="27"/>
  <c r="X7" i="27"/>
  <c r="X56" i="18"/>
  <c r="D54" i="18"/>
  <c r="M19" i="18"/>
  <c r="AB41" i="18"/>
  <c r="AR12" i="18"/>
  <c r="AZ12" i="18" s="1"/>
  <c r="AP56" i="27"/>
  <c r="AY56" i="27" s="1"/>
  <c r="K47" i="27"/>
  <c r="AI66" i="18"/>
  <c r="AI44" i="18"/>
  <c r="AI38" i="18"/>
  <c r="AI55" i="18"/>
  <c r="AI14" i="18"/>
  <c r="AI33" i="18"/>
  <c r="AI32" i="18"/>
  <c r="AI25" i="18"/>
  <c r="K66" i="27"/>
  <c r="K61" i="27"/>
  <c r="K55" i="27"/>
  <c r="K51" i="27"/>
  <c r="K50" i="27"/>
  <c r="K33" i="27"/>
  <c r="AI62" i="18"/>
  <c r="AI58" i="18"/>
  <c r="AI9" i="18"/>
  <c r="AI37" i="18"/>
  <c r="AI72" i="18"/>
  <c r="AI52" i="18"/>
  <c r="AI63" i="18"/>
  <c r="AI50" i="18"/>
  <c r="AI59" i="18"/>
  <c r="K58" i="27"/>
  <c r="K52" i="27"/>
  <c r="K40" i="27"/>
  <c r="K30" i="27"/>
  <c r="AI22" i="18"/>
  <c r="AI15" i="18"/>
  <c r="AI78" i="18"/>
  <c r="AI41" i="18"/>
  <c r="AI26" i="18"/>
  <c r="AI28" i="18"/>
  <c r="AI75" i="18"/>
  <c r="AI10" i="18"/>
  <c r="AI36" i="18"/>
  <c r="AI53" i="18"/>
  <c r="K63" i="27"/>
  <c r="K59" i="27"/>
  <c r="K32" i="27"/>
  <c r="K23" i="27"/>
  <c r="AI21" i="18"/>
  <c r="V47" i="16"/>
  <c r="AI10" i="16"/>
  <c r="O77" i="16"/>
  <c r="O63" i="16"/>
  <c r="O60" i="16"/>
  <c r="O61" i="16"/>
  <c r="O26" i="16"/>
  <c r="O66" i="16"/>
  <c r="O9" i="16"/>
  <c r="M6" i="16"/>
  <c r="M41" i="16"/>
  <c r="M78" i="16"/>
  <c r="M59" i="16"/>
  <c r="M31" i="16"/>
  <c r="M19" i="16"/>
  <c r="M68" i="16"/>
  <c r="AW74" i="16"/>
  <c r="AW73" i="16"/>
  <c r="Q23" i="16"/>
  <c r="Q40" i="16"/>
  <c r="Q14" i="16"/>
  <c r="M8" i="16"/>
  <c r="M43" i="16"/>
  <c r="M38" i="16"/>
  <c r="M74" i="16"/>
  <c r="M72" i="16"/>
  <c r="M15" i="16"/>
  <c r="AR20" i="31"/>
  <c r="BA20" i="31" s="1"/>
  <c r="K62" i="30"/>
  <c r="K50" i="30"/>
  <c r="K35" i="30"/>
  <c r="K61" i="30"/>
  <c r="K74" i="30"/>
  <c r="K25" i="30"/>
  <c r="K29" i="30"/>
  <c r="K43" i="30"/>
  <c r="K44" i="30"/>
  <c r="K74" i="31"/>
  <c r="K75" i="31"/>
  <c r="K65" i="31"/>
  <c r="K40" i="31"/>
  <c r="K35" i="31"/>
  <c r="K41" i="31"/>
  <c r="K34" i="31"/>
  <c r="K11" i="31"/>
  <c r="K32" i="31"/>
  <c r="K27" i="31"/>
  <c r="K33" i="31"/>
  <c r="K20" i="31"/>
  <c r="K51" i="31"/>
  <c r="K50" i="31"/>
  <c r="K59" i="31"/>
  <c r="K78" i="31"/>
  <c r="K56" i="31"/>
  <c r="K66" i="31"/>
  <c r="K14" i="31"/>
  <c r="K15" i="31"/>
  <c r="K30" i="31"/>
  <c r="K26" i="31"/>
  <c r="K17" i="31"/>
  <c r="K28" i="31"/>
  <c r="K29" i="31"/>
  <c r="K25" i="31"/>
  <c r="K46" i="31"/>
  <c r="K55" i="31"/>
  <c r="K77" i="31"/>
  <c r="K52" i="31"/>
  <c r="K45" i="31"/>
  <c r="K7" i="31"/>
  <c r="K10" i="31"/>
  <c r="K21" i="31"/>
  <c r="K23" i="31"/>
  <c r="K61" i="31"/>
  <c r="K9" i="31"/>
  <c r="K39" i="31"/>
  <c r="K53" i="31"/>
  <c r="AX28" i="30"/>
  <c r="AR73" i="31"/>
  <c r="BA73" i="31" s="1"/>
  <c r="AW77" i="31"/>
  <c r="AW76" i="31"/>
  <c r="AW61" i="31"/>
  <c r="AW74" i="31"/>
  <c r="AW14" i="31"/>
  <c r="AW6" i="31"/>
  <c r="AW34" i="31"/>
  <c r="AW26" i="31"/>
  <c r="AW25" i="31"/>
  <c r="AW20" i="31"/>
  <c r="AW39" i="31"/>
  <c r="AW75" i="31"/>
  <c r="AW73" i="31"/>
  <c r="AW58" i="31"/>
  <c r="AW10" i="31"/>
  <c r="AW22" i="31"/>
  <c r="AW30" i="31"/>
  <c r="AW16" i="31"/>
  <c r="AW29" i="31"/>
  <c r="AW33" i="31"/>
  <c r="AW37" i="31"/>
  <c r="AW23" i="31"/>
  <c r="AW43" i="31"/>
  <c r="AW46" i="31"/>
  <c r="AW50" i="31"/>
  <c r="AW78" i="31"/>
  <c r="AW59" i="31"/>
  <c r="AW71" i="31"/>
  <c r="AW57" i="31"/>
  <c r="AW66" i="31"/>
  <c r="AW21" i="31"/>
  <c r="AW24" i="31"/>
  <c r="AW32" i="31"/>
  <c r="AW36" i="31"/>
  <c r="AW44" i="31"/>
  <c r="AW65" i="31"/>
  <c r="AW27" i="31"/>
  <c r="AW72" i="31"/>
  <c r="I62" i="30"/>
  <c r="I73" i="30"/>
  <c r="I26" i="30"/>
  <c r="I22" i="30"/>
  <c r="I56" i="30"/>
  <c r="I29" i="30"/>
  <c r="I75" i="30"/>
  <c r="I50" i="30"/>
  <c r="I11" i="30"/>
  <c r="I20" i="30"/>
  <c r="I78" i="30"/>
  <c r="I27" i="30"/>
  <c r="I41" i="30"/>
  <c r="I43" i="30"/>
  <c r="I34" i="30"/>
  <c r="I40" i="30"/>
  <c r="I72" i="30"/>
  <c r="I53" i="30"/>
  <c r="I15" i="30"/>
  <c r="I24" i="30"/>
  <c r="I66" i="30"/>
  <c r="I19" i="30"/>
  <c r="I59" i="30"/>
  <c r="I32" i="30"/>
  <c r="I9" i="30"/>
  <c r="I77" i="30"/>
  <c r="I60" i="30"/>
  <c r="I6" i="30"/>
  <c r="I45" i="30"/>
  <c r="I35" i="30"/>
  <c r="I36" i="30"/>
  <c r="I37" i="30"/>
  <c r="AP22" i="30"/>
  <c r="AY22" i="30" s="1"/>
  <c r="O78" i="30"/>
  <c r="O32" i="30"/>
  <c r="O11" i="30"/>
  <c r="O6" i="30"/>
  <c r="O31" i="30"/>
  <c r="O22" i="30"/>
  <c r="O23" i="30"/>
  <c r="O24" i="30"/>
  <c r="O25" i="30"/>
  <c r="O38" i="30"/>
  <c r="O40" i="30"/>
  <c r="O35" i="30"/>
  <c r="O37" i="30"/>
  <c r="O39" i="30"/>
  <c r="O44" i="30"/>
  <c r="O42" i="30"/>
  <c r="O53" i="30"/>
  <c r="O60" i="30"/>
  <c r="O55" i="30"/>
  <c r="O7" i="30"/>
  <c r="O68" i="30"/>
  <c r="O50" i="30"/>
  <c r="O8" i="30"/>
  <c r="O9" i="30"/>
  <c r="O28" i="30"/>
  <c r="O20" i="30"/>
  <c r="O19" i="30"/>
  <c r="O33" i="30"/>
  <c r="O49" i="30"/>
  <c r="O58" i="30"/>
  <c r="O76" i="30"/>
  <c r="O36" i="30"/>
  <c r="O16" i="30"/>
  <c r="O10" i="30"/>
  <c r="O15" i="30"/>
  <c r="O27" i="30"/>
  <c r="O29" i="30"/>
  <c r="O26" i="30"/>
  <c r="O30" i="30"/>
  <c r="O59" i="30"/>
  <c r="AP63" i="30"/>
  <c r="AY63" i="30" s="1"/>
  <c r="O77" i="30"/>
  <c r="BA71" i="29"/>
  <c r="AZ71" i="29"/>
  <c r="AY66" i="29"/>
  <c r="AX66" i="29"/>
  <c r="AX55" i="29"/>
  <c r="AY55" i="29"/>
  <c r="AZ61" i="29"/>
  <c r="BA61" i="29"/>
  <c r="BA55" i="28"/>
  <c r="Z62" i="29"/>
  <c r="K41" i="29"/>
  <c r="K39" i="29"/>
  <c r="K21" i="29"/>
  <c r="K25" i="29"/>
  <c r="K45" i="29"/>
  <c r="K52" i="29"/>
  <c r="K44" i="29"/>
  <c r="K53" i="29"/>
  <c r="K56" i="29"/>
  <c r="K75" i="29"/>
  <c r="K76" i="29"/>
  <c r="K71" i="29"/>
  <c r="K62" i="29"/>
  <c r="K65" i="29"/>
  <c r="K47" i="29"/>
  <c r="AI30" i="30"/>
  <c r="AI29" i="30"/>
  <c r="AI13" i="30"/>
  <c r="AI12" i="30"/>
  <c r="AI77" i="30"/>
  <c r="K8" i="29"/>
  <c r="O54" i="29"/>
  <c r="AL62" i="29"/>
  <c r="K16" i="29"/>
  <c r="K14" i="29"/>
  <c r="K22" i="29"/>
  <c r="K26" i="29"/>
  <c r="K50" i="29"/>
  <c r="K38" i="29"/>
  <c r="K46" i="29"/>
  <c r="K55" i="29"/>
  <c r="K59" i="29"/>
  <c r="K74" i="29"/>
  <c r="S62" i="29"/>
  <c r="K33" i="29"/>
  <c r="K37" i="29"/>
  <c r="K32" i="29"/>
  <c r="AR45" i="29"/>
  <c r="BA45" i="29" s="1"/>
  <c r="AR30" i="28"/>
  <c r="AU16" i="29"/>
  <c r="AU75" i="29"/>
  <c r="AU55" i="29"/>
  <c r="AU52" i="29"/>
  <c r="AU40" i="29"/>
  <c r="AU51" i="29"/>
  <c r="AU42" i="29"/>
  <c r="AU27" i="29"/>
  <c r="AU23" i="29"/>
  <c r="AU19" i="29"/>
  <c r="K15" i="29"/>
  <c r="K11" i="29"/>
  <c r="K43" i="29"/>
  <c r="K20" i="29"/>
  <c r="K24" i="29"/>
  <c r="K28" i="29"/>
  <c r="K10" i="29"/>
  <c r="K42" i="29"/>
  <c r="K51" i="29"/>
  <c r="K68" i="29"/>
  <c r="K63" i="29"/>
  <c r="K78" i="29"/>
  <c r="K73" i="29"/>
  <c r="K54" i="29"/>
  <c r="K31" i="29"/>
  <c r="K30" i="29"/>
  <c r="M7" i="29"/>
  <c r="M10" i="29"/>
  <c r="AI53" i="28"/>
  <c r="AI31" i="28"/>
  <c r="AI68" i="28"/>
  <c r="X74" i="28"/>
  <c r="AF54" i="29"/>
  <c r="AG54" i="29" s="1"/>
  <c r="AL59" i="29"/>
  <c r="AP59" i="29" s="1"/>
  <c r="AY59" i="29" s="1"/>
  <c r="AI13" i="28"/>
  <c r="AB22" i="29"/>
  <c r="V61" i="29"/>
  <c r="AB58" i="30"/>
  <c r="AN63" i="31"/>
  <c r="AR63" i="31" s="1"/>
  <c r="X71" i="31"/>
  <c r="AB71" i="31"/>
  <c r="AR71" i="31" s="1"/>
  <c r="BA71" i="31" s="1"/>
  <c r="AB66" i="31"/>
  <c r="AR66" i="31" s="1"/>
  <c r="H83" i="31"/>
  <c r="AB83" i="31" s="1"/>
  <c r="AF11" i="16"/>
  <c r="AG40" i="16" s="1"/>
  <c r="AN12" i="16"/>
  <c r="AB23" i="16"/>
  <c r="AR23" i="16" s="1"/>
  <c r="AL29" i="16"/>
  <c r="AN31" i="16"/>
  <c r="AB36" i="16"/>
  <c r="AR36" i="16" s="1"/>
  <c r="Z38" i="16"/>
  <c r="AP38" i="16" s="1"/>
  <c r="AB42" i="16"/>
  <c r="AL50" i="16"/>
  <c r="Z8" i="16"/>
  <c r="AP8" i="16" s="1"/>
  <c r="AY8" i="16" s="1"/>
  <c r="AN20" i="16"/>
  <c r="Z8" i="17"/>
  <c r="AP8" i="17" s="1"/>
  <c r="AX8" i="17" s="1"/>
  <c r="AP9" i="27"/>
  <c r="AX9" i="27" s="1"/>
  <c r="AG7" i="16"/>
  <c r="AG56" i="16"/>
  <c r="AG58" i="16"/>
  <c r="AG71" i="16"/>
  <c r="AR22" i="18"/>
  <c r="AZ22" i="18" s="1"/>
  <c r="AN54" i="27"/>
  <c r="AK62" i="18"/>
  <c r="AG72" i="27"/>
  <c r="AG29" i="27"/>
  <c r="AG36" i="27"/>
  <c r="AG11" i="27"/>
  <c r="AG19" i="27"/>
  <c r="AG66" i="27"/>
  <c r="AG33" i="27"/>
  <c r="AG9" i="27"/>
  <c r="AG27" i="27"/>
  <c r="U47" i="18"/>
  <c r="AG74" i="18"/>
  <c r="AR60" i="27"/>
  <c r="BA60" i="27" s="1"/>
  <c r="AZ40" i="17"/>
  <c r="E54" i="18"/>
  <c r="AR7" i="18"/>
  <c r="AG49" i="27"/>
  <c r="AR9" i="18"/>
  <c r="AZ9" i="18" s="1"/>
  <c r="AK16" i="27"/>
  <c r="AK56" i="27"/>
  <c r="AK6" i="27"/>
  <c r="AK29" i="27"/>
  <c r="AG73" i="27"/>
  <c r="AY9" i="27"/>
  <c r="AX59" i="29"/>
  <c r="AX82" i="29"/>
  <c r="AZ25" i="29"/>
  <c r="BA25" i="29"/>
  <c r="AK71" i="29"/>
  <c r="AK44" i="29"/>
  <c r="AK20" i="29"/>
  <c r="G76" i="29"/>
  <c r="G39" i="29"/>
  <c r="G35" i="29"/>
  <c r="G54" i="29"/>
  <c r="AE65" i="29"/>
  <c r="AE77" i="29"/>
  <c r="AE40" i="29"/>
  <c r="AE25" i="29"/>
  <c r="AE54" i="29"/>
  <c r="AE75" i="29"/>
  <c r="AE53" i="29"/>
  <c r="AE23" i="29"/>
  <c r="AI78" i="29"/>
  <c r="AI75" i="29"/>
  <c r="AI27" i="29"/>
  <c r="AI65" i="29"/>
  <c r="AI42" i="29"/>
  <c r="AI53" i="29"/>
  <c r="AI29" i="29"/>
  <c r="AI31" i="29"/>
  <c r="AP14" i="29"/>
  <c r="V62" i="29"/>
  <c r="K34" i="29"/>
  <c r="K57" i="29"/>
  <c r="K49" i="29"/>
  <c r="K23" i="29"/>
  <c r="K61" i="29"/>
  <c r="K6" i="29"/>
  <c r="K36" i="29"/>
  <c r="BA26" i="29"/>
  <c r="AZ26" i="29"/>
  <c r="I34" i="29"/>
  <c r="I59" i="29"/>
  <c r="I72" i="29"/>
  <c r="I65" i="29"/>
  <c r="I50" i="29"/>
  <c r="I44" i="29"/>
  <c r="I39" i="29"/>
  <c r="I8" i="29"/>
  <c r="I11" i="29"/>
  <c r="I22" i="29"/>
  <c r="I27" i="29"/>
  <c r="I19" i="29"/>
  <c r="I32" i="29"/>
  <c r="I76" i="29"/>
  <c r="I52" i="29"/>
  <c r="I46" i="29"/>
  <c r="I35" i="29"/>
  <c r="I36" i="29"/>
  <c r="I40" i="29"/>
  <c r="I26" i="29"/>
  <c r="I16" i="29"/>
  <c r="I23" i="29"/>
  <c r="I10" i="29"/>
  <c r="AR42" i="29"/>
  <c r="G53" i="29"/>
  <c r="G8" i="29"/>
  <c r="G22" i="29"/>
  <c r="G60" i="29"/>
  <c r="G15" i="29"/>
  <c r="G28" i="29"/>
  <c r="G29" i="29"/>
  <c r="G45" i="29"/>
  <c r="G74" i="29"/>
  <c r="G42" i="29"/>
  <c r="G68" i="29"/>
  <c r="G23" i="29"/>
  <c r="G62" i="29"/>
  <c r="G58" i="29"/>
  <c r="G16" i="29"/>
  <c r="G31" i="29"/>
  <c r="G41" i="29"/>
  <c r="G24" i="29"/>
  <c r="G6" i="29"/>
  <c r="G50" i="29"/>
  <c r="G44" i="29"/>
  <c r="G56" i="29"/>
  <c r="G57" i="29"/>
  <c r="Z11" i="29"/>
  <c r="G78" i="29"/>
  <c r="G52" i="29"/>
  <c r="G19" i="29"/>
  <c r="G7" i="29"/>
  <c r="G77" i="29"/>
  <c r="G65" i="29"/>
  <c r="G55" i="29"/>
  <c r="G34" i="29"/>
  <c r="G37" i="29"/>
  <c r="G9" i="29"/>
  <c r="G20" i="29"/>
  <c r="G25" i="29"/>
  <c r="G10" i="29"/>
  <c r="G38" i="29"/>
  <c r="G46" i="29"/>
  <c r="G61" i="29"/>
  <c r="G75" i="29"/>
  <c r="G63" i="29"/>
  <c r="G14" i="29"/>
  <c r="G11" i="29"/>
  <c r="G71" i="29"/>
  <c r="G72" i="29"/>
  <c r="G66" i="29"/>
  <c r="G36" i="29"/>
  <c r="G21" i="29"/>
  <c r="G26" i="29"/>
  <c r="G43" i="29"/>
  <c r="G40" i="29"/>
  <c r="G49" i="29"/>
  <c r="G59" i="29"/>
  <c r="G73" i="29"/>
  <c r="AY19" i="29"/>
  <c r="AZ44" i="28"/>
  <c r="BA44" i="28"/>
  <c r="AR66" i="28"/>
  <c r="BA66" i="28" s="1"/>
  <c r="Z6" i="28"/>
  <c r="F11" i="28"/>
  <c r="G76" i="28" s="1"/>
  <c r="V6" i="28"/>
  <c r="N11" i="28"/>
  <c r="O65" i="28" s="1"/>
  <c r="AF11" i="28"/>
  <c r="AN6" i="28"/>
  <c r="AW26" i="28"/>
  <c r="AW7" i="28"/>
  <c r="AW42" i="28"/>
  <c r="AW36" i="28"/>
  <c r="AW11" i="28"/>
  <c r="AW49" i="28"/>
  <c r="AW40" i="28"/>
  <c r="AV18" i="28"/>
  <c r="AW18" i="28" s="1"/>
  <c r="AW9" i="28"/>
  <c r="AW30" i="28"/>
  <c r="AW44" i="28"/>
  <c r="AW25" i="28"/>
  <c r="AW46" i="28"/>
  <c r="AW55" i="28"/>
  <c r="AW47" i="28"/>
  <c r="AW37" i="28"/>
  <c r="AW16" i="28"/>
  <c r="AB7" i="28"/>
  <c r="AT11" i="28"/>
  <c r="Z8" i="28"/>
  <c r="J11" i="28"/>
  <c r="K60" i="28" s="1"/>
  <c r="X8" i="28"/>
  <c r="T11" i="28"/>
  <c r="U53" i="28" s="1"/>
  <c r="X9" i="28"/>
  <c r="P11" i="28"/>
  <c r="Q23" i="28" s="1"/>
  <c r="AI11" i="28"/>
  <c r="AI56" i="28"/>
  <c r="AI66" i="28"/>
  <c r="AI34" i="28"/>
  <c r="AI44" i="28"/>
  <c r="AI6" i="28"/>
  <c r="AI49" i="28"/>
  <c r="AI16" i="28"/>
  <c r="AI36" i="28"/>
  <c r="AI60" i="28"/>
  <c r="AI45" i="28"/>
  <c r="AI71" i="28"/>
  <c r="AI73" i="28"/>
  <c r="AI26" i="28"/>
  <c r="AI14" i="28"/>
  <c r="AI57" i="28"/>
  <c r="AI29" i="28"/>
  <c r="AI52" i="28"/>
  <c r="V10" i="28"/>
  <c r="L17" i="28"/>
  <c r="AB14" i="28"/>
  <c r="AF17" i="28"/>
  <c r="AN14" i="28"/>
  <c r="F17" i="28"/>
  <c r="Z15" i="28"/>
  <c r="V15" i="28"/>
  <c r="N17" i="28"/>
  <c r="AW17" i="28"/>
  <c r="X16" i="28"/>
  <c r="P17" i="28"/>
  <c r="AB16" i="28"/>
  <c r="AR16" i="28" s="1"/>
  <c r="AZ16" i="28" s="1"/>
  <c r="AB19" i="28"/>
  <c r="L47" i="28"/>
  <c r="T47" i="28"/>
  <c r="X47" i="28" s="1"/>
  <c r="X19" i="28"/>
  <c r="AJ47" i="28"/>
  <c r="AN19" i="28"/>
  <c r="X20" i="28"/>
  <c r="Z22" i="28"/>
  <c r="AP22" i="28" s="1"/>
  <c r="AY22" i="28" s="1"/>
  <c r="F47" i="28"/>
  <c r="N47" i="28"/>
  <c r="V22" i="28"/>
  <c r="V23" i="28"/>
  <c r="O23" i="28"/>
  <c r="AL23" i="28"/>
  <c r="O25" i="28"/>
  <c r="V25" i="28"/>
  <c r="AL25" i="28"/>
  <c r="AL29" i="28"/>
  <c r="AL31" i="28"/>
  <c r="O32" i="28"/>
  <c r="AL32" i="28"/>
  <c r="AL34" i="28"/>
  <c r="AP34" i="28" s="1"/>
  <c r="AL36" i="28"/>
  <c r="AP36" i="28" s="1"/>
  <c r="AY36" i="28" s="1"/>
  <c r="V38" i="28"/>
  <c r="AL38" i="28"/>
  <c r="V39" i="28"/>
  <c r="AL39" i="28"/>
  <c r="V40" i="28"/>
  <c r="AL40" i="28"/>
  <c r="AP40" i="28" s="1"/>
  <c r="V43" i="28"/>
  <c r="O43" i="28"/>
  <c r="AL43" i="28"/>
  <c r="V44" i="28"/>
  <c r="AL44" i="28"/>
  <c r="V45" i="28"/>
  <c r="AP45" i="28"/>
  <c r="Z49" i="28"/>
  <c r="F54" i="28"/>
  <c r="V49" i="28"/>
  <c r="N54" i="28"/>
  <c r="AD54" i="28"/>
  <c r="AT54" i="28"/>
  <c r="V50" i="28"/>
  <c r="V51" i="28"/>
  <c r="O51" i="28"/>
  <c r="AL51" i="28"/>
  <c r="V52" i="28"/>
  <c r="AL52" i="28"/>
  <c r="V53" i="28"/>
  <c r="AL53" i="28"/>
  <c r="F62" i="28"/>
  <c r="Z55" i="28"/>
  <c r="N62" i="28"/>
  <c r="V55" i="28"/>
  <c r="AL55" i="28"/>
  <c r="V59" i="28"/>
  <c r="AL63" i="28"/>
  <c r="AP63" i="28" s="1"/>
  <c r="AL66" i="28"/>
  <c r="X71" i="28"/>
  <c r="X72" i="28"/>
  <c r="AW72" i="28"/>
  <c r="X73" i="28"/>
  <c r="AB74" i="28"/>
  <c r="AR74" i="28" s="1"/>
  <c r="AW74" i="28"/>
  <c r="AF83" i="28"/>
  <c r="AN83" i="28" s="1"/>
  <c r="AL83" i="28"/>
  <c r="AW41" i="28"/>
  <c r="AW32" i="28"/>
  <c r="AW6" i="28"/>
  <c r="AT62" i="28"/>
  <c r="AI32" i="28"/>
  <c r="AI58" i="28"/>
  <c r="AI10" i="28"/>
  <c r="AB71" i="28"/>
  <c r="D47" i="28"/>
  <c r="E47" i="28" s="1"/>
  <c r="AI30" i="28"/>
  <c r="AJ17" i="28"/>
  <c r="AB54" i="28"/>
  <c r="AD11" i="28"/>
  <c r="AE28" i="28" s="1"/>
  <c r="T70" i="28"/>
  <c r="AL33" i="28"/>
  <c r="AL60" i="28"/>
  <c r="AW34" i="28"/>
  <c r="AW77" i="28"/>
  <c r="AW68" i="28"/>
  <c r="AI77" i="28"/>
  <c r="AI25" i="28"/>
  <c r="AP12" i="28"/>
  <c r="AX12" i="28" s="1"/>
  <c r="H11" i="28"/>
  <c r="I6" i="28" s="1"/>
  <c r="AB8" i="28"/>
  <c r="AN8" i="28"/>
  <c r="AL49" i="28"/>
  <c r="AI62" i="28"/>
  <c r="AP16" i="28"/>
  <c r="AX16" i="28" s="1"/>
  <c r="AR29" i="28"/>
  <c r="BA29" i="28" s="1"/>
  <c r="AR39" i="28"/>
  <c r="AZ39" i="28" s="1"/>
  <c r="AR42" i="28"/>
  <c r="BA42" i="28" s="1"/>
  <c r="AX20" i="28"/>
  <c r="AY20" i="28"/>
  <c r="BA41" i="28"/>
  <c r="AZ41" i="28"/>
  <c r="AR37" i="28"/>
  <c r="AR65" i="28"/>
  <c r="BA65" i="28" s="1"/>
  <c r="AR38" i="28"/>
  <c r="AR57" i="28"/>
  <c r="BA57" i="28" s="1"/>
  <c r="AP73" i="28"/>
  <c r="AX73" i="28" s="1"/>
  <c r="AR63" i="28"/>
  <c r="AZ63" i="28" s="1"/>
  <c r="AP14" i="28"/>
  <c r="AY14" i="28" s="1"/>
  <c r="BA46" i="28"/>
  <c r="AZ46" i="28"/>
  <c r="AR33" i="28"/>
  <c r="AZ33" i="28" s="1"/>
  <c r="AR25" i="28"/>
  <c r="AZ25" i="28" s="1"/>
  <c r="AW50" i="28"/>
  <c r="AW71" i="28"/>
  <c r="AW24" i="28"/>
  <c r="AW76" i="28"/>
  <c r="AW29" i="28"/>
  <c r="AW66" i="28"/>
  <c r="AW31" i="28"/>
  <c r="AW59" i="28"/>
  <c r="AW75" i="28"/>
  <c r="AW38" i="28"/>
  <c r="AW61" i="28"/>
  <c r="AW33" i="28"/>
  <c r="AW14" i="28"/>
  <c r="AW51" i="28"/>
  <c r="AW63" i="28"/>
  <c r="AW23" i="28"/>
  <c r="AW39" i="28"/>
  <c r="AW19" i="28"/>
  <c r="AW60" i="28"/>
  <c r="AW73" i="28"/>
  <c r="AW21" i="28"/>
  <c r="AW52" i="28"/>
  <c r="AW54" i="28"/>
  <c r="AW58" i="28"/>
  <c r="AP58" i="28"/>
  <c r="AY58" i="28" s="1"/>
  <c r="AW62" i="28"/>
  <c r="AL17" i="28"/>
  <c r="Q41" i="28"/>
  <c r="AR26" i="28"/>
  <c r="AR36" i="28"/>
  <c r="AZ36" i="28" s="1"/>
  <c r="AL62" i="28"/>
  <c r="AI75" i="28"/>
  <c r="AI61" i="28"/>
  <c r="AI8" i="28"/>
  <c r="AI28" i="28"/>
  <c r="AI33" i="28"/>
  <c r="AI12" i="28"/>
  <c r="AI63" i="28"/>
  <c r="AI42" i="28"/>
  <c r="AI23" i="28"/>
  <c r="AI43" i="28"/>
  <c r="AI9" i="28"/>
  <c r="AI78" i="28"/>
  <c r="AI50" i="28"/>
  <c r="AI46" i="28"/>
  <c r="AI27" i="28"/>
  <c r="AR59" i="28"/>
  <c r="BA59" i="28" s="1"/>
  <c r="AI51" i="28"/>
  <c r="AI19" i="28"/>
  <c r="AI21" i="28"/>
  <c r="AI39" i="28"/>
  <c r="AI41" i="28"/>
  <c r="AI55" i="28"/>
  <c r="AI38" i="28"/>
  <c r="AH18" i="28"/>
  <c r="AH48" i="28" s="1"/>
  <c r="AI65" i="28"/>
  <c r="AI72" i="28"/>
  <c r="AI59" i="28"/>
  <c r="AI15" i="28"/>
  <c r="AI24" i="28"/>
  <c r="AR52" i="28"/>
  <c r="BA52" i="28" s="1"/>
  <c r="Q11" i="28"/>
  <c r="AA30" i="29"/>
  <c r="AA51" i="29"/>
  <c r="Q60" i="28"/>
  <c r="G28" i="28"/>
  <c r="G55" i="28"/>
  <c r="G58" i="28"/>
  <c r="G45" i="28"/>
  <c r="G50" i="28"/>
  <c r="G14" i="28"/>
  <c r="G46" i="28"/>
  <c r="G6" i="28"/>
  <c r="G19" i="28"/>
  <c r="G11" i="28"/>
  <c r="G29" i="28"/>
  <c r="G30" i="28"/>
  <c r="G9" i="28"/>
  <c r="G42" i="28"/>
  <c r="G15" i="28"/>
  <c r="I51" i="28"/>
  <c r="I42" i="28"/>
  <c r="AE14" i="28"/>
  <c r="AE74" i="28"/>
  <c r="K37" i="28"/>
  <c r="K33" i="28"/>
  <c r="AY16" i="28"/>
  <c r="O54" i="28"/>
  <c r="O72" i="28"/>
  <c r="O77" i="28"/>
  <c r="O7" i="28"/>
  <c r="O19" i="28"/>
  <c r="O73" i="28"/>
  <c r="O8" i="28"/>
  <c r="O74" i="28"/>
  <c r="O75" i="28"/>
  <c r="O55" i="28"/>
  <c r="O42" i="28"/>
  <c r="O63" i="28"/>
  <c r="O41" i="28"/>
  <c r="O46" i="28"/>
  <c r="O35" i="28"/>
  <c r="O68" i="28"/>
  <c r="O27" i="28"/>
  <c r="O66" i="28"/>
  <c r="O33" i="28"/>
  <c r="O30" i="28"/>
  <c r="O61" i="28"/>
  <c r="O6" i="28"/>
  <c r="V11" i="28"/>
  <c r="O15" i="28"/>
  <c r="O14" i="28"/>
  <c r="O58" i="28"/>
  <c r="O16" i="28"/>
  <c r="BA36" i="28"/>
  <c r="BA63" i="28"/>
  <c r="AX58" i="28"/>
  <c r="BA33" i="28"/>
  <c r="AZ9" i="29"/>
  <c r="AZ20" i="29"/>
  <c r="AY37" i="29"/>
  <c r="AZ44" i="29"/>
  <c r="AY8" i="29"/>
  <c r="AX8" i="29"/>
  <c r="AZ41" i="29"/>
  <c r="BA41" i="29"/>
  <c r="AZ35" i="29"/>
  <c r="BA35" i="29"/>
  <c r="BA27" i="29"/>
  <c r="AZ27" i="29"/>
  <c r="BA49" i="29"/>
  <c r="AZ49" i="29"/>
  <c r="AX77" i="29"/>
  <c r="AY77" i="29"/>
  <c r="O17" i="29"/>
  <c r="AP65" i="30"/>
  <c r="AY65" i="30" s="1"/>
  <c r="Z62" i="30"/>
  <c r="AP43" i="30"/>
  <c r="AP15" i="30"/>
  <c r="AX15" i="30" s="1"/>
  <c r="V11" i="30"/>
  <c r="W8" i="30" s="1"/>
  <c r="AP44" i="29"/>
  <c r="AY44" i="29" s="1"/>
  <c r="AP52" i="30"/>
  <c r="AR14" i="30"/>
  <c r="AZ14" i="30" s="1"/>
  <c r="O14" i="30"/>
  <c r="AR77" i="30"/>
  <c r="AP55" i="30"/>
  <c r="AP46" i="30"/>
  <c r="AX46" i="30" s="1"/>
  <c r="AP41" i="30"/>
  <c r="AP40" i="30"/>
  <c r="AP14" i="30"/>
  <c r="AX14" i="30" s="1"/>
  <c r="AR13" i="30"/>
  <c r="AZ13" i="30" s="1"/>
  <c r="AP72" i="30"/>
  <c r="AX72" i="30" s="1"/>
  <c r="AV11" i="30"/>
  <c r="AW20" i="30" s="1"/>
  <c r="AP37" i="30"/>
  <c r="AY37" i="30" s="1"/>
  <c r="AR72" i="30"/>
  <c r="AZ72" i="30" s="1"/>
  <c r="AP82" i="30"/>
  <c r="AY82" i="30" s="1"/>
  <c r="K6" i="30"/>
  <c r="K11" i="30"/>
  <c r="K20" i="30"/>
  <c r="K7" i="30"/>
  <c r="K39" i="30"/>
  <c r="K36" i="30"/>
  <c r="K73" i="30"/>
  <c r="K45" i="30"/>
  <c r="K22" i="30"/>
  <c r="K28" i="30"/>
  <c r="K27" i="30"/>
  <c r="K31" i="30"/>
  <c r="K54" i="30"/>
  <c r="K53" i="30"/>
  <c r="K38" i="30"/>
  <c r="K55" i="30"/>
  <c r="K26" i="30"/>
  <c r="K78" i="30"/>
  <c r="K32" i="30"/>
  <c r="K15" i="30"/>
  <c r="K60" i="30"/>
  <c r="K58" i="30"/>
  <c r="K56" i="30"/>
  <c r="K57" i="30"/>
  <c r="K10" i="30"/>
  <c r="K41" i="30"/>
  <c r="K8" i="30"/>
  <c r="K34" i="30"/>
  <c r="K51" i="30"/>
  <c r="K72" i="30"/>
  <c r="AU68" i="30"/>
  <c r="AU9" i="30"/>
  <c r="AU16" i="30"/>
  <c r="AU10" i="30"/>
  <c r="AU6" i="30"/>
  <c r="AU23" i="30"/>
  <c r="AU25" i="30"/>
  <c r="AU26" i="30"/>
  <c r="AU35" i="30"/>
  <c r="AU34" i="30"/>
  <c r="AU39" i="30"/>
  <c r="AU40" i="30"/>
  <c r="AU77" i="30"/>
  <c r="AU14" i="30"/>
  <c r="AU8" i="30"/>
  <c r="AU31" i="30"/>
  <c r="AU22" i="30"/>
  <c r="AU24" i="30"/>
  <c r="AU30" i="30"/>
  <c r="AU78" i="30"/>
  <c r="AU21" i="30"/>
  <c r="AU20" i="30"/>
  <c r="AU32" i="30"/>
  <c r="AU36" i="30"/>
  <c r="AU50" i="30"/>
  <c r="AU28" i="30"/>
  <c r="AU33" i="30"/>
  <c r="AU38" i="30"/>
  <c r="AU46" i="30"/>
  <c r="AU45" i="30"/>
  <c r="AU57" i="30"/>
  <c r="AU51" i="30"/>
  <c r="AU60" i="30"/>
  <c r="AU56" i="30"/>
  <c r="AU66" i="30"/>
  <c r="AU63" i="30"/>
  <c r="AU61" i="30"/>
  <c r="AU75" i="30"/>
  <c r="AU72" i="30"/>
  <c r="AU11" i="30"/>
  <c r="AU15" i="30"/>
  <c r="AU29" i="30"/>
  <c r="AU19" i="30"/>
  <c r="AU44" i="30"/>
  <c r="AU37" i="30"/>
  <c r="AU53" i="30"/>
  <c r="AU43" i="30"/>
  <c r="AU42" i="30"/>
  <c r="AU52" i="30"/>
  <c r="AU55" i="30"/>
  <c r="AU58" i="30"/>
  <c r="AU73" i="30"/>
  <c r="AU7" i="30"/>
  <c r="AU65" i="30"/>
  <c r="AU27" i="30"/>
  <c r="AU49" i="30"/>
  <c r="AU59" i="30"/>
  <c r="AT18" i="30"/>
  <c r="AT48" i="30" s="1"/>
  <c r="AT64" i="30" s="1"/>
  <c r="AW56" i="30"/>
  <c r="AW11" i="30"/>
  <c r="AW76" i="30"/>
  <c r="AW68" i="30"/>
  <c r="AW72" i="30"/>
  <c r="AW38" i="30"/>
  <c r="AW30" i="30"/>
  <c r="K37" i="30"/>
  <c r="K63" i="30"/>
  <c r="K16" i="30"/>
  <c r="K76" i="30"/>
  <c r="K42" i="30"/>
  <c r="K40" i="30"/>
  <c r="K23" i="30"/>
  <c r="K14" i="30"/>
  <c r="AW47" i="30"/>
  <c r="K19" i="30"/>
  <c r="AU54" i="30"/>
  <c r="AU76" i="30"/>
  <c r="K71" i="30"/>
  <c r="K46" i="30"/>
  <c r="K30" i="30"/>
  <c r="K52" i="30"/>
  <c r="K65" i="30"/>
  <c r="K77" i="30"/>
  <c r="K21" i="30"/>
  <c r="K47" i="30"/>
  <c r="AU74" i="30"/>
  <c r="AU62" i="30"/>
  <c r="K59" i="30"/>
  <c r="K33" i="30"/>
  <c r="K68" i="30"/>
  <c r="K75" i="30"/>
  <c r="K49" i="30"/>
  <c r="K24" i="30"/>
  <c r="K9" i="30"/>
  <c r="AY21" i="30"/>
  <c r="AU41" i="30"/>
  <c r="AX33" i="30"/>
  <c r="AY33" i="30"/>
  <c r="AP10" i="30"/>
  <c r="AX10" i="30" s="1"/>
  <c r="N18" i="30"/>
  <c r="V18" i="30" s="1"/>
  <c r="O17" i="30"/>
  <c r="V17" i="30"/>
  <c r="AR73" i="30"/>
  <c r="AR36" i="30"/>
  <c r="AG72" i="30"/>
  <c r="AG51" i="30"/>
  <c r="AG37" i="30"/>
  <c r="G14" i="30"/>
  <c r="G20" i="30"/>
  <c r="U30" i="30"/>
  <c r="U16" i="30"/>
  <c r="U8" i="30"/>
  <c r="AU47" i="30"/>
  <c r="AI76" i="30"/>
  <c r="AI68" i="30"/>
  <c r="AI14" i="30"/>
  <c r="AI26" i="30"/>
  <c r="AI21" i="30"/>
  <c r="AI28" i="30"/>
  <c r="AI10" i="30"/>
  <c r="AI32" i="30"/>
  <c r="AI20" i="30"/>
  <c r="AI22" i="30"/>
  <c r="AI33" i="30"/>
  <c r="AI36" i="30"/>
  <c r="AI43" i="30"/>
  <c r="AK78" i="30"/>
  <c r="AK63" i="30"/>
  <c r="AK55" i="30"/>
  <c r="AK75" i="30"/>
  <c r="AK52" i="30"/>
  <c r="AK32" i="30"/>
  <c r="AK28" i="30"/>
  <c r="AK7" i="30"/>
  <c r="AK22" i="30"/>
  <c r="AK15" i="30"/>
  <c r="AK71" i="30"/>
  <c r="AK57" i="30"/>
  <c r="AK72" i="30"/>
  <c r="AK51" i="30"/>
  <c r="AK46" i="30"/>
  <c r="AK30" i="30"/>
  <c r="AK26" i="30"/>
  <c r="AK19" i="30"/>
  <c r="AK20" i="30"/>
  <c r="AK24" i="30"/>
  <c r="AK14" i="30"/>
  <c r="AK21" i="30"/>
  <c r="AK33" i="30"/>
  <c r="AK17" i="30"/>
  <c r="AD11" i="30"/>
  <c r="AE68" i="30" s="1"/>
  <c r="AX65" i="30"/>
  <c r="AU18" i="30"/>
  <c r="AZ52" i="31"/>
  <c r="BA52" i="31"/>
  <c r="AK24" i="31"/>
  <c r="AK28" i="31"/>
  <c r="AK66" i="31"/>
  <c r="AK10" i="31"/>
  <c r="AK9" i="31"/>
  <c r="AK19" i="31"/>
  <c r="AK31" i="31"/>
  <c r="AK45" i="31"/>
  <c r="AK23" i="31"/>
  <c r="AK27" i="31"/>
  <c r="AK39" i="31"/>
  <c r="AK73" i="31"/>
  <c r="AK78" i="31"/>
  <c r="AK76" i="31"/>
  <c r="AK53" i="31"/>
  <c r="AK35" i="31"/>
  <c r="AK37" i="31"/>
  <c r="AK22" i="31"/>
  <c r="AK26" i="31"/>
  <c r="AK30" i="31"/>
  <c r="AK34" i="31"/>
  <c r="AK65" i="31"/>
  <c r="AK42" i="31"/>
  <c r="AK51" i="31"/>
  <c r="AK41" i="31"/>
  <c r="E62" i="31"/>
  <c r="AY36" i="31"/>
  <c r="AX36" i="31"/>
  <c r="O54" i="31"/>
  <c r="AU17" i="31"/>
  <c r="AU19" i="31"/>
  <c r="AU74" i="31"/>
  <c r="AU72" i="31"/>
  <c r="AU60" i="31"/>
  <c r="AU40" i="31"/>
  <c r="AU68" i="31"/>
  <c r="AU33" i="31"/>
  <c r="AU9" i="31"/>
  <c r="AU25" i="31"/>
  <c r="AU30" i="31"/>
  <c r="AU36" i="31"/>
  <c r="AU8" i="31"/>
  <c r="AU63" i="31"/>
  <c r="AU16" i="31"/>
  <c r="AU31" i="31"/>
  <c r="AU57" i="31"/>
  <c r="AU55" i="31"/>
  <c r="AU28" i="31"/>
  <c r="AU46" i="31"/>
  <c r="AU73" i="31"/>
  <c r="AU71" i="31"/>
  <c r="AU44" i="31"/>
  <c r="AU51" i="31"/>
  <c r="AT18" i="31"/>
  <c r="AU29" i="31"/>
  <c r="AU37" i="31"/>
  <c r="AU24" i="31"/>
  <c r="AU10" i="31"/>
  <c r="AU15" i="31"/>
  <c r="AU43" i="31"/>
  <c r="AU45" i="31"/>
  <c r="AU61" i="31"/>
  <c r="AU41" i="31"/>
  <c r="AU59" i="31"/>
  <c r="AU6" i="31"/>
  <c r="AU49" i="31"/>
  <c r="AU22" i="31"/>
  <c r="AU76" i="31"/>
  <c r="AU78" i="31"/>
  <c r="AU66" i="31"/>
  <c r="AU38" i="31"/>
  <c r="AU42" i="31"/>
  <c r="AU56" i="31"/>
  <c r="AU21" i="31"/>
  <c r="AU7" i="31"/>
  <c r="AU11" i="31"/>
  <c r="AU26" i="31"/>
  <c r="AU27" i="31"/>
  <c r="AU50" i="31"/>
  <c r="BA26" i="31"/>
  <c r="AZ26" i="31"/>
  <c r="K68" i="31"/>
  <c r="K16" i="31"/>
  <c r="K8" i="31"/>
  <c r="H11" i="31"/>
  <c r="I24" i="31" s="1"/>
  <c r="AB8" i="31"/>
  <c r="AR8" i="31" s="1"/>
  <c r="P11" i="31"/>
  <c r="Q28" i="31" s="1"/>
  <c r="X8" i="31"/>
  <c r="Z9" i="31"/>
  <c r="AP9" i="31" s="1"/>
  <c r="AW15" i="31"/>
  <c r="AW7" i="31"/>
  <c r="AW68" i="31"/>
  <c r="AW60" i="31"/>
  <c r="AW55" i="31"/>
  <c r="V13" i="31"/>
  <c r="Z13" i="31"/>
  <c r="AP13" i="31" s="1"/>
  <c r="AX13" i="31" s="1"/>
  <c r="H17" i="31"/>
  <c r="AB14" i="31"/>
  <c r="R47" i="31"/>
  <c r="S19" i="31"/>
  <c r="V19" i="31"/>
  <c r="AP20" i="31"/>
  <c r="AY20" i="31" s="1"/>
  <c r="S20" i="31"/>
  <c r="V20" i="31"/>
  <c r="C21" i="31"/>
  <c r="S21" i="31"/>
  <c r="V21" i="31"/>
  <c r="S22" i="31"/>
  <c r="V22" i="31"/>
  <c r="S23" i="31"/>
  <c r="V23" i="31"/>
  <c r="K24" i="31"/>
  <c r="S24" i="31"/>
  <c r="V24" i="31"/>
  <c r="V26" i="31"/>
  <c r="S26" i="31"/>
  <c r="V28" i="31"/>
  <c r="S28" i="31"/>
  <c r="AP30" i="31"/>
  <c r="AX30" i="31" s="1"/>
  <c r="S30" i="31"/>
  <c r="V30" i="31"/>
  <c r="K31" i="31"/>
  <c r="Z31" i="31"/>
  <c r="AP31" i="31" s="1"/>
  <c r="AX31" i="31" s="1"/>
  <c r="AP32" i="31"/>
  <c r="AX32" i="31" s="1"/>
  <c r="V32" i="31"/>
  <c r="S32" i="31"/>
  <c r="AP35" i="31"/>
  <c r="C35" i="31"/>
  <c r="S36" i="31"/>
  <c r="V36" i="31"/>
  <c r="K37" i="31"/>
  <c r="K38" i="31"/>
  <c r="S39" i="31"/>
  <c r="V39" i="31"/>
  <c r="K43" i="31"/>
  <c r="K58" i="31"/>
  <c r="S60" i="31"/>
  <c r="V60" i="31"/>
  <c r="K63" i="31"/>
  <c r="C65" i="31"/>
  <c r="V65" i="31"/>
  <c r="S65" i="31"/>
  <c r="S66" i="31"/>
  <c r="V66" i="31"/>
  <c r="AN74" i="31"/>
  <c r="AR74" i="31" s="1"/>
  <c r="BA74" i="31" s="1"/>
  <c r="AK74" i="31"/>
  <c r="AN75" i="31"/>
  <c r="AK75" i="31"/>
  <c r="Q72" i="31"/>
  <c r="Q10" i="31"/>
  <c r="Q47" i="31"/>
  <c r="I14" i="31"/>
  <c r="I21" i="31"/>
  <c r="I38" i="31"/>
  <c r="AF81" i="28"/>
  <c r="AN81" i="28"/>
  <c r="AF81" i="31"/>
  <c r="AN81" i="31" s="1"/>
  <c r="AF81" i="27"/>
  <c r="AN81" i="27" s="1"/>
  <c r="P6" i="1"/>
  <c r="AB6" i="1" s="1"/>
  <c r="N11" i="1"/>
  <c r="O6" i="1" s="1"/>
  <c r="V6" i="1"/>
  <c r="Z6" i="1"/>
  <c r="F11" i="1"/>
  <c r="G29" i="1" s="1"/>
  <c r="H7" i="1"/>
  <c r="Z7" i="1"/>
  <c r="AJ7" i="1"/>
  <c r="AN7" i="1" s="1"/>
  <c r="AL7" i="1"/>
  <c r="AH11" i="1"/>
  <c r="AI42" i="1" s="1"/>
  <c r="Z8" i="1"/>
  <c r="V8" i="1"/>
  <c r="P8" i="1"/>
  <c r="X8" i="1" s="1"/>
  <c r="H9" i="1"/>
  <c r="AB9" i="1" s="1"/>
  <c r="AL9" i="1"/>
  <c r="AJ9" i="1"/>
  <c r="Z10" i="1"/>
  <c r="V10" i="1"/>
  <c r="P10" i="1"/>
  <c r="X10" i="1" s="1"/>
  <c r="Z12" i="1"/>
  <c r="AP12" i="1" s="1"/>
  <c r="H12" i="1"/>
  <c r="AB12" i="1" s="1"/>
  <c r="AR12" i="1" s="1"/>
  <c r="AL21" i="1"/>
  <c r="H44" i="1"/>
  <c r="Z61" i="1"/>
  <c r="Z71" i="1"/>
  <c r="Z9" i="1"/>
  <c r="X74" i="1"/>
  <c r="U43" i="1"/>
  <c r="S62" i="1"/>
  <c r="V62" i="1"/>
  <c r="T62" i="1"/>
  <c r="U62" i="1" s="1"/>
  <c r="U56" i="1"/>
  <c r="X56" i="1"/>
  <c r="U61" i="1"/>
  <c r="D47" i="1"/>
  <c r="O30" i="1"/>
  <c r="O56" i="1"/>
  <c r="O9" i="1"/>
  <c r="O76" i="1"/>
  <c r="O51" i="1"/>
  <c r="O63" i="1"/>
  <c r="O58" i="1"/>
  <c r="O57" i="1"/>
  <c r="O53" i="1"/>
  <c r="O24" i="1"/>
  <c r="O49" i="1"/>
  <c r="P11" i="1"/>
  <c r="Q41" i="1" s="1"/>
  <c r="O19" i="1"/>
  <c r="O22" i="1"/>
  <c r="O28" i="1"/>
  <c r="O65" i="1"/>
  <c r="O31" i="1"/>
  <c r="O60" i="1"/>
  <c r="O29" i="1"/>
  <c r="O46" i="1"/>
  <c r="O44" i="1"/>
  <c r="O66" i="1"/>
  <c r="V11" i="1"/>
  <c r="W51" i="1" s="1"/>
  <c r="O26" i="1"/>
  <c r="O11" i="1"/>
  <c r="O72" i="1"/>
  <c r="O25" i="1"/>
  <c r="O52" i="1"/>
  <c r="O43" i="1"/>
  <c r="O33" i="1"/>
  <c r="O78" i="1"/>
  <c r="O59" i="1"/>
  <c r="O35" i="1"/>
  <c r="O7" i="1"/>
  <c r="O68" i="1"/>
  <c r="O36" i="1"/>
  <c r="O71" i="1"/>
  <c r="O21" i="1"/>
  <c r="O32" i="1"/>
  <c r="O20" i="1"/>
  <c r="O16" i="1"/>
  <c r="O73" i="1"/>
  <c r="O47" i="1"/>
  <c r="O45" i="1"/>
  <c r="O34" i="1"/>
  <c r="O27" i="1"/>
  <c r="O42" i="1"/>
  <c r="O38" i="1"/>
  <c r="O74" i="1"/>
  <c r="O55" i="1"/>
  <c r="O75" i="1"/>
  <c r="O61" i="1"/>
  <c r="O62" i="1"/>
  <c r="O77" i="1"/>
  <c r="O37" i="1"/>
  <c r="O50" i="1"/>
  <c r="AN9" i="1"/>
  <c r="AI61" i="1"/>
  <c r="AI58" i="1"/>
  <c r="AI11" i="1"/>
  <c r="AI47" i="1"/>
  <c r="AJ11" i="1"/>
  <c r="AK8" i="1" s="1"/>
  <c r="AI12" i="1"/>
  <c r="Q26" i="1"/>
  <c r="Q76" i="1"/>
  <c r="Q45" i="1"/>
  <c r="Q25" i="1"/>
  <c r="Q14" i="1"/>
  <c r="Q63" i="1"/>
  <c r="X11" i="1"/>
  <c r="AB75" i="1"/>
  <c r="AK54" i="16"/>
  <c r="AN54" i="16"/>
  <c r="AV12" i="1"/>
  <c r="AD17" i="1"/>
  <c r="AF14" i="1"/>
  <c r="AN14" i="1" s="1"/>
  <c r="AL14" i="1"/>
  <c r="AP14" i="1" s="1"/>
  <c r="P15" i="1"/>
  <c r="N17" i="1"/>
  <c r="P17" i="1" s="1"/>
  <c r="Q17" i="1" s="1"/>
  <c r="V15" i="1"/>
  <c r="Z15" i="1"/>
  <c r="F17" i="1"/>
  <c r="H16" i="1"/>
  <c r="AB16" i="1" s="1"/>
  <c r="AR16" i="1" s="1"/>
  <c r="BA16" i="1" s="1"/>
  <c r="Z16" i="1"/>
  <c r="AP16" i="1" s="1"/>
  <c r="Z19" i="1"/>
  <c r="F47" i="1"/>
  <c r="H19" i="1"/>
  <c r="AD47" i="1"/>
  <c r="AL47" i="1" s="1"/>
  <c r="AF19" i="1"/>
  <c r="AN19" i="1" s="1"/>
  <c r="AL19" i="1"/>
  <c r="H20" i="1"/>
  <c r="Z20" i="1"/>
  <c r="AF20" i="1"/>
  <c r="AL20" i="1"/>
  <c r="H21" i="1"/>
  <c r="Z21" i="1"/>
  <c r="AP21" i="1" s="1"/>
  <c r="AX21" i="1" s="1"/>
  <c r="AF21" i="1"/>
  <c r="AN21" i="1" s="1"/>
  <c r="H22" i="1"/>
  <c r="Z22" i="1"/>
  <c r="AF22" i="1"/>
  <c r="AN22" i="1" s="1"/>
  <c r="AL22" i="1"/>
  <c r="Z23" i="1"/>
  <c r="H23" i="1"/>
  <c r="AB23" i="1" s="1"/>
  <c r="AL23" i="1"/>
  <c r="AF23" i="1"/>
  <c r="H24" i="1"/>
  <c r="Z24" i="1"/>
  <c r="AF24" i="1"/>
  <c r="AL24" i="1"/>
  <c r="H25" i="1"/>
  <c r="Z25" i="1"/>
  <c r="AF25" i="1"/>
  <c r="AN25" i="1" s="1"/>
  <c r="AL25" i="1"/>
  <c r="H26" i="1"/>
  <c r="Z26" i="1"/>
  <c r="AF26" i="1"/>
  <c r="AN26" i="1" s="1"/>
  <c r="H27" i="1"/>
  <c r="Z27" i="1"/>
  <c r="AL27" i="1"/>
  <c r="AF27" i="1"/>
  <c r="AN27" i="1" s="1"/>
  <c r="H28" i="1"/>
  <c r="Z28" i="1"/>
  <c r="AF28" i="1"/>
  <c r="AL28" i="1"/>
  <c r="AP28" i="1" s="1"/>
  <c r="Z29" i="1"/>
  <c r="H29" i="1"/>
  <c r="AL29" i="1"/>
  <c r="AF29" i="1"/>
  <c r="AN29" i="1" s="1"/>
  <c r="H30" i="1"/>
  <c r="Z30" i="1"/>
  <c r="AF30" i="1"/>
  <c r="AL30" i="1"/>
  <c r="Z31" i="1"/>
  <c r="H31" i="1"/>
  <c r="AF31" i="1"/>
  <c r="AL31" i="1"/>
  <c r="Z32" i="1"/>
  <c r="H32" i="1"/>
  <c r="AF32" i="1"/>
  <c r="AL32" i="1"/>
  <c r="H33" i="1"/>
  <c r="Z33" i="1"/>
  <c r="AF33" i="1"/>
  <c r="AN33" i="1" s="1"/>
  <c r="AL33" i="1"/>
  <c r="Z34" i="1"/>
  <c r="H34" i="1"/>
  <c r="AF34" i="1"/>
  <c r="AL34" i="1"/>
  <c r="Z35" i="1"/>
  <c r="H35" i="1"/>
  <c r="AF35" i="1"/>
  <c r="AL35" i="1"/>
  <c r="Z36" i="1"/>
  <c r="H36" i="1"/>
  <c r="AF36" i="1"/>
  <c r="AN36" i="1" s="1"/>
  <c r="Z37" i="1"/>
  <c r="H37" i="1"/>
  <c r="AL37" i="1"/>
  <c r="AF37" i="1"/>
  <c r="AN37" i="1" s="1"/>
  <c r="Z38" i="1"/>
  <c r="AP38" i="1" s="1"/>
  <c r="H38" i="1"/>
  <c r="AB38" i="1" s="1"/>
  <c r="AF38" i="1"/>
  <c r="AL38" i="1"/>
  <c r="H39" i="1"/>
  <c r="AB39" i="1" s="1"/>
  <c r="Z39" i="1"/>
  <c r="AL39" i="1"/>
  <c r="AF39" i="1"/>
  <c r="AN39" i="1" s="1"/>
  <c r="H40" i="1"/>
  <c r="AB40" i="1" s="1"/>
  <c r="Z40" i="1"/>
  <c r="AF40" i="1"/>
  <c r="AN40" i="1" s="1"/>
  <c r="AL40" i="1"/>
  <c r="Z41" i="1"/>
  <c r="H41" i="1"/>
  <c r="AF41" i="1"/>
  <c r="AL41" i="1"/>
  <c r="AP41" i="1" s="1"/>
  <c r="Z42" i="1"/>
  <c r="H42" i="1"/>
  <c r="AF42" i="1"/>
  <c r="AN42" i="1" s="1"/>
  <c r="AL42" i="1"/>
  <c r="H43" i="1"/>
  <c r="Z43" i="1"/>
  <c r="AL43" i="1"/>
  <c r="AF43" i="1"/>
  <c r="Z44" i="1"/>
  <c r="AL44" i="1"/>
  <c r="AF44" i="1"/>
  <c r="AN44" i="1" s="1"/>
  <c r="Z45" i="1"/>
  <c r="H45" i="1"/>
  <c r="AL45" i="1"/>
  <c r="AF45" i="1"/>
  <c r="H46" i="1"/>
  <c r="Z46" i="1"/>
  <c r="AL46" i="1"/>
  <c r="Z49" i="1"/>
  <c r="F54" i="1"/>
  <c r="H49" i="1"/>
  <c r="AB49" i="1" s="1"/>
  <c r="AL49" i="1"/>
  <c r="AD54" i="1"/>
  <c r="AF49" i="1"/>
  <c r="Z50" i="1"/>
  <c r="H50" i="1"/>
  <c r="AF50" i="1"/>
  <c r="AL50" i="1"/>
  <c r="Z51" i="1"/>
  <c r="H51" i="1"/>
  <c r="AL51" i="1"/>
  <c r="AF51" i="1"/>
  <c r="AN51" i="1" s="1"/>
  <c r="Z52" i="1"/>
  <c r="H52" i="1"/>
  <c r="AF52" i="1"/>
  <c r="AL52" i="1"/>
  <c r="AP52" i="1" s="1"/>
  <c r="AY52" i="1" s="1"/>
  <c r="H53" i="1"/>
  <c r="Z53" i="1"/>
  <c r="AL53" i="1"/>
  <c r="AF53" i="1"/>
  <c r="AN53" i="1" s="1"/>
  <c r="H55" i="1"/>
  <c r="Z55" i="1"/>
  <c r="F62" i="1"/>
  <c r="AF55" i="1"/>
  <c r="AD62" i="1"/>
  <c r="AL55" i="1"/>
  <c r="H56" i="1"/>
  <c r="AB56" i="1" s="1"/>
  <c r="Z56" i="1"/>
  <c r="AF56" i="1"/>
  <c r="H57" i="1"/>
  <c r="Z57" i="1"/>
  <c r="AL57" i="1"/>
  <c r="AF57" i="1"/>
  <c r="H58" i="1"/>
  <c r="AL58" i="1"/>
  <c r="AF58" i="1"/>
  <c r="H59" i="1"/>
  <c r="Z59" i="1"/>
  <c r="H60" i="1"/>
  <c r="AB60" i="1" s="1"/>
  <c r="Z60" i="1"/>
  <c r="AP60" i="1" s="1"/>
  <c r="AL60" i="1"/>
  <c r="AF60" i="1"/>
  <c r="AN60" i="1" s="1"/>
  <c r="AF61" i="1"/>
  <c r="AN61" i="1" s="1"/>
  <c r="AL61" i="1"/>
  <c r="H63" i="1"/>
  <c r="Z63" i="1"/>
  <c r="AL63" i="1"/>
  <c r="H65" i="1"/>
  <c r="AB65" i="1" s="1"/>
  <c r="Z65" i="1"/>
  <c r="AL65" i="1"/>
  <c r="H66" i="1"/>
  <c r="Z66" i="1"/>
  <c r="AF66" i="1"/>
  <c r="AN66" i="1" s="1"/>
  <c r="Z70" i="1"/>
  <c r="AP70" i="1" s="1"/>
  <c r="AX70" i="1" s="1"/>
  <c r="H70" i="1"/>
  <c r="AL70" i="1"/>
  <c r="AF70" i="1"/>
  <c r="AN70" i="1" s="1"/>
  <c r="H71" i="1"/>
  <c r="AB71" i="1" s="1"/>
  <c r="AL71" i="1"/>
  <c r="H72" i="1"/>
  <c r="AB72" i="1" s="1"/>
  <c r="Z72" i="1"/>
  <c r="AL72" i="1"/>
  <c r="Z73" i="1"/>
  <c r="H73" i="1"/>
  <c r="AB73" i="1" s="1"/>
  <c r="AL73" i="1"/>
  <c r="AF73" i="1"/>
  <c r="AN73" i="1" s="1"/>
  <c r="H74" i="1"/>
  <c r="Z74" i="1"/>
  <c r="AL74" i="1"/>
  <c r="AF74" i="1"/>
  <c r="AV77" i="1"/>
  <c r="AL66" i="1"/>
  <c r="AL59" i="1"/>
  <c r="AL75" i="1"/>
  <c r="AF75" i="1"/>
  <c r="Q46" i="1"/>
  <c r="Q55" i="1"/>
  <c r="Q62" i="1"/>
  <c r="Q37" i="1"/>
  <c r="Q28" i="1"/>
  <c r="Q22" i="1"/>
  <c r="Q71" i="1"/>
  <c r="Q42" i="1"/>
  <c r="Q66" i="1"/>
  <c r="Q40" i="1"/>
  <c r="Q19" i="1"/>
  <c r="Q39" i="1"/>
  <c r="Q9" i="1"/>
  <c r="AF71" i="1"/>
  <c r="AF65" i="1"/>
  <c r="Z58" i="1"/>
  <c r="Z75" i="1"/>
  <c r="AF72" i="1"/>
  <c r="AN72" i="1" s="1"/>
  <c r="AF63" i="1"/>
  <c r="AL56" i="1"/>
  <c r="AF46" i="1"/>
  <c r="AN46" i="1" s="1"/>
  <c r="AL36" i="1"/>
  <c r="AP36" i="1" s="1"/>
  <c r="AL26" i="1"/>
  <c r="AX38" i="16"/>
  <c r="AY38" i="16"/>
  <c r="BA23" i="16"/>
  <c r="AZ23" i="16"/>
  <c r="C48" i="16"/>
  <c r="AP50" i="16"/>
  <c r="AR6" i="16"/>
  <c r="AZ66" i="16"/>
  <c r="BA66" i="16"/>
  <c r="AW17" i="16"/>
  <c r="AW66" i="16"/>
  <c r="AW25" i="16"/>
  <c r="AW44" i="16"/>
  <c r="AW27" i="16"/>
  <c r="AW78" i="16"/>
  <c r="AW46" i="16"/>
  <c r="AW77" i="16"/>
  <c r="AW21" i="16"/>
  <c r="AW31" i="16"/>
  <c r="AW38" i="16"/>
  <c r="AW30" i="16"/>
  <c r="AW33" i="16"/>
  <c r="AW59" i="16"/>
  <c r="AW37" i="16"/>
  <c r="AW61" i="16"/>
  <c r="AW34" i="16"/>
  <c r="AW14" i="16"/>
  <c r="AW32" i="16"/>
  <c r="AW53" i="16"/>
  <c r="AW29" i="16"/>
  <c r="AW19" i="16"/>
  <c r="AW60" i="16"/>
  <c r="AW10" i="16"/>
  <c r="AW43" i="16"/>
  <c r="AW55" i="16"/>
  <c r="AW9" i="16"/>
  <c r="AW50" i="16"/>
  <c r="AW15" i="16"/>
  <c r="AW39" i="16"/>
  <c r="AW26" i="16"/>
  <c r="AW16" i="16"/>
  <c r="AW20" i="16"/>
  <c r="AW65" i="16"/>
  <c r="AW41" i="16"/>
  <c r="AW45" i="16"/>
  <c r="AW7" i="16"/>
  <c r="AW24" i="16"/>
  <c r="AW8" i="16"/>
  <c r="AW28" i="16"/>
  <c r="AW6" i="16"/>
  <c r="AW75" i="16"/>
  <c r="AW42" i="16"/>
  <c r="AW51" i="16"/>
  <c r="AW23" i="16"/>
  <c r="AW47" i="16"/>
  <c r="AW57" i="16"/>
  <c r="AW56" i="16"/>
  <c r="AW11" i="16"/>
  <c r="AW71" i="16"/>
  <c r="AW68" i="16"/>
  <c r="AW63" i="16"/>
  <c r="AW36" i="16"/>
  <c r="AW49" i="16"/>
  <c r="AW40" i="16"/>
  <c r="AW52" i="16"/>
  <c r="AW76" i="16"/>
  <c r="AV18" i="16"/>
  <c r="AR43" i="16"/>
  <c r="BA35" i="16"/>
  <c r="AZ35" i="16"/>
  <c r="AZ13" i="16"/>
  <c r="BA13" i="16"/>
  <c r="BA52" i="16"/>
  <c r="AZ52" i="16"/>
  <c r="Q62" i="16"/>
  <c r="AR51" i="16"/>
  <c r="E54" i="16"/>
  <c r="X71" i="1"/>
  <c r="U71" i="1"/>
  <c r="AE62" i="16"/>
  <c r="AX60" i="16"/>
  <c r="AY60" i="16"/>
  <c r="AE21" i="16"/>
  <c r="AE53" i="16"/>
  <c r="AE44" i="16"/>
  <c r="AE55" i="16"/>
  <c r="AE33" i="16"/>
  <c r="AE46" i="16"/>
  <c r="AE75" i="16"/>
  <c r="AE78" i="16"/>
  <c r="AE71" i="16"/>
  <c r="AE34" i="16"/>
  <c r="AE9" i="16"/>
  <c r="AE39" i="16"/>
  <c r="AE68" i="16"/>
  <c r="AE76" i="16"/>
  <c r="AE30" i="16"/>
  <c r="AE66" i="16"/>
  <c r="AE72" i="16"/>
  <c r="AE45" i="16"/>
  <c r="AE42" i="16"/>
  <c r="AE11" i="16"/>
  <c r="AE51" i="16"/>
  <c r="AE37" i="16"/>
  <c r="AE56" i="16"/>
  <c r="AE40" i="16"/>
  <c r="AE22" i="16"/>
  <c r="AE14" i="16"/>
  <c r="AE16" i="16"/>
  <c r="AE24" i="16"/>
  <c r="AE38" i="16"/>
  <c r="AE29" i="16"/>
  <c r="AE8" i="16"/>
  <c r="AE25" i="16"/>
  <c r="AE28" i="16"/>
  <c r="AE52" i="16"/>
  <c r="AE41" i="16"/>
  <c r="AE57" i="16"/>
  <c r="AE59" i="16"/>
  <c r="AE73" i="16"/>
  <c r="AE23" i="16"/>
  <c r="AE27" i="16"/>
  <c r="AE65" i="16"/>
  <c r="AE15" i="16"/>
  <c r="AE74" i="16"/>
  <c r="AE50" i="16"/>
  <c r="AD18" i="16"/>
  <c r="X42" i="1"/>
  <c r="U42" i="1"/>
  <c r="AY72" i="16"/>
  <c r="AX72" i="16"/>
  <c r="AZ15" i="16"/>
  <c r="BA15" i="16"/>
  <c r="AD11" i="1"/>
  <c r="AE45" i="1" s="1"/>
  <c r="J11" i="1"/>
  <c r="K53" i="1" s="1"/>
  <c r="L7" i="1"/>
  <c r="AL8" i="1"/>
  <c r="AP8" i="1" s="1"/>
  <c r="AX8" i="1" s="1"/>
  <c r="AF8" i="1"/>
  <c r="AN8" i="1" s="1"/>
  <c r="AE54" i="16"/>
  <c r="AP7" i="1"/>
  <c r="S54" i="1"/>
  <c r="AV47" i="1"/>
  <c r="U25" i="1"/>
  <c r="X25" i="1"/>
  <c r="F18" i="16"/>
  <c r="G18" i="16" s="1"/>
  <c r="AL54" i="16"/>
  <c r="AP54" i="16" s="1"/>
  <c r="AP28" i="16"/>
  <c r="AX28" i="16" s="1"/>
  <c r="AU54" i="16"/>
  <c r="AR16" i="16"/>
  <c r="AP45" i="16"/>
  <c r="AP57" i="16"/>
  <c r="AY57" i="16" s="1"/>
  <c r="AB70" i="16"/>
  <c r="AP82" i="16"/>
  <c r="AY82" i="16" s="1"/>
  <c r="P82" i="18"/>
  <c r="P82" i="27" s="1"/>
  <c r="X82" i="27" s="1"/>
  <c r="AR72" i="16"/>
  <c r="AB47" i="16"/>
  <c r="AX39" i="16"/>
  <c r="AZ56" i="16"/>
  <c r="BA56" i="16"/>
  <c r="T18" i="16"/>
  <c r="AR28" i="16"/>
  <c r="BA28" i="16" s="1"/>
  <c r="BA49" i="16"/>
  <c r="AR7" i="16"/>
  <c r="AZ7" i="16" s="1"/>
  <c r="S48" i="16"/>
  <c r="R64" i="16"/>
  <c r="S64" i="16" s="1"/>
  <c r="AZ63" i="16"/>
  <c r="BA63" i="16"/>
  <c r="AR20" i="16"/>
  <c r="BA20" i="16" s="1"/>
  <c r="U17" i="16"/>
  <c r="AP73" i="16"/>
  <c r="AY73" i="16" s="1"/>
  <c r="I8" i="16"/>
  <c r="I7" i="16"/>
  <c r="I19" i="16"/>
  <c r="I31" i="16"/>
  <c r="I65" i="16"/>
  <c r="I20" i="16"/>
  <c r="I6" i="16"/>
  <c r="I9" i="16"/>
  <c r="I34" i="16"/>
  <c r="I56" i="16"/>
  <c r="I73" i="16"/>
  <c r="I22" i="16"/>
  <c r="I44" i="16"/>
  <c r="I25" i="16"/>
  <c r="I15" i="16"/>
  <c r="I43" i="16"/>
  <c r="I14" i="16"/>
  <c r="I24" i="16"/>
  <c r="I78" i="16"/>
  <c r="I35" i="16"/>
  <c r="I62" i="16"/>
  <c r="I52" i="16"/>
  <c r="I33" i="16"/>
  <c r="I59" i="16"/>
  <c r="I30" i="16"/>
  <c r="I28" i="16"/>
  <c r="I23" i="16"/>
  <c r="I77" i="16"/>
  <c r="I37" i="16"/>
  <c r="I72" i="16"/>
  <c r="I55" i="16"/>
  <c r="I16" i="16"/>
  <c r="I76" i="16"/>
  <c r="I61" i="16"/>
  <c r="I75" i="16"/>
  <c r="I11" i="16"/>
  <c r="I63" i="16"/>
  <c r="I74" i="16"/>
  <c r="I49" i="16"/>
  <c r="I41" i="16"/>
  <c r="AB11" i="16"/>
  <c r="AC39" i="16" s="1"/>
  <c r="I71" i="16"/>
  <c r="I45" i="16"/>
  <c r="I66" i="16"/>
  <c r="I42" i="16"/>
  <c r="I46" i="16"/>
  <c r="I57" i="16"/>
  <c r="I27" i="16"/>
  <c r="I68" i="16"/>
  <c r="U66" i="16"/>
  <c r="U11" i="16"/>
  <c r="U30" i="16"/>
  <c r="U63" i="16"/>
  <c r="U15" i="16"/>
  <c r="U10" i="16"/>
  <c r="U49" i="16"/>
  <c r="U28" i="16"/>
  <c r="U33" i="16"/>
  <c r="U31" i="16"/>
  <c r="U39" i="16"/>
  <c r="U57" i="16"/>
  <c r="U51" i="16"/>
  <c r="U59" i="16"/>
  <c r="U58" i="16"/>
  <c r="U44" i="16"/>
  <c r="U24" i="16"/>
  <c r="U26" i="16"/>
  <c r="U77" i="16"/>
  <c r="U42" i="16"/>
  <c r="U34" i="16"/>
  <c r="U20" i="16"/>
  <c r="U23" i="16"/>
  <c r="U60" i="16"/>
  <c r="U19" i="16"/>
  <c r="U35" i="16"/>
  <c r="U14" i="16"/>
  <c r="U71" i="16"/>
  <c r="U6" i="16"/>
  <c r="U32" i="16"/>
  <c r="U47" i="16"/>
  <c r="U8" i="16"/>
  <c r="U25" i="16"/>
  <c r="U38" i="16"/>
  <c r="U40" i="16"/>
  <c r="U75" i="16"/>
  <c r="U52" i="16"/>
  <c r="U55" i="16"/>
  <c r="G43" i="16"/>
  <c r="G77" i="16"/>
  <c r="G8" i="16"/>
  <c r="G34" i="16"/>
  <c r="G50" i="16"/>
  <c r="G10" i="16"/>
  <c r="G21" i="16"/>
  <c r="G42" i="16"/>
  <c r="G44" i="16"/>
  <c r="G71" i="16"/>
  <c r="G40" i="16"/>
  <c r="G32" i="16"/>
  <c r="G59" i="16"/>
  <c r="G6" i="16"/>
  <c r="G33" i="16"/>
  <c r="G29" i="16"/>
  <c r="G35" i="16"/>
  <c r="G37" i="16"/>
  <c r="G41" i="16"/>
  <c r="G16" i="16"/>
  <c r="G39" i="16"/>
  <c r="G73" i="16"/>
  <c r="G47" i="16"/>
  <c r="G9" i="16"/>
  <c r="G17" i="16"/>
  <c r="G46" i="16"/>
  <c r="G66" i="16"/>
  <c r="G56" i="16"/>
  <c r="G14" i="16"/>
  <c r="G11" i="16"/>
  <c r="G19" i="16"/>
  <c r="G53" i="16"/>
  <c r="Z11" i="16"/>
  <c r="AA22" i="16" s="1"/>
  <c r="G27" i="16"/>
  <c r="G45" i="16"/>
  <c r="G57" i="16"/>
  <c r="G7" i="16"/>
  <c r="G25" i="16"/>
  <c r="G61" i="16"/>
  <c r="G74" i="16"/>
  <c r="G20" i="16"/>
  <c r="G36" i="16"/>
  <c r="G38" i="16"/>
  <c r="G68" i="16"/>
  <c r="G31" i="16"/>
  <c r="G58" i="16"/>
  <c r="G28" i="16"/>
  <c r="G60" i="16"/>
  <c r="G23" i="16"/>
  <c r="G75" i="16"/>
  <c r="G76" i="16"/>
  <c r="G65" i="16"/>
  <c r="G22" i="16"/>
  <c r="G24" i="16"/>
  <c r="G30" i="16"/>
  <c r="G51" i="16"/>
  <c r="G15" i="16"/>
  <c r="G49" i="16"/>
  <c r="AP49" i="16"/>
  <c r="Q47" i="16"/>
  <c r="X47" i="16"/>
  <c r="I47" i="16"/>
  <c r="BA10" i="16"/>
  <c r="AZ10" i="16"/>
  <c r="AX51" i="16"/>
  <c r="AZ71" i="16"/>
  <c r="BA71" i="16"/>
  <c r="Q56" i="16"/>
  <c r="Q39" i="16"/>
  <c r="Q65" i="16"/>
  <c r="Q78" i="16"/>
  <c r="Q19" i="16"/>
  <c r="Q42" i="16"/>
  <c r="Q74" i="16"/>
  <c r="Q26" i="16"/>
  <c r="O54" i="16"/>
  <c r="V54" i="16"/>
  <c r="K28" i="16"/>
  <c r="K56" i="16"/>
  <c r="K57" i="16"/>
  <c r="K68" i="16"/>
  <c r="K71" i="16"/>
  <c r="K75" i="16"/>
  <c r="K9" i="16"/>
  <c r="K8" i="16"/>
  <c r="K45" i="16"/>
  <c r="K21" i="16"/>
  <c r="K25" i="16"/>
  <c r="K27" i="16"/>
  <c r="K44" i="16"/>
  <c r="K51" i="16"/>
  <c r="K73" i="16"/>
  <c r="K16" i="16"/>
  <c r="K19" i="16"/>
  <c r="K58" i="16"/>
  <c r="K53" i="16"/>
  <c r="K29" i="16"/>
  <c r="K66" i="16"/>
  <c r="K60" i="16"/>
  <c r="K74" i="16"/>
  <c r="K61" i="16"/>
  <c r="K31" i="16"/>
  <c r="K6" i="16"/>
  <c r="K7" i="16"/>
  <c r="K11" i="16"/>
  <c r="K59" i="16"/>
  <c r="K76" i="16"/>
  <c r="K24" i="16"/>
  <c r="K10" i="16"/>
  <c r="K63" i="16"/>
  <c r="K23" i="16"/>
  <c r="K32" i="16"/>
  <c r="K35" i="16"/>
  <c r="K65" i="16"/>
  <c r="K55" i="16"/>
  <c r="K46" i="16"/>
  <c r="K22" i="16"/>
  <c r="K54" i="16"/>
  <c r="AB19" i="1"/>
  <c r="X62" i="1"/>
  <c r="AN35" i="1"/>
  <c r="AB34" i="1"/>
  <c r="AB10" i="1"/>
  <c r="AR10" i="1" s="1"/>
  <c r="AZ10" i="1" s="1"/>
  <c r="Q10" i="1"/>
  <c r="AI9" i="1"/>
  <c r="AI7" i="1"/>
  <c r="AI34" i="1"/>
  <c r="AI52" i="1"/>
  <c r="AI20" i="1"/>
  <c r="AI38" i="1"/>
  <c r="AI26" i="1"/>
  <c r="AI60" i="1"/>
  <c r="AI32" i="1"/>
  <c r="AI16" i="1"/>
  <c r="AI30" i="1"/>
  <c r="AI53" i="1"/>
  <c r="AI10" i="1"/>
  <c r="AI23" i="1"/>
  <c r="AI44" i="1"/>
  <c r="AI43" i="1"/>
  <c r="AI73" i="1"/>
  <c r="AI51" i="1"/>
  <c r="AI13" i="1"/>
  <c r="AI6" i="1"/>
  <c r="AI74" i="1"/>
  <c r="AI62" i="1"/>
  <c r="AI49" i="1"/>
  <c r="AI21" i="1"/>
  <c r="AI22" i="1"/>
  <c r="AI41" i="1"/>
  <c r="AI71" i="1"/>
  <c r="AI14" i="1"/>
  <c r="AI15" i="1"/>
  <c r="AI57" i="1"/>
  <c r="AI55" i="1"/>
  <c r="AI50" i="1"/>
  <c r="AI66" i="1"/>
  <c r="AI31" i="1"/>
  <c r="AP6" i="1"/>
  <c r="X24" i="1"/>
  <c r="X30" i="1"/>
  <c r="X35" i="1"/>
  <c r="X36" i="1"/>
  <c r="X37" i="1"/>
  <c r="X39" i="1"/>
  <c r="X41" i="1"/>
  <c r="X44" i="1"/>
  <c r="X49" i="1"/>
  <c r="X50" i="1"/>
  <c r="X51" i="1"/>
  <c r="X55" i="1"/>
  <c r="X60" i="1"/>
  <c r="X63" i="1"/>
  <c r="X65" i="1"/>
  <c r="X72" i="1"/>
  <c r="C62" i="1"/>
  <c r="D62" i="1"/>
  <c r="X31" i="1"/>
  <c r="X34" i="1"/>
  <c r="V27" i="1"/>
  <c r="W27" i="1" s="1"/>
  <c r="V35" i="1"/>
  <c r="V36" i="1"/>
  <c r="P32" i="1"/>
  <c r="AH17" i="1"/>
  <c r="AJ17" i="1" s="1"/>
  <c r="V50" i="1"/>
  <c r="V49" i="1"/>
  <c r="AT17" i="1"/>
  <c r="AV17" i="1" s="1"/>
  <c r="V65" i="1"/>
  <c r="AZ16" i="16"/>
  <c r="BA16" i="16"/>
  <c r="AN74" i="1"/>
  <c r="AP49" i="1"/>
  <c r="AY49" i="1" s="1"/>
  <c r="AB36" i="1"/>
  <c r="AR36" i="1" s="1"/>
  <c r="BA36" i="1" s="1"/>
  <c r="AP32" i="1"/>
  <c r="AY32" i="1" s="1"/>
  <c r="AB25" i="1"/>
  <c r="H47" i="1"/>
  <c r="AE76" i="1"/>
  <c r="AN63" i="1"/>
  <c r="AN57" i="1"/>
  <c r="AB57" i="1"/>
  <c r="AL62" i="1"/>
  <c r="AF62" i="1"/>
  <c r="AN62" i="1" s="1"/>
  <c r="AN50" i="1"/>
  <c r="AB45" i="1"/>
  <c r="AN43" i="1"/>
  <c r="AB33" i="1"/>
  <c r="AN32" i="1"/>
  <c r="AP24" i="1"/>
  <c r="AP22" i="1"/>
  <c r="AY22" i="1" s="1"/>
  <c r="AF47" i="1"/>
  <c r="AN47" i="1" s="1"/>
  <c r="H17" i="1"/>
  <c r="Z17" i="1"/>
  <c r="N18" i="1"/>
  <c r="P18" i="1" s="1"/>
  <c r="Q18" i="1" s="1"/>
  <c r="O17" i="1"/>
  <c r="V17" i="1"/>
  <c r="AV48" i="16"/>
  <c r="AW18" i="16"/>
  <c r="BA77" i="1"/>
  <c r="AZ77" i="1"/>
  <c r="AN55" i="1"/>
  <c r="AB55" i="1"/>
  <c r="AN52" i="1"/>
  <c r="AB42" i="1"/>
  <c r="AN41" i="1"/>
  <c r="AN31" i="1"/>
  <c r="AB30" i="1"/>
  <c r="AB24" i="1"/>
  <c r="AB22" i="1"/>
  <c r="AN20" i="1"/>
  <c r="AB15" i="1"/>
  <c r="X15" i="1"/>
  <c r="Q15" i="1"/>
  <c r="AF17" i="1"/>
  <c r="K23" i="1"/>
  <c r="K9" i="1"/>
  <c r="AN75" i="1"/>
  <c r="AB74" i="1"/>
  <c r="AE60" i="1"/>
  <c r="AN56" i="1"/>
  <c r="AB50" i="1"/>
  <c r="AL54" i="1"/>
  <c r="AF54" i="1"/>
  <c r="AN54" i="1" s="1"/>
  <c r="H54" i="1"/>
  <c r="AP39" i="1"/>
  <c r="AN28" i="1"/>
  <c r="AN24" i="1"/>
  <c r="X82" i="18"/>
  <c r="R67" i="16"/>
  <c r="AZ20" i="16"/>
  <c r="AC72" i="16"/>
  <c r="AC44" i="16"/>
  <c r="AC34" i="16"/>
  <c r="AC11" i="16"/>
  <c r="AC71" i="16"/>
  <c r="AC16" i="16"/>
  <c r="AC45" i="16"/>
  <c r="AC51" i="16"/>
  <c r="AC50" i="16"/>
  <c r="AC63" i="16"/>
  <c r="AZ28" i="16"/>
  <c r="AY49" i="16"/>
  <c r="AX49" i="16"/>
  <c r="X17" i="1"/>
  <c r="AY12" i="16"/>
  <c r="AX12" i="16"/>
  <c r="BA27" i="16"/>
  <c r="AZ27" i="16"/>
  <c r="AB44" i="1"/>
  <c r="AR44" i="1" s="1"/>
  <c r="Q44" i="1"/>
  <c r="AX75" i="16"/>
  <c r="AY75" i="16"/>
  <c r="BA50" i="17"/>
  <c r="AZ50" i="17"/>
  <c r="X61" i="1"/>
  <c r="Q61" i="1"/>
  <c r="BA73" i="16"/>
  <c r="AZ21" i="16"/>
  <c r="BA21" i="16"/>
  <c r="AX7" i="16"/>
  <c r="AY7" i="16"/>
  <c r="AB61" i="1"/>
  <c r="AX15" i="16"/>
  <c r="AY15" i="16"/>
  <c r="AZ44" i="16"/>
  <c r="AZ30" i="17"/>
  <c r="AR60" i="17"/>
  <c r="BA60" i="17" s="1"/>
  <c r="X44" i="17"/>
  <c r="AP77" i="17"/>
  <c r="AD11" i="17"/>
  <c r="AE45" i="17" s="1"/>
  <c r="AL6" i="17"/>
  <c r="AP6" i="17" s="1"/>
  <c r="Z7" i="17"/>
  <c r="J11" i="17"/>
  <c r="K17" i="17" s="1"/>
  <c r="Z13" i="17"/>
  <c r="AP13" i="17" s="1"/>
  <c r="AX13" i="17" s="1"/>
  <c r="V13" i="17"/>
  <c r="AB14" i="17"/>
  <c r="H17" i="17"/>
  <c r="AV17" i="17"/>
  <c r="L17" i="17"/>
  <c r="AB15" i="17"/>
  <c r="AR15" i="17" s="1"/>
  <c r="AN16" i="17"/>
  <c r="AF17" i="17"/>
  <c r="S19" i="17"/>
  <c r="V19" i="17"/>
  <c r="R47" i="17"/>
  <c r="V20" i="17"/>
  <c r="S20" i="17"/>
  <c r="C21" i="17"/>
  <c r="V21" i="17"/>
  <c r="S21" i="17"/>
  <c r="Z22" i="17"/>
  <c r="S22" i="17"/>
  <c r="V22" i="17"/>
  <c r="Z24" i="17"/>
  <c r="V24" i="17"/>
  <c r="S24" i="17"/>
  <c r="C25" i="17"/>
  <c r="Z26" i="17"/>
  <c r="Z27" i="17"/>
  <c r="C29" i="17"/>
  <c r="V29" i="17"/>
  <c r="S29" i="17"/>
  <c r="C30" i="17"/>
  <c r="S30" i="17"/>
  <c r="V30" i="17"/>
  <c r="AL32" i="17"/>
  <c r="C33" i="17"/>
  <c r="V33" i="17"/>
  <c r="S33" i="17"/>
  <c r="AL33" i="17"/>
  <c r="Z34" i="17"/>
  <c r="S34" i="17"/>
  <c r="V34" i="17"/>
  <c r="C35" i="17"/>
  <c r="Z35" i="17"/>
  <c r="V36" i="17"/>
  <c r="S36" i="17"/>
  <c r="C37" i="17"/>
  <c r="Z37" i="17"/>
  <c r="S37" i="17"/>
  <c r="V37" i="17"/>
  <c r="AL37" i="17"/>
  <c r="Z38" i="17"/>
  <c r="Z39" i="17"/>
  <c r="AL39" i="17"/>
  <c r="AL40" i="17"/>
  <c r="Z41" i="17"/>
  <c r="S41" i="17"/>
  <c r="V41" i="17"/>
  <c r="C42" i="17"/>
  <c r="Z42" i="17"/>
  <c r="S42" i="17"/>
  <c r="V42" i="17"/>
  <c r="AL42" i="17"/>
  <c r="C43" i="17"/>
  <c r="Z43" i="17"/>
  <c r="S43" i="17"/>
  <c r="V43" i="17"/>
  <c r="AL43" i="17"/>
  <c r="Z44" i="17"/>
  <c r="AL44" i="17"/>
  <c r="C45" i="17"/>
  <c r="S45" i="17"/>
  <c r="V45" i="17"/>
  <c r="C46" i="17"/>
  <c r="Z46" i="17"/>
  <c r="AL46" i="17"/>
  <c r="Z49" i="17"/>
  <c r="J54" i="17"/>
  <c r="K54" i="17" s="1"/>
  <c r="AL49" i="17"/>
  <c r="AH54" i="17"/>
  <c r="Z50" i="17"/>
  <c r="AP50" i="17" s="1"/>
  <c r="AY50" i="17" s="1"/>
  <c r="Z51" i="17"/>
  <c r="V51" i="17"/>
  <c r="S51" i="17"/>
  <c r="C52" i="17"/>
  <c r="V52" i="17"/>
  <c r="S52" i="17"/>
  <c r="C53" i="17"/>
  <c r="Z53" i="17"/>
  <c r="AP53" i="17" s="1"/>
  <c r="AY53" i="17" s="1"/>
  <c r="AL53" i="17"/>
  <c r="Z55" i="17"/>
  <c r="J62" i="17"/>
  <c r="S55" i="17"/>
  <c r="V55" i="17"/>
  <c r="R62" i="17"/>
  <c r="V62" i="17" s="1"/>
  <c r="C56" i="17"/>
  <c r="V56" i="17"/>
  <c r="S56" i="17"/>
  <c r="C57" i="17"/>
  <c r="S57" i="17"/>
  <c r="V57" i="17"/>
  <c r="C58" i="17"/>
  <c r="V58" i="17"/>
  <c r="S58" i="17"/>
  <c r="C59" i="17"/>
  <c r="Z59" i="17"/>
  <c r="AL59" i="17"/>
  <c r="K60" i="17"/>
  <c r="Z60" i="17"/>
  <c r="AL60" i="17"/>
  <c r="C61" i="17"/>
  <c r="V61" i="17"/>
  <c r="S61" i="17"/>
  <c r="AL61" i="17"/>
  <c r="Z63" i="17"/>
  <c r="AP63" i="17" s="1"/>
  <c r="C65" i="17"/>
  <c r="Z65" i="17"/>
  <c r="AL65" i="17"/>
  <c r="C66" i="17"/>
  <c r="Z66" i="17"/>
  <c r="V66" i="17"/>
  <c r="S66" i="17"/>
  <c r="AL66" i="17"/>
  <c r="Z70" i="17"/>
  <c r="L70" i="17"/>
  <c r="AB70" i="17" s="1"/>
  <c r="AJ70" i="17"/>
  <c r="AL70" i="17"/>
  <c r="AB71" i="17"/>
  <c r="X71" i="17"/>
  <c r="AN71" i="17"/>
  <c r="AB72" i="17"/>
  <c r="X72" i="17"/>
  <c r="AN72" i="17"/>
  <c r="E72" i="17"/>
  <c r="AB73" i="17"/>
  <c r="X73" i="17"/>
  <c r="AB74" i="17"/>
  <c r="AR74" i="17" s="1"/>
  <c r="BA74" i="17" s="1"/>
  <c r="X74" i="17"/>
  <c r="E74" i="17"/>
  <c r="AB75" i="17"/>
  <c r="X75" i="17"/>
  <c r="AB77" i="17"/>
  <c r="X77" i="17"/>
  <c r="V35" i="17"/>
  <c r="AL26" i="17"/>
  <c r="L11" i="17"/>
  <c r="M77" i="17" s="1"/>
  <c r="AB6" i="17"/>
  <c r="AR6" i="17" s="1"/>
  <c r="AT11" i="17"/>
  <c r="AU26" i="17" s="1"/>
  <c r="AB7" i="17"/>
  <c r="X7" i="17"/>
  <c r="T11" i="17"/>
  <c r="U40" i="17" s="1"/>
  <c r="AN7" i="17"/>
  <c r="AR7" i="17" s="1"/>
  <c r="BA7" i="17" s="1"/>
  <c r="AJ11" i="17"/>
  <c r="H11" i="17"/>
  <c r="I31" i="17" s="1"/>
  <c r="AB8" i="17"/>
  <c r="AR8" i="17" s="1"/>
  <c r="BA8" i="17" s="1"/>
  <c r="AH11" i="17"/>
  <c r="AI73" i="17" s="1"/>
  <c r="Z9" i="17"/>
  <c r="AP9" i="17" s="1"/>
  <c r="F11" i="17"/>
  <c r="G75" i="17" s="1"/>
  <c r="V9" i="17"/>
  <c r="N11" i="17"/>
  <c r="O17" i="17" s="1"/>
  <c r="AN9" i="17"/>
  <c r="AR9" i="17" s="1"/>
  <c r="AF11" i="17"/>
  <c r="AB10" i="17"/>
  <c r="AR10" i="17" s="1"/>
  <c r="AL10" i="17"/>
  <c r="AB12" i="17"/>
  <c r="AR12" i="17" s="1"/>
  <c r="AZ12" i="17" s="1"/>
  <c r="X12" i="17"/>
  <c r="AL14" i="17"/>
  <c r="AP14" i="17" s="1"/>
  <c r="AD17" i="17"/>
  <c r="AB16" i="17"/>
  <c r="AR16" i="17" s="1"/>
  <c r="C19" i="17"/>
  <c r="B47" i="17"/>
  <c r="C47" i="17" s="1"/>
  <c r="J47" i="17"/>
  <c r="AH47" i="17"/>
  <c r="AL19" i="17"/>
  <c r="AL20" i="17"/>
  <c r="Z21" i="17"/>
  <c r="AL22" i="17"/>
  <c r="S23" i="17"/>
  <c r="V23" i="17"/>
  <c r="C24" i="17"/>
  <c r="AL24" i="17"/>
  <c r="Z25" i="17"/>
  <c r="S25" i="17"/>
  <c r="V25" i="17"/>
  <c r="AL25" i="17"/>
  <c r="S26" i="17"/>
  <c r="V26" i="17"/>
  <c r="C27" i="17"/>
  <c r="S27" i="17"/>
  <c r="V27" i="17"/>
  <c r="C28" i="17"/>
  <c r="Z28" i="17"/>
  <c r="AP28" i="17" s="1"/>
  <c r="S28" i="17"/>
  <c r="V28" i="17"/>
  <c r="AL29" i="17"/>
  <c r="Z30" i="17"/>
  <c r="AL30" i="17"/>
  <c r="C31" i="17"/>
  <c r="S31" i="17"/>
  <c r="V31" i="17"/>
  <c r="AL31" i="17"/>
  <c r="Z32" i="17"/>
  <c r="AL34" i="17"/>
  <c r="AL35" i="17"/>
  <c r="Z36" i="17"/>
  <c r="AL36" i="17"/>
  <c r="V38" i="17"/>
  <c r="S38" i="17"/>
  <c r="AL38" i="17"/>
  <c r="S39" i="17"/>
  <c r="V39" i="17"/>
  <c r="C40" i="17"/>
  <c r="S40" i="17"/>
  <c r="V40" i="17"/>
  <c r="C41" i="17"/>
  <c r="AL41" i="17"/>
  <c r="S44" i="17"/>
  <c r="V44" i="17"/>
  <c r="Z45" i="17"/>
  <c r="AL45" i="17"/>
  <c r="V46" i="17"/>
  <c r="S46" i="17"/>
  <c r="B54" i="17"/>
  <c r="C54" i="17" s="1"/>
  <c r="C49" i="17"/>
  <c r="R54" i="17"/>
  <c r="V49" i="17"/>
  <c r="S49" i="17"/>
  <c r="C50" i="17"/>
  <c r="V50" i="17"/>
  <c r="S50" i="17"/>
  <c r="C51" i="17"/>
  <c r="AL51" i="17"/>
  <c r="Z52" i="17"/>
  <c r="AL52" i="17"/>
  <c r="S53" i="17"/>
  <c r="V53" i="17"/>
  <c r="B62" i="17"/>
  <c r="C62" i="17" s="1"/>
  <c r="C55" i="17"/>
  <c r="AH62" i="17"/>
  <c r="AL62" i="17" s="1"/>
  <c r="AL55" i="17"/>
  <c r="Z56" i="17"/>
  <c r="AL56" i="17"/>
  <c r="Z57" i="17"/>
  <c r="AL57" i="17"/>
  <c r="Z58" i="17"/>
  <c r="AL58" i="17"/>
  <c r="V59" i="17"/>
  <c r="S59" i="17"/>
  <c r="C60" i="17"/>
  <c r="V60" i="17"/>
  <c r="S60" i="17"/>
  <c r="Z61" i="17"/>
  <c r="C63" i="17"/>
  <c r="V63" i="17"/>
  <c r="S63" i="17"/>
  <c r="V65" i="17"/>
  <c r="S65" i="17"/>
  <c r="Z19" i="17"/>
  <c r="P11" i="17"/>
  <c r="Q56" i="17" s="1"/>
  <c r="Z31" i="17"/>
  <c r="AP31" i="17" s="1"/>
  <c r="AX31" i="17" s="1"/>
  <c r="V32" i="17"/>
  <c r="AX74" i="17"/>
  <c r="Z40" i="17"/>
  <c r="Z29" i="17"/>
  <c r="E71" i="17"/>
  <c r="AZ49" i="17"/>
  <c r="BA49" i="17"/>
  <c r="AR36" i="17"/>
  <c r="AR83" i="17"/>
  <c r="BA83" i="17" s="1"/>
  <c r="AE44" i="17"/>
  <c r="AE77" i="17"/>
  <c r="AE61" i="17"/>
  <c r="AE60" i="17"/>
  <c r="Q58" i="17"/>
  <c r="U21" i="17"/>
  <c r="AU68" i="17"/>
  <c r="AU53" i="17"/>
  <c r="AU73" i="17"/>
  <c r="AU77" i="17"/>
  <c r="AU23" i="17"/>
  <c r="AU62" i="17"/>
  <c r="AE14" i="17"/>
  <c r="AR14" i="17"/>
  <c r="AP7" i="17"/>
  <c r="AY7" i="17" s="1"/>
  <c r="O40" i="17"/>
  <c r="O33" i="17"/>
  <c r="O11" i="17"/>
  <c r="O16" i="17"/>
  <c r="V11" i="17"/>
  <c r="W15" i="17" s="1"/>
  <c r="O43" i="17"/>
  <c r="O35" i="17"/>
  <c r="O51" i="17"/>
  <c r="O32" i="17"/>
  <c r="O78" i="17"/>
  <c r="O28" i="17"/>
  <c r="O25" i="17"/>
  <c r="O59" i="17"/>
  <c r="O76" i="17"/>
  <c r="O34" i="17"/>
  <c r="O65" i="17"/>
  <c r="O68" i="17"/>
  <c r="O8" i="17"/>
  <c r="O52" i="17"/>
  <c r="O60" i="17"/>
  <c r="O58" i="17"/>
  <c r="O38" i="17"/>
  <c r="O24" i="17"/>
  <c r="O57" i="17"/>
  <c r="O31" i="17"/>
  <c r="O49" i="17"/>
  <c r="O29" i="17"/>
  <c r="O21" i="17"/>
  <c r="AE33" i="17"/>
  <c r="AE52" i="17"/>
  <c r="AU10" i="17"/>
  <c r="O9" i="17"/>
  <c r="G52" i="17"/>
  <c r="G59" i="17"/>
  <c r="M25" i="17"/>
  <c r="M36" i="17"/>
  <c r="M76" i="17"/>
  <c r="AP82" i="18"/>
  <c r="AX82" i="18" s="1"/>
  <c r="AX50" i="17"/>
  <c r="G45" i="17"/>
  <c r="G78" i="17"/>
  <c r="G11" i="17"/>
  <c r="AR73" i="1"/>
  <c r="BA73" i="1" s="1"/>
  <c r="AY8" i="1"/>
  <c r="E48" i="18"/>
  <c r="D64" i="18"/>
  <c r="E64" i="18" s="1"/>
  <c r="AR57" i="18"/>
  <c r="AK49" i="18"/>
  <c r="AK61" i="18"/>
  <c r="AK52" i="18"/>
  <c r="AK9" i="18"/>
  <c r="AK56" i="18"/>
  <c r="AK26" i="18"/>
  <c r="AK43" i="18"/>
  <c r="AK32" i="18"/>
  <c r="AK63" i="18"/>
  <c r="AK65" i="18"/>
  <c r="AK59" i="18"/>
  <c r="AK33" i="18"/>
  <c r="AK76" i="18"/>
  <c r="AK16" i="18"/>
  <c r="W73" i="18"/>
  <c r="AU74" i="18"/>
  <c r="AU47" i="18"/>
  <c r="AU6" i="18"/>
  <c r="AU72" i="18"/>
  <c r="AU17" i="18"/>
  <c r="AU73" i="18"/>
  <c r="Q51" i="1"/>
  <c r="Q72" i="1"/>
  <c r="AK35" i="18"/>
  <c r="AK45" i="18"/>
  <c r="AK42" i="18"/>
  <c r="AK66" i="18"/>
  <c r="AK41" i="18"/>
  <c r="AK15" i="18"/>
  <c r="AK27" i="18"/>
  <c r="AK6" i="18"/>
  <c r="AK46" i="18"/>
  <c r="AK53" i="18"/>
  <c r="AK44" i="18"/>
  <c r="AK57" i="18"/>
  <c r="AK11" i="18"/>
  <c r="AJ18" i="18"/>
  <c r="AK18" i="18" s="1"/>
  <c r="E47" i="18"/>
  <c r="AP83" i="1"/>
  <c r="AY83" i="1" s="1"/>
  <c r="U20" i="1"/>
  <c r="Q31" i="1"/>
  <c r="AK17" i="18"/>
  <c r="AK72" i="18"/>
  <c r="AK29" i="18"/>
  <c r="AK30" i="18"/>
  <c r="AK55" i="18"/>
  <c r="AK25" i="18"/>
  <c r="AK71" i="18"/>
  <c r="AK60" i="18"/>
  <c r="AK37" i="18"/>
  <c r="AK38" i="18"/>
  <c r="AK39" i="18"/>
  <c r="AK28" i="18"/>
  <c r="AK34" i="18"/>
  <c r="AK68" i="18"/>
  <c r="AK14" i="18"/>
  <c r="P47" i="1"/>
  <c r="Q47" i="1" s="1"/>
  <c r="W32" i="18"/>
  <c r="U45" i="1"/>
  <c r="X45" i="1"/>
  <c r="AB8" i="1"/>
  <c r="AR8" i="1" s="1"/>
  <c r="BA8" i="1" s="1"/>
  <c r="W57" i="1"/>
  <c r="Q49" i="1"/>
  <c r="AR76" i="18"/>
  <c r="AR83" i="18"/>
  <c r="AP61" i="18"/>
  <c r="AX61" i="18" s="1"/>
  <c r="V47" i="18"/>
  <c r="W47" i="18" s="1"/>
  <c r="AP16" i="18"/>
  <c r="AX16" i="18" s="1"/>
  <c r="W34" i="18"/>
  <c r="AP37" i="18"/>
  <c r="AY37" i="18" s="1"/>
  <c r="W37" i="18"/>
  <c r="W39" i="18"/>
  <c r="W50" i="18"/>
  <c r="W51" i="18"/>
  <c r="W59" i="18"/>
  <c r="W61" i="18"/>
  <c r="AB70" i="18"/>
  <c r="AT18" i="18"/>
  <c r="AU18" i="18" s="1"/>
  <c r="W45" i="18"/>
  <c r="AP51" i="18"/>
  <c r="AX51" i="18" s="1"/>
  <c r="AR59" i="18"/>
  <c r="BA59" i="18" s="1"/>
  <c r="AG15" i="18"/>
  <c r="AG61" i="18"/>
  <c r="AG9" i="18"/>
  <c r="AG56" i="18"/>
  <c r="AP66" i="18"/>
  <c r="BA72" i="18"/>
  <c r="Q40" i="18"/>
  <c r="Q6" i="18"/>
  <c r="Q76" i="18"/>
  <c r="Q16" i="18"/>
  <c r="Q68" i="18"/>
  <c r="Q23" i="18"/>
  <c r="Q57" i="18"/>
  <c r="Q36" i="18"/>
  <c r="Q73" i="18"/>
  <c r="Q66" i="18"/>
  <c r="Q10" i="18"/>
  <c r="Q19" i="18"/>
  <c r="Q52" i="18"/>
  <c r="Q53" i="18"/>
  <c r="Q51" i="18"/>
  <c r="Q71" i="18"/>
  <c r="Q17" i="18"/>
  <c r="Q50" i="18"/>
  <c r="Q47" i="18"/>
  <c r="P18" i="18"/>
  <c r="Q11" i="18"/>
  <c r="Q20" i="18"/>
  <c r="Q30" i="18"/>
  <c r="Q15" i="18"/>
  <c r="Q44" i="18"/>
  <c r="Q25" i="18"/>
  <c r="Q55" i="18"/>
  <c r="Q27" i="18"/>
  <c r="Q26" i="18"/>
  <c r="Q61" i="18"/>
  <c r="Q63" i="18"/>
  <c r="Q60" i="18"/>
  <c r="Q56" i="18"/>
  <c r="Q29" i="18"/>
  <c r="Q8" i="18"/>
  <c r="Q7" i="18"/>
  <c r="Q78" i="18"/>
  <c r="X11" i="18"/>
  <c r="Y51" i="18" s="1"/>
  <c r="Q31" i="18"/>
  <c r="Q38" i="18"/>
  <c r="Q21" i="18"/>
  <c r="Q49" i="18"/>
  <c r="Q37" i="18"/>
  <c r="Q65" i="18"/>
  <c r="Q35" i="18"/>
  <c r="Q34" i="18"/>
  <c r="Q75" i="18"/>
  <c r="Q74" i="18"/>
  <c r="Q72" i="18"/>
  <c r="Q41" i="18"/>
  <c r="AB11" i="18"/>
  <c r="AC78" i="18" s="1"/>
  <c r="Q22" i="18"/>
  <c r="Q46" i="18"/>
  <c r="Q77" i="18"/>
  <c r="Q9" i="18"/>
  <c r="Q24" i="18"/>
  <c r="Q54" i="18"/>
  <c r="Q14" i="18"/>
  <c r="Q28" i="18"/>
  <c r="Q43" i="18"/>
  <c r="Q59" i="18"/>
  <c r="Q33" i="18"/>
  <c r="Q42" i="18"/>
  <c r="Q39" i="18"/>
  <c r="Q32" i="18"/>
  <c r="Q58" i="18"/>
  <c r="AG62" i="18"/>
  <c r="AR42" i="18"/>
  <c r="AR14" i="18"/>
  <c r="AZ14" i="18" s="1"/>
  <c r="Q62" i="18"/>
  <c r="X62" i="18"/>
  <c r="AI54" i="18"/>
  <c r="AP30" i="18"/>
  <c r="AP50" i="18"/>
  <c r="AY50" i="18" s="1"/>
  <c r="AG37" i="18"/>
  <c r="AG19" i="18"/>
  <c r="BA9" i="18"/>
  <c r="AW66" i="18"/>
  <c r="AW71" i="18"/>
  <c r="AW77" i="18"/>
  <c r="AW19" i="18"/>
  <c r="AW62" i="18"/>
  <c r="AW56" i="18"/>
  <c r="AW44" i="18"/>
  <c r="AW53" i="18"/>
  <c r="AW40" i="18"/>
  <c r="AW36" i="18"/>
  <c r="AW65" i="18"/>
  <c r="AW54" i="18"/>
  <c r="AW63" i="18"/>
  <c r="AW51" i="18"/>
  <c r="AW29" i="18"/>
  <c r="AW30" i="18"/>
  <c r="AW52" i="18"/>
  <c r="AW68" i="18"/>
  <c r="AW22" i="18"/>
  <c r="AW20" i="18"/>
  <c r="AW6" i="18"/>
  <c r="AW78" i="18"/>
  <c r="AW75" i="18"/>
  <c r="AW42" i="18"/>
  <c r="AW39" i="18"/>
  <c r="AW10" i="18"/>
  <c r="AW38" i="18"/>
  <c r="AW74" i="18"/>
  <c r="AW26" i="18"/>
  <c r="AW23" i="18"/>
  <c r="AW37" i="18"/>
  <c r="AW55" i="18"/>
  <c r="AW47" i="18"/>
  <c r="AR33" i="18"/>
  <c r="AZ33" i="18" s="1"/>
  <c r="AW34" i="18"/>
  <c r="AW60" i="18"/>
  <c r="AW57" i="18"/>
  <c r="AW8" i="18"/>
  <c r="AW61" i="18"/>
  <c r="AW41" i="18"/>
  <c r="AW27" i="18"/>
  <c r="AW14" i="18"/>
  <c r="AW73" i="18"/>
  <c r="AW32" i="18"/>
  <c r="AW15" i="18"/>
  <c r="AW25" i="18"/>
  <c r="AW7" i="18"/>
  <c r="AW76" i="18"/>
  <c r="AW33" i="18"/>
  <c r="AW50" i="18"/>
  <c r="I62" i="18"/>
  <c r="AB62" i="18"/>
  <c r="AX57" i="18"/>
  <c r="AY57" i="18"/>
  <c r="V17" i="18"/>
  <c r="W17" i="18" s="1"/>
  <c r="AE6" i="18"/>
  <c r="AE71" i="18"/>
  <c r="AE74" i="18"/>
  <c r="AE10" i="18"/>
  <c r="AE72" i="18"/>
  <c r="AE14" i="18"/>
  <c r="AE75" i="18"/>
  <c r="AN70" i="18"/>
  <c r="V44" i="18"/>
  <c r="W44" i="18" s="1"/>
  <c r="S29" i="18"/>
  <c r="V57" i="18"/>
  <c r="W57" i="18" s="1"/>
  <c r="V38" i="18"/>
  <c r="W38" i="18" s="1"/>
  <c r="S27" i="18"/>
  <c r="C34" i="18"/>
  <c r="C36" i="18"/>
  <c r="S33" i="18"/>
  <c r="V26" i="18"/>
  <c r="W26" i="18" s="1"/>
  <c r="V41" i="18"/>
  <c r="W41" i="18" s="1"/>
  <c r="S34" i="18"/>
  <c r="Z9" i="18"/>
  <c r="AP9" i="18" s="1"/>
  <c r="AY9" i="18" s="1"/>
  <c r="AZ76" i="18"/>
  <c r="BA76" i="18"/>
  <c r="Y41" i="18"/>
  <c r="Y8" i="18"/>
  <c r="Y66" i="18"/>
  <c r="Y57" i="18"/>
  <c r="Y16" i="18"/>
  <c r="Y56" i="18"/>
  <c r="Y34" i="18"/>
  <c r="AR6" i="27"/>
  <c r="AR31" i="27"/>
  <c r="AZ31" i="27" s="1"/>
  <c r="AZ27" i="27"/>
  <c r="BA27" i="27"/>
  <c r="BA22" i="27"/>
  <c r="AZ22" i="27"/>
  <c r="Q61" i="27"/>
  <c r="Q9" i="27"/>
  <c r="Q77" i="27"/>
  <c r="P18" i="27"/>
  <c r="Q34" i="27"/>
  <c r="Q30" i="27"/>
  <c r="Q38" i="27"/>
  <c r="Q51" i="27"/>
  <c r="Q60" i="27"/>
  <c r="Q27" i="27"/>
  <c r="Q74" i="27"/>
  <c r="Q66" i="27"/>
  <c r="Q78" i="27"/>
  <c r="Q57" i="27"/>
  <c r="Q53" i="27"/>
  <c r="Q41" i="27"/>
  <c r="Q72" i="27"/>
  <c r="Q10" i="27"/>
  <c r="Q43" i="27"/>
  <c r="Q46" i="27"/>
  <c r="Q58" i="27"/>
  <c r="Q52" i="27"/>
  <c r="Q23" i="27"/>
  <c r="Q31" i="27"/>
  <c r="Q29" i="27"/>
  <c r="Q44" i="27"/>
  <c r="Q76" i="27"/>
  <c r="Q19" i="27"/>
  <c r="Q73" i="27"/>
  <c r="Q26" i="27"/>
  <c r="Q45" i="27"/>
  <c r="Q21" i="27"/>
  <c r="Q37" i="27"/>
  <c r="Q14" i="27"/>
  <c r="Q24" i="27"/>
  <c r="Q71" i="27"/>
  <c r="Q39" i="27"/>
  <c r="Q36" i="27"/>
  <c r="AR43" i="27"/>
  <c r="AZ43" i="27" s="1"/>
  <c r="AP66" i="27"/>
  <c r="AI38" i="27"/>
  <c r="AI42" i="27"/>
  <c r="AI43" i="27"/>
  <c r="AI51" i="27"/>
  <c r="AI53" i="27"/>
  <c r="AI58" i="27"/>
  <c r="AI63" i="27"/>
  <c r="AI65" i="27"/>
  <c r="AI6" i="27"/>
  <c r="AI13" i="27"/>
  <c r="AI71" i="27"/>
  <c r="AI15" i="27"/>
  <c r="AI14" i="27"/>
  <c r="AH18" i="27"/>
  <c r="AI18" i="27" s="1"/>
  <c r="AI29" i="27"/>
  <c r="AI24" i="27"/>
  <c r="AI20" i="27"/>
  <c r="AI32" i="27"/>
  <c r="AI19" i="27"/>
  <c r="AI35" i="27"/>
  <c r="AI37" i="27"/>
  <c r="AI41" i="27"/>
  <c r="AI46" i="27"/>
  <c r="AI50" i="27"/>
  <c r="AI52" i="27"/>
  <c r="AI56" i="27"/>
  <c r="AI60" i="27"/>
  <c r="AI54" i="27"/>
  <c r="AI75" i="27"/>
  <c r="AI72" i="27"/>
  <c r="AI73" i="27"/>
  <c r="AI76" i="27"/>
  <c r="AI12" i="27"/>
  <c r="AI28" i="27"/>
  <c r="AI23" i="27"/>
  <c r="AI31" i="27"/>
  <c r="AI27" i="27"/>
  <c r="AI8" i="27"/>
  <c r="AI47" i="27"/>
  <c r="AI33" i="27"/>
  <c r="AI25" i="27"/>
  <c r="AI17" i="27"/>
  <c r="AI68" i="27"/>
  <c r="AI9" i="27"/>
  <c r="AI62" i="27"/>
  <c r="AU76" i="27"/>
  <c r="AU21" i="27"/>
  <c r="AU61" i="27"/>
  <c r="AU51" i="27"/>
  <c r="AU38" i="27"/>
  <c r="AU50" i="27"/>
  <c r="AU22" i="27"/>
  <c r="AU78" i="27"/>
  <c r="AU72" i="27"/>
  <c r="AU60" i="27"/>
  <c r="AU28" i="27"/>
  <c r="AU56" i="27"/>
  <c r="AU9" i="27"/>
  <c r="AU30" i="27"/>
  <c r="AU45" i="27"/>
  <c r="AU32" i="27"/>
  <c r="AU10" i="27"/>
  <c r="AU43" i="27"/>
  <c r="AU53" i="27"/>
  <c r="AU34" i="27"/>
  <c r="AU44" i="27"/>
  <c r="AU19" i="27"/>
  <c r="AU39" i="27"/>
  <c r="AU57" i="27"/>
  <c r="AU42" i="27"/>
  <c r="AU36" i="27"/>
  <c r="AU8" i="27"/>
  <c r="AU24" i="27"/>
  <c r="AU20" i="27"/>
  <c r="AU54" i="27"/>
  <c r="AU58" i="27"/>
  <c r="AU55" i="27"/>
  <c r="AU15" i="27"/>
  <c r="AP70" i="27"/>
  <c r="AX70" i="27" s="1"/>
  <c r="AI66" i="27"/>
  <c r="AP55" i="27"/>
  <c r="AR16" i="27"/>
  <c r="AZ16" i="27" s="1"/>
  <c r="G28" i="27"/>
  <c r="G26" i="27"/>
  <c r="G53" i="27"/>
  <c r="G38" i="27"/>
  <c r="G77" i="27"/>
  <c r="G65" i="27"/>
  <c r="G14" i="27"/>
  <c r="G51" i="27"/>
  <c r="G15" i="27"/>
  <c r="G10" i="27"/>
  <c r="G49" i="27"/>
  <c r="G50" i="27"/>
  <c r="AE42" i="27"/>
  <c r="AE59" i="27"/>
  <c r="AE58" i="27"/>
  <c r="AE61" i="27"/>
  <c r="AE34" i="27"/>
  <c r="AE55" i="27"/>
  <c r="AE8" i="27"/>
  <c r="AE40" i="27"/>
  <c r="AE44" i="27"/>
  <c r="AE22" i="27"/>
  <c r="AE7" i="27"/>
  <c r="AE51" i="27"/>
  <c r="AE73" i="27"/>
  <c r="AE71" i="27"/>
  <c r="AE39" i="27"/>
  <c r="AE45" i="27"/>
  <c r="AE30" i="27"/>
  <c r="AE29" i="27"/>
  <c r="AE37" i="27"/>
  <c r="AE26" i="27"/>
  <c r="AE16" i="27"/>
  <c r="AE74" i="27"/>
  <c r="AE56" i="27"/>
  <c r="AL11" i="27"/>
  <c r="AM37" i="27" s="1"/>
  <c r="AE75" i="27"/>
  <c r="AE65" i="27"/>
  <c r="AE32" i="27"/>
  <c r="AE54" i="27"/>
  <c r="AE77" i="27"/>
  <c r="AE50" i="27"/>
  <c r="AE25" i="27"/>
  <c r="AP15" i="27"/>
  <c r="AY15" i="27" s="1"/>
  <c r="S62" i="27"/>
  <c r="AI26" i="27"/>
  <c r="AI78" i="27"/>
  <c r="AI74" i="27"/>
  <c r="AI16" i="27"/>
  <c r="C54" i="27"/>
  <c r="AI57" i="27"/>
  <c r="AP34" i="27"/>
  <c r="V62" i="27"/>
  <c r="AI21" i="27"/>
  <c r="AI30" i="27"/>
  <c r="AI7" i="27"/>
  <c r="AI77" i="27"/>
  <c r="AP61" i="27"/>
  <c r="AI59" i="27"/>
  <c r="AI44" i="27"/>
  <c r="AI39" i="27"/>
  <c r="AI34" i="27"/>
  <c r="AP27" i="27"/>
  <c r="AY27" i="27" s="1"/>
  <c r="Z54" i="27"/>
  <c r="O54" i="27"/>
  <c r="V54" i="27"/>
  <c r="AH48" i="27"/>
  <c r="AB47" i="28"/>
  <c r="P18" i="28"/>
  <c r="P48" i="28" s="1"/>
  <c r="Q17" i="28"/>
  <c r="X17" i="28"/>
  <c r="AZ30" i="28"/>
  <c r="BA30" i="28"/>
  <c r="AZ52" i="28"/>
  <c r="W40" i="28"/>
  <c r="AX36" i="28"/>
  <c r="AX22" i="28"/>
  <c r="I75" i="28"/>
  <c r="I50" i="28"/>
  <c r="I63" i="28"/>
  <c r="I56" i="28"/>
  <c r="I15" i="28"/>
  <c r="I37" i="28"/>
  <c r="I8" i="28"/>
  <c r="I68" i="28"/>
  <c r="I9" i="28"/>
  <c r="I26" i="28"/>
  <c r="I40" i="28"/>
  <c r="I54" i="28"/>
  <c r="I73" i="28"/>
  <c r="I45" i="28"/>
  <c r="I30" i="28"/>
  <c r="I59" i="28"/>
  <c r="AN47" i="28"/>
  <c r="AR47" i="28" s="1"/>
  <c r="BA57" i="27"/>
  <c r="AR58" i="27"/>
  <c r="BA58" i="27" s="1"/>
  <c r="M47" i="27"/>
  <c r="AB47" i="27"/>
  <c r="AR51" i="27"/>
  <c r="BA51" i="27" s="1"/>
  <c r="AP44" i="27"/>
  <c r="AX44" i="27" s="1"/>
  <c r="AR55" i="27"/>
  <c r="AZ55" i="27" s="1"/>
  <c r="AR39" i="27"/>
  <c r="AP71" i="27"/>
  <c r="AX71" i="27" s="1"/>
  <c r="AV48" i="28"/>
  <c r="U54" i="28"/>
  <c r="X11" i="28"/>
  <c r="U71" i="28"/>
  <c r="U37" i="28"/>
  <c r="U66" i="28"/>
  <c r="U72" i="28"/>
  <c r="U15" i="28"/>
  <c r="U42" i="28"/>
  <c r="U68" i="28"/>
  <c r="U59" i="28"/>
  <c r="U31" i="28"/>
  <c r="U50" i="28"/>
  <c r="U30" i="28"/>
  <c r="U9" i="28"/>
  <c r="U17" i="28"/>
  <c r="U21" i="28"/>
  <c r="T18" i="28"/>
  <c r="T48" i="28" s="1"/>
  <c r="U19" i="28"/>
  <c r="U44" i="28"/>
  <c r="U8" i="28"/>
  <c r="U45" i="28"/>
  <c r="U63" i="28"/>
  <c r="U10" i="28"/>
  <c r="U39" i="28"/>
  <c r="U32" i="28"/>
  <c r="U61" i="28"/>
  <c r="U49" i="28"/>
  <c r="U58" i="28"/>
  <c r="U40" i="28"/>
  <c r="U36" i="28"/>
  <c r="U43" i="28"/>
  <c r="U22" i="28"/>
  <c r="U33" i="28"/>
  <c r="U41" i="28"/>
  <c r="U75" i="28"/>
  <c r="U25" i="28"/>
  <c r="U6" i="28"/>
  <c r="U65" i="28"/>
  <c r="U34" i="28"/>
  <c r="U24" i="28"/>
  <c r="U57" i="28"/>
  <c r="U76" i="28"/>
  <c r="U56" i="28"/>
  <c r="U78" i="28"/>
  <c r="U52" i="28"/>
  <c r="AU23" i="28"/>
  <c r="AU35" i="28"/>
  <c r="AU42" i="28"/>
  <c r="AU43" i="28"/>
  <c r="AU46" i="28"/>
  <c r="AU60" i="28"/>
  <c r="AU63" i="28"/>
  <c r="AU66" i="28"/>
  <c r="AU32" i="28"/>
  <c r="AU52" i="28"/>
  <c r="AU75" i="28"/>
  <c r="AU11" i="28"/>
  <c r="AU68" i="28"/>
  <c r="AU19" i="28"/>
  <c r="AU30" i="28"/>
  <c r="AU29" i="28"/>
  <c r="AU33" i="28"/>
  <c r="AU39" i="28"/>
  <c r="AU54" i="28"/>
  <c r="AU55" i="28"/>
  <c r="AU65" i="28"/>
  <c r="AU25" i="28"/>
  <c r="AU72" i="28"/>
  <c r="AU51" i="28"/>
  <c r="AU22" i="28"/>
  <c r="AU40" i="28"/>
  <c r="AU49" i="28"/>
  <c r="AU53" i="28"/>
  <c r="AU59" i="28"/>
  <c r="AU61" i="28"/>
  <c r="AU24" i="28"/>
  <c r="AU37" i="28"/>
  <c r="AU74" i="28"/>
  <c r="AU56" i="28"/>
  <c r="AU20" i="28"/>
  <c r="AU8" i="28"/>
  <c r="AU14" i="28"/>
  <c r="AU73" i="28"/>
  <c r="AU15" i="28"/>
  <c r="AU21" i="28"/>
  <c r="AU7" i="28"/>
  <c r="M55" i="27"/>
  <c r="M40" i="27"/>
  <c r="M65" i="27"/>
  <c r="AW16" i="27"/>
  <c r="AW66" i="27"/>
  <c r="AW14" i="27"/>
  <c r="M17" i="27"/>
  <c r="AU62" i="28"/>
  <c r="AR73" i="27"/>
  <c r="M54" i="27"/>
  <c r="M33" i="27"/>
  <c r="M36" i="27"/>
  <c r="M46" i="27"/>
  <c r="M19" i="27"/>
  <c r="M29" i="27"/>
  <c r="M10" i="27"/>
  <c r="M39" i="27"/>
  <c r="M11" i="27"/>
  <c r="M32" i="27"/>
  <c r="M37" i="27"/>
  <c r="M45" i="27"/>
  <c r="M38" i="27"/>
  <c r="M31" i="27"/>
  <c r="M72" i="27"/>
  <c r="M60" i="27"/>
  <c r="M26" i="27"/>
  <c r="M50" i="27"/>
  <c r="M7" i="27"/>
  <c r="M16" i="27"/>
  <c r="M25" i="27"/>
  <c r="M59" i="27"/>
  <c r="M8" i="27"/>
  <c r="M76" i="27"/>
  <c r="M63" i="27"/>
  <c r="M74" i="27"/>
  <c r="M61" i="27"/>
  <c r="L18" i="27"/>
  <c r="L48" i="27" s="1"/>
  <c r="M48" i="27" s="1"/>
  <c r="M23" i="27"/>
  <c r="M22" i="27"/>
  <c r="M42" i="27"/>
  <c r="M20" i="27"/>
  <c r="M14" i="27"/>
  <c r="M53" i="27"/>
  <c r="M35" i="27"/>
  <c r="M58" i="27"/>
  <c r="M27" i="27"/>
  <c r="M51" i="27"/>
  <c r="M41" i="27"/>
  <c r="M34" i="27"/>
  <c r="M78" i="27"/>
  <c r="M44" i="27"/>
  <c r="M56" i="27"/>
  <c r="AW34" i="27"/>
  <c r="AW45" i="27"/>
  <c r="AW28" i="27"/>
  <c r="AW7" i="27"/>
  <c r="AW51" i="27"/>
  <c r="AW61" i="27"/>
  <c r="AW25" i="27"/>
  <c r="AW8" i="27"/>
  <c r="AW58" i="27"/>
  <c r="AW78" i="27"/>
  <c r="AW20" i="27"/>
  <c r="AW52" i="27"/>
  <c r="AV18" i="27"/>
  <c r="AW18" i="27" s="1"/>
  <c r="AW73" i="27"/>
  <c r="AW23" i="27"/>
  <c r="AW38" i="27"/>
  <c r="AW77" i="27"/>
  <c r="AW42" i="27"/>
  <c r="AW68" i="27"/>
  <c r="AW39" i="27"/>
  <c r="AW22" i="27"/>
  <c r="AW63" i="27"/>
  <c r="AW24" i="27"/>
  <c r="AW6" i="27"/>
  <c r="AW50" i="27"/>
  <c r="AW9" i="27"/>
  <c r="AW10" i="27"/>
  <c r="AW56" i="27"/>
  <c r="AW46" i="27"/>
  <c r="AW49" i="27"/>
  <c r="AW36" i="27"/>
  <c r="AW30" i="27"/>
  <c r="AW44" i="27"/>
  <c r="AW43" i="27"/>
  <c r="AW21" i="27"/>
  <c r="AW71" i="27"/>
  <c r="AW65" i="27"/>
  <c r="AW55" i="27"/>
  <c r="AW31" i="27"/>
  <c r="AW32" i="27"/>
  <c r="AW74" i="27"/>
  <c r="AW60" i="27"/>
  <c r="AW75" i="27"/>
  <c r="E75" i="28"/>
  <c r="AB76" i="28"/>
  <c r="AR76" i="28" s="1"/>
  <c r="X76" i="28"/>
  <c r="AN76" i="28"/>
  <c r="M15" i="27"/>
  <c r="M52" i="27"/>
  <c r="M30" i="27"/>
  <c r="M24" i="27"/>
  <c r="M28" i="27"/>
  <c r="M68" i="27"/>
  <c r="AW19" i="27"/>
  <c r="AW11" i="27"/>
  <c r="AW15" i="27"/>
  <c r="AN62" i="27"/>
  <c r="AP41" i="27"/>
  <c r="AX41" i="27" s="1"/>
  <c r="AP37" i="27"/>
  <c r="AY37" i="27" s="1"/>
  <c r="S47" i="27"/>
  <c r="BA22" i="28"/>
  <c r="AZ22" i="28"/>
  <c r="AN70" i="28"/>
  <c r="AI7" i="28"/>
  <c r="AI76" i="28"/>
  <c r="AI74" i="28"/>
  <c r="AI40" i="28"/>
  <c r="AI17" i="28"/>
  <c r="AI35" i="28"/>
  <c r="AI37" i="28"/>
  <c r="AW10" i="28"/>
  <c r="AW65" i="28"/>
  <c r="AW78" i="28"/>
  <c r="AW15" i="28"/>
  <c r="AW20" i="28"/>
  <c r="AW8" i="28"/>
  <c r="K7" i="27"/>
  <c r="K19" i="27"/>
  <c r="K28" i="27"/>
  <c r="S32" i="28"/>
  <c r="S37" i="28"/>
  <c r="V19" i="28"/>
  <c r="W19" i="28" s="1"/>
  <c r="S34" i="28"/>
  <c r="AN7" i="28"/>
  <c r="AR7" i="28" s="1"/>
  <c r="X12" i="28"/>
  <c r="V28" i="28"/>
  <c r="W28" i="28" s="1"/>
  <c r="V30" i="28"/>
  <c r="W30" i="28" s="1"/>
  <c r="V36" i="28"/>
  <c r="W36" i="28" s="1"/>
  <c r="AN54" i="28"/>
  <c r="L11" i="28"/>
  <c r="X54" i="28"/>
  <c r="R54" i="28"/>
  <c r="S33" i="28"/>
  <c r="T17" i="27"/>
  <c r="AB17" i="27" s="1"/>
  <c r="Z14" i="27"/>
  <c r="AP14" i="27" s="1"/>
  <c r="C28" i="28"/>
  <c r="C41" i="28"/>
  <c r="AL70" i="28"/>
  <c r="V27" i="28"/>
  <c r="W27" i="28" s="1"/>
  <c r="V35" i="28"/>
  <c r="W35" i="28" s="1"/>
  <c r="AP56" i="28"/>
  <c r="AX56" i="28" s="1"/>
  <c r="S61" i="28"/>
  <c r="AP82" i="28"/>
  <c r="AY82" i="28" s="1"/>
  <c r="AX77" i="28"/>
  <c r="AY77" i="28"/>
  <c r="AE62" i="28"/>
  <c r="AZ76" i="28"/>
  <c r="BA76" i="28"/>
  <c r="Y78" i="28"/>
  <c r="Y14" i="28"/>
  <c r="AR77" i="29"/>
  <c r="BA77" i="29" s="1"/>
  <c r="AX56" i="29"/>
  <c r="AY56" i="29"/>
  <c r="AK66" i="29"/>
  <c r="AK42" i="29"/>
  <c r="AK32" i="29"/>
  <c r="AK63" i="29"/>
  <c r="AK65" i="29"/>
  <c r="AK22" i="29"/>
  <c r="AK34" i="29"/>
  <c r="AK60" i="29"/>
  <c r="AK72" i="29"/>
  <c r="AK58" i="29"/>
  <c r="AK45" i="29"/>
  <c r="AK19" i="29"/>
  <c r="AK8" i="29"/>
  <c r="AK57" i="29"/>
  <c r="AK31" i="29"/>
  <c r="AK76" i="29"/>
  <c r="AK16" i="29"/>
  <c r="AK61" i="29"/>
  <c r="AK29" i="29"/>
  <c r="AK74" i="29"/>
  <c r="AK49" i="29"/>
  <c r="AK26" i="29"/>
  <c r="AK30" i="29"/>
  <c r="AK77" i="29"/>
  <c r="AJ18" i="29"/>
  <c r="AK18" i="29" s="1"/>
  <c r="AK21" i="29"/>
  <c r="AK27" i="29"/>
  <c r="AK50" i="29"/>
  <c r="AK17" i="29"/>
  <c r="AK54" i="29"/>
  <c r="AK55" i="29"/>
  <c r="AK28" i="29"/>
  <c r="AK43" i="29"/>
  <c r="AK10" i="29"/>
  <c r="AN11" i="29"/>
  <c r="AK52" i="29"/>
  <c r="AK38" i="29"/>
  <c r="AK51" i="29"/>
  <c r="AK7" i="29"/>
  <c r="AK39" i="29"/>
  <c r="AK56" i="29"/>
  <c r="AK62" i="29"/>
  <c r="AK68" i="29"/>
  <c r="AK35" i="29"/>
  <c r="AK23" i="29"/>
  <c r="AK46" i="29"/>
  <c r="AK24" i="29"/>
  <c r="AK41" i="29"/>
  <c r="AK59" i="29"/>
  <c r="AK11" i="29"/>
  <c r="AK47" i="29"/>
  <c r="AZ75" i="29"/>
  <c r="BA75" i="29"/>
  <c r="BA44" i="29"/>
  <c r="AP20" i="29"/>
  <c r="AI47" i="29"/>
  <c r="X70" i="29"/>
  <c r="AY30" i="29"/>
  <c r="AX30" i="29"/>
  <c r="AR66" i="29"/>
  <c r="Q34" i="29"/>
  <c r="Q33" i="29"/>
  <c r="Q58" i="29"/>
  <c r="Q74" i="29"/>
  <c r="Q75" i="29"/>
  <c r="Q6" i="29"/>
  <c r="Q53" i="29"/>
  <c r="Q49" i="29"/>
  <c r="Q43" i="29"/>
  <c r="Q37" i="29"/>
  <c r="Q14" i="29"/>
  <c r="Q7" i="29"/>
  <c r="Q27" i="29"/>
  <c r="Q19" i="29"/>
  <c r="Q20" i="29"/>
  <c r="Q60" i="29"/>
  <c r="Q56" i="29"/>
  <c r="Q63" i="29"/>
  <c r="Q68" i="29"/>
  <c r="Q52" i="29"/>
  <c r="Q46" i="29"/>
  <c r="Q35" i="29"/>
  <c r="Q36" i="29"/>
  <c r="Q8" i="29"/>
  <c r="Q42" i="29"/>
  <c r="Q25" i="29"/>
  <c r="Q26" i="29"/>
  <c r="Q9" i="29"/>
  <c r="Q17" i="29"/>
  <c r="Q54" i="29"/>
  <c r="Q55" i="29"/>
  <c r="Q59" i="29"/>
  <c r="Q72" i="29"/>
  <c r="Q77" i="29"/>
  <c r="Q78" i="29"/>
  <c r="Q51" i="29"/>
  <c r="Q45" i="29"/>
  <c r="Q41" i="29"/>
  <c r="P18" i="29"/>
  <c r="Q40" i="29"/>
  <c r="Q28" i="29"/>
  <c r="Q23" i="29"/>
  <c r="Q24" i="29"/>
  <c r="AX46" i="29"/>
  <c r="M29" i="29"/>
  <c r="M34" i="29"/>
  <c r="M33" i="29"/>
  <c r="M59" i="29"/>
  <c r="M60" i="29"/>
  <c r="M71" i="29"/>
  <c r="M72" i="29"/>
  <c r="M75" i="29"/>
  <c r="M78" i="29"/>
  <c r="M53" i="29"/>
  <c r="M49" i="29"/>
  <c r="M43" i="29"/>
  <c r="M37" i="29"/>
  <c r="M16" i="29"/>
  <c r="M11" i="29"/>
  <c r="M27" i="29"/>
  <c r="M19" i="29"/>
  <c r="M20" i="29"/>
  <c r="M6" i="29"/>
  <c r="M58" i="29"/>
  <c r="M76" i="29"/>
  <c r="M52" i="29"/>
  <c r="M46" i="29"/>
  <c r="M35" i="29"/>
  <c r="M36" i="29"/>
  <c r="M15" i="29"/>
  <c r="M42" i="29"/>
  <c r="M25" i="29"/>
  <c r="M26" i="29"/>
  <c r="M14" i="29"/>
  <c r="M31" i="29"/>
  <c r="M32" i="29"/>
  <c r="M61" i="29"/>
  <c r="M63" i="29"/>
  <c r="M57" i="29"/>
  <c r="M73" i="29"/>
  <c r="M68" i="29"/>
  <c r="M51" i="29"/>
  <c r="M45" i="29"/>
  <c r="M41" i="29"/>
  <c r="L18" i="29"/>
  <c r="M8" i="29"/>
  <c r="M40" i="29"/>
  <c r="M23" i="29"/>
  <c r="M24" i="29"/>
  <c r="M9" i="29"/>
  <c r="M17" i="29"/>
  <c r="AP32" i="29"/>
  <c r="AX32" i="29" s="1"/>
  <c r="AE27" i="29"/>
  <c r="AE43" i="29"/>
  <c r="AE72" i="29"/>
  <c r="AE14" i="29"/>
  <c r="AE39" i="29"/>
  <c r="AE50" i="29"/>
  <c r="AE17" i="29"/>
  <c r="AE33" i="29"/>
  <c r="AE6" i="29"/>
  <c r="AE15" i="29"/>
  <c r="AE24" i="29"/>
  <c r="AE51" i="29"/>
  <c r="AE52" i="29"/>
  <c r="AE74" i="29"/>
  <c r="AE35" i="29"/>
  <c r="AE56" i="29"/>
  <c r="AE11" i="29"/>
  <c r="AE7" i="29"/>
  <c r="AE58" i="29"/>
  <c r="AE31" i="29"/>
  <c r="AE36" i="29"/>
  <c r="AE16" i="29"/>
  <c r="AE60" i="29"/>
  <c r="AE30" i="29"/>
  <c r="AE32" i="29"/>
  <c r="AD18" i="29"/>
  <c r="AE26" i="29"/>
  <c r="AL11" i="29"/>
  <c r="AE38" i="29"/>
  <c r="AE61" i="29"/>
  <c r="AE76" i="29"/>
  <c r="AE19" i="29"/>
  <c r="AE44" i="29"/>
  <c r="AE55" i="29"/>
  <c r="AE34" i="29"/>
  <c r="AE21" i="29"/>
  <c r="AE49" i="29"/>
  <c r="AE73" i="29"/>
  <c r="AE57" i="29"/>
  <c r="AE10" i="29"/>
  <c r="AE9" i="29"/>
  <c r="AE20" i="29"/>
  <c r="AE28" i="29"/>
  <c r="AE59" i="29"/>
  <c r="AE42" i="29"/>
  <c r="AE68" i="29"/>
  <c r="AE71" i="29"/>
  <c r="AO65" i="29"/>
  <c r="AO19" i="29"/>
  <c r="AO76" i="29"/>
  <c r="AO20" i="29"/>
  <c r="AO74" i="29"/>
  <c r="AO51" i="29"/>
  <c r="AJ48" i="29"/>
  <c r="AM61" i="29"/>
  <c r="AM28" i="29"/>
  <c r="AM33" i="29"/>
  <c r="AM35" i="29"/>
  <c r="O47" i="29"/>
  <c r="V47" i="29"/>
  <c r="P47" i="29"/>
  <c r="H47" i="29"/>
  <c r="I47" i="29" s="1"/>
  <c r="AX63" i="28"/>
  <c r="AY63" i="28"/>
  <c r="AZ74" i="28"/>
  <c r="BA74" i="28"/>
  <c r="AY34" i="28"/>
  <c r="AX34" i="28"/>
  <c r="AZ29" i="28"/>
  <c r="BA65" i="29"/>
  <c r="AZ65" i="29"/>
  <c r="AY7" i="29"/>
  <c r="Z32" i="28"/>
  <c r="AP32" i="28" s="1"/>
  <c r="E72" i="28"/>
  <c r="AX82" i="30"/>
  <c r="BA46" i="30"/>
  <c r="AZ46" i="30"/>
  <c r="AR34" i="30"/>
  <c r="AZ34" i="30" s="1"/>
  <c r="AT67" i="30"/>
  <c r="AU67" i="30" s="1"/>
  <c r="AU64" i="30"/>
  <c r="AR42" i="30"/>
  <c r="BA42" i="30" s="1"/>
  <c r="AV18" i="30"/>
  <c r="AW18" i="30" s="1"/>
  <c r="AW17" i="30"/>
  <c r="U47" i="30"/>
  <c r="AR44" i="30"/>
  <c r="AB17" i="30"/>
  <c r="O54" i="30"/>
  <c r="V54" i="30"/>
  <c r="BA26" i="30"/>
  <c r="AZ26" i="30"/>
  <c r="M17" i="30"/>
  <c r="L18" i="30"/>
  <c r="M18" i="30" s="1"/>
  <c r="AZ8" i="30"/>
  <c r="AZ15" i="30"/>
  <c r="BA15" i="30"/>
  <c r="G54" i="30"/>
  <c r="Z54" i="30"/>
  <c r="AP26" i="30"/>
  <c r="AY26" i="30" s="1"/>
  <c r="AN54" i="30"/>
  <c r="AY46" i="30"/>
  <c r="BA30" i="30"/>
  <c r="AZ30" i="30"/>
  <c r="AP45" i="30"/>
  <c r="AX45" i="30" s="1"/>
  <c r="AP7" i="30"/>
  <c r="AY7" i="30" s="1"/>
  <c r="AR21" i="30"/>
  <c r="AZ21" i="30" s="1"/>
  <c r="AE62" i="30"/>
  <c r="X17" i="30"/>
  <c r="T18" i="30"/>
  <c r="U18" i="30" s="1"/>
  <c r="U17" i="30"/>
  <c r="AR24" i="30"/>
  <c r="BA24" i="30" s="1"/>
  <c r="AR31" i="30"/>
  <c r="AZ36" i="30"/>
  <c r="BA36" i="30"/>
  <c r="AP61" i="30"/>
  <c r="AY61" i="30" s="1"/>
  <c r="AP35" i="30"/>
  <c r="AY35" i="30" s="1"/>
  <c r="G8" i="30"/>
  <c r="G73" i="30"/>
  <c r="Z11" i="30"/>
  <c r="AA73" i="30" s="1"/>
  <c r="G57" i="30"/>
  <c r="G56" i="30"/>
  <c r="G16" i="30"/>
  <c r="G23" i="30"/>
  <c r="G77" i="30"/>
  <c r="G63" i="30"/>
  <c r="G29" i="30"/>
  <c r="G21" i="30"/>
  <c r="G24" i="30"/>
  <c r="G9" i="30"/>
  <c r="G27" i="30"/>
  <c r="G33" i="30"/>
  <c r="G19" i="30"/>
  <c r="G25" i="30"/>
  <c r="G49" i="30"/>
  <c r="G34" i="30"/>
  <c r="G45" i="30"/>
  <c r="G44" i="30"/>
  <c r="G40" i="30"/>
  <c r="G42" i="30"/>
  <c r="G53" i="30"/>
  <c r="G61" i="30"/>
  <c r="G60" i="30"/>
  <c r="G15" i="30"/>
  <c r="G47" i="30"/>
  <c r="G78" i="30"/>
  <c r="G26" i="30"/>
  <c r="G52" i="30"/>
  <c r="G58" i="30"/>
  <c r="G75" i="30"/>
  <c r="G62" i="30"/>
  <c r="G35" i="30"/>
  <c r="G59" i="30"/>
  <c r="G71" i="30"/>
  <c r="G72" i="30"/>
  <c r="G38" i="30"/>
  <c r="G30" i="30"/>
  <c r="G65" i="30"/>
  <c r="G7" i="30"/>
  <c r="G6" i="30"/>
  <c r="G22" i="30"/>
  <c r="G32" i="30"/>
  <c r="G41" i="30"/>
  <c r="G46" i="30"/>
  <c r="G11" i="30"/>
  <c r="G36" i="30"/>
  <c r="G31" i="30"/>
  <c r="G50" i="30"/>
  <c r="G17" i="30"/>
  <c r="B64" i="30"/>
  <c r="C64" i="30" s="1"/>
  <c r="AP16" i="30"/>
  <c r="AX16" i="30" s="1"/>
  <c r="AP74" i="30"/>
  <c r="AY74" i="30" s="1"/>
  <c r="E54" i="30"/>
  <c r="AR39" i="30"/>
  <c r="AZ39" i="30" s="1"/>
  <c r="V47" i="30"/>
  <c r="O47" i="30"/>
  <c r="Z47" i="30"/>
  <c r="AP47" i="30" s="1"/>
  <c r="AY47" i="30" s="1"/>
  <c r="N48" i="30"/>
  <c r="O18" i="30"/>
  <c r="AY28" i="30"/>
  <c r="S47" i="30"/>
  <c r="R48" i="30"/>
  <c r="R64" i="30" s="1"/>
  <c r="AB11" i="30"/>
  <c r="AC19" i="30" s="1"/>
  <c r="U25" i="30"/>
  <c r="U6" i="30"/>
  <c r="Q14" i="30"/>
  <c r="Q57" i="30"/>
  <c r="Q58" i="30"/>
  <c r="Q59" i="30"/>
  <c r="AB62" i="30"/>
  <c r="U58" i="30"/>
  <c r="Q51" i="30"/>
  <c r="Q66" i="30"/>
  <c r="Q72" i="30"/>
  <c r="Q73" i="30"/>
  <c r="H18" i="30"/>
  <c r="I18" i="30" s="1"/>
  <c r="U50" i="30"/>
  <c r="Q68" i="30"/>
  <c r="Q74" i="30"/>
  <c r="Q75" i="30"/>
  <c r="Q76" i="30"/>
  <c r="Q24" i="30"/>
  <c r="Q78" i="30"/>
  <c r="Q77" i="30"/>
  <c r="Q16" i="30"/>
  <c r="U11" i="30"/>
  <c r="Q23" i="30"/>
  <c r="Q60" i="30"/>
  <c r="Q53" i="30"/>
  <c r="Q35" i="30"/>
  <c r="U75" i="30"/>
  <c r="U73" i="30"/>
  <c r="Q62" i="30"/>
  <c r="U44" i="30"/>
  <c r="Q22" i="30"/>
  <c r="Q41" i="30"/>
  <c r="Q45" i="30"/>
  <c r="Q36" i="30"/>
  <c r="U32" i="30"/>
  <c r="U40" i="30"/>
  <c r="AX63" i="30"/>
  <c r="Q25" i="30"/>
  <c r="Q34" i="30"/>
  <c r="Q7" i="30"/>
  <c r="Q20" i="30"/>
  <c r="Q56" i="30"/>
  <c r="Q9" i="30"/>
  <c r="Q17" i="30"/>
  <c r="Q21" i="30"/>
  <c r="U54" i="30"/>
  <c r="AZ55" i="30"/>
  <c r="Q29" i="30"/>
  <c r="Q10" i="30"/>
  <c r="P18" i="30"/>
  <c r="Q19" i="30"/>
  <c r="U63" i="30"/>
  <c r="X11" i="30"/>
  <c r="Y26" i="30" s="1"/>
  <c r="U14" i="30"/>
  <c r="Q63" i="30"/>
  <c r="Q26" i="30"/>
  <c r="Q27" i="30"/>
  <c r="Q28" i="30"/>
  <c r="U77" i="30"/>
  <c r="Q61" i="30"/>
  <c r="Q30" i="30"/>
  <c r="Q31" i="30"/>
  <c r="Q32" i="30"/>
  <c r="I30" i="30"/>
  <c r="U56" i="30"/>
  <c r="U34" i="30"/>
  <c r="U66" i="30"/>
  <c r="Q39" i="30"/>
  <c r="Q49" i="30"/>
  <c r="Q46" i="30"/>
  <c r="AC68" i="30"/>
  <c r="AC35" i="30"/>
  <c r="AC11" i="30"/>
  <c r="AC49" i="30"/>
  <c r="AC55" i="30"/>
  <c r="S48" i="30"/>
  <c r="AN47" i="30"/>
  <c r="Q47" i="30"/>
  <c r="X47" i="30"/>
  <c r="AX82" i="31" l="1"/>
  <c r="BA35" i="31"/>
  <c r="AZ35" i="31"/>
  <c r="Q7" i="31"/>
  <c r="AR23" i="31"/>
  <c r="Q21" i="31"/>
  <c r="AR7" i="31"/>
  <c r="AE73" i="31"/>
  <c r="AP45" i="31"/>
  <c r="AX45" i="31" s="1"/>
  <c r="AE65" i="31"/>
  <c r="AE20" i="31"/>
  <c r="AP58" i="31"/>
  <c r="AE71" i="31"/>
  <c r="AE59" i="31"/>
  <c r="AE51" i="31"/>
  <c r="AE16" i="31"/>
  <c r="AZ74" i="31"/>
  <c r="AR10" i="31"/>
  <c r="AY15" i="31"/>
  <c r="AE31" i="31"/>
  <c r="AE22" i="31"/>
  <c r="AZ20" i="31"/>
  <c r="AP72" i="31"/>
  <c r="Q29" i="31"/>
  <c r="BA75" i="30"/>
  <c r="AZ75" i="30"/>
  <c r="AX19" i="30"/>
  <c r="AY19" i="30"/>
  <c r="AI8" i="30"/>
  <c r="AL54" i="30"/>
  <c r="O51" i="30"/>
  <c r="AZ50" i="30"/>
  <c r="AX37" i="30"/>
  <c r="AP54" i="30"/>
  <c r="AY54" i="30" s="1"/>
  <c r="T48" i="30"/>
  <c r="T64" i="30" s="1"/>
  <c r="AL62" i="30"/>
  <c r="AR58" i="30"/>
  <c r="G28" i="30"/>
  <c r="Q44" i="31"/>
  <c r="AU48" i="30"/>
  <c r="AW40" i="30"/>
  <c r="AP44" i="30"/>
  <c r="Q31" i="31"/>
  <c r="AE17" i="30"/>
  <c r="AW49" i="30"/>
  <c r="AR43" i="30"/>
  <c r="I17" i="30"/>
  <c r="Q41" i="31"/>
  <c r="AE58" i="30"/>
  <c r="AW34" i="30"/>
  <c r="Q9" i="31"/>
  <c r="AE35" i="30"/>
  <c r="AW16" i="30"/>
  <c r="AZ33" i="31"/>
  <c r="AE62" i="31"/>
  <c r="X72" i="30"/>
  <c r="AN70" i="31"/>
  <c r="X70" i="31"/>
  <c r="BA34" i="30"/>
  <c r="AX35" i="30"/>
  <c r="AI7" i="30"/>
  <c r="AB45" i="30"/>
  <c r="AR45" i="30" s="1"/>
  <c r="AB57" i="30"/>
  <c r="X65" i="30"/>
  <c r="AR66" i="30"/>
  <c r="Z20" i="30"/>
  <c r="AP20" i="30" s="1"/>
  <c r="AY20" i="30" s="1"/>
  <c r="AN59" i="30"/>
  <c r="AR59" i="30" s="1"/>
  <c r="AR56" i="31"/>
  <c r="AZ57" i="29"/>
  <c r="BA57" i="29"/>
  <c r="AZ34" i="29"/>
  <c r="BA34" i="29"/>
  <c r="G18" i="29"/>
  <c r="BA51" i="29"/>
  <c r="AZ51" i="29"/>
  <c r="AX10" i="29"/>
  <c r="AY10" i="29"/>
  <c r="N18" i="29"/>
  <c r="AR55" i="29"/>
  <c r="AP39" i="29"/>
  <c r="AR31" i="29"/>
  <c r="AP74" i="29"/>
  <c r="AR39" i="29"/>
  <c r="BA23" i="29"/>
  <c r="AR73" i="29"/>
  <c r="J18" i="29"/>
  <c r="AZ7" i="29"/>
  <c r="AR74" i="29"/>
  <c r="AR46" i="29"/>
  <c r="AR22" i="29"/>
  <c r="BA22" i="29" s="1"/>
  <c r="AP12" i="29"/>
  <c r="AX12" i="29" s="1"/>
  <c r="AP63" i="29"/>
  <c r="AB62" i="29"/>
  <c r="AR62" i="29" s="1"/>
  <c r="AP21" i="29"/>
  <c r="AX21" i="29" s="1"/>
  <c r="AZ59" i="29"/>
  <c r="G17" i="29"/>
  <c r="AY38" i="29"/>
  <c r="AR12" i="29"/>
  <c r="AZ12" i="29" s="1"/>
  <c r="O37" i="29"/>
  <c r="B48" i="29"/>
  <c r="B64" i="29" s="1"/>
  <c r="B67" i="29" s="1"/>
  <c r="AX82" i="28"/>
  <c r="BA51" i="28"/>
  <c r="AZ51" i="28"/>
  <c r="AZ42" i="28"/>
  <c r="O62" i="28"/>
  <c r="AI18" i="28"/>
  <c r="AZ65" i="28"/>
  <c r="O28" i="28"/>
  <c r="O26" i="28"/>
  <c r="I21" i="28"/>
  <c r="AR23" i="28"/>
  <c r="O60" i="28"/>
  <c r="O49" i="28"/>
  <c r="AP82" i="27"/>
  <c r="P82" i="28"/>
  <c r="X82" i="28" s="1"/>
  <c r="AY74" i="27"/>
  <c r="AX74" i="27"/>
  <c r="K18" i="27"/>
  <c r="J48" i="27"/>
  <c r="K48" i="27" s="1"/>
  <c r="AX39" i="27"/>
  <c r="AD18" i="27"/>
  <c r="AR52" i="27"/>
  <c r="X62" i="27"/>
  <c r="AP46" i="27"/>
  <c r="AP57" i="27"/>
  <c r="AX57" i="27" s="1"/>
  <c r="W21" i="17"/>
  <c r="AP56" i="1"/>
  <c r="AG6" i="16"/>
  <c r="AR61" i="1"/>
  <c r="AZ61" i="1" s="1"/>
  <c r="AG44" i="16"/>
  <c r="AR33" i="16"/>
  <c r="AL17" i="16"/>
  <c r="AC59" i="16"/>
  <c r="AP37" i="17"/>
  <c r="AY37" i="17" s="1"/>
  <c r="AG75" i="16"/>
  <c r="AR27" i="18"/>
  <c r="AC16" i="18"/>
  <c r="AU17" i="16"/>
  <c r="AG34" i="16"/>
  <c r="U10" i="18"/>
  <c r="AU59" i="16"/>
  <c r="AC73" i="16"/>
  <c r="X43" i="1"/>
  <c r="Y38" i="18"/>
  <c r="AG31" i="16"/>
  <c r="AG29" i="16"/>
  <c r="AW46" i="18"/>
  <c r="Y31" i="18"/>
  <c r="U11" i="18"/>
  <c r="AU14" i="16"/>
  <c r="Q35" i="16"/>
  <c r="AB62" i="16"/>
  <c r="AP70" i="16"/>
  <c r="AX70" i="16" s="1"/>
  <c r="W74" i="1"/>
  <c r="AR50" i="1"/>
  <c r="AN70" i="17"/>
  <c r="AR51" i="17"/>
  <c r="AR65" i="17"/>
  <c r="AG19" i="16"/>
  <c r="AW9" i="18"/>
  <c r="AR77" i="18"/>
  <c r="BA77" i="18" s="1"/>
  <c r="AB54" i="18"/>
  <c r="AP74" i="18"/>
  <c r="AR20" i="17"/>
  <c r="AZ20" i="17" s="1"/>
  <c r="AR66" i="17"/>
  <c r="AG63" i="16"/>
  <c r="AW16" i="18"/>
  <c r="AU11" i="16"/>
  <c r="AR37" i="17"/>
  <c r="AW28" i="18"/>
  <c r="M78" i="17"/>
  <c r="Q75" i="17"/>
  <c r="AG16" i="16"/>
  <c r="AW31" i="18"/>
  <c r="AE47" i="17"/>
  <c r="Q31" i="17"/>
  <c r="AC47" i="16"/>
  <c r="BA12" i="1"/>
  <c r="AG57" i="16"/>
  <c r="AW45" i="18"/>
  <c r="AE58" i="16"/>
  <c r="AT48" i="18"/>
  <c r="AT64" i="18" s="1"/>
  <c r="M60" i="17"/>
  <c r="AP30" i="17"/>
  <c r="AR72" i="17"/>
  <c r="BA72" i="17" s="1"/>
  <c r="AG36" i="16"/>
  <c r="AW58" i="18"/>
  <c r="AW72" i="18"/>
  <c r="U41" i="18"/>
  <c r="AU71" i="16"/>
  <c r="AP36" i="16"/>
  <c r="AX36" i="16" s="1"/>
  <c r="AU6" i="16"/>
  <c r="AX55" i="18"/>
  <c r="AY55" i="18"/>
  <c r="AG26" i="18"/>
  <c r="AG47" i="18"/>
  <c r="AG78" i="18"/>
  <c r="I73" i="18"/>
  <c r="AG54" i="18"/>
  <c r="AG44" i="18"/>
  <c r="AG35" i="18"/>
  <c r="I42" i="18"/>
  <c r="I47" i="18"/>
  <c r="AG65" i="18"/>
  <c r="AG72" i="18"/>
  <c r="AG28" i="18"/>
  <c r="AG27" i="18"/>
  <c r="I14" i="18"/>
  <c r="AP59" i="18"/>
  <c r="AY59" i="18" s="1"/>
  <c r="AC56" i="18"/>
  <c r="AG68" i="18"/>
  <c r="AG38" i="18"/>
  <c r="AN11" i="18"/>
  <c r="AO30" i="18" s="1"/>
  <c r="AG36" i="18"/>
  <c r="AG59" i="18"/>
  <c r="I63" i="18"/>
  <c r="I55" i="18"/>
  <c r="AC19" i="18"/>
  <c r="AC58" i="18"/>
  <c r="AG14" i="18"/>
  <c r="AG77" i="18"/>
  <c r="AG32" i="18"/>
  <c r="AG63" i="18"/>
  <c r="AG58" i="18"/>
  <c r="I15" i="18"/>
  <c r="AR29" i="18"/>
  <c r="I72" i="18"/>
  <c r="AC61" i="18"/>
  <c r="AG10" i="18"/>
  <c r="AG24" i="18"/>
  <c r="AG43" i="18"/>
  <c r="AG51" i="18"/>
  <c r="AG40" i="18"/>
  <c r="AG20" i="18"/>
  <c r="I71" i="18"/>
  <c r="AC25" i="18"/>
  <c r="AG73" i="18"/>
  <c r="AG57" i="18"/>
  <c r="AG71" i="18"/>
  <c r="AG34" i="18"/>
  <c r="AG42" i="18"/>
  <c r="I41" i="18"/>
  <c r="AC39" i="18"/>
  <c r="AG29" i="18"/>
  <c r="AG25" i="18"/>
  <c r="AG75" i="18"/>
  <c r="AG45" i="18"/>
  <c r="AG46" i="18"/>
  <c r="I78" i="18"/>
  <c r="AY6" i="18"/>
  <c r="AC15" i="18"/>
  <c r="AG11" i="18"/>
  <c r="AG76" i="18"/>
  <c r="AG66" i="18"/>
  <c r="AG22" i="18"/>
  <c r="AG60" i="18"/>
  <c r="I76" i="18"/>
  <c r="I57" i="18"/>
  <c r="AC24" i="18"/>
  <c r="AG39" i="18"/>
  <c r="AG21" i="18"/>
  <c r="AG49" i="18"/>
  <c r="AG7" i="18"/>
  <c r="AC36" i="18"/>
  <c r="AG53" i="18"/>
  <c r="AG8" i="18"/>
  <c r="AG55" i="18"/>
  <c r="I6" i="18"/>
  <c r="AG23" i="18"/>
  <c r="AG41" i="18"/>
  <c r="I27" i="18"/>
  <c r="I32" i="18"/>
  <c r="I16" i="18"/>
  <c r="AG16" i="18"/>
  <c r="AG52" i="18"/>
  <c r="I58" i="18"/>
  <c r="AR30" i="18"/>
  <c r="BA30" i="18" s="1"/>
  <c r="AR23" i="18"/>
  <c r="Y63" i="18"/>
  <c r="AG30" i="18"/>
  <c r="I7" i="18"/>
  <c r="AR55" i="18"/>
  <c r="AZ55" i="18" s="1"/>
  <c r="I23" i="18"/>
  <c r="K77" i="18"/>
  <c r="AP21" i="18"/>
  <c r="AX21" i="18" s="1"/>
  <c r="AP60" i="18"/>
  <c r="AY60" i="18" s="1"/>
  <c r="AY82" i="18"/>
  <c r="AF18" i="18"/>
  <c r="AF48" i="18" s="1"/>
  <c r="AF64" i="18" s="1"/>
  <c r="AF67" i="18" s="1"/>
  <c r="AY15" i="18"/>
  <c r="K9" i="18"/>
  <c r="AR53" i="18"/>
  <c r="AZ53" i="18" s="1"/>
  <c r="K66" i="18"/>
  <c r="K40" i="18"/>
  <c r="K15" i="18"/>
  <c r="AR28" i="18"/>
  <c r="K10" i="18"/>
  <c r="AV18" i="18"/>
  <c r="AW18" i="18" s="1"/>
  <c r="K56" i="18"/>
  <c r="AR25" i="18"/>
  <c r="K73" i="18"/>
  <c r="K23" i="18"/>
  <c r="K65" i="18"/>
  <c r="K28" i="18"/>
  <c r="AG17" i="18"/>
  <c r="AR10" i="18"/>
  <c r="AR58" i="18"/>
  <c r="K53" i="18"/>
  <c r="AP8" i="18"/>
  <c r="BA22" i="18"/>
  <c r="K25" i="18"/>
  <c r="AR44" i="18"/>
  <c r="K32" i="18"/>
  <c r="AP71" i="18"/>
  <c r="AP82" i="17"/>
  <c r="AZ65" i="17"/>
  <c r="BA65" i="17"/>
  <c r="K43" i="17"/>
  <c r="AP22" i="17"/>
  <c r="AX22" i="17" s="1"/>
  <c r="BA39" i="17"/>
  <c r="K24" i="17"/>
  <c r="AI9" i="17"/>
  <c r="AI60" i="17"/>
  <c r="AI68" i="17"/>
  <c r="K66" i="17"/>
  <c r="K53" i="17"/>
  <c r="I63" i="17"/>
  <c r="K30" i="17"/>
  <c r="V47" i="17"/>
  <c r="AX81" i="18"/>
  <c r="AR24" i="17"/>
  <c r="W58" i="17"/>
  <c r="I26" i="17"/>
  <c r="K35" i="17"/>
  <c r="K22" i="17"/>
  <c r="I59" i="17"/>
  <c r="K56" i="17"/>
  <c r="K8" i="17"/>
  <c r="I78" i="17"/>
  <c r="AP65" i="17"/>
  <c r="AN17" i="17"/>
  <c r="K73" i="17"/>
  <c r="I11" i="17"/>
  <c r="K6" i="17"/>
  <c r="I20" i="17"/>
  <c r="K61" i="17"/>
  <c r="K21" i="17"/>
  <c r="K34" i="17"/>
  <c r="K15" i="17"/>
  <c r="I30" i="17"/>
  <c r="K11" i="17"/>
  <c r="I7" i="17"/>
  <c r="AR77" i="17"/>
  <c r="K51" i="17"/>
  <c r="K39" i="17"/>
  <c r="X47" i="17"/>
  <c r="K78" i="17"/>
  <c r="AP38" i="17"/>
  <c r="AY38" i="17" s="1"/>
  <c r="K9" i="17"/>
  <c r="AY58" i="16"/>
  <c r="AX58" i="16"/>
  <c r="AX23" i="16"/>
  <c r="AY23" i="16"/>
  <c r="AX16" i="16"/>
  <c r="AY16" i="16"/>
  <c r="AC42" i="16"/>
  <c r="AC36" i="16"/>
  <c r="AC27" i="16"/>
  <c r="AC28" i="16"/>
  <c r="AC20" i="16"/>
  <c r="Q11" i="16"/>
  <c r="Q66" i="16"/>
  <c r="Z17" i="16"/>
  <c r="Q46" i="16"/>
  <c r="AC7" i="16"/>
  <c r="AC23" i="16"/>
  <c r="AC31" i="16"/>
  <c r="AC24" i="16"/>
  <c r="Q22" i="16"/>
  <c r="Q44" i="16"/>
  <c r="Q57" i="16"/>
  <c r="AC33" i="16"/>
  <c r="AC37" i="16"/>
  <c r="AC30" i="16"/>
  <c r="Q51" i="16"/>
  <c r="Q30" i="16"/>
  <c r="L18" i="16"/>
  <c r="AP24" i="16"/>
  <c r="AR14" i="16"/>
  <c r="AC19" i="16"/>
  <c r="AC58" i="16"/>
  <c r="Q37" i="16"/>
  <c r="Q27" i="16"/>
  <c r="Q55" i="16"/>
  <c r="U62" i="16"/>
  <c r="Q21" i="16"/>
  <c r="AR59" i="16"/>
  <c r="AC40" i="16"/>
  <c r="AC60" i="16"/>
  <c r="Q53" i="16"/>
  <c r="Q50" i="16"/>
  <c r="Q6" i="16"/>
  <c r="Z62" i="16"/>
  <c r="AP62" i="16" s="1"/>
  <c r="AD48" i="16"/>
  <c r="AY63" i="16"/>
  <c r="Q20" i="16"/>
  <c r="AC9" i="16"/>
  <c r="AC61" i="16"/>
  <c r="Q15" i="16"/>
  <c r="Q31" i="16"/>
  <c r="Q34" i="16"/>
  <c r="Q76" i="16"/>
  <c r="Q60" i="16"/>
  <c r="AC10" i="16"/>
  <c r="AC26" i="16"/>
  <c r="AC15" i="16"/>
  <c r="Q73" i="16"/>
  <c r="Q38" i="16"/>
  <c r="AR70" i="16"/>
  <c r="AZ70" i="16" s="1"/>
  <c r="AX8" i="16"/>
  <c r="Q49" i="16"/>
  <c r="AC21" i="16"/>
  <c r="AC32" i="16"/>
  <c r="AC6" i="16"/>
  <c r="Q29" i="16"/>
  <c r="Q75" i="16"/>
  <c r="AL47" i="16"/>
  <c r="B64" i="16"/>
  <c r="B67" i="16" s="1"/>
  <c r="Q8" i="16"/>
  <c r="AR50" i="16"/>
  <c r="AL62" i="16"/>
  <c r="J18" i="16"/>
  <c r="AC49" i="16"/>
  <c r="AC77" i="16"/>
  <c r="AC35" i="16"/>
  <c r="Q32" i="16"/>
  <c r="Q16" i="16"/>
  <c r="AZ58" i="16"/>
  <c r="Q41" i="16"/>
  <c r="AC14" i="16"/>
  <c r="AC75" i="16"/>
  <c r="AC43" i="16"/>
  <c r="Q58" i="16"/>
  <c r="Q7" i="16"/>
  <c r="G54" i="16"/>
  <c r="Q61" i="16"/>
  <c r="AC68" i="16"/>
  <c r="AC55" i="16"/>
  <c r="AC78" i="16"/>
  <c r="Q10" i="16"/>
  <c r="Q9" i="16"/>
  <c r="X62" i="16"/>
  <c r="Q68" i="16"/>
  <c r="AR37" i="16"/>
  <c r="AC56" i="16"/>
  <c r="AC76" i="16"/>
  <c r="Q45" i="16"/>
  <c r="Q33" i="16"/>
  <c r="Q24" i="16"/>
  <c r="AX82" i="17"/>
  <c r="AY82" i="17"/>
  <c r="AF82" i="17"/>
  <c r="AN82" i="16"/>
  <c r="AY82" i="1"/>
  <c r="AX82" i="1"/>
  <c r="AR82" i="1"/>
  <c r="H82" i="17"/>
  <c r="AB82" i="16"/>
  <c r="AR82" i="16" s="1"/>
  <c r="AV81" i="31"/>
  <c r="AV81" i="17"/>
  <c r="AV81" i="27"/>
  <c r="AV81" i="16"/>
  <c r="AZ81" i="18"/>
  <c r="BA81" i="18"/>
  <c r="AR81" i="28"/>
  <c r="AR81" i="17"/>
  <c r="AY81" i="27"/>
  <c r="AX81" i="27"/>
  <c r="AR81" i="30"/>
  <c r="AP81" i="30"/>
  <c r="AX81" i="30" s="1"/>
  <c r="BA81" i="28"/>
  <c r="AZ81" i="28"/>
  <c r="AR81" i="1"/>
  <c r="AY81" i="1"/>
  <c r="AX81" i="1"/>
  <c r="AZ81" i="17"/>
  <c r="BA81" i="17"/>
  <c r="AP81" i="31"/>
  <c r="AR81" i="27"/>
  <c r="AR81" i="31"/>
  <c r="AZ81" i="31" s="1"/>
  <c r="U47" i="1"/>
  <c r="X47" i="1"/>
  <c r="AB47" i="1"/>
  <c r="AY13" i="1"/>
  <c r="AX13" i="1"/>
  <c r="AY41" i="1"/>
  <c r="AX41" i="1"/>
  <c r="AD18" i="1"/>
  <c r="AF18" i="1" s="1"/>
  <c r="W35" i="1"/>
  <c r="G53" i="1"/>
  <c r="N48" i="1"/>
  <c r="AE25" i="1"/>
  <c r="AE63" i="1"/>
  <c r="K75" i="1"/>
  <c r="AE39" i="1"/>
  <c r="AE15" i="1"/>
  <c r="AE66" i="1"/>
  <c r="AP37" i="1"/>
  <c r="AE26" i="1"/>
  <c r="J18" i="1"/>
  <c r="AE40" i="1"/>
  <c r="W17" i="1"/>
  <c r="AE36" i="1"/>
  <c r="AE9" i="1"/>
  <c r="AE71" i="1"/>
  <c r="AX77" i="1"/>
  <c r="AE62" i="1"/>
  <c r="G37" i="1"/>
  <c r="X57" i="1"/>
  <c r="AE74" i="1"/>
  <c r="K63" i="1"/>
  <c r="AE78" i="1"/>
  <c r="AE72" i="1"/>
  <c r="AE41" i="1"/>
  <c r="K45" i="1"/>
  <c r="AE11" i="1"/>
  <c r="AE31" i="1"/>
  <c r="K72" i="1"/>
  <c r="AE44" i="1"/>
  <c r="AE7" i="1"/>
  <c r="V47" i="1"/>
  <c r="W47" i="1" s="1"/>
  <c r="AE33" i="1"/>
  <c r="K34" i="1"/>
  <c r="G17" i="1"/>
  <c r="AE46" i="1"/>
  <c r="G59" i="1"/>
  <c r="AZ12" i="1"/>
  <c r="K73" i="1"/>
  <c r="F18" i="1"/>
  <c r="H18" i="1" s="1"/>
  <c r="Z47" i="1"/>
  <c r="K16" i="1"/>
  <c r="G47" i="1"/>
  <c r="W65" i="1"/>
  <c r="AZ36" i="1"/>
  <c r="K60" i="1"/>
  <c r="G39" i="1"/>
  <c r="AB58" i="1"/>
  <c r="G43" i="1"/>
  <c r="AN6" i="1"/>
  <c r="AR6" i="1" s="1"/>
  <c r="K25" i="1"/>
  <c r="AR25" i="1"/>
  <c r="W49" i="1"/>
  <c r="W6" i="1"/>
  <c r="AE54" i="1"/>
  <c r="K36" i="1"/>
  <c r="AE22" i="1"/>
  <c r="AE28" i="1"/>
  <c r="W50" i="1"/>
  <c r="AN65" i="1"/>
  <c r="W21" i="1"/>
  <c r="AR39" i="1"/>
  <c r="AP35" i="1"/>
  <c r="K66" i="1"/>
  <c r="W63" i="1"/>
  <c r="AP34" i="1"/>
  <c r="S47" i="1"/>
  <c r="AE14" i="1"/>
  <c r="K76" i="1"/>
  <c r="AE29" i="1"/>
  <c r="AE73" i="1"/>
  <c r="AE24" i="1"/>
  <c r="AN34" i="1"/>
  <c r="AE19" i="1"/>
  <c r="AE51" i="1"/>
  <c r="K49" i="1"/>
  <c r="AE68" i="1"/>
  <c r="W36" i="1"/>
  <c r="AB7" i="1"/>
  <c r="AR7" i="1" s="1"/>
  <c r="H11" i="1"/>
  <c r="M25" i="28"/>
  <c r="M52" i="28"/>
  <c r="M35" i="28"/>
  <c r="M31" i="28"/>
  <c r="AX7" i="1"/>
  <c r="AY7" i="1"/>
  <c r="AV64" i="28"/>
  <c r="AW64" i="28" s="1"/>
  <c r="AW48" i="28"/>
  <c r="AZ73" i="27"/>
  <c r="BA73" i="27"/>
  <c r="AY56" i="1"/>
  <c r="AX56" i="1"/>
  <c r="Y16" i="1"/>
  <c r="Y25" i="1"/>
  <c r="AX24" i="1"/>
  <c r="AY24" i="1"/>
  <c r="Y60" i="1"/>
  <c r="Y24" i="1"/>
  <c r="BA39" i="27"/>
  <c r="AZ39" i="27"/>
  <c r="AZ23" i="18"/>
  <c r="BA23" i="18"/>
  <c r="U38" i="17"/>
  <c r="AZ77" i="17"/>
  <c r="BA77" i="17"/>
  <c r="AW48" i="16"/>
  <c r="BA72" i="16"/>
  <c r="AZ72" i="16"/>
  <c r="AB66" i="1"/>
  <c r="AR66" i="1" s="1"/>
  <c r="AZ66" i="1" s="1"/>
  <c r="AM16" i="29"/>
  <c r="AM65" i="29"/>
  <c r="AM14" i="29"/>
  <c r="AM8" i="29"/>
  <c r="AM17" i="29"/>
  <c r="AM30" i="29"/>
  <c r="AM23" i="29"/>
  <c r="AM40" i="29"/>
  <c r="AM59" i="29"/>
  <c r="AM19" i="29"/>
  <c r="AM66" i="29"/>
  <c r="AM22" i="29"/>
  <c r="AM62" i="29"/>
  <c r="AM60" i="29"/>
  <c r="M18" i="29"/>
  <c r="L48" i="29"/>
  <c r="L64" i="29" s="1"/>
  <c r="U19" i="17"/>
  <c r="AK17" i="17"/>
  <c r="AK6" i="17"/>
  <c r="AZ6" i="16"/>
  <c r="BA6" i="16"/>
  <c r="AC71" i="30"/>
  <c r="AC58" i="30"/>
  <c r="AC51" i="30"/>
  <c r="AC15" i="30"/>
  <c r="AC73" i="30"/>
  <c r="AC25" i="30"/>
  <c r="AC46" i="30"/>
  <c r="AC42" i="30"/>
  <c r="AC9" i="30"/>
  <c r="AC27" i="30"/>
  <c r="AC26" i="30"/>
  <c r="AC10" i="30"/>
  <c r="AC31" i="30"/>
  <c r="AC22" i="30"/>
  <c r="AC65" i="30"/>
  <c r="AC33" i="30"/>
  <c r="BA44" i="30"/>
  <c r="AZ44" i="30"/>
  <c r="U49" i="17"/>
  <c r="U32" i="17"/>
  <c r="U42" i="17"/>
  <c r="U41" i="17"/>
  <c r="U59" i="17"/>
  <c r="U11" i="17"/>
  <c r="U34" i="17"/>
  <c r="U17" i="17"/>
  <c r="U74" i="17"/>
  <c r="U52" i="17"/>
  <c r="U26" i="17"/>
  <c r="U72" i="17"/>
  <c r="U37" i="17"/>
  <c r="U24" i="17"/>
  <c r="U7" i="17"/>
  <c r="U57" i="17"/>
  <c r="U30" i="17"/>
  <c r="U33" i="17"/>
  <c r="U20" i="17"/>
  <c r="U55" i="17"/>
  <c r="U68" i="17"/>
  <c r="T18" i="17"/>
  <c r="U18" i="17" s="1"/>
  <c r="U39" i="17"/>
  <c r="U31" i="17"/>
  <c r="U22" i="17"/>
  <c r="AE68" i="17"/>
  <c r="AE54" i="17"/>
  <c r="AE26" i="17"/>
  <c r="Y61" i="1"/>
  <c r="K7" i="1"/>
  <c r="K74" i="1"/>
  <c r="K37" i="1"/>
  <c r="AR56" i="1"/>
  <c r="AZ56" i="1" s="1"/>
  <c r="Y59" i="18"/>
  <c r="M65" i="17"/>
  <c r="AE50" i="17"/>
  <c r="AE11" i="17"/>
  <c r="AE38" i="17"/>
  <c r="AR71" i="17"/>
  <c r="AZ71" i="17" s="1"/>
  <c r="Y17" i="1"/>
  <c r="K31" i="1"/>
  <c r="K41" i="1"/>
  <c r="K77" i="1"/>
  <c r="AE27" i="17"/>
  <c r="AE59" i="17"/>
  <c r="AE41" i="17"/>
  <c r="V48" i="30"/>
  <c r="AM72" i="27"/>
  <c r="Y14" i="18"/>
  <c r="AM30" i="27"/>
  <c r="Y65" i="18"/>
  <c r="AX59" i="18"/>
  <c r="AY8" i="17"/>
  <c r="M39" i="17"/>
  <c r="AE35" i="17"/>
  <c r="AE56" i="17"/>
  <c r="O74" i="17"/>
  <c r="O71" i="17"/>
  <c r="O20" i="17"/>
  <c r="K27" i="17"/>
  <c r="AE22" i="17"/>
  <c r="K72" i="17"/>
  <c r="I22" i="17"/>
  <c r="AE8" i="17"/>
  <c r="K65" i="17"/>
  <c r="BA7" i="16"/>
  <c r="AE57" i="1"/>
  <c r="K42" i="1"/>
  <c r="K27" i="1"/>
  <c r="K29" i="1"/>
  <c r="AE27" i="1"/>
  <c r="AE16" i="1"/>
  <c r="AE35" i="1"/>
  <c r="AE6" i="1"/>
  <c r="Y49" i="1"/>
  <c r="AP71" i="1"/>
  <c r="Q18" i="28"/>
  <c r="AE74" i="17"/>
  <c r="AE75" i="17"/>
  <c r="AE46" i="17"/>
  <c r="AE9" i="17"/>
  <c r="AP42" i="17"/>
  <c r="AY42" i="17" s="1"/>
  <c r="AX12" i="1"/>
  <c r="AY12" i="1"/>
  <c r="Y73" i="18"/>
  <c r="M59" i="17"/>
  <c r="AE43" i="17"/>
  <c r="O14" i="17"/>
  <c r="O42" i="17"/>
  <c r="O66" i="17"/>
  <c r="O73" i="17"/>
  <c r="AE49" i="17"/>
  <c r="I6" i="17"/>
  <c r="AP32" i="17"/>
  <c r="AX32" i="17" s="1"/>
  <c r="K33" i="1"/>
  <c r="K43" i="1"/>
  <c r="K21" i="1"/>
  <c r="Y42" i="18"/>
  <c r="AY61" i="18"/>
  <c r="K31" i="17"/>
  <c r="M33" i="17"/>
  <c r="AE32" i="17"/>
  <c r="O26" i="17"/>
  <c r="O61" i="17"/>
  <c r="O56" i="17"/>
  <c r="O75" i="17"/>
  <c r="AE62" i="17"/>
  <c r="I53" i="17"/>
  <c r="AE17" i="17"/>
  <c r="K33" i="17"/>
  <c r="K17" i="1"/>
  <c r="K11" i="1"/>
  <c r="K30" i="1"/>
  <c r="AR57" i="1"/>
  <c r="BA57" i="1" s="1"/>
  <c r="W42" i="1"/>
  <c r="AP46" i="1"/>
  <c r="AY46" i="1" s="1"/>
  <c r="W76" i="1"/>
  <c r="AY83" i="27"/>
  <c r="AX83" i="27"/>
  <c r="U17" i="27"/>
  <c r="AZ63" i="30"/>
  <c r="AN18" i="29"/>
  <c r="Y44" i="18"/>
  <c r="Y29" i="18"/>
  <c r="Y78" i="18"/>
  <c r="AZ73" i="1"/>
  <c r="M32" i="17"/>
  <c r="AE23" i="17"/>
  <c r="O15" i="17"/>
  <c r="O50" i="17"/>
  <c r="O27" i="17"/>
  <c r="AE31" i="17"/>
  <c r="AE6" i="17"/>
  <c r="AA50" i="16"/>
  <c r="K39" i="1"/>
  <c r="K71" i="1"/>
  <c r="K61" i="1"/>
  <c r="AE50" i="1"/>
  <c r="W40" i="1"/>
  <c r="AP50" i="1"/>
  <c r="AY50" i="1" s="1"/>
  <c r="Y20" i="18"/>
  <c r="Y55" i="18"/>
  <c r="Y72" i="18"/>
  <c r="G24" i="17"/>
  <c r="AZ74" i="17"/>
  <c r="M43" i="17"/>
  <c r="AE78" i="17"/>
  <c r="AE19" i="17"/>
  <c r="AE15" i="17"/>
  <c r="Y36" i="1"/>
  <c r="Y65" i="1"/>
  <c r="Y35" i="1"/>
  <c r="Y27" i="18"/>
  <c r="Y76" i="18"/>
  <c r="Y47" i="1"/>
  <c r="Y45" i="1"/>
  <c r="G76" i="17"/>
  <c r="M58" i="17"/>
  <c r="G43" i="17"/>
  <c r="AE42" i="17"/>
  <c r="AE63" i="17"/>
  <c r="AE58" i="17"/>
  <c r="AE57" i="17"/>
  <c r="W66" i="17"/>
  <c r="AY36" i="16"/>
  <c r="K22" i="1"/>
  <c r="K15" i="1"/>
  <c r="Y63" i="1"/>
  <c r="Y30" i="1"/>
  <c r="AG44" i="28"/>
  <c r="AG34" i="28"/>
  <c r="AY23" i="27"/>
  <c r="AX23" i="27"/>
  <c r="AE23" i="18"/>
  <c r="AE31" i="18"/>
  <c r="AE38" i="18"/>
  <c r="AE52" i="18"/>
  <c r="AE37" i="18"/>
  <c r="AE53" i="18"/>
  <c r="AE15" i="18"/>
  <c r="AE22" i="18"/>
  <c r="AE58" i="18"/>
  <c r="AE25" i="18"/>
  <c r="AE55" i="18"/>
  <c r="G38" i="1"/>
  <c r="I56" i="31"/>
  <c r="Q24" i="31"/>
  <c r="Q49" i="31"/>
  <c r="AW52" i="30"/>
  <c r="AW78" i="30"/>
  <c r="AW15" i="30"/>
  <c r="K72" i="28"/>
  <c r="G52" i="28"/>
  <c r="G72" i="28"/>
  <c r="G78" i="28"/>
  <c r="G39" i="28"/>
  <c r="AE27" i="28"/>
  <c r="O76" i="28"/>
  <c r="N18" i="28"/>
  <c r="O18" i="28" s="1"/>
  <c r="O20" i="28"/>
  <c r="O29" i="28"/>
  <c r="AX56" i="27"/>
  <c r="AG26" i="16"/>
  <c r="AG51" i="16"/>
  <c r="AG53" i="16"/>
  <c r="AG37" i="16"/>
  <c r="AG47" i="16"/>
  <c r="AG31" i="18"/>
  <c r="AG50" i="18"/>
  <c r="AG33" i="18"/>
  <c r="AE61" i="18"/>
  <c r="AE33" i="18"/>
  <c r="K14" i="27"/>
  <c r="K29" i="27"/>
  <c r="K56" i="27"/>
  <c r="K31" i="27"/>
  <c r="K35" i="27"/>
  <c r="K74" i="27"/>
  <c r="K65" i="27"/>
  <c r="K27" i="27"/>
  <c r="K75" i="27"/>
  <c r="AK14" i="16"/>
  <c r="I30" i="31"/>
  <c r="AW54" i="30"/>
  <c r="AW43" i="30"/>
  <c r="G59" i="28"/>
  <c r="G63" i="28"/>
  <c r="G68" i="28"/>
  <c r="I46" i="28"/>
  <c r="I20" i="28"/>
  <c r="W23" i="28"/>
  <c r="BA7" i="18"/>
  <c r="AZ7" i="18"/>
  <c r="AN62" i="18"/>
  <c r="AR62" i="18" s="1"/>
  <c r="AE28" i="18"/>
  <c r="AP49" i="27"/>
  <c r="AP7" i="27"/>
  <c r="M55" i="16"/>
  <c r="I36" i="31"/>
  <c r="I49" i="31"/>
  <c r="AW73" i="30"/>
  <c r="AW57" i="30"/>
  <c r="G43" i="28"/>
  <c r="G33" i="28"/>
  <c r="G20" i="28"/>
  <c r="G36" i="28"/>
  <c r="G75" i="28"/>
  <c r="AR61" i="18"/>
  <c r="BA61" i="18" s="1"/>
  <c r="AR52" i="18"/>
  <c r="AR73" i="18"/>
  <c r="AE62" i="18"/>
  <c r="I58" i="16"/>
  <c r="I53" i="16"/>
  <c r="AZ27" i="31"/>
  <c r="BA27" i="31"/>
  <c r="I32" i="31"/>
  <c r="I29" i="31"/>
  <c r="AL11" i="18"/>
  <c r="AM24" i="18" s="1"/>
  <c r="AE40" i="18"/>
  <c r="AK60" i="16"/>
  <c r="AK75" i="16"/>
  <c r="AK77" i="16"/>
  <c r="AK29" i="16"/>
  <c r="AK30" i="16"/>
  <c r="AK72" i="16"/>
  <c r="AK11" i="16"/>
  <c r="AK68" i="16"/>
  <c r="AK45" i="16"/>
  <c r="AK35" i="16"/>
  <c r="AK10" i="16"/>
  <c r="I41" i="31"/>
  <c r="I16" i="31"/>
  <c r="AW60" i="30"/>
  <c r="AW28" i="30"/>
  <c r="AW75" i="30"/>
  <c r="AZ57" i="28"/>
  <c r="I47" i="28"/>
  <c r="G61" i="28"/>
  <c r="G10" i="28"/>
  <c r="G73" i="28"/>
  <c r="G47" i="28"/>
  <c r="AX30" i="16"/>
  <c r="AG68" i="27"/>
  <c r="AG59" i="27"/>
  <c r="AE51" i="18"/>
  <c r="AP53" i="1"/>
  <c r="I78" i="31"/>
  <c r="I15" i="31"/>
  <c r="Q37" i="31"/>
  <c r="BA72" i="30"/>
  <c r="AW35" i="30"/>
  <c r="AW59" i="30"/>
  <c r="AG74" i="28"/>
  <c r="I66" i="28"/>
  <c r="G74" i="28"/>
  <c r="G32" i="28"/>
  <c r="G38" i="28"/>
  <c r="AG62" i="27"/>
  <c r="AR42" i="27"/>
  <c r="AE30" i="18"/>
  <c r="U14" i="27"/>
  <c r="U46" i="27"/>
  <c r="U31" i="27"/>
  <c r="U21" i="27"/>
  <c r="AI11" i="18"/>
  <c r="AI73" i="18"/>
  <c r="AI16" i="18"/>
  <c r="AI6" i="18"/>
  <c r="AI19" i="18"/>
  <c r="AI57" i="18"/>
  <c r="AI65" i="18"/>
  <c r="AI43" i="18"/>
  <c r="AI27" i="18"/>
  <c r="AI34" i="18"/>
  <c r="D48" i="16"/>
  <c r="AG20" i="28"/>
  <c r="AW17" i="27"/>
  <c r="AR50" i="27"/>
  <c r="AE65" i="18"/>
  <c r="I47" i="31"/>
  <c r="I37" i="31"/>
  <c r="AW7" i="30"/>
  <c r="AW19" i="30"/>
  <c r="AG45" i="28"/>
  <c r="G8" i="28"/>
  <c r="G24" i="28"/>
  <c r="G53" i="28"/>
  <c r="G62" i="28"/>
  <c r="AZ22" i="29"/>
  <c r="AR74" i="27"/>
  <c r="I44" i="18"/>
  <c r="I19" i="18"/>
  <c r="I45" i="18"/>
  <c r="I65" i="18"/>
  <c r="I8" i="18"/>
  <c r="I68" i="18"/>
  <c r="I29" i="18"/>
  <c r="I43" i="18"/>
  <c r="I40" i="18"/>
  <c r="AE16" i="18"/>
  <c r="AP20" i="1"/>
  <c r="AX20" i="1" s="1"/>
  <c r="I57" i="31"/>
  <c r="I20" i="31"/>
  <c r="AW42" i="30"/>
  <c r="AW27" i="30"/>
  <c r="AG10" i="28"/>
  <c r="G41" i="28"/>
  <c r="G26" i="28"/>
  <c r="G51" i="28"/>
  <c r="G34" i="28"/>
  <c r="BA38" i="28"/>
  <c r="AZ38" i="28"/>
  <c r="AE43" i="18"/>
  <c r="AK33" i="16"/>
  <c r="AP66" i="1"/>
  <c r="AP44" i="1"/>
  <c r="I59" i="31"/>
  <c r="AW45" i="30"/>
  <c r="AW65" i="30"/>
  <c r="AG39" i="28"/>
  <c r="G66" i="28"/>
  <c r="G25" i="28"/>
  <c r="G71" i="28"/>
  <c r="AY57" i="27"/>
  <c r="U37" i="27"/>
  <c r="AE7" i="18"/>
  <c r="AK40" i="16"/>
  <c r="M35" i="16"/>
  <c r="M16" i="16"/>
  <c r="M51" i="16"/>
  <c r="M33" i="16"/>
  <c r="M52" i="16"/>
  <c r="M25" i="16"/>
  <c r="M49" i="16"/>
  <c r="M34" i="16"/>
  <c r="M7" i="16"/>
  <c r="M56" i="16"/>
  <c r="M11" i="16"/>
  <c r="M29" i="16"/>
  <c r="M27" i="16"/>
  <c r="M30" i="16"/>
  <c r="M42" i="16"/>
  <c r="M76" i="16"/>
  <c r="M23" i="16"/>
  <c r="M50" i="16"/>
  <c r="M26" i="16"/>
  <c r="Q74" i="31"/>
  <c r="Q52" i="31"/>
  <c r="AW32" i="30"/>
  <c r="AW58" i="30"/>
  <c r="AZ59" i="28"/>
  <c r="AG40" i="28"/>
  <c r="I35" i="28"/>
  <c r="G16" i="28"/>
  <c r="G40" i="28"/>
  <c r="G57" i="28"/>
  <c r="F48" i="29"/>
  <c r="AY74" i="28"/>
  <c r="AG62" i="16"/>
  <c r="AY50" i="27"/>
  <c r="AR20" i="27"/>
  <c r="AE19" i="18"/>
  <c r="AE11" i="18"/>
  <c r="AK61" i="16"/>
  <c r="AP32" i="16"/>
  <c r="AX32" i="16" s="1"/>
  <c r="O49" i="16"/>
  <c r="O78" i="16"/>
  <c r="AZ32" i="31"/>
  <c r="BA32" i="31"/>
  <c r="O56" i="16"/>
  <c r="O10" i="16"/>
  <c r="AR60" i="30"/>
  <c r="O35" i="16"/>
  <c r="AP41" i="16"/>
  <c r="AY41" i="16" s="1"/>
  <c r="AZ45" i="17"/>
  <c r="U50" i="18"/>
  <c r="AI73" i="16"/>
  <c r="AU36" i="16"/>
  <c r="AU63" i="16"/>
  <c r="O41" i="16"/>
  <c r="AP55" i="16"/>
  <c r="R48" i="29"/>
  <c r="AP81" i="17"/>
  <c r="AZ37" i="31"/>
  <c r="BA37" i="31"/>
  <c r="AJ18" i="27"/>
  <c r="AK18" i="27" s="1"/>
  <c r="AU15" i="16"/>
  <c r="U24" i="18"/>
  <c r="AW24" i="18"/>
  <c r="AR37" i="27"/>
  <c r="AV48" i="18"/>
  <c r="U51" i="18"/>
  <c r="G33" i="27"/>
  <c r="G40" i="27"/>
  <c r="G57" i="27"/>
  <c r="O10" i="18"/>
  <c r="AI11" i="16"/>
  <c r="AU49" i="16"/>
  <c r="AU16" i="16"/>
  <c r="O25" i="16"/>
  <c r="AP37" i="16"/>
  <c r="AR12" i="16"/>
  <c r="M50" i="29"/>
  <c r="M77" i="29"/>
  <c r="AI22" i="28"/>
  <c r="AI20" i="28"/>
  <c r="K9" i="29"/>
  <c r="I30" i="29"/>
  <c r="I75" i="29"/>
  <c r="AP28" i="29"/>
  <c r="AI17" i="18"/>
  <c r="K77" i="29"/>
  <c r="K60" i="29"/>
  <c r="K40" i="29"/>
  <c r="K27" i="29"/>
  <c r="K19" i="29"/>
  <c r="O17" i="31"/>
  <c r="V17" i="31"/>
  <c r="E47" i="29"/>
  <c r="D48" i="29"/>
  <c r="G54" i="28"/>
  <c r="G17" i="28"/>
  <c r="AK66" i="27"/>
  <c r="O65" i="16"/>
  <c r="M51" i="18"/>
  <c r="AW35" i="18"/>
  <c r="AP31" i="27"/>
  <c r="U54" i="27"/>
  <c r="AR23" i="27"/>
  <c r="BA23" i="27" s="1"/>
  <c r="AR36" i="18"/>
  <c r="U31" i="18"/>
  <c r="U75" i="18"/>
  <c r="G25" i="27"/>
  <c r="G27" i="27"/>
  <c r="U9" i="18"/>
  <c r="AI17" i="16"/>
  <c r="AR32" i="16"/>
  <c r="AP9" i="16"/>
  <c r="AE7" i="16"/>
  <c r="AU33" i="16"/>
  <c r="O53" i="16"/>
  <c r="O55" i="16"/>
  <c r="V34" i="1"/>
  <c r="W34" i="1" s="1"/>
  <c r="X19" i="1"/>
  <c r="AP72" i="28"/>
  <c r="M30" i="29"/>
  <c r="AX45" i="29"/>
  <c r="T28" i="1"/>
  <c r="X28" i="1" s="1"/>
  <c r="Y28" i="1" s="1"/>
  <c r="S28" i="1"/>
  <c r="D30" i="1"/>
  <c r="C30" i="1"/>
  <c r="O39" i="16"/>
  <c r="U43" i="18"/>
  <c r="AR65" i="18"/>
  <c r="M63" i="18"/>
  <c r="AW59" i="18"/>
  <c r="U77" i="18"/>
  <c r="AU65" i="27"/>
  <c r="U78" i="18"/>
  <c r="AI44" i="16"/>
  <c r="AI9" i="16"/>
  <c r="AU27" i="16"/>
  <c r="AU24" i="16"/>
  <c r="O76" i="16"/>
  <c r="O33" i="16"/>
  <c r="Z47" i="29"/>
  <c r="AA47" i="29" s="1"/>
  <c r="K58" i="29"/>
  <c r="AR56" i="18"/>
  <c r="BA56" i="18" s="1"/>
  <c r="U35" i="18"/>
  <c r="AU74" i="27"/>
  <c r="U14" i="18"/>
  <c r="AK47" i="16"/>
  <c r="AU42" i="16"/>
  <c r="O28" i="16"/>
  <c r="K29" i="29"/>
  <c r="M42" i="31"/>
  <c r="M41" i="31"/>
  <c r="M73" i="31"/>
  <c r="M52" i="31"/>
  <c r="M59" i="31"/>
  <c r="AP58" i="29"/>
  <c r="T70" i="1"/>
  <c r="AB70" i="1" s="1"/>
  <c r="AR70" i="1" s="1"/>
  <c r="AZ70" i="1" s="1"/>
  <c r="X53" i="17"/>
  <c r="AB41" i="17"/>
  <c r="AR41" i="17" s="1"/>
  <c r="F17" i="17"/>
  <c r="Z17" i="17" s="1"/>
  <c r="AB40" i="28"/>
  <c r="AR40" i="28" s="1"/>
  <c r="AN50" i="28"/>
  <c r="AR50" i="28" s="1"/>
  <c r="AN13" i="17"/>
  <c r="AR13" i="17" s="1"/>
  <c r="AZ13" i="17" s="1"/>
  <c r="H47" i="17"/>
  <c r="AB47" i="17" s="1"/>
  <c r="AB23" i="17"/>
  <c r="V29" i="18"/>
  <c r="W29" i="18" s="1"/>
  <c r="Z38" i="18"/>
  <c r="AL65" i="18"/>
  <c r="X16" i="27"/>
  <c r="AL24" i="28"/>
  <c r="AP24" i="28" s="1"/>
  <c r="AY24" i="28" s="1"/>
  <c r="Z29" i="28"/>
  <c r="AP29" i="28" s="1"/>
  <c r="AP14" i="31"/>
  <c r="AY14" i="31" s="1"/>
  <c r="AR19" i="29"/>
  <c r="R54" i="18"/>
  <c r="D47" i="17"/>
  <c r="AN17" i="29"/>
  <c r="AL10" i="1"/>
  <c r="AP10" i="1" s="1"/>
  <c r="Z33" i="17"/>
  <c r="AP33" i="17" s="1"/>
  <c r="AL15" i="28"/>
  <c r="AL19" i="28"/>
  <c r="AP19" i="28" s="1"/>
  <c r="AX19" i="28" s="1"/>
  <c r="V46" i="28"/>
  <c r="V58" i="28"/>
  <c r="AR20" i="30"/>
  <c r="X62" i="29"/>
  <c r="AR34" i="28"/>
  <c r="S49" i="18"/>
  <c r="Z63" i="18"/>
  <c r="Z9" i="29"/>
  <c r="AP9" i="29" s="1"/>
  <c r="Z45" i="18"/>
  <c r="AL46" i="18"/>
  <c r="AN9" i="28"/>
  <c r="AL10" i="28"/>
  <c r="AF62" i="28"/>
  <c r="AN62" i="28" s="1"/>
  <c r="P62" i="28"/>
  <c r="X62" i="28" s="1"/>
  <c r="AN15" i="1"/>
  <c r="AE43" i="31"/>
  <c r="O46" i="31"/>
  <c r="O73" i="31"/>
  <c r="AR52" i="30"/>
  <c r="AP31" i="30"/>
  <c r="AR14" i="29"/>
  <c r="AR40" i="29"/>
  <c r="Z49" i="18"/>
  <c r="AP49" i="18" s="1"/>
  <c r="AX49" i="18" s="1"/>
  <c r="X55" i="28"/>
  <c r="Y55" i="28" s="1"/>
  <c r="AP28" i="28"/>
  <c r="Z29" i="16"/>
  <c r="AP29" i="16" s="1"/>
  <c r="Z35" i="16"/>
  <c r="AP35" i="16" s="1"/>
  <c r="T54" i="16"/>
  <c r="X54" i="16" s="1"/>
  <c r="AB53" i="16"/>
  <c r="AR53" i="16" s="1"/>
  <c r="AB57" i="16"/>
  <c r="AL71" i="16"/>
  <c r="AP71" i="16" s="1"/>
  <c r="AX71" i="16" s="1"/>
  <c r="AL20" i="18"/>
  <c r="AL23" i="18"/>
  <c r="AL26" i="18"/>
  <c r="AN10" i="28"/>
  <c r="AR10" i="28" s="1"/>
  <c r="Z51" i="28"/>
  <c r="AP51" i="28" s="1"/>
  <c r="AN72" i="28"/>
  <c r="AP8" i="30"/>
  <c r="AR83" i="29"/>
  <c r="AR60" i="28"/>
  <c r="AR46" i="17"/>
  <c r="Z34" i="29"/>
  <c r="AP34" i="29" s="1"/>
  <c r="Z75" i="17"/>
  <c r="AP75" i="17" s="1"/>
  <c r="N47" i="27"/>
  <c r="AN77" i="28"/>
  <c r="X6" i="29"/>
  <c r="T17" i="29"/>
  <c r="AB15" i="29"/>
  <c r="AR15" i="29" s="1"/>
  <c r="BA15" i="29" s="1"/>
  <c r="AG36" i="29"/>
  <c r="O15" i="31"/>
  <c r="O75" i="31"/>
  <c r="AU58" i="31"/>
  <c r="O35" i="31"/>
  <c r="AR8" i="29"/>
  <c r="AP29" i="29"/>
  <c r="AR50" i="29"/>
  <c r="AN83" i="29"/>
  <c r="AL15" i="1"/>
  <c r="AP15" i="1" s="1"/>
  <c r="AQ15" i="1" s="1"/>
  <c r="X21" i="17"/>
  <c r="AB42" i="17"/>
  <c r="AR42" i="17" s="1"/>
  <c r="BA42" i="17" s="1"/>
  <c r="Z27" i="28"/>
  <c r="Z30" i="28"/>
  <c r="AP30" i="28" s="1"/>
  <c r="AY30" i="28" s="1"/>
  <c r="X37" i="28"/>
  <c r="AG38" i="31"/>
  <c r="N18" i="31"/>
  <c r="O18" i="31" s="1"/>
  <c r="O77" i="31"/>
  <c r="AU52" i="31"/>
  <c r="O9" i="31"/>
  <c r="M40" i="30"/>
  <c r="M73" i="30"/>
  <c r="M25" i="30"/>
  <c r="M22" i="30"/>
  <c r="I25" i="30"/>
  <c r="AP51" i="31"/>
  <c r="AG32" i="29"/>
  <c r="U25" i="29"/>
  <c r="U45" i="29"/>
  <c r="AI71" i="30"/>
  <c r="O66" i="30"/>
  <c r="O65" i="30"/>
  <c r="AI38" i="30"/>
  <c r="AI39" i="30"/>
  <c r="O21" i="30"/>
  <c r="O15" i="29"/>
  <c r="O42" i="29"/>
  <c r="AG10" i="29"/>
  <c r="AG28" i="29"/>
  <c r="AG45" i="29"/>
  <c r="AG78" i="29"/>
  <c r="AP65" i="29"/>
  <c r="AR77" i="28"/>
  <c r="AB70" i="29"/>
  <c r="Z20" i="17"/>
  <c r="AP20" i="17" s="1"/>
  <c r="AL27" i="17"/>
  <c r="AP27" i="17" s="1"/>
  <c r="AB34" i="17"/>
  <c r="AN35" i="17"/>
  <c r="AR35" i="17" s="1"/>
  <c r="Z10" i="28"/>
  <c r="Z57" i="28"/>
  <c r="AP57" i="28" s="1"/>
  <c r="Z65" i="28"/>
  <c r="AP65" i="28" s="1"/>
  <c r="Z70" i="28"/>
  <c r="AP70" i="28" s="1"/>
  <c r="AX70" i="28" s="1"/>
  <c r="AB72" i="28"/>
  <c r="AG39" i="31"/>
  <c r="O63" i="31"/>
  <c r="O40" i="31"/>
  <c r="AU75" i="31"/>
  <c r="O39" i="31"/>
  <c r="M61" i="30"/>
  <c r="M35" i="30"/>
  <c r="M20" i="30"/>
  <c r="M14" i="30"/>
  <c r="M11" i="30"/>
  <c r="AP49" i="31"/>
  <c r="AX49" i="31" s="1"/>
  <c r="O63" i="30"/>
  <c r="AI46" i="30"/>
  <c r="AK9" i="29"/>
  <c r="O50" i="29"/>
  <c r="AG20" i="29"/>
  <c r="AG9" i="29"/>
  <c r="AP33" i="29"/>
  <c r="Z17" i="29"/>
  <c r="AP17" i="29" s="1"/>
  <c r="AY17" i="29" s="1"/>
  <c r="AB58" i="28"/>
  <c r="AR58" i="28" s="1"/>
  <c r="BA58" i="28" s="1"/>
  <c r="D54" i="28"/>
  <c r="E54" i="28" s="1"/>
  <c r="X60" i="17"/>
  <c r="AN52" i="17"/>
  <c r="AR52" i="17" s="1"/>
  <c r="X21" i="16"/>
  <c r="AB22" i="16"/>
  <c r="AB25" i="16"/>
  <c r="AR25" i="16" s="1"/>
  <c r="AN38" i="16"/>
  <c r="AR38" i="16" s="1"/>
  <c r="X39" i="16"/>
  <c r="AN41" i="16"/>
  <c r="AR41" i="16" s="1"/>
  <c r="X42" i="16"/>
  <c r="Z52" i="16"/>
  <c r="AP52" i="16" s="1"/>
  <c r="AL53" i="16"/>
  <c r="AP53" i="16" s="1"/>
  <c r="X73" i="16"/>
  <c r="AN75" i="16"/>
  <c r="AR75" i="16" s="1"/>
  <c r="AN77" i="16"/>
  <c r="AR77" i="16" s="1"/>
  <c r="Z10" i="17"/>
  <c r="AP10" i="17" s="1"/>
  <c r="AY10" i="17" s="1"/>
  <c r="X14" i="17"/>
  <c r="X19" i="17"/>
  <c r="AB32" i="17"/>
  <c r="AR32" i="17" s="1"/>
  <c r="AN33" i="17"/>
  <c r="AR33" i="17" s="1"/>
  <c r="V36" i="18"/>
  <c r="W36" i="18" s="1"/>
  <c r="AL38" i="18"/>
  <c r="AM38" i="18" s="1"/>
  <c r="AL41" i="18"/>
  <c r="AL63" i="18"/>
  <c r="AM63" i="18" s="1"/>
  <c r="Z65" i="18"/>
  <c r="Z72" i="18"/>
  <c r="AP72" i="18" s="1"/>
  <c r="AX72" i="18" s="1"/>
  <c r="Z75" i="18"/>
  <c r="AP75" i="18" s="1"/>
  <c r="Z22" i="27"/>
  <c r="AP22" i="27" s="1"/>
  <c r="Z71" i="28"/>
  <c r="AP71" i="28" s="1"/>
  <c r="AP57" i="30"/>
  <c r="AR52" i="29"/>
  <c r="AR34" i="17"/>
  <c r="D72" i="1"/>
  <c r="Z12" i="30"/>
  <c r="Z25" i="16"/>
  <c r="AP25" i="16" s="1"/>
  <c r="Z31" i="16"/>
  <c r="AN45" i="16"/>
  <c r="AR45" i="16" s="1"/>
  <c r="AB46" i="16"/>
  <c r="AV54" i="16"/>
  <c r="AW54" i="16" s="1"/>
  <c r="AV62" i="16"/>
  <c r="AW62" i="16" s="1"/>
  <c r="X58" i="16"/>
  <c r="AN60" i="16"/>
  <c r="AR60" i="16" s="1"/>
  <c r="BA60" i="16" s="1"/>
  <c r="X61" i="16"/>
  <c r="X66" i="16"/>
  <c r="Z74" i="16"/>
  <c r="AP74" i="16" s="1"/>
  <c r="AX74" i="16" s="1"/>
  <c r="Z12" i="18"/>
  <c r="AP12" i="18" s="1"/>
  <c r="AX12" i="18" s="1"/>
  <c r="AL65" i="27"/>
  <c r="AP65" i="27" s="1"/>
  <c r="AB28" i="28"/>
  <c r="AR28" i="28" s="1"/>
  <c r="Z46" i="28"/>
  <c r="AP46" i="28" s="1"/>
  <c r="O38" i="31"/>
  <c r="Q62" i="29"/>
  <c r="Z14" i="18"/>
  <c r="AP14" i="18" s="1"/>
  <c r="V20" i="1"/>
  <c r="W20" i="1" s="1"/>
  <c r="AB63" i="17"/>
  <c r="AR63" i="17" s="1"/>
  <c r="V70" i="17"/>
  <c r="Z72" i="17"/>
  <c r="AP72" i="17" s="1"/>
  <c r="Z10" i="18"/>
  <c r="AP10" i="18" s="1"/>
  <c r="AL45" i="18"/>
  <c r="AM45" i="18" s="1"/>
  <c r="AL6" i="28"/>
  <c r="AP6" i="28" s="1"/>
  <c r="AL21" i="28"/>
  <c r="AL35" i="28"/>
  <c r="AB45" i="28"/>
  <c r="AR45" i="28" s="1"/>
  <c r="Z23" i="29"/>
  <c r="Z24" i="29"/>
  <c r="Z36" i="29"/>
  <c r="AP36" i="29" s="1"/>
  <c r="P54" i="17"/>
  <c r="X54" i="17" s="1"/>
  <c r="V40" i="29"/>
  <c r="H54" i="17"/>
  <c r="AB73" i="28"/>
  <c r="AR73" i="28" s="1"/>
  <c r="AZ73" i="28" s="1"/>
  <c r="BA25" i="1"/>
  <c r="AZ25" i="1"/>
  <c r="AO17" i="18"/>
  <c r="AO31" i="18"/>
  <c r="AO20" i="18"/>
  <c r="AO78" i="18"/>
  <c r="AO39" i="18"/>
  <c r="AR11" i="18"/>
  <c r="AO58" i="18"/>
  <c r="AO71" i="18"/>
  <c r="AO50" i="18"/>
  <c r="AP43" i="1"/>
  <c r="AX43" i="1" s="1"/>
  <c r="AY28" i="1"/>
  <c r="AX28" i="1"/>
  <c r="AK41" i="1"/>
  <c r="AK61" i="1"/>
  <c r="AK51" i="1"/>
  <c r="AK6" i="1"/>
  <c r="AK47" i="1"/>
  <c r="AK15" i="1"/>
  <c r="AK43" i="1"/>
  <c r="AK59" i="1"/>
  <c r="AK32" i="1"/>
  <c r="AK14" i="1"/>
  <c r="AK75" i="1"/>
  <c r="AK45" i="1"/>
  <c r="AK66" i="1"/>
  <c r="AK60" i="1"/>
  <c r="AK37" i="1"/>
  <c r="AK9" i="1"/>
  <c r="AK77" i="1"/>
  <c r="AK78" i="1"/>
  <c r="AK27" i="1"/>
  <c r="AK50" i="1"/>
  <c r="AK29" i="1"/>
  <c r="AO57" i="18"/>
  <c r="AI10" i="17"/>
  <c r="I19" i="17"/>
  <c r="I10" i="17"/>
  <c r="I76" i="17"/>
  <c r="I37" i="17"/>
  <c r="I61" i="17"/>
  <c r="I44" i="17"/>
  <c r="I57" i="17"/>
  <c r="I71" i="17"/>
  <c r="I51" i="17"/>
  <c r="I34" i="17"/>
  <c r="I68" i="17"/>
  <c r="I23" i="17"/>
  <c r="I36" i="17"/>
  <c r="I75" i="17"/>
  <c r="I58" i="17"/>
  <c r="AX32" i="1"/>
  <c r="BA50" i="1"/>
  <c r="AZ50" i="1"/>
  <c r="AK10" i="1"/>
  <c r="AB43" i="1"/>
  <c r="I43" i="1"/>
  <c r="AR40" i="1"/>
  <c r="AZ40" i="1" s="1"/>
  <c r="AB31" i="1"/>
  <c r="AR31" i="1" s="1"/>
  <c r="M18" i="27"/>
  <c r="M43" i="28"/>
  <c r="AO24" i="18"/>
  <c r="AO60" i="18"/>
  <c r="AZ8" i="17"/>
  <c r="AZ42" i="17"/>
  <c r="AI12" i="17"/>
  <c r="I56" i="17"/>
  <c r="I21" i="17"/>
  <c r="AK53" i="17"/>
  <c r="AK27" i="17"/>
  <c r="AK65" i="17"/>
  <c r="AK76" i="17"/>
  <c r="AK24" i="1"/>
  <c r="AY45" i="16"/>
  <c r="AX45" i="16"/>
  <c r="M23" i="28"/>
  <c r="AO9" i="18"/>
  <c r="AO43" i="18"/>
  <c r="AI14" i="17"/>
  <c r="I65" i="17"/>
  <c r="I77" i="17"/>
  <c r="I46" i="17"/>
  <c r="W44" i="17"/>
  <c r="AY77" i="17"/>
  <c r="AX77" i="17"/>
  <c r="X32" i="1"/>
  <c r="Y32" i="1" s="1"/>
  <c r="Q32" i="1"/>
  <c r="AK49" i="1"/>
  <c r="AK30" i="1"/>
  <c r="AE18" i="16"/>
  <c r="AR62" i="16"/>
  <c r="AC62" i="16"/>
  <c r="AI37" i="17"/>
  <c r="AI36" i="17"/>
  <c r="AK54" i="1"/>
  <c r="AK35" i="1"/>
  <c r="AX60" i="1"/>
  <c r="AY60" i="1"/>
  <c r="AB53" i="1"/>
  <c r="AR53" i="1" s="1"/>
  <c r="I53" i="1"/>
  <c r="AY16" i="1"/>
  <c r="AX16" i="1"/>
  <c r="M9" i="28"/>
  <c r="AO10" i="29"/>
  <c r="AO21" i="29"/>
  <c r="AO23" i="29"/>
  <c r="AY56" i="28"/>
  <c r="Y62" i="28"/>
  <c r="Y73" i="28"/>
  <c r="Y25" i="28"/>
  <c r="AO25" i="18"/>
  <c r="AO77" i="18"/>
  <c r="AY16" i="18"/>
  <c r="AY24" i="18"/>
  <c r="AX24" i="18"/>
  <c r="AX83" i="1"/>
  <c r="AR83" i="1"/>
  <c r="AX7" i="17"/>
  <c r="K71" i="17"/>
  <c r="H18" i="17"/>
  <c r="H48" i="17" s="1"/>
  <c r="H64" i="17" s="1"/>
  <c r="I35" i="17"/>
  <c r="AP36" i="17"/>
  <c r="AX36" i="17" s="1"/>
  <c r="AG32" i="17"/>
  <c r="AG62" i="17"/>
  <c r="K63" i="17"/>
  <c r="K62" i="17"/>
  <c r="AY21" i="1"/>
  <c r="Y55" i="1"/>
  <c r="AK16" i="1"/>
  <c r="AK42" i="1"/>
  <c r="AR47" i="1"/>
  <c r="BA47" i="1" s="1"/>
  <c r="AO31" i="29"/>
  <c r="AM51" i="29"/>
  <c r="AM6" i="29"/>
  <c r="AM56" i="29"/>
  <c r="AM25" i="29"/>
  <c r="AM32" i="29"/>
  <c r="AM78" i="29"/>
  <c r="AM21" i="29"/>
  <c r="Y68" i="30"/>
  <c r="AY45" i="30"/>
  <c r="AC77" i="30"/>
  <c r="AC6" i="30"/>
  <c r="AC53" i="30"/>
  <c r="AM38" i="29"/>
  <c r="AM44" i="29"/>
  <c r="AO77" i="29"/>
  <c r="AY44" i="27"/>
  <c r="AZ51" i="27"/>
  <c r="M34" i="28"/>
  <c r="AO27" i="18"/>
  <c r="AO21" i="18"/>
  <c r="AZ59" i="18"/>
  <c r="Y15" i="18"/>
  <c r="AZ83" i="18"/>
  <c r="BA83" i="18"/>
  <c r="S62" i="17"/>
  <c r="K74" i="17"/>
  <c r="I62" i="17"/>
  <c r="I24" i="17"/>
  <c r="AG61" i="17"/>
  <c r="X11" i="17"/>
  <c r="Y68" i="17" s="1"/>
  <c r="Q55" i="17"/>
  <c r="Q38" i="17"/>
  <c r="AI35" i="17"/>
  <c r="K29" i="17"/>
  <c r="AL47" i="17"/>
  <c r="AI47" i="17"/>
  <c r="Y51" i="1"/>
  <c r="AK52" i="1"/>
  <c r="AK65" i="1"/>
  <c r="K46" i="1"/>
  <c r="K50" i="1"/>
  <c r="K20" i="1"/>
  <c r="K51" i="1"/>
  <c r="K58" i="1"/>
  <c r="K78" i="1"/>
  <c r="K19" i="1"/>
  <c r="K35" i="1"/>
  <c r="K44" i="1"/>
  <c r="K38" i="1"/>
  <c r="K57" i="1"/>
  <c r="K54" i="1"/>
  <c r="K56" i="1"/>
  <c r="K28" i="1"/>
  <c r="K52" i="1"/>
  <c r="K62" i="1"/>
  <c r="K24" i="1"/>
  <c r="K6" i="1"/>
  <c r="K8" i="1"/>
  <c r="L11" i="1"/>
  <c r="M37" i="1" s="1"/>
  <c r="K59" i="1"/>
  <c r="AX83" i="30"/>
  <c r="M75" i="28"/>
  <c r="AO53" i="18"/>
  <c r="AO37" i="18"/>
  <c r="AH18" i="17"/>
  <c r="AI18" i="17" s="1"/>
  <c r="Y50" i="18"/>
  <c r="Y31" i="30"/>
  <c r="AM41" i="29"/>
  <c r="AM73" i="29"/>
  <c r="AO7" i="29"/>
  <c r="BA31" i="27"/>
  <c r="AM27" i="27"/>
  <c r="AM10" i="27"/>
  <c r="AY66" i="27"/>
  <c r="AX66" i="27"/>
  <c r="AO74" i="18"/>
  <c r="AO55" i="18"/>
  <c r="I8" i="17"/>
  <c r="I42" i="17"/>
  <c r="I45" i="17"/>
  <c r="AG73" i="17"/>
  <c r="K47" i="17"/>
  <c r="AB41" i="1"/>
  <c r="AR41" i="1" s="1"/>
  <c r="Y34" i="1"/>
  <c r="AK68" i="1"/>
  <c r="AY50" i="16"/>
  <c r="AX50" i="16"/>
  <c r="AB59" i="1"/>
  <c r="I59" i="1"/>
  <c r="BA49" i="30"/>
  <c r="AO28" i="18"/>
  <c r="S54" i="17"/>
  <c r="V54" i="17"/>
  <c r="W54" i="17" s="1"/>
  <c r="AZ6" i="17"/>
  <c r="BA6" i="17"/>
  <c r="AZ44" i="1"/>
  <c r="BA44" i="1"/>
  <c r="AK11" i="1"/>
  <c r="AX47" i="30"/>
  <c r="AO14" i="18"/>
  <c r="BA20" i="17"/>
  <c r="AK26" i="1"/>
  <c r="AK55" i="1"/>
  <c r="Y77" i="1"/>
  <c r="Y58" i="1"/>
  <c r="Y75" i="1"/>
  <c r="Y44" i="1"/>
  <c r="Y59" i="1"/>
  <c r="Y73" i="1"/>
  <c r="Y10" i="1"/>
  <c r="AO32" i="18"/>
  <c r="AX53" i="17"/>
  <c r="AS27" i="18"/>
  <c r="Y52" i="18"/>
  <c r="Y32" i="18"/>
  <c r="Y45" i="18"/>
  <c r="Y22" i="18"/>
  <c r="Y6" i="18"/>
  <c r="Y23" i="18"/>
  <c r="Y21" i="18"/>
  <c r="Y46" i="18"/>
  <c r="Y33" i="18"/>
  <c r="Y11" i="18"/>
  <c r="Y60" i="18"/>
  <c r="Y58" i="18"/>
  <c r="Y10" i="18"/>
  <c r="Y40" i="18"/>
  <c r="Y19" i="18"/>
  <c r="Y9" i="18"/>
  <c r="Y36" i="18"/>
  <c r="Y68" i="18"/>
  <c r="Y26" i="18"/>
  <c r="W11" i="17"/>
  <c r="I29" i="17"/>
  <c r="I49" i="17"/>
  <c r="BA36" i="17"/>
  <c r="AZ36" i="17"/>
  <c r="K26" i="17"/>
  <c r="K40" i="17"/>
  <c r="K25" i="17"/>
  <c r="K32" i="17"/>
  <c r="K52" i="17"/>
  <c r="K57" i="17"/>
  <c r="J18" i="17"/>
  <c r="K18" i="17" s="1"/>
  <c r="K49" i="17"/>
  <c r="K20" i="17"/>
  <c r="K68" i="17"/>
  <c r="K75" i="17"/>
  <c r="K23" i="17"/>
  <c r="K45" i="17"/>
  <c r="K10" i="17"/>
  <c r="K14" i="17"/>
  <c r="K55" i="17"/>
  <c r="K77" i="17"/>
  <c r="K16" i="17"/>
  <c r="K19" i="17"/>
  <c r="K28" i="17"/>
  <c r="K76" i="17"/>
  <c r="AK31" i="1"/>
  <c r="AK23" i="1"/>
  <c r="AZ42" i="30"/>
  <c r="L18" i="28"/>
  <c r="M68" i="28"/>
  <c r="M14" i="28"/>
  <c r="M16" i="28"/>
  <c r="M10" i="28"/>
  <c r="AO52" i="18"/>
  <c r="AL17" i="17"/>
  <c r="AP17" i="17" s="1"/>
  <c r="AD18" i="17"/>
  <c r="AE18" i="17" s="1"/>
  <c r="AI32" i="17"/>
  <c r="AI11" i="17"/>
  <c r="AI7" i="17"/>
  <c r="AI39" i="17"/>
  <c r="AI66" i="17"/>
  <c r="AI33" i="17"/>
  <c r="AK53" i="1"/>
  <c r="AK20" i="1"/>
  <c r="G35" i="1"/>
  <c r="G76" i="1"/>
  <c r="G14" i="1"/>
  <c r="G11" i="1"/>
  <c r="G24" i="1"/>
  <c r="G27" i="1"/>
  <c r="G71" i="1"/>
  <c r="G74" i="1"/>
  <c r="G6" i="1"/>
  <c r="G19" i="1"/>
  <c r="G51" i="1"/>
  <c r="G65" i="1"/>
  <c r="G31" i="1"/>
  <c r="G15" i="1"/>
  <c r="G16" i="1"/>
  <c r="G21" i="1"/>
  <c r="G57" i="1"/>
  <c r="G60" i="1"/>
  <c r="G72" i="1"/>
  <c r="G42" i="1"/>
  <c r="G49" i="1"/>
  <c r="G66" i="1"/>
  <c r="G52" i="1"/>
  <c r="G28" i="1"/>
  <c r="G58" i="1"/>
  <c r="G73" i="1"/>
  <c r="G61" i="1"/>
  <c r="G56" i="1"/>
  <c r="AZ16" i="17"/>
  <c r="BA16" i="17"/>
  <c r="N18" i="17"/>
  <c r="O62" i="17"/>
  <c r="O44" i="17"/>
  <c r="O46" i="17"/>
  <c r="O30" i="17"/>
  <c r="O47" i="17"/>
  <c r="O77" i="17"/>
  <c r="O63" i="17"/>
  <c r="O55" i="17"/>
  <c r="O53" i="17"/>
  <c r="AP34" i="17"/>
  <c r="AY34" i="17" s="1"/>
  <c r="Y15" i="1"/>
  <c r="Y50" i="1"/>
  <c r="AY6" i="1"/>
  <c r="AX6" i="1"/>
  <c r="AE37" i="1"/>
  <c r="AE61" i="1"/>
  <c r="AE10" i="1"/>
  <c r="AE47" i="1"/>
  <c r="AE65" i="1"/>
  <c r="AE58" i="1"/>
  <c r="AE52" i="1"/>
  <c r="AE43" i="1"/>
  <c r="AE17" i="1"/>
  <c r="AE56" i="1"/>
  <c r="AE30" i="1"/>
  <c r="AE38" i="1"/>
  <c r="AE21" i="1"/>
  <c r="G63" i="1"/>
  <c r="G44" i="1"/>
  <c r="AY41" i="30"/>
  <c r="AX41" i="30"/>
  <c r="G15" i="17"/>
  <c r="G37" i="17"/>
  <c r="G60" i="17"/>
  <c r="G7" i="17"/>
  <c r="M10" i="17"/>
  <c r="M61" i="17"/>
  <c r="M11" i="17"/>
  <c r="M74" i="17"/>
  <c r="M7" i="17"/>
  <c r="M24" i="17"/>
  <c r="AP70" i="17"/>
  <c r="AX70" i="17" s="1"/>
  <c r="AY63" i="17"/>
  <c r="AX63" i="17"/>
  <c r="W47" i="17"/>
  <c r="Z11" i="1"/>
  <c r="AA20" i="1" s="1"/>
  <c r="AB63" i="1"/>
  <c r="I63" i="1"/>
  <c r="AP55" i="1"/>
  <c r="Y8" i="1"/>
  <c r="BA66" i="29"/>
  <c r="AZ66" i="29"/>
  <c r="AC14" i="18"/>
  <c r="AC45" i="18"/>
  <c r="AC37" i="18"/>
  <c r="AC20" i="18"/>
  <c r="M72" i="17"/>
  <c r="M28" i="17"/>
  <c r="AP61" i="17"/>
  <c r="AP44" i="17"/>
  <c r="G54" i="1"/>
  <c r="I74" i="1"/>
  <c r="Y62" i="1"/>
  <c r="G75" i="1"/>
  <c r="G55" i="1"/>
  <c r="G41" i="1"/>
  <c r="AB35" i="1"/>
  <c r="I35" i="1"/>
  <c r="AB32" i="1"/>
  <c r="AR32" i="1" s="1"/>
  <c r="BA32" i="1" s="1"/>
  <c r="I29" i="1"/>
  <c r="G26" i="1"/>
  <c r="BA73" i="30"/>
  <c r="AZ73" i="30"/>
  <c r="AP26" i="1"/>
  <c r="Q68" i="1"/>
  <c r="Q6" i="1"/>
  <c r="AP40" i="1"/>
  <c r="I26" i="1"/>
  <c r="Q34" i="1"/>
  <c r="AI29" i="1"/>
  <c r="AY65" i="31"/>
  <c r="AX65" i="31"/>
  <c r="AY43" i="30"/>
  <c r="AX43" i="30"/>
  <c r="AP47" i="1"/>
  <c r="AY47" i="1" s="1"/>
  <c r="Y31" i="1"/>
  <c r="Y41" i="1"/>
  <c r="AI45" i="1"/>
  <c r="AI59" i="1"/>
  <c r="AI25" i="1"/>
  <c r="AI27" i="1"/>
  <c r="Q8" i="1"/>
  <c r="Q58" i="1"/>
  <c r="I37" i="1"/>
  <c r="AB37" i="1"/>
  <c r="AR37" i="1" s="1"/>
  <c r="AP31" i="1"/>
  <c r="Q36" i="1"/>
  <c r="Q77" i="1"/>
  <c r="AI65" i="1"/>
  <c r="AE65" i="17"/>
  <c r="AE25" i="17"/>
  <c r="AE37" i="17"/>
  <c r="AE51" i="17"/>
  <c r="AY28" i="16"/>
  <c r="Y72" i="1"/>
  <c r="Y39" i="1"/>
  <c r="AI46" i="1"/>
  <c r="AI77" i="1"/>
  <c r="AI63" i="1"/>
  <c r="AI76" i="1"/>
  <c r="Q60" i="1"/>
  <c r="AP25" i="1"/>
  <c r="Q73" i="1"/>
  <c r="Q57" i="1"/>
  <c r="AI36" i="1"/>
  <c r="AP61" i="1"/>
  <c r="Y37" i="1"/>
  <c r="AI68" i="1"/>
  <c r="AI40" i="1"/>
  <c r="AI54" i="1"/>
  <c r="AI19" i="1"/>
  <c r="AB26" i="1"/>
  <c r="AR26" i="1" s="1"/>
  <c r="Q27" i="1"/>
  <c r="Q50" i="1"/>
  <c r="Q33" i="1"/>
  <c r="BA37" i="28"/>
  <c r="AZ37" i="28"/>
  <c r="AI28" i="1"/>
  <c r="AI37" i="1"/>
  <c r="AI78" i="1"/>
  <c r="AI56" i="1"/>
  <c r="AI75" i="1"/>
  <c r="AI24" i="1"/>
  <c r="AI39" i="1"/>
  <c r="AI35" i="1"/>
  <c r="AI72" i="1"/>
  <c r="AI8" i="1"/>
  <c r="Q59" i="1"/>
  <c r="Q16" i="1"/>
  <c r="Q24" i="1"/>
  <c r="Q35" i="1"/>
  <c r="Q74" i="1"/>
  <c r="Q30" i="1"/>
  <c r="Q75" i="1"/>
  <c r="Q78" i="1"/>
  <c r="Q23" i="1"/>
  <c r="Q11" i="1"/>
  <c r="Q38" i="1"/>
  <c r="Q56" i="1"/>
  <c r="Q43" i="1"/>
  <c r="Q21" i="1"/>
  <c r="BA8" i="31"/>
  <c r="AZ8" i="31"/>
  <c r="Y42" i="1"/>
  <c r="Q53" i="1"/>
  <c r="Q65" i="1"/>
  <c r="I24" i="1"/>
  <c r="Q7" i="1"/>
  <c r="AI33" i="1"/>
  <c r="AX40" i="30"/>
  <c r="AY40" i="30"/>
  <c r="AZ42" i="29"/>
  <c r="BA42" i="29"/>
  <c r="AG49" i="28"/>
  <c r="Q17" i="31"/>
  <c r="Q58" i="31"/>
  <c r="Q56" i="31"/>
  <c r="Q60" i="31"/>
  <c r="Q33" i="31"/>
  <c r="Q63" i="31"/>
  <c r="Q66" i="31"/>
  <c r="Q75" i="31"/>
  <c r="Q54" i="31"/>
  <c r="Q55" i="31"/>
  <c r="Q22" i="31"/>
  <c r="Q35" i="31"/>
  <c r="Q53" i="31"/>
  <c r="Q34" i="31"/>
  <c r="Q32" i="31"/>
  <c r="Q16" i="31"/>
  <c r="Q73" i="31"/>
  <c r="Q68" i="31"/>
  <c r="Q23" i="31"/>
  <c r="Q59" i="31"/>
  <c r="Q19" i="31"/>
  <c r="Q8" i="31"/>
  <c r="Q50" i="31"/>
  <c r="AZ77" i="30"/>
  <c r="BA77" i="30"/>
  <c r="AR65" i="1"/>
  <c r="AZ65" i="1" s="1"/>
  <c r="AP59" i="1"/>
  <c r="AP51" i="1"/>
  <c r="AY51" i="1" s="1"/>
  <c r="AP29" i="1"/>
  <c r="W77" i="1"/>
  <c r="W43" i="1"/>
  <c r="Q26" i="31"/>
  <c r="I26" i="31"/>
  <c r="I73" i="31"/>
  <c r="I76" i="31"/>
  <c r="I75" i="31"/>
  <c r="I54" i="31"/>
  <c r="I61" i="31"/>
  <c r="I8" i="31"/>
  <c r="I11" i="31"/>
  <c r="I52" i="31"/>
  <c r="I9" i="31"/>
  <c r="I45" i="31"/>
  <c r="I40" i="31"/>
  <c r="I74" i="31"/>
  <c r="I25" i="31"/>
  <c r="I42" i="31"/>
  <c r="I39" i="31"/>
  <c r="I72" i="31"/>
  <c r="I68" i="31"/>
  <c r="I23" i="31"/>
  <c r="I27" i="31"/>
  <c r="I71" i="31"/>
  <c r="I77" i="31"/>
  <c r="I65" i="31"/>
  <c r="I31" i="31"/>
  <c r="I53" i="31"/>
  <c r="AX6" i="27"/>
  <c r="AY6" i="27"/>
  <c r="AG9" i="28"/>
  <c r="AG76" i="28"/>
  <c r="AG25" i="28"/>
  <c r="AG26" i="28"/>
  <c r="AG46" i="28"/>
  <c r="AG66" i="28"/>
  <c r="AG59" i="28"/>
  <c r="AG7" i="28"/>
  <c r="AG71" i="28"/>
  <c r="AG68" i="28"/>
  <c r="AG27" i="28"/>
  <c r="AG15" i="28"/>
  <c r="AG22" i="28"/>
  <c r="AG38" i="28"/>
  <c r="AG50" i="28"/>
  <c r="AX55" i="30"/>
  <c r="AY55" i="30"/>
  <c r="AZ45" i="29"/>
  <c r="AR71" i="27"/>
  <c r="BA63" i="31"/>
  <c r="AZ63" i="31"/>
  <c r="M49" i="27"/>
  <c r="M75" i="27"/>
  <c r="M71" i="27"/>
  <c r="M66" i="27"/>
  <c r="AW35" i="27"/>
  <c r="AW72" i="27"/>
  <c r="AR34" i="18"/>
  <c r="AS34" i="18" s="1"/>
  <c r="AW8" i="30"/>
  <c r="AW31" i="30"/>
  <c r="AW71" i="30"/>
  <c r="AW77" i="30"/>
  <c r="AW37" i="30"/>
  <c r="AW29" i="30"/>
  <c r="AW21" i="30"/>
  <c r="AW26" i="30"/>
  <c r="AW39" i="30"/>
  <c r="AW22" i="30"/>
  <c r="AW46" i="30"/>
  <c r="AW55" i="30"/>
  <c r="AW23" i="30"/>
  <c r="AR19" i="28"/>
  <c r="M57" i="27"/>
  <c r="AZ40" i="16"/>
  <c r="AR53" i="27"/>
  <c r="AP42" i="1"/>
  <c r="AY42" i="1" s="1"/>
  <c r="O15" i="1"/>
  <c r="O39" i="1"/>
  <c r="O14" i="1"/>
  <c r="O23" i="1"/>
  <c r="O41" i="1"/>
  <c r="O40" i="1"/>
  <c r="AP9" i="1"/>
  <c r="AX9" i="1" s="1"/>
  <c r="Q74" i="28"/>
  <c r="Q38" i="28"/>
  <c r="Q52" i="28"/>
  <c r="AR28" i="27"/>
  <c r="AY73" i="28"/>
  <c r="BA10" i="28"/>
  <c r="AZ10" i="28"/>
  <c r="K62" i="28"/>
  <c r="K16" i="28"/>
  <c r="K63" i="28"/>
  <c r="K49" i="28"/>
  <c r="K7" i="18"/>
  <c r="K38" i="18"/>
  <c r="K63" i="18"/>
  <c r="K31" i="18"/>
  <c r="K24" i="18"/>
  <c r="K35" i="18"/>
  <c r="K39" i="18"/>
  <c r="K68" i="18"/>
  <c r="K55" i="18"/>
  <c r="K37" i="18"/>
  <c r="K51" i="18"/>
  <c r="K57" i="18"/>
  <c r="K42" i="18"/>
  <c r="K26" i="18"/>
  <c r="K52" i="18"/>
  <c r="K43" i="18"/>
  <c r="K6" i="18"/>
  <c r="AY53" i="18"/>
  <c r="AX53" i="18"/>
  <c r="AE17" i="18"/>
  <c r="AL17" i="18"/>
  <c r="AM17" i="18" s="1"/>
  <c r="AR55" i="16"/>
  <c r="BA55" i="16" s="1"/>
  <c r="O11" i="16"/>
  <c r="O7" i="16"/>
  <c r="O15" i="16"/>
  <c r="O31" i="16"/>
  <c r="O58" i="16"/>
  <c r="O38" i="16"/>
  <c r="O45" i="16"/>
  <c r="O19" i="16"/>
  <c r="O30" i="16"/>
  <c r="O50" i="16"/>
  <c r="O37" i="16"/>
  <c r="O36" i="16"/>
  <c r="O52" i="16"/>
  <c r="V11" i="16"/>
  <c r="W54" i="16" s="1"/>
  <c r="N18" i="16"/>
  <c r="O18" i="16" s="1"/>
  <c r="O27" i="16"/>
  <c r="O57" i="16"/>
  <c r="O21" i="16"/>
  <c r="O40" i="16"/>
  <c r="O43" i="16"/>
  <c r="O68" i="16"/>
  <c r="O29" i="16"/>
  <c r="O6" i="16"/>
  <c r="O24" i="16"/>
  <c r="O20" i="16"/>
  <c r="O73" i="16"/>
  <c r="O74" i="16"/>
  <c r="O8" i="16"/>
  <c r="O51" i="16"/>
  <c r="AG39" i="27"/>
  <c r="AW35" i="16"/>
  <c r="O32" i="16"/>
  <c r="I49" i="18"/>
  <c r="I24" i="18"/>
  <c r="U38" i="18"/>
  <c r="M30" i="18"/>
  <c r="AR32" i="27"/>
  <c r="U26" i="18"/>
  <c r="U57" i="18"/>
  <c r="U68" i="18"/>
  <c r="K61" i="18"/>
  <c r="K41" i="18"/>
  <c r="C47" i="16"/>
  <c r="O16" i="16"/>
  <c r="O75" i="16"/>
  <c r="AP25" i="31"/>
  <c r="AX25" i="29"/>
  <c r="AY25" i="29"/>
  <c r="AP21" i="27"/>
  <c r="K76" i="18"/>
  <c r="K14" i="18"/>
  <c r="AE65" i="28"/>
  <c r="AE21" i="28"/>
  <c r="AG42" i="27"/>
  <c r="AG74" i="27"/>
  <c r="AG43" i="27"/>
  <c r="AM21" i="18"/>
  <c r="AM16" i="18"/>
  <c r="AM25" i="18"/>
  <c r="AM55" i="18"/>
  <c r="I59" i="18"/>
  <c r="I66" i="18"/>
  <c r="AB62" i="27"/>
  <c r="AR62" i="27" s="1"/>
  <c r="BA62" i="27" s="1"/>
  <c r="AR32" i="18"/>
  <c r="U63" i="18"/>
  <c r="K54" i="18"/>
  <c r="K50" i="18"/>
  <c r="K49" i="18"/>
  <c r="O30" i="18"/>
  <c r="N18" i="18"/>
  <c r="O16" i="18"/>
  <c r="O19" i="18"/>
  <c r="O26" i="18"/>
  <c r="O66" i="18"/>
  <c r="O17" i="16"/>
  <c r="O23" i="16"/>
  <c r="AP19" i="27"/>
  <c r="I42" i="27"/>
  <c r="I22" i="27"/>
  <c r="I6" i="27"/>
  <c r="AR33" i="27"/>
  <c r="BA33" i="27" s="1"/>
  <c r="I34" i="18"/>
  <c r="I50" i="18"/>
  <c r="I52" i="18"/>
  <c r="I21" i="18"/>
  <c r="I31" i="18"/>
  <c r="I9" i="18"/>
  <c r="I56" i="18"/>
  <c r="I39" i="18"/>
  <c r="I37" i="18"/>
  <c r="I30" i="18"/>
  <c r="I26" i="18"/>
  <c r="I46" i="18"/>
  <c r="I22" i="18"/>
  <c r="I35" i="18"/>
  <c r="K75" i="18"/>
  <c r="K20" i="18"/>
  <c r="AG20" i="16"/>
  <c r="AG25" i="16"/>
  <c r="AG35" i="16"/>
  <c r="AG41" i="16"/>
  <c r="AG46" i="16"/>
  <c r="O34" i="16"/>
  <c r="AY83" i="18"/>
  <c r="AX83" i="18"/>
  <c r="I10" i="18"/>
  <c r="I33" i="18"/>
  <c r="I75" i="18"/>
  <c r="T48" i="18"/>
  <c r="I28" i="18"/>
  <c r="I53" i="18"/>
  <c r="U20" i="18"/>
  <c r="U37" i="18"/>
  <c r="U74" i="18"/>
  <c r="K30" i="18"/>
  <c r="K46" i="18"/>
  <c r="G9" i="27"/>
  <c r="G36" i="27"/>
  <c r="G73" i="27"/>
  <c r="G75" i="27"/>
  <c r="G52" i="27"/>
  <c r="G20" i="27"/>
  <c r="G35" i="27"/>
  <c r="G11" i="27"/>
  <c r="G59" i="27"/>
  <c r="G6" i="27"/>
  <c r="G76" i="27"/>
  <c r="G62" i="27"/>
  <c r="G43" i="27"/>
  <c r="G61" i="27"/>
  <c r="G56" i="27"/>
  <c r="G41" i="27"/>
  <c r="AR16" i="18"/>
  <c r="AS16" i="18" s="1"/>
  <c r="AI31" i="18"/>
  <c r="AI35" i="18"/>
  <c r="AI60" i="18"/>
  <c r="AI39" i="18"/>
  <c r="AI61" i="18"/>
  <c r="AI20" i="18"/>
  <c r="AI45" i="18"/>
  <c r="AI68" i="18"/>
  <c r="AI24" i="18"/>
  <c r="AI49" i="18"/>
  <c r="AI76" i="18"/>
  <c r="AI29" i="18"/>
  <c r="AI42" i="18"/>
  <c r="AI71" i="18"/>
  <c r="AI56" i="18"/>
  <c r="AR24" i="16"/>
  <c r="O44" i="16"/>
  <c r="O72" i="16"/>
  <c r="G55" i="16"/>
  <c r="G72" i="16"/>
  <c r="W31" i="16"/>
  <c r="AU65" i="16"/>
  <c r="AU77" i="16"/>
  <c r="AU40" i="16"/>
  <c r="AU61" i="16"/>
  <c r="AU47" i="16"/>
  <c r="AU72" i="16"/>
  <c r="AU53" i="16"/>
  <c r="AU19" i="16"/>
  <c r="AU29" i="16"/>
  <c r="AU74" i="16"/>
  <c r="AU30" i="16"/>
  <c r="AU10" i="16"/>
  <c r="AU68" i="16"/>
  <c r="AU73" i="16"/>
  <c r="AU38" i="16"/>
  <c r="AU7" i="16"/>
  <c r="AU44" i="16"/>
  <c r="AU31" i="16"/>
  <c r="AU32" i="16"/>
  <c r="AT18" i="16"/>
  <c r="AU18" i="16" s="1"/>
  <c r="AU21" i="16"/>
  <c r="AU20" i="16"/>
  <c r="AG10" i="27"/>
  <c r="AG57" i="27"/>
  <c r="AG53" i="27"/>
  <c r="AG38" i="27"/>
  <c r="M75" i="18"/>
  <c r="M27" i="18"/>
  <c r="K27" i="18"/>
  <c r="K29" i="18"/>
  <c r="U8" i="18"/>
  <c r="U56" i="18"/>
  <c r="U33" i="18"/>
  <c r="U52" i="18"/>
  <c r="U15" i="18"/>
  <c r="U72" i="18"/>
  <c r="U45" i="18"/>
  <c r="U23" i="18"/>
  <c r="U55" i="18"/>
  <c r="U29" i="18"/>
  <c r="U6" i="18"/>
  <c r="U71" i="18"/>
  <c r="U42" i="18"/>
  <c r="U22" i="18"/>
  <c r="U60" i="18"/>
  <c r="U16" i="18"/>
  <c r="U66" i="18"/>
  <c r="U40" i="18"/>
  <c r="U28" i="18"/>
  <c r="U7" i="18"/>
  <c r="AP22" i="18"/>
  <c r="AI41" i="16"/>
  <c r="AI36" i="16"/>
  <c r="AI78" i="16"/>
  <c r="AR22" i="17"/>
  <c r="AE41" i="31"/>
  <c r="BA23" i="31"/>
  <c r="AZ23" i="31"/>
  <c r="AE53" i="31"/>
  <c r="AR42" i="16"/>
  <c r="K34" i="27"/>
  <c r="AR19" i="27"/>
  <c r="AR46" i="27"/>
  <c r="K15" i="27"/>
  <c r="AI74" i="16"/>
  <c r="AI7" i="16"/>
  <c r="AK44" i="16"/>
  <c r="AE47" i="31"/>
  <c r="AE9" i="31"/>
  <c r="AM71" i="18"/>
  <c r="K49" i="27"/>
  <c r="I54" i="18"/>
  <c r="AR46" i="18"/>
  <c r="K71" i="27"/>
  <c r="K22" i="27"/>
  <c r="AP73" i="18"/>
  <c r="AI49" i="16"/>
  <c r="AK62" i="16"/>
  <c r="AK7" i="16"/>
  <c r="I60" i="16"/>
  <c r="I32" i="16"/>
  <c r="AK17" i="16"/>
  <c r="AE14" i="31"/>
  <c r="AE6" i="31"/>
  <c r="E47" i="30"/>
  <c r="D48" i="30"/>
  <c r="K53" i="27"/>
  <c r="K25" i="27"/>
  <c r="K21" i="27"/>
  <c r="AR41" i="18"/>
  <c r="AR26" i="18"/>
  <c r="AS26" i="18" s="1"/>
  <c r="I17" i="27"/>
  <c r="AR34" i="27"/>
  <c r="BA34" i="27" s="1"/>
  <c r="U54" i="18"/>
  <c r="K68" i="27"/>
  <c r="U8" i="27"/>
  <c r="U43" i="27"/>
  <c r="AI60" i="16"/>
  <c r="BA21" i="31"/>
  <c r="AE68" i="31"/>
  <c r="AE76" i="31"/>
  <c r="AE54" i="31"/>
  <c r="BA30" i="31"/>
  <c r="AZ30" i="31"/>
  <c r="AW17" i="31"/>
  <c r="AV18" i="31"/>
  <c r="AW18" i="31" s="1"/>
  <c r="K47" i="18"/>
  <c r="AI25" i="16"/>
  <c r="AT64" i="29"/>
  <c r="AX57" i="30"/>
  <c r="AY57" i="30"/>
  <c r="BA24" i="29"/>
  <c r="AZ24" i="29"/>
  <c r="AE66" i="31"/>
  <c r="AE23" i="31"/>
  <c r="AE26" i="31"/>
  <c r="AE29" i="31"/>
  <c r="AE57" i="31"/>
  <c r="AE38" i="31"/>
  <c r="AE74" i="31"/>
  <c r="AE78" i="31"/>
  <c r="AE15" i="31"/>
  <c r="AE58" i="31"/>
  <c r="AE55" i="31"/>
  <c r="AL11" i="31"/>
  <c r="AM9" i="31" s="1"/>
  <c r="AE34" i="31"/>
  <c r="AE21" i="31"/>
  <c r="AE24" i="31"/>
  <c r="AE44" i="31"/>
  <c r="AE33" i="31"/>
  <c r="AE60" i="31"/>
  <c r="AE37" i="31"/>
  <c r="AE40" i="31"/>
  <c r="AE19" i="31"/>
  <c r="AE30" i="31"/>
  <c r="AE10" i="31"/>
  <c r="AE11" i="31"/>
  <c r="AE27" i="31"/>
  <c r="AE32" i="31"/>
  <c r="AE61" i="31"/>
  <c r="AE42" i="31"/>
  <c r="AE36" i="31"/>
  <c r="AE28" i="31"/>
  <c r="AE7" i="31"/>
  <c r="AE8" i="31"/>
  <c r="AE45" i="31"/>
  <c r="AE63" i="31"/>
  <c r="AE77" i="31"/>
  <c r="AE25" i="31"/>
  <c r="AE72" i="31"/>
  <c r="AE75" i="31"/>
  <c r="AE56" i="31"/>
  <c r="AE52" i="31"/>
  <c r="AE46" i="31"/>
  <c r="AE39" i="31"/>
  <c r="AE35" i="31"/>
  <c r="AY72" i="17"/>
  <c r="AX72" i="17"/>
  <c r="AR32" i="29"/>
  <c r="AK53" i="29"/>
  <c r="AI57" i="30"/>
  <c r="AP27" i="30"/>
  <c r="AR16" i="30"/>
  <c r="BA16" i="30" s="1"/>
  <c r="O21" i="29"/>
  <c r="O41" i="29"/>
  <c r="O52" i="29"/>
  <c r="O78" i="29"/>
  <c r="O71" i="29"/>
  <c r="AR10" i="29"/>
  <c r="AR60" i="29"/>
  <c r="R62" i="18"/>
  <c r="AP16" i="27"/>
  <c r="AY45" i="31"/>
  <c r="AU23" i="31"/>
  <c r="AU62" i="31"/>
  <c r="O29" i="29"/>
  <c r="O72" i="29"/>
  <c r="O31" i="29"/>
  <c r="AP71" i="30"/>
  <c r="AY71" i="30" s="1"/>
  <c r="Z33" i="18"/>
  <c r="AG10" i="31"/>
  <c r="O27" i="31"/>
  <c r="V11" i="31"/>
  <c r="W46" i="31" s="1"/>
  <c r="O44" i="31"/>
  <c r="O76" i="31"/>
  <c r="AU32" i="31"/>
  <c r="O26" i="31"/>
  <c r="O28" i="31"/>
  <c r="X47" i="31"/>
  <c r="AW56" i="29"/>
  <c r="AK73" i="29"/>
  <c r="AP59" i="30"/>
  <c r="AP30" i="30"/>
  <c r="AY30" i="30" s="1"/>
  <c r="AH18" i="30"/>
  <c r="AI6" i="30"/>
  <c r="O23" i="29"/>
  <c r="O46" i="29"/>
  <c r="O58" i="29"/>
  <c r="O57" i="29"/>
  <c r="AP57" i="29"/>
  <c r="K72" i="29"/>
  <c r="K7" i="29"/>
  <c r="AE62" i="29"/>
  <c r="AR58" i="29"/>
  <c r="AR28" i="29"/>
  <c r="AP42" i="29"/>
  <c r="AR37" i="30"/>
  <c r="AZ37" i="30" s="1"/>
  <c r="X10" i="16"/>
  <c r="Z21" i="16"/>
  <c r="AP21" i="16" s="1"/>
  <c r="Z27" i="16"/>
  <c r="AP27" i="16" s="1"/>
  <c r="Z33" i="16"/>
  <c r="AP33" i="16" s="1"/>
  <c r="AP16" i="17"/>
  <c r="AB43" i="29"/>
  <c r="AR43" i="29" s="1"/>
  <c r="AZ43" i="29" s="1"/>
  <c r="AX28" i="31"/>
  <c r="AB27" i="17"/>
  <c r="AR27" i="17" s="1"/>
  <c r="X27" i="17"/>
  <c r="Y27" i="17" s="1"/>
  <c r="AB58" i="17"/>
  <c r="AR58" i="17" s="1"/>
  <c r="AZ58" i="17" s="1"/>
  <c r="AD47" i="27"/>
  <c r="AL47" i="27" s="1"/>
  <c r="M47" i="29"/>
  <c r="AR57" i="30"/>
  <c r="AU14" i="31"/>
  <c r="AR41" i="30"/>
  <c r="AW51" i="29"/>
  <c r="O62" i="29"/>
  <c r="AB62" i="28"/>
  <c r="AR62" i="28" s="1"/>
  <c r="AP41" i="29"/>
  <c r="O45" i="31"/>
  <c r="O43" i="31"/>
  <c r="O24" i="31"/>
  <c r="O51" i="31"/>
  <c r="O52" i="31"/>
  <c r="AU39" i="31"/>
  <c r="O53" i="31"/>
  <c r="O49" i="31"/>
  <c r="AW73" i="29"/>
  <c r="AK25" i="29"/>
  <c r="AI63" i="30"/>
  <c r="AI49" i="30"/>
  <c r="AR38" i="30"/>
  <c r="BA38" i="30" s="1"/>
  <c r="AI47" i="30"/>
  <c r="AI61" i="29"/>
  <c r="O16" i="29"/>
  <c r="O26" i="29"/>
  <c r="O53" i="29"/>
  <c r="O61" i="29"/>
  <c r="Q11" i="29"/>
  <c r="AW78" i="29"/>
  <c r="O35" i="29"/>
  <c r="K66" i="29"/>
  <c r="U52" i="29"/>
  <c r="P20" i="1"/>
  <c r="AB29" i="16"/>
  <c r="AC29" i="16" s="1"/>
  <c r="V32" i="28"/>
  <c r="R47" i="28"/>
  <c r="V47" i="28" s="1"/>
  <c r="W47" i="28" s="1"/>
  <c r="AR75" i="18"/>
  <c r="AS75" i="18" s="1"/>
  <c r="AP33" i="27"/>
  <c r="AP19" i="18"/>
  <c r="AU62" i="16"/>
  <c r="AP42" i="16"/>
  <c r="AI50" i="30"/>
  <c r="O59" i="31"/>
  <c r="AR24" i="31"/>
  <c r="AZ24" i="31" s="1"/>
  <c r="O36" i="31"/>
  <c r="O6" i="31"/>
  <c r="O66" i="31"/>
  <c r="O56" i="31"/>
  <c r="AU20" i="31"/>
  <c r="AK75" i="29"/>
  <c r="G51" i="30"/>
  <c r="AI73" i="30"/>
  <c r="AP66" i="30"/>
  <c r="AY66" i="30" s="1"/>
  <c r="AI58" i="30"/>
  <c r="AI53" i="30"/>
  <c r="AI55" i="30"/>
  <c r="AP49" i="30"/>
  <c r="AY49" i="30" s="1"/>
  <c r="AI42" i="30"/>
  <c r="AR33" i="30"/>
  <c r="AZ33" i="30" s="1"/>
  <c r="AP25" i="30"/>
  <c r="AR6" i="30"/>
  <c r="O11" i="29"/>
  <c r="O27" i="29"/>
  <c r="O38" i="29"/>
  <c r="O63" i="29"/>
  <c r="Q15" i="29"/>
  <c r="O32" i="29"/>
  <c r="M56" i="29"/>
  <c r="AP35" i="29"/>
  <c r="AY35" i="29" s="1"/>
  <c r="AR16" i="29"/>
  <c r="AP9" i="28"/>
  <c r="X23" i="17"/>
  <c r="Y23" i="17" s="1"/>
  <c r="J17" i="18"/>
  <c r="AR72" i="28"/>
  <c r="O7" i="29"/>
  <c r="O28" i="29"/>
  <c r="O40" i="29"/>
  <c r="O55" i="29"/>
  <c r="Q44" i="29"/>
  <c r="O66" i="29"/>
  <c r="Z43" i="16"/>
  <c r="AP43" i="16" s="1"/>
  <c r="AY43" i="16" s="1"/>
  <c r="AP9" i="30"/>
  <c r="AY9" i="30" s="1"/>
  <c r="S73" i="16"/>
  <c r="V73" i="16"/>
  <c r="Z32" i="18"/>
  <c r="AP32" i="18" s="1"/>
  <c r="AX32" i="18" s="1"/>
  <c r="F47" i="18"/>
  <c r="AU65" i="31"/>
  <c r="K17" i="30"/>
  <c r="AI75" i="30"/>
  <c r="AI52" i="30"/>
  <c r="AP24" i="30"/>
  <c r="AI78" i="30"/>
  <c r="O36" i="29"/>
  <c r="O10" i="29"/>
  <c r="O43" i="29"/>
  <c r="O74" i="29"/>
  <c r="O30" i="29"/>
  <c r="AP75" i="29"/>
  <c r="AR38" i="29"/>
  <c r="AR53" i="28"/>
  <c r="AP52" i="29"/>
  <c r="X31" i="17"/>
  <c r="Y31" i="17" s="1"/>
  <c r="AB31" i="17"/>
  <c r="AR31" i="17" s="1"/>
  <c r="T62" i="17"/>
  <c r="X55" i="17"/>
  <c r="AB55" i="17"/>
  <c r="AR57" i="17"/>
  <c r="X61" i="17"/>
  <c r="Y61" i="17" s="1"/>
  <c r="AB61" i="17"/>
  <c r="AR61" i="17" s="1"/>
  <c r="Z71" i="17"/>
  <c r="AP71" i="17" s="1"/>
  <c r="V71" i="17"/>
  <c r="Z29" i="18"/>
  <c r="AP29" i="18" s="1"/>
  <c r="AX29" i="18" s="1"/>
  <c r="AP23" i="29"/>
  <c r="AR53" i="31"/>
  <c r="AR44" i="17"/>
  <c r="AI25" i="30"/>
  <c r="AG17" i="31"/>
  <c r="W34" i="31"/>
  <c r="O8" i="31"/>
  <c r="O34" i="31"/>
  <c r="O65" i="31"/>
  <c r="AU77" i="31"/>
  <c r="Q37" i="30"/>
  <c r="AU53" i="31"/>
  <c r="M45" i="30"/>
  <c r="M53" i="30"/>
  <c r="M57" i="30"/>
  <c r="M58" i="30"/>
  <c r="AR55" i="31"/>
  <c r="AP63" i="31"/>
  <c r="M47" i="30"/>
  <c r="U63" i="29"/>
  <c r="AK15" i="29"/>
  <c r="AI74" i="30"/>
  <c r="AI56" i="30"/>
  <c r="AP58" i="30"/>
  <c r="AY58" i="30" s="1"/>
  <c r="AI27" i="30"/>
  <c r="AR9" i="30"/>
  <c r="AI15" i="30"/>
  <c r="O19" i="29"/>
  <c r="V11" i="29"/>
  <c r="W7" i="29" s="1"/>
  <c r="O45" i="29"/>
  <c r="O75" i="29"/>
  <c r="O34" i="29"/>
  <c r="AR72" i="29"/>
  <c r="AR13" i="29"/>
  <c r="AZ13" i="29" s="1"/>
  <c r="AR53" i="29"/>
  <c r="X26" i="16"/>
  <c r="AP83" i="17"/>
  <c r="AP16" i="29"/>
  <c r="AT54" i="17"/>
  <c r="AU54" i="17" s="1"/>
  <c r="AT47" i="28"/>
  <c r="AU47" i="28" s="1"/>
  <c r="AP61" i="29"/>
  <c r="AX61" i="29" s="1"/>
  <c r="AR39" i="16"/>
  <c r="AJ11" i="28"/>
  <c r="AK17" i="28" s="1"/>
  <c r="AB12" i="28"/>
  <c r="Z44" i="28"/>
  <c r="AP44" i="28" s="1"/>
  <c r="AR13" i="31"/>
  <c r="AZ13" i="31" s="1"/>
  <c r="V25" i="1"/>
  <c r="W25" i="1" s="1"/>
  <c r="F47" i="17"/>
  <c r="Z47" i="17" s="1"/>
  <c r="X50" i="17"/>
  <c r="F11" i="18"/>
  <c r="Z11" i="18" s="1"/>
  <c r="AL8" i="28"/>
  <c r="V37" i="28"/>
  <c r="Z38" i="28"/>
  <c r="AP38" i="28" s="1"/>
  <c r="AP7" i="28"/>
  <c r="AB21" i="17"/>
  <c r="X28" i="17"/>
  <c r="Y28" i="17" s="1"/>
  <c r="V33" i="18"/>
  <c r="W33" i="18" s="1"/>
  <c r="Z36" i="18"/>
  <c r="Z39" i="18"/>
  <c r="AP39" i="18" s="1"/>
  <c r="AL42" i="18"/>
  <c r="AM42" i="18" s="1"/>
  <c r="Z25" i="28"/>
  <c r="AP25" i="28" s="1"/>
  <c r="AL26" i="28"/>
  <c r="Z33" i="28"/>
  <c r="AH54" i="28"/>
  <c r="AI54" i="28" s="1"/>
  <c r="Z52" i="28"/>
  <c r="AP52" i="28" s="1"/>
  <c r="Z61" i="28"/>
  <c r="AP61" i="28" s="1"/>
  <c r="AT11" i="1"/>
  <c r="AU17" i="1" s="1"/>
  <c r="V32" i="1"/>
  <c r="W32" i="1" s="1"/>
  <c r="AV11" i="17"/>
  <c r="AR9" i="28"/>
  <c r="AP10" i="28"/>
  <c r="AN13" i="28"/>
  <c r="AR13" i="28" s="1"/>
  <c r="AZ13" i="28" s="1"/>
  <c r="Z37" i="28"/>
  <c r="AP37" i="28" s="1"/>
  <c r="AN83" i="16"/>
  <c r="AR83" i="16" s="1"/>
  <c r="AZ83" i="16" s="1"/>
  <c r="AP26" i="29"/>
  <c r="AR35" i="30"/>
  <c r="BA35" i="30" s="1"/>
  <c r="AJ18" i="30"/>
  <c r="AR27" i="30"/>
  <c r="AN38" i="17"/>
  <c r="AR38" i="17" s="1"/>
  <c r="X46" i="17"/>
  <c r="Y46" i="17" s="1"/>
  <c r="AV54" i="17"/>
  <c r="AW54" i="17" s="1"/>
  <c r="AN56" i="17"/>
  <c r="AR56" i="17" s="1"/>
  <c r="AN59" i="17"/>
  <c r="AR59" i="17" s="1"/>
  <c r="F17" i="27"/>
  <c r="AB6" i="28"/>
  <c r="AR6" i="28" s="1"/>
  <c r="AT17" i="28"/>
  <c r="B47" i="28"/>
  <c r="AR56" i="28"/>
  <c r="AP73" i="17"/>
  <c r="AD47" i="28"/>
  <c r="AL47" i="28" s="1"/>
  <c r="X29" i="17"/>
  <c r="Y29" i="17" s="1"/>
  <c r="V27" i="18"/>
  <c r="W27" i="18" s="1"/>
  <c r="AL33" i="18"/>
  <c r="AM33" i="18" s="1"/>
  <c r="Z35" i="18"/>
  <c r="AP35" i="18" s="1"/>
  <c r="AL36" i="18"/>
  <c r="AM36" i="18" s="1"/>
  <c r="AL44" i="18"/>
  <c r="AM44" i="18" s="1"/>
  <c r="Z23" i="28"/>
  <c r="AP23" i="28" s="1"/>
  <c r="Z31" i="28"/>
  <c r="AP31" i="28" s="1"/>
  <c r="V33" i="28"/>
  <c r="W33" i="28" s="1"/>
  <c r="Z39" i="28"/>
  <c r="AP39" i="28" s="1"/>
  <c r="V41" i="28"/>
  <c r="J54" i="28"/>
  <c r="K54" i="28" s="1"/>
  <c r="Z53" i="28"/>
  <c r="AP53" i="28" s="1"/>
  <c r="Z66" i="28"/>
  <c r="AP66" i="28" s="1"/>
  <c r="AP72" i="29"/>
  <c r="AU57" i="29"/>
  <c r="AU9" i="29"/>
  <c r="AU14" i="29"/>
  <c r="AU59" i="29"/>
  <c r="AR30" i="29"/>
  <c r="S39" i="18"/>
  <c r="AP27" i="29"/>
  <c r="X16" i="17"/>
  <c r="AL23" i="17"/>
  <c r="AP23" i="17" s="1"/>
  <c r="AN75" i="17"/>
  <c r="AR75" i="17" s="1"/>
  <c r="Z25" i="18"/>
  <c r="AP25" i="18" s="1"/>
  <c r="AX25" i="18" s="1"/>
  <c r="Z40" i="18"/>
  <c r="AP40" i="18" s="1"/>
  <c r="J62" i="18"/>
  <c r="Z8" i="27"/>
  <c r="AT47" i="27"/>
  <c r="AB15" i="28"/>
  <c r="AR15" i="28" s="1"/>
  <c r="AL27" i="28"/>
  <c r="AP27" i="28" s="1"/>
  <c r="Z42" i="28"/>
  <c r="AP42" i="28" s="1"/>
  <c r="AX42" i="28" s="1"/>
  <c r="AN71" i="28"/>
  <c r="AR71" i="28" s="1"/>
  <c r="AV47" i="17"/>
  <c r="Z27" i="18"/>
  <c r="AP27" i="18" s="1"/>
  <c r="X14" i="27"/>
  <c r="H17" i="28"/>
  <c r="I17" i="28" s="1"/>
  <c r="AP35" i="28"/>
  <c r="AX35" i="28" s="1"/>
  <c r="J47" i="28"/>
  <c r="X49" i="16"/>
  <c r="AL15" i="17"/>
  <c r="AP15" i="17" s="1"/>
  <c r="AX15" i="17" s="1"/>
  <c r="AL21" i="17"/>
  <c r="AP21" i="17" s="1"/>
  <c r="X24" i="17"/>
  <c r="AN29" i="17"/>
  <c r="AR29" i="17" s="1"/>
  <c r="X30" i="17"/>
  <c r="Y30" i="17" s="1"/>
  <c r="AN73" i="17"/>
  <c r="AR73" i="17" s="1"/>
  <c r="AL34" i="18"/>
  <c r="V35" i="18"/>
  <c r="W35" i="18" s="1"/>
  <c r="Z43" i="18"/>
  <c r="AP43" i="18" s="1"/>
  <c r="Z44" i="18"/>
  <c r="AL58" i="18"/>
  <c r="V26" i="28"/>
  <c r="AL41" i="28"/>
  <c r="AP41" i="28" s="1"/>
  <c r="Z60" i="28"/>
  <c r="AP60" i="28" s="1"/>
  <c r="V66" i="28"/>
  <c r="W66" i="28" s="1"/>
  <c r="AP71" i="29"/>
  <c r="AU47" i="29"/>
  <c r="AG17" i="29"/>
  <c r="AU41" i="29"/>
  <c r="AU49" i="29"/>
  <c r="AR31" i="28"/>
  <c r="P17" i="16"/>
  <c r="AB17" i="16" s="1"/>
  <c r="AN21" i="17"/>
  <c r="V28" i="18"/>
  <c r="W28" i="18" s="1"/>
  <c r="Z31" i="18"/>
  <c r="AP31" i="18" s="1"/>
  <c r="AX31" i="18" s="1"/>
  <c r="AL52" i="18"/>
  <c r="AP52" i="18" s="1"/>
  <c r="Z43" i="28"/>
  <c r="AP43" i="28" s="1"/>
  <c r="AX75" i="31"/>
  <c r="AY75" i="31"/>
  <c r="AR36" i="31"/>
  <c r="AR40" i="31"/>
  <c r="AR65" i="31"/>
  <c r="W50" i="31"/>
  <c r="O20" i="31"/>
  <c r="AR12" i="31"/>
  <c r="AZ12" i="31" s="1"/>
  <c r="AP12" i="31"/>
  <c r="AX12" i="31" s="1"/>
  <c r="AU54" i="31"/>
  <c r="AR25" i="31"/>
  <c r="AZ25" i="31" s="1"/>
  <c r="AR38" i="31"/>
  <c r="BA38" i="31" s="1"/>
  <c r="O60" i="31"/>
  <c r="AR59" i="31"/>
  <c r="Z17" i="31"/>
  <c r="AX8" i="30"/>
  <c r="AY8" i="30"/>
  <c r="AX30" i="30"/>
  <c r="AY81" i="31"/>
  <c r="AX81" i="31"/>
  <c r="AX66" i="30"/>
  <c r="AZ52" i="30"/>
  <c r="BA52" i="30"/>
  <c r="BA37" i="30"/>
  <c r="BA60" i="30"/>
  <c r="AZ60" i="30"/>
  <c r="AY53" i="30"/>
  <c r="AX53" i="30"/>
  <c r="BA56" i="30"/>
  <c r="AZ56" i="30"/>
  <c r="AZ24" i="30"/>
  <c r="AA39" i="30"/>
  <c r="AG61" i="30"/>
  <c r="AG60" i="30"/>
  <c r="AG26" i="30"/>
  <c r="U15" i="30"/>
  <c r="U46" i="30"/>
  <c r="AG65" i="30"/>
  <c r="Q44" i="30"/>
  <c r="I74" i="30"/>
  <c r="I68" i="30"/>
  <c r="AP70" i="30"/>
  <c r="AX70" i="30" s="1"/>
  <c r="AK37" i="30"/>
  <c r="AK73" i="30"/>
  <c r="W61" i="30"/>
  <c r="AG53" i="30"/>
  <c r="AG45" i="30"/>
  <c r="AG46" i="30"/>
  <c r="U49" i="30"/>
  <c r="U39" i="30"/>
  <c r="AG42" i="30"/>
  <c r="Q43" i="30"/>
  <c r="AK77" i="30"/>
  <c r="AK36" i="30"/>
  <c r="AK16" i="30"/>
  <c r="AK68" i="30"/>
  <c r="W56" i="30"/>
  <c r="AG35" i="30"/>
  <c r="AG68" i="30"/>
  <c r="J18" i="30"/>
  <c r="U68" i="30"/>
  <c r="U36" i="30"/>
  <c r="Q40" i="30"/>
  <c r="I10" i="30"/>
  <c r="Q50" i="30"/>
  <c r="AK59" i="30"/>
  <c r="AK35" i="30"/>
  <c r="AP29" i="30"/>
  <c r="AK9" i="30"/>
  <c r="U27" i="30"/>
  <c r="AR28" i="30"/>
  <c r="AG36" i="30"/>
  <c r="AG40" i="30"/>
  <c r="AG44" i="30"/>
  <c r="AN71" i="30"/>
  <c r="AR71" i="30" s="1"/>
  <c r="W54" i="30"/>
  <c r="AX26" i="30"/>
  <c r="AG38" i="30"/>
  <c r="AG34" i="30"/>
  <c r="U65" i="30"/>
  <c r="U72" i="30"/>
  <c r="U22" i="30"/>
  <c r="Q71" i="30"/>
  <c r="I38" i="30"/>
  <c r="I65" i="30"/>
  <c r="AK42" i="30"/>
  <c r="AK43" i="30"/>
  <c r="AK23" i="30"/>
  <c r="AK27" i="30"/>
  <c r="AP39" i="30"/>
  <c r="AP12" i="30"/>
  <c r="AX12" i="30" s="1"/>
  <c r="AR22" i="30"/>
  <c r="AG58" i="30"/>
  <c r="AG28" i="30"/>
  <c r="AG33" i="30"/>
  <c r="U9" i="30"/>
  <c r="U7" i="30"/>
  <c r="U20" i="30"/>
  <c r="Q42" i="30"/>
  <c r="I42" i="30"/>
  <c r="I55" i="30"/>
  <c r="AP23" i="30"/>
  <c r="AK29" i="30"/>
  <c r="AK8" i="30"/>
  <c r="AX7" i="30"/>
  <c r="AG47" i="30"/>
  <c r="AG29" i="30"/>
  <c r="AG75" i="30"/>
  <c r="AG14" i="30"/>
  <c r="U57" i="30"/>
  <c r="U60" i="30"/>
  <c r="U19" i="30"/>
  <c r="AG20" i="30"/>
  <c r="Q11" i="30"/>
  <c r="I33" i="30"/>
  <c r="I23" i="30"/>
  <c r="AY36" i="30"/>
  <c r="AK76" i="30"/>
  <c r="AK31" i="30"/>
  <c r="AR23" i="30"/>
  <c r="AG54" i="30"/>
  <c r="AG56" i="30"/>
  <c r="AG50" i="30"/>
  <c r="AG32" i="30"/>
  <c r="AY6" i="30"/>
  <c r="U28" i="30"/>
  <c r="U43" i="30"/>
  <c r="U26" i="30"/>
  <c r="Q65" i="30"/>
  <c r="I52" i="30"/>
  <c r="I8" i="30"/>
  <c r="AK49" i="30"/>
  <c r="AG27" i="30"/>
  <c r="AG19" i="30"/>
  <c r="AG55" i="30"/>
  <c r="U35" i="30"/>
  <c r="Q38" i="30"/>
  <c r="AX74" i="30"/>
  <c r="AZ74" i="30"/>
  <c r="AF18" i="30"/>
  <c r="AG73" i="30"/>
  <c r="AG78" i="30"/>
  <c r="U52" i="30"/>
  <c r="U33" i="30"/>
  <c r="U10" i="30"/>
  <c r="Q33" i="30"/>
  <c r="I63" i="30"/>
  <c r="I51" i="30"/>
  <c r="AR61" i="30"/>
  <c r="V62" i="30"/>
  <c r="AK38" i="30"/>
  <c r="AK61" i="30"/>
  <c r="W48" i="30"/>
  <c r="AN11" i="30"/>
  <c r="AO45" i="30" s="1"/>
  <c r="AG49" i="30"/>
  <c r="AG59" i="30"/>
  <c r="Q54" i="30"/>
  <c r="U59" i="30"/>
  <c r="U21" i="30"/>
  <c r="AG10" i="30"/>
  <c r="AG62" i="30"/>
  <c r="Q8" i="30"/>
  <c r="I39" i="30"/>
  <c r="I61" i="30"/>
  <c r="I49" i="30"/>
  <c r="AP75" i="30"/>
  <c r="AP73" i="30"/>
  <c r="AI54" i="30"/>
  <c r="AK39" i="30"/>
  <c r="AK65" i="30"/>
  <c r="AY50" i="30"/>
  <c r="W33" i="30"/>
  <c r="W47" i="30"/>
  <c r="AG57" i="30"/>
  <c r="AG16" i="30"/>
  <c r="AG22" i="30"/>
  <c r="AG63" i="30"/>
  <c r="U53" i="30"/>
  <c r="U51" i="30"/>
  <c r="U29" i="30"/>
  <c r="AG77" i="30"/>
  <c r="Q55" i="30"/>
  <c r="AK53" i="30"/>
  <c r="AP32" i="30"/>
  <c r="AK66" i="30"/>
  <c r="AP34" i="30"/>
  <c r="AG52" i="30"/>
  <c r="AG15" i="30"/>
  <c r="AG6" i="30"/>
  <c r="AG30" i="30"/>
  <c r="AU17" i="30"/>
  <c r="U38" i="30"/>
  <c r="U74" i="30"/>
  <c r="AG66" i="30"/>
  <c r="I31" i="30"/>
  <c r="I14" i="30"/>
  <c r="AN70" i="30"/>
  <c r="AK45" i="30"/>
  <c r="AK74" i="30"/>
  <c r="AG9" i="30"/>
  <c r="AG17" i="30"/>
  <c r="AG21" i="30"/>
  <c r="AY42" i="30"/>
  <c r="AG31" i="30"/>
  <c r="Q6" i="30"/>
  <c r="AG23" i="30"/>
  <c r="AG76" i="30"/>
  <c r="AG11" i="30"/>
  <c r="U23" i="30"/>
  <c r="I58" i="30"/>
  <c r="AK34" i="30"/>
  <c r="AK58" i="30"/>
  <c r="AZ43" i="28"/>
  <c r="BA43" i="28"/>
  <c r="AC43" i="18"/>
  <c r="BA43" i="29"/>
  <c r="H62" i="1"/>
  <c r="Z62" i="1"/>
  <c r="AP62" i="1" s="1"/>
  <c r="AX34" i="1"/>
  <c r="AY34" i="1"/>
  <c r="AN23" i="1"/>
  <c r="AR23" i="1" s="1"/>
  <c r="AY14" i="1"/>
  <c r="AX14" i="1"/>
  <c r="AY14" i="17"/>
  <c r="AX14" i="17"/>
  <c r="Y73" i="17"/>
  <c r="Y33" i="17"/>
  <c r="Y10" i="17"/>
  <c r="Y6" i="17"/>
  <c r="Y59" i="17"/>
  <c r="Y35" i="17"/>
  <c r="Y17" i="17"/>
  <c r="Y58" i="17"/>
  <c r="Y8" i="17"/>
  <c r="Y49" i="17"/>
  <c r="Y45" i="17"/>
  <c r="Y60" i="17"/>
  <c r="Y39" i="17"/>
  <c r="Y66" i="17"/>
  <c r="Y20" i="17"/>
  <c r="Y55" i="17"/>
  <c r="Y77" i="17"/>
  <c r="Y47" i="17"/>
  <c r="Y15" i="17"/>
  <c r="Y40" i="17"/>
  <c r="Y32" i="17"/>
  <c r="Y7" i="17"/>
  <c r="Y22" i="17"/>
  <c r="Y42" i="17"/>
  <c r="Y34" i="17"/>
  <c r="Y53" i="17"/>
  <c r="Y52" i="17"/>
  <c r="AY6" i="17"/>
  <c r="AX6" i="17"/>
  <c r="AZ51" i="17"/>
  <c r="BA51" i="17"/>
  <c r="G62" i="1"/>
  <c r="AN71" i="1"/>
  <c r="O48" i="1"/>
  <c r="P48" i="1"/>
  <c r="Q48" i="1" s="1"/>
  <c r="AB51" i="1"/>
  <c r="AR51" i="1" s="1"/>
  <c r="AZ51" i="1" s="1"/>
  <c r="I51" i="1"/>
  <c r="AZ31" i="1"/>
  <c r="BA31" i="1"/>
  <c r="AX30" i="18"/>
  <c r="AY30" i="18"/>
  <c r="AN45" i="1"/>
  <c r="AZ47" i="28"/>
  <c r="BA47" i="28"/>
  <c r="AY36" i="1"/>
  <c r="AX36" i="1"/>
  <c r="AY53" i="1"/>
  <c r="AP19" i="1"/>
  <c r="AP30" i="1"/>
  <c r="AY30" i="1" s="1"/>
  <c r="AX44" i="17"/>
  <c r="AY44" i="17"/>
  <c r="AR63" i="1"/>
  <c r="AX54" i="16"/>
  <c r="AY54" i="16"/>
  <c r="AY25" i="1"/>
  <c r="AX25" i="1"/>
  <c r="AZ15" i="17"/>
  <c r="BA15" i="17"/>
  <c r="S67" i="16"/>
  <c r="R69" i="16"/>
  <c r="S69" i="16" s="1"/>
  <c r="P64" i="28"/>
  <c r="Q48" i="28"/>
  <c r="AX9" i="17"/>
  <c r="AY9" i="17"/>
  <c r="AN38" i="1"/>
  <c r="R67" i="30"/>
  <c r="S64" i="30"/>
  <c r="AB47" i="29"/>
  <c r="AR47" i="29" s="1"/>
  <c r="BA47" i="29" s="1"/>
  <c r="Q47" i="29"/>
  <c r="AN58" i="1"/>
  <c r="Q18" i="27"/>
  <c r="P48" i="27"/>
  <c r="AO75" i="29"/>
  <c r="Y31" i="28"/>
  <c r="M74" i="28"/>
  <c r="AM19" i="27"/>
  <c r="AM29" i="27"/>
  <c r="G50" i="17"/>
  <c r="G61" i="17"/>
  <c r="G41" i="17"/>
  <c r="G20" i="17"/>
  <c r="AK71" i="17"/>
  <c r="AK16" i="17"/>
  <c r="Q26" i="17"/>
  <c r="Q43" i="17"/>
  <c r="AP29" i="17"/>
  <c r="AX29" i="17" s="1"/>
  <c r="AX22" i="1"/>
  <c r="AB17" i="1"/>
  <c r="AX73" i="16"/>
  <c r="Y38" i="1"/>
  <c r="AX52" i="30"/>
  <c r="AY52" i="30"/>
  <c r="BA42" i="27"/>
  <c r="AZ42" i="27"/>
  <c r="AY44" i="16"/>
  <c r="AX44" i="16"/>
  <c r="AO66" i="29"/>
  <c r="AM73" i="27"/>
  <c r="AM41" i="27"/>
  <c r="G32" i="17"/>
  <c r="G57" i="17"/>
  <c r="Z11" i="17"/>
  <c r="AA41" i="17" s="1"/>
  <c r="G55" i="17"/>
  <c r="AJ18" i="17"/>
  <c r="AK18" i="17" s="1"/>
  <c r="AK37" i="17"/>
  <c r="AP45" i="17"/>
  <c r="AX45" i="17" s="1"/>
  <c r="AX49" i="1"/>
  <c r="AE34" i="1"/>
  <c r="AE53" i="1"/>
  <c r="AP63" i="1"/>
  <c r="AQ63" i="1" s="1"/>
  <c r="AX21" i="27"/>
  <c r="AY21" i="27"/>
  <c r="AX74" i="31"/>
  <c r="AY74" i="31"/>
  <c r="AY29" i="31"/>
  <c r="AX29" i="31"/>
  <c r="AM76" i="27"/>
  <c r="AM33" i="27"/>
  <c r="G10" i="17"/>
  <c r="G25" i="17"/>
  <c r="G26" i="17"/>
  <c r="G31" i="17"/>
  <c r="AK40" i="17"/>
  <c r="AK22" i="17"/>
  <c r="AP52" i="17"/>
  <c r="AP35" i="17"/>
  <c r="AY35" i="17" s="1"/>
  <c r="M31" i="1"/>
  <c r="AR24" i="1"/>
  <c r="AP33" i="1"/>
  <c r="AX33" i="1" s="1"/>
  <c r="AY16" i="30"/>
  <c r="AZ77" i="29"/>
  <c r="AO44" i="29"/>
  <c r="M51" i="28"/>
  <c r="M60" i="28"/>
  <c r="AM53" i="27"/>
  <c r="AM28" i="27"/>
  <c r="G30" i="17"/>
  <c r="G58" i="17"/>
  <c r="G65" i="17"/>
  <c r="G68" i="17"/>
  <c r="AK14" i="17"/>
  <c r="AK63" i="17"/>
  <c r="Q27" i="17"/>
  <c r="AI43" i="17"/>
  <c r="AP51" i="17"/>
  <c r="AP39" i="17"/>
  <c r="AP45" i="1"/>
  <c r="BA16" i="27"/>
  <c r="AM59" i="27"/>
  <c r="AC27" i="18"/>
  <c r="G38" i="17"/>
  <c r="G28" i="17"/>
  <c r="AK74" i="17"/>
  <c r="G53" i="17"/>
  <c r="G47" i="17"/>
  <c r="R48" i="17"/>
  <c r="AK34" i="17"/>
  <c r="AK57" i="17"/>
  <c r="P18" i="17"/>
  <c r="AI54" i="17"/>
  <c r="AP43" i="17"/>
  <c r="AY43" i="17" s="1"/>
  <c r="AA72" i="1"/>
  <c r="AE32" i="1"/>
  <c r="AE59" i="1"/>
  <c r="AA9" i="16"/>
  <c r="AA26" i="1"/>
  <c r="C67" i="29"/>
  <c r="B69" i="29"/>
  <c r="C69" i="29" s="1"/>
  <c r="B79" i="29"/>
  <c r="C79" i="29" s="1"/>
  <c r="BA44" i="18"/>
  <c r="AZ44" i="18"/>
  <c r="AM71" i="27"/>
  <c r="AO59" i="29"/>
  <c r="M17" i="28"/>
  <c r="M49" i="28"/>
  <c r="AM16" i="27"/>
  <c r="AS76" i="18"/>
  <c r="AO42" i="18"/>
  <c r="G40" i="17"/>
  <c r="G16" i="17"/>
  <c r="S47" i="17"/>
  <c r="BA61" i="1"/>
  <c r="G63" i="17"/>
  <c r="G6" i="17"/>
  <c r="AK75" i="17"/>
  <c r="AK50" i="17"/>
  <c r="Q71" i="17"/>
  <c r="AP57" i="17"/>
  <c r="K38" i="17"/>
  <c r="M40" i="1"/>
  <c r="AI17" i="1"/>
  <c r="AL11" i="1"/>
  <c r="AM42" i="1" s="1"/>
  <c r="Y53" i="1"/>
  <c r="AP74" i="1"/>
  <c r="BA34" i="16"/>
  <c r="AZ34" i="16"/>
  <c r="AO36" i="29"/>
  <c r="M50" i="28"/>
  <c r="M8" i="28"/>
  <c r="AM35" i="27"/>
  <c r="AM40" i="27"/>
  <c r="AC31" i="18"/>
  <c r="AS42" i="18"/>
  <c r="G34" i="17"/>
  <c r="G42" i="17"/>
  <c r="AX42" i="17"/>
  <c r="G19" i="17"/>
  <c r="G66" i="17"/>
  <c r="AK46" i="17"/>
  <c r="AK58" i="17"/>
  <c r="Q51" i="17"/>
  <c r="AP55" i="17"/>
  <c r="AY55" i="17" s="1"/>
  <c r="AZ32" i="1"/>
  <c r="M34" i="1"/>
  <c r="AL17" i="1"/>
  <c r="AP17" i="1" s="1"/>
  <c r="AY17" i="1" s="1"/>
  <c r="AF11" i="1"/>
  <c r="AG45" i="1" s="1"/>
  <c r="Y78" i="1"/>
  <c r="U60" i="28"/>
  <c r="U35" i="28"/>
  <c r="U29" i="28"/>
  <c r="U20" i="28"/>
  <c r="U28" i="28"/>
  <c r="U73" i="28"/>
  <c r="U11" i="28"/>
  <c r="U51" i="28"/>
  <c r="U14" i="28"/>
  <c r="U46" i="28"/>
  <c r="AA63" i="29"/>
  <c r="AA29" i="29"/>
  <c r="AA58" i="29"/>
  <c r="AA32" i="29"/>
  <c r="AA40" i="29"/>
  <c r="AA20" i="29"/>
  <c r="AA56" i="29"/>
  <c r="AA43" i="29"/>
  <c r="AA22" i="29"/>
  <c r="AA77" i="29"/>
  <c r="AA38" i="29"/>
  <c r="AA53" i="29"/>
  <c r="AA46" i="29"/>
  <c r="AA71" i="29"/>
  <c r="AA61" i="29"/>
  <c r="AA8" i="29"/>
  <c r="AA44" i="29"/>
  <c r="AA9" i="29"/>
  <c r="AA15" i="29"/>
  <c r="AA42" i="29"/>
  <c r="AA34" i="29"/>
  <c r="AA73" i="29"/>
  <c r="AA11" i="29"/>
  <c r="AA57" i="29"/>
  <c r="AA41" i="29"/>
  <c r="AA65" i="29"/>
  <c r="AA59" i="29"/>
  <c r="AA66" i="29"/>
  <c r="AA74" i="29"/>
  <c r="AA14" i="29"/>
  <c r="AA55" i="29"/>
  <c r="BA66" i="31"/>
  <c r="AZ66" i="31"/>
  <c r="BA19" i="28"/>
  <c r="AZ19" i="28"/>
  <c r="AM74" i="27"/>
  <c r="AM26" i="27"/>
  <c r="AM49" i="27"/>
  <c r="AY56" i="18"/>
  <c r="G72" i="17"/>
  <c r="G33" i="17"/>
  <c r="AA34" i="17"/>
  <c r="G23" i="17"/>
  <c r="AK9" i="17"/>
  <c r="AK10" i="17"/>
  <c r="AA56" i="17"/>
  <c r="AD48" i="1"/>
  <c r="M56" i="1"/>
  <c r="AR19" i="1"/>
  <c r="BA26" i="28"/>
  <c r="AZ26" i="28"/>
  <c r="H48" i="30"/>
  <c r="AO34" i="29"/>
  <c r="M56" i="28"/>
  <c r="M11" i="28"/>
  <c r="AM54" i="27"/>
  <c r="AM56" i="27"/>
  <c r="AM43" i="27"/>
  <c r="G73" i="17"/>
  <c r="G39" i="17"/>
  <c r="I48" i="17"/>
  <c r="G14" i="17"/>
  <c r="AK20" i="17"/>
  <c r="AK26" i="17"/>
  <c r="Q25" i="17"/>
  <c r="AE10" i="17"/>
  <c r="Y72" i="17"/>
  <c r="AE18" i="1"/>
  <c r="AC38" i="16"/>
  <c r="I72" i="1"/>
  <c r="I38" i="1"/>
  <c r="Y71" i="1"/>
  <c r="G9" i="1"/>
  <c r="AY38" i="30"/>
  <c r="BA73" i="28"/>
  <c r="AO72" i="29"/>
  <c r="M41" i="28"/>
  <c r="M57" i="28"/>
  <c r="AM62" i="27"/>
  <c r="AM57" i="27"/>
  <c r="AX27" i="27"/>
  <c r="AM44" i="27"/>
  <c r="AY72" i="18"/>
  <c r="F18" i="17"/>
  <c r="F48" i="17" s="1"/>
  <c r="G46" i="17"/>
  <c r="G74" i="17"/>
  <c r="B48" i="17"/>
  <c r="B64" i="17" s="1"/>
  <c r="AI61" i="17"/>
  <c r="AK23" i="17"/>
  <c r="AI63" i="17"/>
  <c r="AX10" i="17"/>
  <c r="Q45" i="17"/>
  <c r="K42" i="17"/>
  <c r="K37" i="17"/>
  <c r="BA10" i="1"/>
  <c r="AR74" i="1"/>
  <c r="AN30" i="1"/>
  <c r="AR30" i="1" s="1"/>
  <c r="AR43" i="1"/>
  <c r="AY35" i="31"/>
  <c r="AX35" i="31"/>
  <c r="AX45" i="28"/>
  <c r="AY45" i="28"/>
  <c r="AZ50" i="27"/>
  <c r="BA50" i="27"/>
  <c r="I54" i="27"/>
  <c r="AB54" i="27"/>
  <c r="AR54" i="27" s="1"/>
  <c r="AC17" i="30"/>
  <c r="AO47" i="29"/>
  <c r="M72" i="28"/>
  <c r="M44" i="28"/>
  <c r="AM6" i="27"/>
  <c r="AM61" i="27"/>
  <c r="AC34" i="18"/>
  <c r="AO33" i="18"/>
  <c r="G44" i="17"/>
  <c r="G8" i="17"/>
  <c r="G21" i="17"/>
  <c r="G27" i="17"/>
  <c r="AK24" i="17"/>
  <c r="AI77" i="17"/>
  <c r="AZ83" i="17"/>
  <c r="Q33" i="17"/>
  <c r="AY20" i="1"/>
  <c r="I65" i="1"/>
  <c r="AE8" i="1"/>
  <c r="AE23" i="1"/>
  <c r="AX31" i="27"/>
  <c r="AY31" i="27"/>
  <c r="BA55" i="27"/>
  <c r="I62" i="27"/>
  <c r="AM22" i="27"/>
  <c r="AM77" i="27"/>
  <c r="AX9" i="18"/>
  <c r="AR70" i="18"/>
  <c r="AZ70" i="18" s="1"/>
  <c r="G71" i="17"/>
  <c r="G54" i="17"/>
  <c r="G77" i="17"/>
  <c r="G56" i="17"/>
  <c r="G29" i="17"/>
  <c r="AI65" i="17"/>
  <c r="AK44" i="17"/>
  <c r="AI72" i="17"/>
  <c r="Q57" i="17"/>
  <c r="AI19" i="17"/>
  <c r="Y71" i="17"/>
  <c r="K7" i="17"/>
  <c r="I46" i="27"/>
  <c r="I52" i="27"/>
  <c r="I72" i="27"/>
  <c r="I20" i="27"/>
  <c r="I32" i="27"/>
  <c r="I53" i="27"/>
  <c r="I21" i="27"/>
  <c r="I56" i="27"/>
  <c r="I26" i="27"/>
  <c r="I28" i="27"/>
  <c r="I44" i="27"/>
  <c r="I24" i="27"/>
  <c r="I33" i="27"/>
  <c r="I8" i="27"/>
  <c r="I31" i="27"/>
  <c r="I38" i="27"/>
  <c r="I7" i="27"/>
  <c r="I73" i="27"/>
  <c r="I59" i="27"/>
  <c r="I71" i="27"/>
  <c r="I35" i="27"/>
  <c r="I40" i="27"/>
  <c r="I50" i="27"/>
  <c r="I25" i="27"/>
  <c r="I43" i="27"/>
  <c r="I23" i="27"/>
  <c r="I75" i="27"/>
  <c r="I66" i="27"/>
  <c r="I76" i="27"/>
  <c r="I77" i="27"/>
  <c r="I41" i="27"/>
  <c r="I74" i="27"/>
  <c r="I51" i="27"/>
  <c r="I14" i="27"/>
  <c r="I15" i="27"/>
  <c r="I49" i="27"/>
  <c r="I58" i="27"/>
  <c r="I9" i="27"/>
  <c r="I34" i="27"/>
  <c r="I63" i="27"/>
  <c r="I30" i="27"/>
  <c r="I19" i="27"/>
  <c r="I36" i="27"/>
  <c r="I78" i="27"/>
  <c r="M53" i="28"/>
  <c r="AM36" i="27"/>
  <c r="AM11" i="27"/>
  <c r="BA33" i="18"/>
  <c r="G35" i="17"/>
  <c r="G62" i="17"/>
  <c r="AY36" i="17"/>
  <c r="G22" i="17"/>
  <c r="G51" i="17"/>
  <c r="AK60" i="17"/>
  <c r="Q16" i="17"/>
  <c r="G9" i="17"/>
  <c r="AI29" i="17"/>
  <c r="AR55" i="1"/>
  <c r="AE49" i="1"/>
  <c r="AE75" i="1"/>
  <c r="AE77" i="1"/>
  <c r="AE42" i="1"/>
  <c r="C64" i="16"/>
  <c r="AP73" i="1"/>
  <c r="AX73" i="1" s="1"/>
  <c r="AX44" i="29"/>
  <c r="K52" i="28"/>
  <c r="K75" i="28"/>
  <c r="I33" i="28"/>
  <c r="I11" i="28"/>
  <c r="I22" i="28"/>
  <c r="Q39" i="28"/>
  <c r="Q78" i="28"/>
  <c r="AN54" i="29"/>
  <c r="AR72" i="27"/>
  <c r="AR9" i="16"/>
  <c r="AZ9" i="16" s="1"/>
  <c r="AP40" i="16"/>
  <c r="G78" i="16"/>
  <c r="AG47" i="28"/>
  <c r="AG42" i="28"/>
  <c r="K29" i="28"/>
  <c r="K50" i="28"/>
  <c r="K7" i="28"/>
  <c r="I32" i="28"/>
  <c r="I44" i="28"/>
  <c r="I76" i="28"/>
  <c r="Q43" i="28"/>
  <c r="Q35" i="28"/>
  <c r="AG54" i="28"/>
  <c r="Q47" i="28"/>
  <c r="Q73" i="28"/>
  <c r="AM43" i="18"/>
  <c r="AM14" i="18"/>
  <c r="AN54" i="18"/>
  <c r="AO54" i="18" s="1"/>
  <c r="M37" i="18"/>
  <c r="AR65" i="27"/>
  <c r="U41" i="27"/>
  <c r="M21" i="18"/>
  <c r="AY28" i="27"/>
  <c r="AU23" i="27"/>
  <c r="O68" i="18"/>
  <c r="O40" i="18"/>
  <c r="O58" i="18"/>
  <c r="O71" i="18"/>
  <c r="Q54" i="16"/>
  <c r="AR59" i="27"/>
  <c r="AW17" i="18"/>
  <c r="AK47" i="18"/>
  <c r="O75" i="18"/>
  <c r="K40" i="28"/>
  <c r="K65" i="28"/>
  <c r="K66" i="28"/>
  <c r="I77" i="28"/>
  <c r="I41" i="28"/>
  <c r="I36" i="28"/>
  <c r="Q55" i="28"/>
  <c r="Q9" i="28"/>
  <c r="K43" i="28"/>
  <c r="K14" i="28"/>
  <c r="K45" i="28"/>
  <c r="I39" i="28"/>
  <c r="I52" i="28"/>
  <c r="I24" i="28"/>
  <c r="Q54" i="28"/>
  <c r="Q14" i="28"/>
  <c r="BA58" i="17"/>
  <c r="AR66" i="27"/>
  <c r="AR7" i="27"/>
  <c r="AZ7" i="27" s="1"/>
  <c r="AK20" i="18"/>
  <c r="AR19" i="18"/>
  <c r="AU11" i="27"/>
  <c r="O14" i="18"/>
  <c r="O53" i="18"/>
  <c r="O11" i="18"/>
  <c r="O42" i="18"/>
  <c r="BA16" i="28"/>
  <c r="K53" i="28"/>
  <c r="K58" i="28"/>
  <c r="K31" i="28"/>
  <c r="I25" i="28"/>
  <c r="H18" i="28"/>
  <c r="I27" i="28"/>
  <c r="C48" i="29"/>
  <c r="Q50" i="28"/>
  <c r="Q28" i="28"/>
  <c r="AR41" i="27"/>
  <c r="AR66" i="18"/>
  <c r="AS66" i="18" s="1"/>
  <c r="Q51" i="31"/>
  <c r="Q15" i="31"/>
  <c r="Q57" i="31"/>
  <c r="BA14" i="30"/>
  <c r="AG73" i="28"/>
  <c r="AG43" i="28"/>
  <c r="K76" i="28"/>
  <c r="K26" i="28"/>
  <c r="I72" i="28"/>
  <c r="I62" i="28"/>
  <c r="I28" i="28"/>
  <c r="AG58" i="28"/>
  <c r="Q24" i="28"/>
  <c r="D48" i="28"/>
  <c r="AM9" i="18"/>
  <c r="M9" i="18"/>
  <c r="M61" i="18"/>
  <c r="M73" i="27"/>
  <c r="AR21" i="27"/>
  <c r="U50" i="27"/>
  <c r="U29" i="27"/>
  <c r="AK50" i="18"/>
  <c r="AU71" i="27"/>
  <c r="O50" i="18"/>
  <c r="O20" i="18"/>
  <c r="O45" i="18"/>
  <c r="AP25" i="27"/>
  <c r="O74" i="18"/>
  <c r="AU48" i="29"/>
  <c r="W59" i="28"/>
  <c r="K71" i="28"/>
  <c r="K61" i="28"/>
  <c r="K9" i="28"/>
  <c r="I29" i="28"/>
  <c r="I49" i="28"/>
  <c r="I19" i="28"/>
  <c r="Q27" i="28"/>
  <c r="Q66" i="28"/>
  <c r="AN17" i="28"/>
  <c r="M9" i="27"/>
  <c r="U28" i="27"/>
  <c r="AK19" i="18"/>
  <c r="AR45" i="18"/>
  <c r="AU35" i="27"/>
  <c r="O78" i="18"/>
  <c r="O62" i="18"/>
  <c r="O33" i="18"/>
  <c r="W18" i="30"/>
  <c r="AY72" i="30"/>
  <c r="BA25" i="28"/>
  <c r="K73" i="28"/>
  <c r="K41" i="28"/>
  <c r="K78" i="28"/>
  <c r="I38" i="28"/>
  <c r="I57" i="28"/>
  <c r="I14" i="28"/>
  <c r="AG17" i="28"/>
  <c r="Q34" i="28"/>
  <c r="Q21" i="28"/>
  <c r="M57" i="18"/>
  <c r="M21" i="27"/>
  <c r="U19" i="27"/>
  <c r="AR38" i="27"/>
  <c r="U53" i="27"/>
  <c r="AR13" i="27"/>
  <c r="AZ13" i="27" s="1"/>
  <c r="U27" i="27"/>
  <c r="AR21" i="18"/>
  <c r="AS21" i="18" s="1"/>
  <c r="O18" i="18"/>
  <c r="O30" i="27"/>
  <c r="O76" i="18"/>
  <c r="O49" i="18"/>
  <c r="O24" i="18"/>
  <c r="B48" i="18"/>
  <c r="AP51" i="27"/>
  <c r="AP24" i="27"/>
  <c r="I40" i="16"/>
  <c r="Q46" i="31"/>
  <c r="Q43" i="31"/>
  <c r="Q76" i="31"/>
  <c r="AO23" i="30"/>
  <c r="AW9" i="30"/>
  <c r="AW62" i="30"/>
  <c r="AW74" i="30"/>
  <c r="AW36" i="30"/>
  <c r="AW51" i="30"/>
  <c r="AG41" i="28"/>
  <c r="AG31" i="28"/>
  <c r="K32" i="28"/>
  <c r="K35" i="28"/>
  <c r="I55" i="28"/>
  <c r="I34" i="28"/>
  <c r="I43" i="28"/>
  <c r="Q77" i="28"/>
  <c r="Q45" i="28"/>
  <c r="Q20" i="28"/>
  <c r="AB17" i="28"/>
  <c r="X47" i="18"/>
  <c r="Y47" i="18" s="1"/>
  <c r="AM7" i="18"/>
  <c r="AM59" i="18"/>
  <c r="V18" i="29"/>
  <c r="W18" i="29" s="1"/>
  <c r="M46" i="18"/>
  <c r="M6" i="27"/>
  <c r="AW49" i="18"/>
  <c r="U55" i="27"/>
  <c r="U25" i="27"/>
  <c r="AR13" i="18"/>
  <c r="AZ13" i="18" s="1"/>
  <c r="W42" i="18"/>
  <c r="O35" i="18"/>
  <c r="O8" i="18"/>
  <c r="O63" i="18"/>
  <c r="I26" i="16"/>
  <c r="AO60" i="30"/>
  <c r="AY15" i="30"/>
  <c r="AY14" i="30"/>
  <c r="AW33" i="30"/>
  <c r="AW61" i="30"/>
  <c r="AW6" i="30"/>
  <c r="AW50" i="30"/>
  <c r="AY42" i="28"/>
  <c r="V62" i="28"/>
  <c r="W62" i="28" s="1"/>
  <c r="AG32" i="28"/>
  <c r="AG35" i="28"/>
  <c r="K68" i="28"/>
  <c r="K24" i="28"/>
  <c r="I65" i="28"/>
  <c r="I58" i="28"/>
  <c r="I61" i="28"/>
  <c r="BA39" i="28"/>
  <c r="Q56" i="28"/>
  <c r="Q44" i="28"/>
  <c r="Q33" i="28"/>
  <c r="AE54" i="28"/>
  <c r="AM61" i="18"/>
  <c r="AM51" i="18"/>
  <c r="AG68" i="16"/>
  <c r="M10" i="18"/>
  <c r="AR24" i="27"/>
  <c r="U56" i="27"/>
  <c r="AR60" i="18"/>
  <c r="AS60" i="18" s="1"/>
  <c r="AR31" i="18"/>
  <c r="AS31" i="18" s="1"/>
  <c r="AR35" i="18"/>
  <c r="W14" i="18"/>
  <c r="O23" i="18"/>
  <c r="O77" i="18"/>
  <c r="O43" i="18"/>
  <c r="K78" i="18"/>
  <c r="AP40" i="27"/>
  <c r="O73" i="18"/>
  <c r="S47" i="16"/>
  <c r="I50" i="16"/>
  <c r="Y43" i="1"/>
  <c r="AG62" i="28"/>
  <c r="AG33" i="28"/>
  <c r="K21" i="28"/>
  <c r="K6" i="28"/>
  <c r="I74" i="28"/>
  <c r="I53" i="28"/>
  <c r="I23" i="28"/>
  <c r="Q57" i="28"/>
  <c r="Q59" i="28"/>
  <c r="AZ71" i="31"/>
  <c r="AM10" i="18"/>
  <c r="AM57" i="18"/>
  <c r="AM52" i="18"/>
  <c r="AX32" i="27"/>
  <c r="M6" i="18"/>
  <c r="M20" i="18"/>
  <c r="U59" i="27"/>
  <c r="AR10" i="27"/>
  <c r="O52" i="18"/>
  <c r="O22" i="18"/>
  <c r="O37" i="18"/>
  <c r="AP46" i="16"/>
  <c r="AP81" i="28"/>
  <c r="AI38" i="31"/>
  <c r="Q61" i="31"/>
  <c r="Q65" i="31"/>
  <c r="Q36" i="31"/>
  <c r="AW14" i="30"/>
  <c r="AW66" i="30"/>
  <c r="I71" i="28"/>
  <c r="AG63" i="28"/>
  <c r="AG57" i="28"/>
  <c r="K8" i="28"/>
  <c r="K34" i="28"/>
  <c r="I31" i="28"/>
  <c r="I7" i="28"/>
  <c r="AZ66" i="28"/>
  <c r="Q8" i="28"/>
  <c r="Q46" i="28"/>
  <c r="Q31" i="28"/>
  <c r="AR8" i="28"/>
  <c r="AM31" i="18"/>
  <c r="AM75" i="18"/>
  <c r="M55" i="18"/>
  <c r="U49" i="27"/>
  <c r="AR40" i="27"/>
  <c r="U66" i="27"/>
  <c r="M16" i="18"/>
  <c r="I17" i="18"/>
  <c r="M52" i="18"/>
  <c r="AR6" i="18"/>
  <c r="O6" i="18"/>
  <c r="O28" i="18"/>
  <c r="O17" i="18"/>
  <c r="I21" i="16"/>
  <c r="G63" i="16"/>
  <c r="AR74" i="18"/>
  <c r="O25" i="18"/>
  <c r="O55" i="18"/>
  <c r="O56" i="18"/>
  <c r="G62" i="16"/>
  <c r="AW22" i="16"/>
  <c r="AX20" i="30"/>
  <c r="AG53" i="28"/>
  <c r="AG36" i="28"/>
  <c r="K22" i="28"/>
  <c r="J18" i="28"/>
  <c r="I78" i="28"/>
  <c r="I10" i="28"/>
  <c r="Q30" i="28"/>
  <c r="AM74" i="18"/>
  <c r="M62" i="27"/>
  <c r="AR75" i="27"/>
  <c r="M77" i="27"/>
  <c r="AR45" i="27"/>
  <c r="BA45" i="27" s="1"/>
  <c r="AR56" i="27"/>
  <c r="U72" i="27"/>
  <c r="U6" i="27"/>
  <c r="O54" i="18"/>
  <c r="O27" i="18"/>
  <c r="AP53" i="27"/>
  <c r="AP45" i="27"/>
  <c r="AX45" i="27" s="1"/>
  <c r="AP26" i="16"/>
  <c r="G26" i="16"/>
  <c r="AV48" i="31"/>
  <c r="AV64" i="31" s="1"/>
  <c r="T64" i="28"/>
  <c r="U48" i="28"/>
  <c r="AW64" i="27"/>
  <c r="AV67" i="27"/>
  <c r="AV69" i="27" s="1"/>
  <c r="AW69" i="27" s="1"/>
  <c r="AY14" i="27"/>
  <c r="AX14" i="27"/>
  <c r="AX54" i="30"/>
  <c r="Y9" i="30"/>
  <c r="AA36" i="30"/>
  <c r="X47" i="29"/>
  <c r="AM77" i="29"/>
  <c r="AM49" i="29"/>
  <c r="AM27" i="29"/>
  <c r="AO52" i="29"/>
  <c r="AO11" i="29"/>
  <c r="AO68" i="29"/>
  <c r="AY41" i="27"/>
  <c r="AY27" i="18"/>
  <c r="AX27" i="18"/>
  <c r="AY52" i="17"/>
  <c r="AX52" i="17"/>
  <c r="X18" i="18"/>
  <c r="Y18" i="18" s="1"/>
  <c r="P48" i="18"/>
  <c r="Y49" i="30"/>
  <c r="AA57" i="30"/>
  <c r="AC74" i="30"/>
  <c r="AB18" i="30"/>
  <c r="AC18" i="30" s="1"/>
  <c r="AP11" i="29"/>
  <c r="AQ50" i="29" s="1"/>
  <c r="AM29" i="29"/>
  <c r="AM34" i="29"/>
  <c r="AO22" i="29"/>
  <c r="AO33" i="29"/>
  <c r="AO41" i="29"/>
  <c r="M38" i="28"/>
  <c r="M19" i="28"/>
  <c r="AS9" i="18"/>
  <c r="AS29" i="18"/>
  <c r="AC66" i="18"/>
  <c r="AC51" i="18"/>
  <c r="AC63" i="18"/>
  <c r="AC74" i="18"/>
  <c r="AC65" i="18"/>
  <c r="AC50" i="18"/>
  <c r="AC40" i="18"/>
  <c r="AC9" i="18"/>
  <c r="AC11" i="18"/>
  <c r="AC41" i="18"/>
  <c r="AC26" i="18"/>
  <c r="AC60" i="18"/>
  <c r="AC49" i="18"/>
  <c r="AC44" i="18"/>
  <c r="AC62" i="18"/>
  <c r="AC38" i="18"/>
  <c r="AC21" i="18"/>
  <c r="AC68" i="18"/>
  <c r="AC32" i="18"/>
  <c r="AC71" i="18"/>
  <c r="AC73" i="18"/>
  <c r="AC72" i="18"/>
  <c r="AC75" i="18"/>
  <c r="AC42" i="18"/>
  <c r="AC22" i="18"/>
  <c r="AC46" i="18"/>
  <c r="AC53" i="18"/>
  <c r="AC28" i="18"/>
  <c r="AC33" i="18"/>
  <c r="AC10" i="18"/>
  <c r="AC23" i="18"/>
  <c r="AC30" i="18"/>
  <c r="AC76" i="18"/>
  <c r="AC35" i="18"/>
  <c r="AC77" i="18"/>
  <c r="AX52" i="18"/>
  <c r="AY52" i="18"/>
  <c r="Y44" i="30"/>
  <c r="AX66" i="18"/>
  <c r="AY66" i="18"/>
  <c r="AG18" i="18"/>
  <c r="AA72" i="30"/>
  <c r="AA33" i="30"/>
  <c r="AA65" i="30"/>
  <c r="AY71" i="27"/>
  <c r="U48" i="30"/>
  <c r="Y24" i="30"/>
  <c r="AA41" i="30"/>
  <c r="AO71" i="29"/>
  <c r="AO26" i="29"/>
  <c r="AO25" i="29"/>
  <c r="AO28" i="29"/>
  <c r="BA66" i="1"/>
  <c r="AP56" i="17"/>
  <c r="AA61" i="30"/>
  <c r="AN18" i="18"/>
  <c r="AO18" i="18" s="1"/>
  <c r="C48" i="17"/>
  <c r="AP59" i="17"/>
  <c r="AX59" i="17" s="1"/>
  <c r="AA59" i="17"/>
  <c r="AW17" i="17"/>
  <c r="AV18" i="17"/>
  <c r="Y55" i="30"/>
  <c r="S67" i="30"/>
  <c r="Y58" i="30"/>
  <c r="AA28" i="30"/>
  <c r="BA65" i="30"/>
  <c r="Y25" i="30"/>
  <c r="AA27" i="30"/>
  <c r="AM20" i="29"/>
  <c r="AM9" i="29"/>
  <c r="AM71" i="29"/>
  <c r="AM74" i="29"/>
  <c r="AO38" i="29"/>
  <c r="AO62" i="29"/>
  <c r="AO78" i="29"/>
  <c r="V54" i="28"/>
  <c r="W54" i="28" s="1"/>
  <c r="AZ58" i="28"/>
  <c r="AS25" i="18"/>
  <c r="AS28" i="18"/>
  <c r="AS45" i="18"/>
  <c r="AS11" i="18"/>
  <c r="AS68" i="18"/>
  <c r="AS23" i="18"/>
  <c r="AS10" i="18"/>
  <c r="AZ11" i="18"/>
  <c r="AS59" i="18"/>
  <c r="AS72" i="18"/>
  <c r="BA11" i="18"/>
  <c r="AS30" i="18"/>
  <c r="AS43" i="18"/>
  <c r="AY65" i="17"/>
  <c r="AX65" i="17"/>
  <c r="AP49" i="17"/>
  <c r="AZ39" i="1"/>
  <c r="BA39" i="1"/>
  <c r="AZ42" i="18"/>
  <c r="BA42" i="18"/>
  <c r="Y32" i="30"/>
  <c r="AA31" i="30"/>
  <c r="AC44" i="30"/>
  <c r="AC59" i="30"/>
  <c r="AC56" i="30"/>
  <c r="AC61" i="30"/>
  <c r="AM10" i="29"/>
  <c r="AM76" i="29"/>
  <c r="AM46" i="29"/>
  <c r="AO73" i="29"/>
  <c r="AO9" i="29"/>
  <c r="AO14" i="29"/>
  <c r="AY19" i="28"/>
  <c r="AS41" i="18"/>
  <c r="AZ9" i="17"/>
  <c r="BA9" i="17"/>
  <c r="Y27" i="30"/>
  <c r="AA11" i="30"/>
  <c r="BA21" i="30"/>
  <c r="Y6" i="30"/>
  <c r="AM53" i="29"/>
  <c r="AM15" i="29"/>
  <c r="AM45" i="29"/>
  <c r="AO27" i="29"/>
  <c r="AO8" i="29"/>
  <c r="AO16" i="29"/>
  <c r="X48" i="28"/>
  <c r="Y48" i="28" s="1"/>
  <c r="AY35" i="28"/>
  <c r="AG48" i="18"/>
  <c r="BA24" i="1"/>
  <c r="AZ24" i="1"/>
  <c r="M48" i="29"/>
  <c r="AO53" i="29"/>
  <c r="AO58" i="29"/>
  <c r="AO15" i="29"/>
  <c r="X18" i="28"/>
  <c r="Y18" i="28" s="1"/>
  <c r="AY55" i="27"/>
  <c r="AX55" i="27"/>
  <c r="AZ6" i="27"/>
  <c r="BA6" i="27"/>
  <c r="J48" i="1"/>
  <c r="K18" i="1"/>
  <c r="L18" i="1"/>
  <c r="AR59" i="1"/>
  <c r="AO30" i="29"/>
  <c r="AO49" i="29"/>
  <c r="AO50" i="29"/>
  <c r="U18" i="28"/>
  <c r="AZ58" i="27"/>
  <c r="Q18" i="18"/>
  <c r="AA75" i="30"/>
  <c r="AT79" i="30"/>
  <c r="AA58" i="30"/>
  <c r="AX32" i="28"/>
  <c r="AM31" i="29"/>
  <c r="AM7" i="29"/>
  <c r="AM63" i="29"/>
  <c r="AO43" i="29"/>
  <c r="AO42" i="29"/>
  <c r="AO61" i="29"/>
  <c r="AW48" i="27"/>
  <c r="BA57" i="18"/>
  <c r="AZ57" i="18"/>
  <c r="Y53" i="30"/>
  <c r="Y65" i="30"/>
  <c r="AY32" i="28"/>
  <c r="Y7" i="30"/>
  <c r="O48" i="30"/>
  <c r="AT69" i="30"/>
  <c r="AU69" i="30" s="1"/>
  <c r="Y75" i="30"/>
  <c r="AA21" i="30"/>
  <c r="AV48" i="30"/>
  <c r="AW48" i="30" s="1"/>
  <c r="AC34" i="30"/>
  <c r="B67" i="30"/>
  <c r="AM55" i="29"/>
  <c r="AM11" i="29"/>
  <c r="AM24" i="29"/>
  <c r="AX50" i="29"/>
  <c r="AO32" i="29"/>
  <c r="AO60" i="29"/>
  <c r="AO40" i="29"/>
  <c r="AZ62" i="27"/>
  <c r="BA43" i="27"/>
  <c r="AA24" i="30"/>
  <c r="AX61" i="30"/>
  <c r="AA14" i="30"/>
  <c r="Y47" i="30"/>
  <c r="N64" i="30"/>
  <c r="N67" i="30" s="1"/>
  <c r="N79" i="30" s="1"/>
  <c r="Y59" i="30"/>
  <c r="AA10" i="30"/>
  <c r="AM26" i="29"/>
  <c r="AM72" i="29"/>
  <c r="AM42" i="29"/>
  <c r="AO63" i="29"/>
  <c r="AO56" i="29"/>
  <c r="AO55" i="29"/>
  <c r="AV67" i="28"/>
  <c r="AW67" i="28" s="1"/>
  <c r="AX37" i="27"/>
  <c r="M54" i="28"/>
  <c r="M76" i="28"/>
  <c r="AZ8" i="1"/>
  <c r="AZ14" i="17"/>
  <c r="BA14" i="17"/>
  <c r="AU30" i="17"/>
  <c r="AU14" i="17"/>
  <c r="AU50" i="17"/>
  <c r="AU11" i="17"/>
  <c r="AU60" i="17"/>
  <c r="AU34" i="17"/>
  <c r="AU59" i="17"/>
  <c r="AU43" i="17"/>
  <c r="AU75" i="17"/>
  <c r="AU52" i="17"/>
  <c r="AU19" i="17"/>
  <c r="AX47" i="1"/>
  <c r="AG77" i="17"/>
  <c r="AG76" i="17"/>
  <c r="AG68" i="17"/>
  <c r="AG38" i="17"/>
  <c r="AG10" i="17"/>
  <c r="AG52" i="17"/>
  <c r="AG6" i="17"/>
  <c r="AG37" i="17"/>
  <c r="AG57" i="17"/>
  <c r="AY39" i="1"/>
  <c r="AX39" i="1"/>
  <c r="AA52" i="17"/>
  <c r="AG31" i="17"/>
  <c r="M47" i="17"/>
  <c r="M16" i="17"/>
  <c r="M6" i="17"/>
  <c r="AY73" i="1"/>
  <c r="AO46" i="18"/>
  <c r="AO59" i="18"/>
  <c r="AO10" i="18"/>
  <c r="AO73" i="18"/>
  <c r="M49" i="17"/>
  <c r="M52" i="17"/>
  <c r="M27" i="17"/>
  <c r="M30" i="17"/>
  <c r="AU44" i="17"/>
  <c r="AU41" i="17"/>
  <c r="AG40" i="17"/>
  <c r="AP66" i="17"/>
  <c r="R79" i="16"/>
  <c r="I46" i="1"/>
  <c r="AB46" i="1"/>
  <c r="AX31" i="1"/>
  <c r="AY31" i="1"/>
  <c r="J64" i="27"/>
  <c r="AO76" i="18"/>
  <c r="AO45" i="18"/>
  <c r="AO22" i="18"/>
  <c r="Y7" i="18"/>
  <c r="Y37" i="18"/>
  <c r="Y30" i="18"/>
  <c r="AX38" i="17"/>
  <c r="AO7" i="18"/>
  <c r="M73" i="17"/>
  <c r="M31" i="17"/>
  <c r="M34" i="17"/>
  <c r="M46" i="17"/>
  <c r="AI13" i="17"/>
  <c r="AU65" i="17"/>
  <c r="AU57" i="17"/>
  <c r="AG36" i="17"/>
  <c r="AI53" i="17"/>
  <c r="AI34" i="17"/>
  <c r="AB17" i="17"/>
  <c r="I17" i="17"/>
  <c r="AX46" i="1"/>
  <c r="U18" i="16"/>
  <c r="T48" i="16"/>
  <c r="AM75" i="27"/>
  <c r="AM32" i="27"/>
  <c r="AO19" i="18"/>
  <c r="AO23" i="18"/>
  <c r="AO11" i="18"/>
  <c r="Y35" i="18"/>
  <c r="Y28" i="18"/>
  <c r="Y43" i="18"/>
  <c r="AX37" i="18"/>
  <c r="AA43" i="17"/>
  <c r="L18" i="17"/>
  <c r="M21" i="17"/>
  <c r="M22" i="17"/>
  <c r="AY32" i="17"/>
  <c r="AI78" i="17"/>
  <c r="AU8" i="17"/>
  <c r="AU22" i="17"/>
  <c r="I15" i="17"/>
  <c r="I55" i="17"/>
  <c r="AG75" i="17"/>
  <c r="AI8" i="17"/>
  <c r="AL54" i="17"/>
  <c r="AM54" i="17" s="1"/>
  <c r="AI55" i="17"/>
  <c r="AP46" i="17"/>
  <c r="AX46" i="17" s="1"/>
  <c r="BA41" i="1"/>
  <c r="AZ41" i="1"/>
  <c r="AK17" i="1"/>
  <c r="AN17" i="1"/>
  <c r="M75" i="17"/>
  <c r="M62" i="17"/>
  <c r="M41" i="17"/>
  <c r="M68" i="17"/>
  <c r="AU29" i="17"/>
  <c r="AU33" i="17"/>
  <c r="AG9" i="17"/>
  <c r="AG8" i="17"/>
  <c r="AI27" i="17"/>
  <c r="AI22" i="17"/>
  <c r="AI31" i="17"/>
  <c r="AI44" i="17"/>
  <c r="AI16" i="17"/>
  <c r="AI40" i="17"/>
  <c r="AI28" i="17"/>
  <c r="AI71" i="17"/>
  <c r="AI23" i="17"/>
  <c r="AI74" i="17"/>
  <c r="AI20" i="17"/>
  <c r="AI45" i="17"/>
  <c r="AI51" i="17"/>
  <c r="AI56" i="17"/>
  <c r="AI17" i="17"/>
  <c r="AI6" i="17"/>
  <c r="AX38" i="1"/>
  <c r="AY38" i="1"/>
  <c r="AM6" i="1"/>
  <c r="AM16" i="1"/>
  <c r="AM59" i="1"/>
  <c r="AM56" i="1"/>
  <c r="AM73" i="1"/>
  <c r="AM35" i="1"/>
  <c r="AM22" i="1"/>
  <c r="AM61" i="1"/>
  <c r="AM52" i="1"/>
  <c r="AM75" i="1"/>
  <c r="AM37" i="1"/>
  <c r="AM11" i="1"/>
  <c r="AM46" i="1"/>
  <c r="AM9" i="1"/>
  <c r="AP11" i="1"/>
  <c r="AM27" i="1"/>
  <c r="AO36" i="18"/>
  <c r="AO72" i="18"/>
  <c r="AO26" i="18"/>
  <c r="BA27" i="18"/>
  <c r="Y71" i="18"/>
  <c r="M71" i="17"/>
  <c r="M26" i="17"/>
  <c r="M53" i="17"/>
  <c r="M42" i="17"/>
  <c r="M17" i="17"/>
  <c r="AU76" i="17"/>
  <c r="AU38" i="17"/>
  <c r="AG39" i="17"/>
  <c r="Y75" i="17"/>
  <c r="AY37" i="1"/>
  <c r="AX37" i="1"/>
  <c r="AR33" i="1"/>
  <c r="AX29" i="1"/>
  <c r="AY29" i="1"/>
  <c r="AM7" i="27"/>
  <c r="AM14" i="27"/>
  <c r="AM46" i="27"/>
  <c r="AS77" i="18"/>
  <c r="AO35" i="18"/>
  <c r="AO29" i="18"/>
  <c r="AO66" i="18"/>
  <c r="AZ27" i="18"/>
  <c r="Y24" i="18"/>
  <c r="Y17" i="18"/>
  <c r="Y39" i="18"/>
  <c r="M35" i="17"/>
  <c r="M8" i="17"/>
  <c r="M14" i="17"/>
  <c r="AI50" i="17"/>
  <c r="AI75" i="17"/>
  <c r="AU42" i="17"/>
  <c r="AU49" i="17"/>
  <c r="AB11" i="17"/>
  <c r="AI62" i="17"/>
  <c r="AF18" i="17"/>
  <c r="AG71" i="17"/>
  <c r="I40" i="17"/>
  <c r="I25" i="17"/>
  <c r="I66" i="17"/>
  <c r="I74" i="17"/>
  <c r="I28" i="17"/>
  <c r="I9" i="17"/>
  <c r="I38" i="17"/>
  <c r="I50" i="17"/>
  <c r="I32" i="17"/>
  <c r="I16" i="17"/>
  <c r="I60" i="17"/>
  <c r="I73" i="17"/>
  <c r="I14" i="17"/>
  <c r="I33" i="17"/>
  <c r="I52" i="17"/>
  <c r="I39" i="17"/>
  <c r="I72" i="17"/>
  <c r="AY62" i="1"/>
  <c r="AX62" i="1"/>
  <c r="AA56" i="16"/>
  <c r="AA49" i="16"/>
  <c r="AA54" i="16"/>
  <c r="AA40" i="16"/>
  <c r="AA53" i="16"/>
  <c r="AA26" i="16"/>
  <c r="AA63" i="16"/>
  <c r="AA25" i="16"/>
  <c r="AA34" i="16"/>
  <c r="AA24" i="16"/>
  <c r="AA41" i="16"/>
  <c r="AA46" i="16"/>
  <c r="AA51" i="16"/>
  <c r="AA11" i="16"/>
  <c r="AA39" i="16"/>
  <c r="AA58" i="16"/>
  <c r="AA66" i="16"/>
  <c r="AA7" i="16"/>
  <c r="AA19" i="16"/>
  <c r="AA61" i="16"/>
  <c r="AA62" i="16"/>
  <c r="AA31" i="16"/>
  <c r="AA32" i="16"/>
  <c r="AA33" i="16"/>
  <c r="AA44" i="16"/>
  <c r="AA75" i="16"/>
  <c r="AA55" i="16"/>
  <c r="AA45" i="16"/>
  <c r="AA68" i="16"/>
  <c r="AA17" i="16"/>
  <c r="AA42" i="16"/>
  <c r="AA60" i="16"/>
  <c r="AA71" i="16"/>
  <c r="AA28" i="16"/>
  <c r="AA77" i="16"/>
  <c r="AA29" i="16"/>
  <c r="AA16" i="16"/>
  <c r="AA23" i="16"/>
  <c r="AA6" i="16"/>
  <c r="AA20" i="16"/>
  <c r="AA52" i="16"/>
  <c r="AA35" i="16"/>
  <c r="AA72" i="16"/>
  <c r="AA36" i="16"/>
  <c r="AA30" i="16"/>
  <c r="AA14" i="16"/>
  <c r="AA74" i="16"/>
  <c r="AA57" i="16"/>
  <c r="AA37" i="16"/>
  <c r="AA76" i="16"/>
  <c r="AA73" i="16"/>
  <c r="AA15" i="16"/>
  <c r="AA78" i="16"/>
  <c r="AO41" i="18"/>
  <c r="M15" i="17"/>
  <c r="M54" i="17"/>
  <c r="M66" i="17"/>
  <c r="M23" i="17"/>
  <c r="AU46" i="17"/>
  <c r="AU74" i="17"/>
  <c r="AG41" i="17"/>
  <c r="AG35" i="17"/>
  <c r="AI38" i="17"/>
  <c r="AK30" i="17"/>
  <c r="AK49" i="17"/>
  <c r="AK42" i="17"/>
  <c r="AK38" i="17"/>
  <c r="AK35" i="17"/>
  <c r="AK25" i="17"/>
  <c r="AX57" i="16"/>
  <c r="AO8" i="18"/>
  <c r="AO65" i="18"/>
  <c r="AO75" i="18"/>
  <c r="AX50" i="18"/>
  <c r="Y49" i="18"/>
  <c r="AO51" i="18"/>
  <c r="AA57" i="17"/>
  <c r="AU15" i="17"/>
  <c r="M44" i="17"/>
  <c r="M55" i="17"/>
  <c r="M50" i="17"/>
  <c r="AU31" i="17"/>
  <c r="AU36" i="17"/>
  <c r="AG26" i="17"/>
  <c r="AG25" i="17"/>
  <c r="AI42" i="17"/>
  <c r="AM52" i="27"/>
  <c r="AM31" i="27"/>
  <c r="AM9" i="27"/>
  <c r="AU48" i="18"/>
  <c r="AO34" i="18"/>
  <c r="AO49" i="18"/>
  <c r="AO16" i="18"/>
  <c r="AO68" i="18"/>
  <c r="Y74" i="18"/>
  <c r="Y61" i="18"/>
  <c r="Y77" i="18"/>
  <c r="Y75" i="18"/>
  <c r="Y25" i="18"/>
  <c r="AA19" i="17"/>
  <c r="AA14" i="17"/>
  <c r="AI26" i="17"/>
  <c r="AI21" i="17"/>
  <c r="M20" i="17"/>
  <c r="M57" i="17"/>
  <c r="M38" i="17"/>
  <c r="AL11" i="17"/>
  <c r="AM38" i="17" s="1"/>
  <c r="AK45" i="17"/>
  <c r="AK31" i="17"/>
  <c r="AI15" i="17"/>
  <c r="AU61" i="17"/>
  <c r="AU7" i="17"/>
  <c r="I27" i="17"/>
  <c r="I54" i="17"/>
  <c r="AG66" i="17"/>
  <c r="AG19" i="17"/>
  <c r="AI49" i="17"/>
  <c r="Q62" i="17"/>
  <c r="Q10" i="17"/>
  <c r="Q19" i="17"/>
  <c r="Q41" i="17"/>
  <c r="Q65" i="17"/>
  <c r="Q24" i="17"/>
  <c r="Q66" i="17"/>
  <c r="U78" i="17"/>
  <c r="U61" i="17"/>
  <c r="U25" i="17"/>
  <c r="U60" i="17"/>
  <c r="U15" i="17"/>
  <c r="U28" i="17"/>
  <c r="U75" i="17"/>
  <c r="U76" i="17"/>
  <c r="U66" i="17"/>
  <c r="U29" i="17"/>
  <c r="U10" i="17"/>
  <c r="AR75" i="1"/>
  <c r="AX26" i="1"/>
  <c r="AY26" i="1"/>
  <c r="AO6" i="18"/>
  <c r="AO61" i="18"/>
  <c r="AO15" i="18"/>
  <c r="AO40" i="18"/>
  <c r="AY51" i="18"/>
  <c r="Y53" i="18"/>
  <c r="Y62" i="18"/>
  <c r="Y11" i="17"/>
  <c r="Y76" i="17"/>
  <c r="M51" i="17"/>
  <c r="M19" i="17"/>
  <c r="M37" i="17"/>
  <c r="AI46" i="17"/>
  <c r="AK55" i="17"/>
  <c r="AK77" i="17"/>
  <c r="AI76" i="17"/>
  <c r="AP40" i="17"/>
  <c r="AU66" i="17"/>
  <c r="I43" i="17"/>
  <c r="I41" i="17"/>
  <c r="I47" i="17"/>
  <c r="Q54" i="17"/>
  <c r="AG16" i="17"/>
  <c r="AI59" i="17"/>
  <c r="AI52" i="17"/>
  <c r="AX17" i="1"/>
  <c r="AR34" i="1"/>
  <c r="AO44" i="18"/>
  <c r="AO63" i="18"/>
  <c r="AO56" i="18"/>
  <c r="AO38" i="18"/>
  <c r="M63" i="17"/>
  <c r="M45" i="17"/>
  <c r="M40" i="17"/>
  <c r="AU16" i="17"/>
  <c r="AG60" i="17"/>
  <c r="AY31" i="17"/>
  <c r="AI57" i="17"/>
  <c r="AP25" i="17"/>
  <c r="AY25" i="17" s="1"/>
  <c r="AZ55" i="1"/>
  <c r="BA55" i="1"/>
  <c r="AP26" i="17"/>
  <c r="AX26" i="17" s="1"/>
  <c r="AY9" i="1"/>
  <c r="BA51" i="16"/>
  <c r="AZ51" i="16"/>
  <c r="W56" i="1"/>
  <c r="AR72" i="1"/>
  <c r="I76" i="1"/>
  <c r="AK72" i="1"/>
  <c r="W53" i="1"/>
  <c r="W46" i="1"/>
  <c r="W62" i="1"/>
  <c r="W72" i="1"/>
  <c r="W19" i="1"/>
  <c r="W30" i="1"/>
  <c r="W14" i="1"/>
  <c r="W73" i="1"/>
  <c r="W39" i="1"/>
  <c r="W28" i="1"/>
  <c r="W59" i="1"/>
  <c r="W31" i="1"/>
  <c r="W7" i="1"/>
  <c r="W68" i="1"/>
  <c r="W45" i="1"/>
  <c r="AE20" i="17"/>
  <c r="AP24" i="17"/>
  <c r="AQ36" i="1"/>
  <c r="AA46" i="1"/>
  <c r="M45" i="1"/>
  <c r="AA19" i="1"/>
  <c r="AX50" i="1"/>
  <c r="AR42" i="1"/>
  <c r="AZ42" i="1" s="1"/>
  <c r="AY33" i="1"/>
  <c r="AK22" i="1"/>
  <c r="I71" i="1"/>
  <c r="AK39" i="1"/>
  <c r="AK36" i="1"/>
  <c r="AK76" i="1"/>
  <c r="AK73" i="1"/>
  <c r="AK40" i="1"/>
  <c r="AK56" i="1"/>
  <c r="AK58" i="1"/>
  <c r="AK71" i="1"/>
  <c r="AK7" i="1"/>
  <c r="AK62" i="1"/>
  <c r="AK28" i="1"/>
  <c r="AK44" i="1"/>
  <c r="AK38" i="1"/>
  <c r="AK19" i="1"/>
  <c r="AK33" i="1"/>
  <c r="AK57" i="1"/>
  <c r="I15" i="1"/>
  <c r="I10" i="1"/>
  <c r="I78" i="1"/>
  <c r="I6" i="1"/>
  <c r="I9" i="1"/>
  <c r="I32" i="1"/>
  <c r="I11" i="1"/>
  <c r="I44" i="1"/>
  <c r="I7" i="1"/>
  <c r="I60" i="1"/>
  <c r="I14" i="1"/>
  <c r="I68" i="1"/>
  <c r="I75" i="1"/>
  <c r="AN49" i="1"/>
  <c r="AR49" i="1" s="1"/>
  <c r="W55" i="1"/>
  <c r="AZ60" i="17"/>
  <c r="AR70" i="17"/>
  <c r="AZ70" i="17" s="1"/>
  <c r="AP41" i="17"/>
  <c r="M19" i="1"/>
  <c r="AX52" i="1"/>
  <c r="AA9" i="1"/>
  <c r="AH18" i="1"/>
  <c r="AR71" i="1"/>
  <c r="BA71" i="1" s="1"/>
  <c r="AK21" i="1"/>
  <c r="AK46" i="1"/>
  <c r="AK74" i="1"/>
  <c r="AE20" i="1"/>
  <c r="W16" i="1"/>
  <c r="I61" i="1"/>
  <c r="AB21" i="1"/>
  <c r="I21" i="1"/>
  <c r="M78" i="1"/>
  <c r="AA55" i="1"/>
  <c r="AM44" i="1"/>
  <c r="AY43" i="1"/>
  <c r="AR35" i="1"/>
  <c r="W8" i="1"/>
  <c r="W71" i="1"/>
  <c r="BA43" i="16"/>
  <c r="AZ43" i="16"/>
  <c r="AP19" i="17"/>
  <c r="AP58" i="17"/>
  <c r="M43" i="1"/>
  <c r="AA42" i="1"/>
  <c r="AM62" i="1"/>
  <c r="AK63" i="1"/>
  <c r="AK25" i="1"/>
  <c r="AK34" i="1"/>
  <c r="W22" i="1"/>
  <c r="W37" i="1"/>
  <c r="W10" i="1"/>
  <c r="AY9" i="31"/>
  <c r="AZ21" i="28"/>
  <c r="BA21" i="28"/>
  <c r="AP15" i="28"/>
  <c r="AP8" i="28"/>
  <c r="AY57" i="28"/>
  <c r="AX57" i="28"/>
  <c r="AX14" i="29"/>
  <c r="AY14" i="29"/>
  <c r="AU18" i="31"/>
  <c r="AU50" i="28"/>
  <c r="AU27" i="28"/>
  <c r="AU36" i="28"/>
  <c r="AU71" i="28"/>
  <c r="AU16" i="28"/>
  <c r="AU77" i="28"/>
  <c r="AU38" i="28"/>
  <c r="AU6" i="28"/>
  <c r="AU26" i="28"/>
  <c r="AU76" i="28"/>
  <c r="AU31" i="28"/>
  <c r="AU58" i="28"/>
  <c r="AU78" i="28"/>
  <c r="AU41" i="28"/>
  <c r="AU10" i="28"/>
  <c r="AU9" i="28"/>
  <c r="AY46" i="28"/>
  <c r="AX46" i="28"/>
  <c r="AR83" i="31"/>
  <c r="BA83" i="31" s="1"/>
  <c r="AP83" i="31"/>
  <c r="AP27" i="1"/>
  <c r="AR9" i="1"/>
  <c r="X6" i="1"/>
  <c r="Y6" i="1" s="1"/>
  <c r="AP72" i="1"/>
  <c r="AP23" i="1"/>
  <c r="W15" i="1"/>
  <c r="G68" i="1"/>
  <c r="Y9" i="1"/>
  <c r="Y56" i="1"/>
  <c r="G46" i="1"/>
  <c r="G40" i="1"/>
  <c r="G36" i="1"/>
  <c r="G33" i="1"/>
  <c r="G30" i="1"/>
  <c r="G23" i="1"/>
  <c r="G20" i="1"/>
  <c r="G8" i="1"/>
  <c r="G34" i="1"/>
  <c r="O8" i="1"/>
  <c r="AR60" i="1"/>
  <c r="Y7" i="1"/>
  <c r="AP65" i="1"/>
  <c r="Y21" i="1"/>
  <c r="G10" i="1"/>
  <c r="G78" i="1"/>
  <c r="G77" i="1"/>
  <c r="AP75" i="1"/>
  <c r="Y19" i="1"/>
  <c r="G50" i="1"/>
  <c r="G32" i="1"/>
  <c r="G22" i="1"/>
  <c r="Y11" i="1"/>
  <c r="G7" i="1"/>
  <c r="AP58" i="1"/>
  <c r="I45" i="1"/>
  <c r="G25" i="1"/>
  <c r="Y68" i="1"/>
  <c r="O10" i="1"/>
  <c r="BA7" i="30"/>
  <c r="AZ7" i="30"/>
  <c r="AP57" i="1"/>
  <c r="G45" i="1"/>
  <c r="Y76" i="1"/>
  <c r="S47" i="31"/>
  <c r="AE51" i="30"/>
  <c r="AX40" i="28"/>
  <c r="AY40" i="28"/>
  <c r="AY31" i="31"/>
  <c r="AI48" i="28"/>
  <c r="AH64" i="28"/>
  <c r="AE50" i="30"/>
  <c r="AE45" i="28"/>
  <c r="AE19" i="28"/>
  <c r="AE60" i="28"/>
  <c r="AE7" i="28"/>
  <c r="AE75" i="28"/>
  <c r="AE41" i="28"/>
  <c r="AE30" i="28"/>
  <c r="AE78" i="28"/>
  <c r="AE32" i="28"/>
  <c r="AE77" i="28"/>
  <c r="AE58" i="28"/>
  <c r="AE76" i="28"/>
  <c r="AL11" i="28"/>
  <c r="AM33" i="28" s="1"/>
  <c r="AE29" i="28"/>
  <c r="AE61" i="28"/>
  <c r="AE55" i="28"/>
  <c r="AE11" i="28"/>
  <c r="AE56" i="28"/>
  <c r="AE6" i="28"/>
  <c r="AE50" i="28"/>
  <c r="AE9" i="28"/>
  <c r="AE53" i="28"/>
  <c r="AE57" i="28"/>
  <c r="AE16" i="28"/>
  <c r="AE22" i="28"/>
  <c r="AE52" i="28"/>
  <c r="AE68" i="28"/>
  <c r="AE66" i="28"/>
  <c r="AE10" i="28"/>
  <c r="AE49" i="28"/>
  <c r="AE20" i="28"/>
  <c r="AE63" i="28"/>
  <c r="AE26" i="28"/>
  <c r="AE44" i="28"/>
  <c r="AE25" i="28"/>
  <c r="AE8" i="28"/>
  <c r="AE43" i="28"/>
  <c r="AE35" i="28"/>
  <c r="AE38" i="28"/>
  <c r="AE24" i="28"/>
  <c r="AE15" i="28"/>
  <c r="AE40" i="28"/>
  <c r="AE71" i="28"/>
  <c r="AE46" i="28"/>
  <c r="AE31" i="28"/>
  <c r="AE17" i="28"/>
  <c r="AE37" i="28"/>
  <c r="AE73" i="28"/>
  <c r="AE59" i="28"/>
  <c r="AD18" i="28"/>
  <c r="AE42" i="28"/>
  <c r="AE72" i="28"/>
  <c r="AE39" i="28"/>
  <c r="AE51" i="28"/>
  <c r="I18" i="28"/>
  <c r="H48" i="28"/>
  <c r="AX72" i="27"/>
  <c r="AY72" i="27"/>
  <c r="AX7" i="18"/>
  <c r="AY7" i="18"/>
  <c r="AE59" i="30"/>
  <c r="AE72" i="30"/>
  <c r="AE42" i="30"/>
  <c r="AE38" i="30"/>
  <c r="AE71" i="30"/>
  <c r="AE9" i="30"/>
  <c r="AE41" i="30"/>
  <c r="AP55" i="28"/>
  <c r="AX22" i="31"/>
  <c r="AE15" i="30"/>
  <c r="AE33" i="28"/>
  <c r="AE23" i="28"/>
  <c r="AY22" i="31"/>
  <c r="AE8" i="30"/>
  <c r="AE34" i="28"/>
  <c r="I50" i="31"/>
  <c r="I63" i="31"/>
  <c r="I10" i="31"/>
  <c r="I6" i="31"/>
  <c r="I22" i="31"/>
  <c r="I60" i="31"/>
  <c r="I34" i="31"/>
  <c r="I7" i="31"/>
  <c r="I66" i="31"/>
  <c r="I33" i="31"/>
  <c r="I43" i="31"/>
  <c r="AE49" i="30"/>
  <c r="AE36" i="28"/>
  <c r="AE47" i="28"/>
  <c r="U16" i="28"/>
  <c r="U62" i="28"/>
  <c r="AA68" i="29"/>
  <c r="AA76" i="29"/>
  <c r="AA72" i="29"/>
  <c r="AA24" i="29"/>
  <c r="AA16" i="29"/>
  <c r="AA33" i="29"/>
  <c r="AA27" i="29"/>
  <c r="AA45" i="29"/>
  <c r="AA52" i="29"/>
  <c r="AA60" i="29"/>
  <c r="AK52" i="27"/>
  <c r="AK59" i="27"/>
  <c r="AZ73" i="31"/>
  <c r="AK8" i="27"/>
  <c r="AX19" i="18"/>
  <c r="AY19" i="18"/>
  <c r="BA65" i="16"/>
  <c r="AZ65" i="16"/>
  <c r="AK21" i="27"/>
  <c r="AK72" i="27"/>
  <c r="AK46" i="27"/>
  <c r="AK71" i="27"/>
  <c r="BA52" i="18"/>
  <c r="AZ52" i="18"/>
  <c r="AK54" i="27"/>
  <c r="AK51" i="27"/>
  <c r="AK31" i="27"/>
  <c r="AK49" i="27"/>
  <c r="AK10" i="27"/>
  <c r="AK9" i="27"/>
  <c r="AK63" i="27"/>
  <c r="AK24" i="27"/>
  <c r="AK77" i="27"/>
  <c r="AK43" i="27"/>
  <c r="AK40" i="27"/>
  <c r="AK61" i="27"/>
  <c r="AK42" i="27"/>
  <c r="AK53" i="27"/>
  <c r="AK76" i="27"/>
  <c r="AK78" i="27"/>
  <c r="AK68" i="27"/>
  <c r="AK17" i="27"/>
  <c r="AK26" i="27"/>
  <c r="AK36" i="27"/>
  <c r="AK41" i="27"/>
  <c r="AK25" i="27"/>
  <c r="AK14" i="27"/>
  <c r="AK60" i="27"/>
  <c r="AK57" i="27"/>
  <c r="AK38" i="27"/>
  <c r="AK62" i="27"/>
  <c r="AK32" i="27"/>
  <c r="AK7" i="27"/>
  <c r="AK65" i="27"/>
  <c r="AK74" i="27"/>
  <c r="AK39" i="27"/>
  <c r="AK35" i="27"/>
  <c r="AK27" i="27"/>
  <c r="AR31" i="16"/>
  <c r="AO65" i="30"/>
  <c r="O11" i="28"/>
  <c r="K46" i="28"/>
  <c r="K51" i="28"/>
  <c r="K25" i="28"/>
  <c r="Z11" i="28"/>
  <c r="AA8" i="28" s="1"/>
  <c r="F18" i="28"/>
  <c r="U74" i="28"/>
  <c r="AA21" i="29"/>
  <c r="AA10" i="29"/>
  <c r="AA28" i="29"/>
  <c r="Z62" i="28"/>
  <c r="AK28" i="27"/>
  <c r="AK30" i="27"/>
  <c r="AN47" i="27"/>
  <c r="AR47" i="27" s="1"/>
  <c r="AK47" i="27"/>
  <c r="BA14" i="16"/>
  <c r="AZ14" i="16"/>
  <c r="AO31" i="30"/>
  <c r="U27" i="28"/>
  <c r="AA26" i="29"/>
  <c r="AA39" i="29"/>
  <c r="AA6" i="29"/>
  <c r="O39" i="28"/>
  <c r="O44" i="28"/>
  <c r="AK75" i="27"/>
  <c r="AK34" i="27"/>
  <c r="AR50" i="18"/>
  <c r="BA50" i="18" s="1"/>
  <c r="U47" i="28"/>
  <c r="AK37" i="27"/>
  <c r="AK50" i="27"/>
  <c r="U7" i="28"/>
  <c r="G22" i="28"/>
  <c r="G56" i="28"/>
  <c r="G49" i="28"/>
  <c r="G27" i="28"/>
  <c r="AK20" i="27"/>
  <c r="AK22" i="27"/>
  <c r="AO8" i="30"/>
  <c r="U38" i="28"/>
  <c r="AA75" i="29"/>
  <c r="AA36" i="29"/>
  <c r="AA49" i="29"/>
  <c r="U77" i="28"/>
  <c r="O38" i="28"/>
  <c r="AK11" i="27"/>
  <c r="AK55" i="27"/>
  <c r="AG60" i="27"/>
  <c r="AG14" i="27"/>
  <c r="AG30" i="27"/>
  <c r="AG78" i="27"/>
  <c r="AG25" i="27"/>
  <c r="AG76" i="27"/>
  <c r="AG56" i="27"/>
  <c r="AN11" i="27"/>
  <c r="AO66" i="27" s="1"/>
  <c r="AG15" i="27"/>
  <c r="AG50" i="27"/>
  <c r="AG63" i="27"/>
  <c r="AG21" i="27"/>
  <c r="AG24" i="27"/>
  <c r="AG47" i="27"/>
  <c r="AG28" i="27"/>
  <c r="AG23" i="27"/>
  <c r="AG35" i="27"/>
  <c r="AG65" i="27"/>
  <c r="AG22" i="27"/>
  <c r="AG51" i="27"/>
  <c r="AG58" i="27"/>
  <c r="AG41" i="27"/>
  <c r="AG7" i="27"/>
  <c r="AG46" i="27"/>
  <c r="AG31" i="27"/>
  <c r="AG37" i="27"/>
  <c r="AG20" i="27"/>
  <c r="AG52" i="27"/>
  <c r="AG6" i="27"/>
  <c r="AG61" i="27"/>
  <c r="AG54" i="27"/>
  <c r="AG32" i="27"/>
  <c r="AG34" i="27"/>
  <c r="AG40" i="27"/>
  <c r="AG77" i="27"/>
  <c r="AG26" i="27"/>
  <c r="AG71" i="27"/>
  <c r="AG75" i="27"/>
  <c r="AG44" i="27"/>
  <c r="AG55" i="27"/>
  <c r="AG45" i="27"/>
  <c r="AG16" i="27"/>
  <c r="Q7" i="27"/>
  <c r="Q50" i="27"/>
  <c r="AB11" i="27"/>
  <c r="Q22" i="27"/>
  <c r="Q11" i="27"/>
  <c r="X11" i="27"/>
  <c r="Q62" i="27"/>
  <c r="Q35" i="27"/>
  <c r="Q16" i="27"/>
  <c r="Q28" i="27"/>
  <c r="Q17" i="27"/>
  <c r="Q40" i="27"/>
  <c r="Q59" i="27"/>
  <c r="Q54" i="27"/>
  <c r="Q68" i="27"/>
  <c r="Q15" i="27"/>
  <c r="Q20" i="27"/>
  <c r="Q49" i="27"/>
  <c r="Q75" i="27"/>
  <c r="Q33" i="27"/>
  <c r="Q42" i="27"/>
  <c r="Q8" i="27"/>
  <c r="Q6" i="27"/>
  <c r="Q32" i="27"/>
  <c r="Q56" i="27"/>
  <c r="Q55" i="27"/>
  <c r="Q65" i="27"/>
  <c r="AL47" i="18"/>
  <c r="AM47" i="18" s="1"/>
  <c r="AI47" i="18"/>
  <c r="AX51" i="29"/>
  <c r="AY51" i="29"/>
  <c r="AO11" i="30"/>
  <c r="K28" i="28"/>
  <c r="K57" i="28"/>
  <c r="K20" i="28"/>
  <c r="G77" i="28"/>
  <c r="G35" i="28"/>
  <c r="G7" i="28"/>
  <c r="G60" i="28"/>
  <c r="U55" i="28"/>
  <c r="AA35" i="29"/>
  <c r="AA62" i="29"/>
  <c r="AA19" i="29"/>
  <c r="O56" i="28"/>
  <c r="O53" i="28"/>
  <c r="O45" i="28"/>
  <c r="AK45" i="27"/>
  <c r="AK58" i="27"/>
  <c r="BA53" i="27"/>
  <c r="AZ53" i="27"/>
  <c r="O62" i="27"/>
  <c r="O55" i="27"/>
  <c r="O11" i="27"/>
  <c r="O10" i="27"/>
  <c r="O42" i="27"/>
  <c r="O40" i="27"/>
  <c r="O75" i="27"/>
  <c r="O34" i="27"/>
  <c r="O35" i="27"/>
  <c r="O6" i="27"/>
  <c r="O66" i="27"/>
  <c r="O16" i="27"/>
  <c r="O24" i="27"/>
  <c r="O76" i="27"/>
  <c r="O46" i="27"/>
  <c r="O44" i="27"/>
  <c r="O63" i="27"/>
  <c r="O38" i="27"/>
  <c r="O7" i="27"/>
  <c r="O74" i="27"/>
  <c r="O26" i="27"/>
  <c r="N18" i="27"/>
  <c r="O37" i="27"/>
  <c r="O71" i="27"/>
  <c r="O15" i="27"/>
  <c r="O28" i="27"/>
  <c r="O51" i="27"/>
  <c r="O32" i="27"/>
  <c r="O20" i="27"/>
  <c r="O53" i="27"/>
  <c r="O14" i="27"/>
  <c r="O41" i="27"/>
  <c r="O60" i="27"/>
  <c r="O47" i="27"/>
  <c r="O36" i="27"/>
  <c r="O77" i="27"/>
  <c r="O49" i="27"/>
  <c r="O27" i="27"/>
  <c r="O39" i="27"/>
  <c r="O31" i="27"/>
  <c r="V11" i="27"/>
  <c r="W17" i="27" s="1"/>
  <c r="O21" i="27"/>
  <c r="O23" i="27"/>
  <c r="O73" i="27"/>
  <c r="O8" i="27"/>
  <c r="O65" i="27"/>
  <c r="O22" i="27"/>
  <c r="O68" i="27"/>
  <c r="O25" i="27"/>
  <c r="O61" i="27"/>
  <c r="O59" i="27"/>
  <c r="O78" i="27"/>
  <c r="O57" i="27"/>
  <c r="O45" i="27"/>
  <c r="O72" i="27"/>
  <c r="O19" i="27"/>
  <c r="O50" i="27"/>
  <c r="O58" i="27"/>
  <c r="Z11" i="27"/>
  <c r="AA62" i="27" s="1"/>
  <c r="O17" i="27"/>
  <c r="AX20" i="31"/>
  <c r="AO78" i="30"/>
  <c r="AX30" i="28"/>
  <c r="O37" i="28"/>
  <c r="O78" i="28"/>
  <c r="K44" i="28"/>
  <c r="K10" i="28"/>
  <c r="K55" i="28"/>
  <c r="K38" i="28"/>
  <c r="G44" i="28"/>
  <c r="G31" i="28"/>
  <c r="G37" i="28"/>
  <c r="G21" i="28"/>
  <c r="U26" i="28"/>
  <c r="AA7" i="29"/>
  <c r="AA31" i="29"/>
  <c r="O71" i="28"/>
  <c r="BA53" i="18"/>
  <c r="AK23" i="27"/>
  <c r="AK19" i="27"/>
  <c r="AG8" i="27"/>
  <c r="AR61" i="27"/>
  <c r="AP52" i="27"/>
  <c r="AZ61" i="28"/>
  <c r="BA61" i="28"/>
  <c r="U23" i="28"/>
  <c r="AA78" i="29"/>
  <c r="AA25" i="29"/>
  <c r="AA23" i="29"/>
  <c r="AK73" i="27"/>
  <c r="AK44" i="27"/>
  <c r="AK33" i="27"/>
  <c r="AZ63" i="27"/>
  <c r="BA63" i="27"/>
  <c r="AP63" i="27"/>
  <c r="M28" i="18"/>
  <c r="M76" i="18"/>
  <c r="M77" i="18"/>
  <c r="M22" i="18"/>
  <c r="M49" i="18"/>
  <c r="M43" i="18"/>
  <c r="M39" i="18"/>
  <c r="AE35" i="27"/>
  <c r="AB54" i="16"/>
  <c r="AR54" i="16" s="1"/>
  <c r="I54" i="16"/>
  <c r="AX49" i="30"/>
  <c r="AX58" i="31"/>
  <c r="AZ33" i="27"/>
  <c r="AE78" i="27"/>
  <c r="AH48" i="18"/>
  <c r="AI18" i="18"/>
  <c r="AY66" i="16"/>
  <c r="AX66" i="16"/>
  <c r="AY53" i="29"/>
  <c r="AX53" i="29"/>
  <c r="W73" i="16"/>
  <c r="AG78" i="16"/>
  <c r="AG52" i="16"/>
  <c r="AG38" i="16"/>
  <c r="AG74" i="16"/>
  <c r="I47" i="27"/>
  <c r="C48" i="18"/>
  <c r="B64" i="18"/>
  <c r="AR70" i="27"/>
  <c r="AZ70" i="27" s="1"/>
  <c r="AI26" i="16"/>
  <c r="AI65" i="16"/>
  <c r="AZ8" i="16"/>
  <c r="AE20" i="16"/>
  <c r="AE49" i="16"/>
  <c r="AL11" i="16"/>
  <c r="AP11" i="16" s="1"/>
  <c r="AE32" i="16"/>
  <c r="AE43" i="16"/>
  <c r="AE61" i="16"/>
  <c r="AE19" i="16"/>
  <c r="AE35" i="16"/>
  <c r="AE77" i="16"/>
  <c r="AZ60" i="27"/>
  <c r="AG59" i="16"/>
  <c r="AG14" i="16"/>
  <c r="AG43" i="16"/>
  <c r="AG45" i="16"/>
  <c r="M42" i="18"/>
  <c r="M25" i="18"/>
  <c r="M53" i="18"/>
  <c r="L18" i="18"/>
  <c r="M18" i="18" s="1"/>
  <c r="AR40" i="18"/>
  <c r="AS40" i="18" s="1"/>
  <c r="AE10" i="27"/>
  <c r="AI51" i="16"/>
  <c r="AI46" i="16"/>
  <c r="AY77" i="30"/>
  <c r="AY38" i="31"/>
  <c r="AX38" i="31"/>
  <c r="AX22" i="30"/>
  <c r="AG23" i="16"/>
  <c r="AG39" i="16"/>
  <c r="AG27" i="16"/>
  <c r="AG50" i="16"/>
  <c r="W7" i="16"/>
  <c r="M38" i="18"/>
  <c r="M26" i="18"/>
  <c r="AE15" i="27"/>
  <c r="AR15" i="27"/>
  <c r="M73" i="18"/>
  <c r="M65" i="18"/>
  <c r="AE11" i="27"/>
  <c r="AI45" i="16"/>
  <c r="AI42" i="16"/>
  <c r="O62" i="16"/>
  <c r="V62" i="16"/>
  <c r="W62" i="16" s="1"/>
  <c r="AK46" i="16"/>
  <c r="AK6" i="16"/>
  <c r="AK63" i="16"/>
  <c r="AK73" i="16"/>
  <c r="AK34" i="16"/>
  <c r="AK22" i="16"/>
  <c r="AK52" i="16"/>
  <c r="AK38" i="16"/>
  <c r="AK42" i="16"/>
  <c r="AK58" i="16"/>
  <c r="AK36" i="16"/>
  <c r="AK74" i="16"/>
  <c r="AK59" i="16"/>
  <c r="AK50" i="16"/>
  <c r="AK41" i="16"/>
  <c r="AK27" i="16"/>
  <c r="AK31" i="16"/>
  <c r="AK26" i="16"/>
  <c r="AK51" i="16"/>
  <c r="AK23" i="16"/>
  <c r="AK24" i="16"/>
  <c r="AE10" i="16"/>
  <c r="AI54" i="16"/>
  <c r="AI62" i="16"/>
  <c r="AP62" i="29"/>
  <c r="I37" i="27"/>
  <c r="I55" i="27"/>
  <c r="M24" i="18"/>
  <c r="M8" i="18"/>
  <c r="I65" i="27"/>
  <c r="I39" i="27"/>
  <c r="B48" i="27"/>
  <c r="AE9" i="27"/>
  <c r="K36" i="27"/>
  <c r="K20" i="27"/>
  <c r="K26" i="27"/>
  <c r="K44" i="27"/>
  <c r="K10" i="27"/>
  <c r="K9" i="27"/>
  <c r="K77" i="27"/>
  <c r="K17" i="27"/>
  <c r="K24" i="27"/>
  <c r="K6" i="27"/>
  <c r="K43" i="27"/>
  <c r="K16" i="27"/>
  <c r="K38" i="27"/>
  <c r="K60" i="27"/>
  <c r="K62" i="27"/>
  <c r="K11" i="27"/>
  <c r="K41" i="27"/>
  <c r="AI37" i="16"/>
  <c r="AK71" i="16"/>
  <c r="AK39" i="16"/>
  <c r="AE6" i="16"/>
  <c r="AI18" i="31"/>
  <c r="AZ60" i="31"/>
  <c r="BA60" i="31"/>
  <c r="AR29" i="27"/>
  <c r="AZ29" i="27" s="1"/>
  <c r="U37" i="16"/>
  <c r="U50" i="16"/>
  <c r="AX41" i="16"/>
  <c r="AY58" i="31"/>
  <c r="AE33" i="27"/>
  <c r="AE36" i="27"/>
  <c r="AE76" i="27"/>
  <c r="AE24" i="27"/>
  <c r="AE17" i="27"/>
  <c r="AE14" i="27"/>
  <c r="AE21" i="27"/>
  <c r="AE68" i="27"/>
  <c r="AE63" i="27"/>
  <c r="AE66" i="27"/>
  <c r="AE53" i="27"/>
  <c r="AE49" i="27"/>
  <c r="BA32" i="16"/>
  <c r="AZ32" i="16"/>
  <c r="AY34" i="16"/>
  <c r="AX34" i="16"/>
  <c r="N48" i="16"/>
  <c r="V18" i="16"/>
  <c r="W18" i="16" s="1"/>
  <c r="AK20" i="31"/>
  <c r="AK72" i="31"/>
  <c r="AK46" i="31"/>
  <c r="AK59" i="31"/>
  <c r="AK11" i="31"/>
  <c r="AK33" i="31"/>
  <c r="AK56" i="31"/>
  <c r="AK7" i="31"/>
  <c r="AK52" i="31"/>
  <c r="AK15" i="31"/>
  <c r="AK43" i="31"/>
  <c r="AK61" i="31"/>
  <c r="AK32" i="31"/>
  <c r="AK55" i="31"/>
  <c r="AK50" i="31"/>
  <c r="AK6" i="31"/>
  <c r="AK49" i="31"/>
  <c r="AK25" i="31"/>
  <c r="AK38" i="31"/>
  <c r="AK29" i="31"/>
  <c r="AK60" i="31"/>
  <c r="AK44" i="31"/>
  <c r="AK8" i="31"/>
  <c r="AK62" i="31"/>
  <c r="AK40" i="31"/>
  <c r="AK68" i="31"/>
  <c r="AK71" i="31"/>
  <c r="AK63" i="31"/>
  <c r="AK58" i="31"/>
  <c r="AK21" i="31"/>
  <c r="AK77" i="31"/>
  <c r="AG60" i="16"/>
  <c r="AG65" i="16"/>
  <c r="AG22" i="16"/>
  <c r="M58" i="18"/>
  <c r="AE6" i="27"/>
  <c r="AE27" i="27"/>
  <c r="AR74" i="16"/>
  <c r="AP22" i="16"/>
  <c r="AZ34" i="28"/>
  <c r="BA34" i="28"/>
  <c r="AG30" i="16"/>
  <c r="AG61" i="16"/>
  <c r="AG32" i="16"/>
  <c r="M68" i="18"/>
  <c r="M44" i="18"/>
  <c r="AR37" i="18"/>
  <c r="AS37" i="18" s="1"/>
  <c r="AE52" i="27"/>
  <c r="AI77" i="16"/>
  <c r="AI50" i="16"/>
  <c r="AI20" i="16"/>
  <c r="AI28" i="16"/>
  <c r="AI68" i="16"/>
  <c r="AI30" i="16"/>
  <c r="AI8" i="16"/>
  <c r="AI34" i="16"/>
  <c r="AI29" i="16"/>
  <c r="AI13" i="16"/>
  <c r="AI27" i="16"/>
  <c r="AI71" i="16"/>
  <c r="AI15" i="16"/>
  <c r="AI19" i="16"/>
  <c r="AI75" i="16"/>
  <c r="AI14" i="16"/>
  <c r="AI12" i="16"/>
  <c r="AI32" i="16"/>
  <c r="AI23" i="16"/>
  <c r="AI58" i="16"/>
  <c r="AI61" i="16"/>
  <c r="AI55" i="16"/>
  <c r="AI52" i="16"/>
  <c r="AH18" i="16"/>
  <c r="AI43" i="16"/>
  <c r="AI21" i="16"/>
  <c r="AI38" i="16"/>
  <c r="AI53" i="16"/>
  <c r="AI57" i="16"/>
  <c r="AI35" i="16"/>
  <c r="AG55" i="16"/>
  <c r="AG8" i="16"/>
  <c r="AW54" i="27"/>
  <c r="AW41" i="27"/>
  <c r="AR49" i="18"/>
  <c r="AE20" i="27"/>
  <c r="AX10" i="16"/>
  <c r="AY10" i="16"/>
  <c r="AR39" i="18"/>
  <c r="AE28" i="27"/>
  <c r="AG10" i="16"/>
  <c r="AG33" i="16"/>
  <c r="AG66" i="16"/>
  <c r="M56" i="18"/>
  <c r="AR8" i="18"/>
  <c r="AE41" i="27"/>
  <c r="AI31" i="16"/>
  <c r="AI56" i="16"/>
  <c r="AN47" i="16"/>
  <c r="BA56" i="31"/>
  <c r="AZ56" i="31"/>
  <c r="AX42" i="31"/>
  <c r="AY42" i="31"/>
  <c r="Q68" i="28"/>
  <c r="Q62" i="28"/>
  <c r="Q37" i="28"/>
  <c r="AG17" i="16"/>
  <c r="AN11" i="16"/>
  <c r="AO27" i="16" s="1"/>
  <c r="AG73" i="16"/>
  <c r="AG77" i="16"/>
  <c r="I10" i="27"/>
  <c r="I16" i="27"/>
  <c r="M72" i="18"/>
  <c r="M41" i="18"/>
  <c r="AR49" i="27"/>
  <c r="H18" i="27"/>
  <c r="AR26" i="27"/>
  <c r="AR38" i="18"/>
  <c r="AS38" i="18" s="1"/>
  <c r="AE47" i="27"/>
  <c r="AU62" i="27"/>
  <c r="AU14" i="27"/>
  <c r="AU49" i="27"/>
  <c r="AU16" i="27"/>
  <c r="AT18" i="27"/>
  <c r="AU77" i="27"/>
  <c r="AU6" i="27"/>
  <c r="AU47" i="27"/>
  <c r="AU46" i="27"/>
  <c r="AU68" i="27"/>
  <c r="AE29" i="18"/>
  <c r="AE47" i="18"/>
  <c r="AE78" i="18"/>
  <c r="AE32" i="18"/>
  <c r="AE24" i="18"/>
  <c r="AE50" i="18"/>
  <c r="AE20" i="18"/>
  <c r="AE42" i="18"/>
  <c r="AE73" i="18"/>
  <c r="AE60" i="18"/>
  <c r="AE63" i="18"/>
  <c r="AE54" i="18"/>
  <c r="AE9" i="18"/>
  <c r="AE45" i="18"/>
  <c r="AE59" i="18"/>
  <c r="AE76" i="18"/>
  <c r="AE44" i="18"/>
  <c r="AD18" i="18"/>
  <c r="AE36" i="18"/>
  <c r="AE56" i="18"/>
  <c r="AE26" i="18"/>
  <c r="AE77" i="18"/>
  <c r="AE34" i="18"/>
  <c r="AI76" i="16"/>
  <c r="AI24" i="16"/>
  <c r="AK16" i="16"/>
  <c r="AI47" i="16"/>
  <c r="AE36" i="16"/>
  <c r="AT48" i="16"/>
  <c r="AB54" i="29"/>
  <c r="AR54" i="29" s="1"/>
  <c r="U54" i="29"/>
  <c r="BA8" i="29"/>
  <c r="AZ8" i="29"/>
  <c r="M29" i="18"/>
  <c r="I57" i="27"/>
  <c r="I45" i="27"/>
  <c r="I11" i="27"/>
  <c r="I29" i="27"/>
  <c r="I60" i="27"/>
  <c r="I27" i="27"/>
  <c r="AR77" i="27"/>
  <c r="M35" i="18"/>
  <c r="AE72" i="27"/>
  <c r="W16" i="18"/>
  <c r="W24" i="18"/>
  <c r="W11" i="18"/>
  <c r="AP26" i="27"/>
  <c r="AI39" i="16"/>
  <c r="AI16" i="16"/>
  <c r="Z47" i="16"/>
  <c r="O47" i="16"/>
  <c r="AE26" i="16"/>
  <c r="AK36" i="31"/>
  <c r="AP56" i="16"/>
  <c r="AL47" i="29"/>
  <c r="AP47" i="29" s="1"/>
  <c r="AM28" i="31"/>
  <c r="AM61" i="31"/>
  <c r="M27" i="31"/>
  <c r="M40" i="31"/>
  <c r="BA36" i="31"/>
  <c r="AZ36" i="31"/>
  <c r="AR30" i="27"/>
  <c r="X54" i="18"/>
  <c r="Y54" i="18" s="1"/>
  <c r="AP10" i="27"/>
  <c r="AI13" i="18"/>
  <c r="AP35" i="27"/>
  <c r="I39" i="16"/>
  <c r="AM20" i="31"/>
  <c r="AX8" i="31"/>
  <c r="AY8" i="31"/>
  <c r="M63" i="31"/>
  <c r="M51" i="31"/>
  <c r="AP27" i="31"/>
  <c r="AM53" i="31"/>
  <c r="AM8" i="31"/>
  <c r="AM45" i="31"/>
  <c r="AM6" i="31"/>
  <c r="AM31" i="31"/>
  <c r="AM33" i="31"/>
  <c r="AM23" i="31"/>
  <c r="AM72" i="31"/>
  <c r="AM58" i="31"/>
  <c r="AM42" i="31"/>
  <c r="AM49" i="31"/>
  <c r="AM15" i="31"/>
  <c r="AM32" i="31"/>
  <c r="AM44" i="31"/>
  <c r="AM57" i="31"/>
  <c r="AM30" i="31"/>
  <c r="AM27" i="31"/>
  <c r="AM16" i="31"/>
  <c r="AN53" i="17"/>
  <c r="AR53" i="17" s="1"/>
  <c r="AJ54" i="17"/>
  <c r="AK54" i="17" s="1"/>
  <c r="AJ62" i="17"/>
  <c r="AN62" i="17" s="1"/>
  <c r="AN55" i="17"/>
  <c r="AR55" i="17" s="1"/>
  <c r="AK21" i="18"/>
  <c r="AR71" i="18"/>
  <c r="AI30" i="18"/>
  <c r="I36" i="16"/>
  <c r="AX17" i="29"/>
  <c r="AM51" i="31"/>
  <c r="AM11" i="31"/>
  <c r="M61" i="31"/>
  <c r="M25" i="31"/>
  <c r="AY49" i="31"/>
  <c r="AX28" i="29"/>
  <c r="AY28" i="29"/>
  <c r="AI12" i="29"/>
  <c r="AI22" i="29"/>
  <c r="AI66" i="29"/>
  <c r="AI26" i="29"/>
  <c r="AI34" i="29"/>
  <c r="AI40" i="29"/>
  <c r="AI32" i="29"/>
  <c r="AI49" i="29"/>
  <c r="AI58" i="29"/>
  <c r="AI36" i="29"/>
  <c r="AI19" i="29"/>
  <c r="AI74" i="29"/>
  <c r="AI13" i="29"/>
  <c r="AI35" i="29"/>
  <c r="AI21" i="29"/>
  <c r="AI30" i="29"/>
  <c r="AI14" i="29"/>
  <c r="AI28" i="29"/>
  <c r="AI38" i="29"/>
  <c r="AI55" i="29"/>
  <c r="AI15" i="29"/>
  <c r="AI45" i="29"/>
  <c r="AI51" i="29"/>
  <c r="AI60" i="29"/>
  <c r="AI24" i="29"/>
  <c r="AI7" i="29"/>
  <c r="AI33" i="29"/>
  <c r="AI43" i="29"/>
  <c r="AI41" i="29"/>
  <c r="AI77" i="29"/>
  <c r="AB25" i="17"/>
  <c r="AR25" i="17" s="1"/>
  <c r="X25" i="17"/>
  <c r="Y25" i="17" s="1"/>
  <c r="X26" i="17"/>
  <c r="Y26" i="17" s="1"/>
  <c r="AB26" i="17"/>
  <c r="AI57" i="29"/>
  <c r="AR77" i="31"/>
  <c r="AJ47" i="17"/>
  <c r="AN19" i="17"/>
  <c r="AR19" i="17" s="1"/>
  <c r="AY71" i="29"/>
  <c r="AX71" i="29"/>
  <c r="V52" i="1"/>
  <c r="W52" i="1" s="1"/>
  <c r="N54" i="1"/>
  <c r="P52" i="1"/>
  <c r="AP61" i="31"/>
  <c r="AX61" i="31" s="1"/>
  <c r="X75" i="31"/>
  <c r="AB75" i="31"/>
  <c r="AR75" i="31" s="1"/>
  <c r="AK77" i="18"/>
  <c r="AR63" i="18"/>
  <c r="AS63" i="18" s="1"/>
  <c r="AR24" i="18"/>
  <c r="I38" i="16"/>
  <c r="AR61" i="16"/>
  <c r="AE17" i="16"/>
  <c r="AM75" i="31"/>
  <c r="AM38" i="31"/>
  <c r="M71" i="31"/>
  <c r="M76" i="31"/>
  <c r="AW48" i="31"/>
  <c r="AL39" i="31"/>
  <c r="AM39" i="31" s="1"/>
  <c r="L70" i="31"/>
  <c r="AB70" i="31" s="1"/>
  <c r="Z70" i="31"/>
  <c r="AP70" i="31" s="1"/>
  <c r="AX70" i="31" s="1"/>
  <c r="V74" i="31"/>
  <c r="S74" i="31"/>
  <c r="S27" i="1"/>
  <c r="T27" i="1"/>
  <c r="V29" i="1"/>
  <c r="W29" i="1" s="1"/>
  <c r="P29" i="1"/>
  <c r="AR35" i="27"/>
  <c r="AR36" i="27"/>
  <c r="AK36" i="18"/>
  <c r="AR20" i="18"/>
  <c r="AS20" i="18" s="1"/>
  <c r="M54" i="18"/>
  <c r="AP30" i="27"/>
  <c r="AY30" i="27" s="1"/>
  <c r="AP20" i="27"/>
  <c r="AY20" i="27" s="1"/>
  <c r="I10" i="16"/>
  <c r="AP20" i="16"/>
  <c r="AM10" i="31"/>
  <c r="M78" i="31"/>
  <c r="AB54" i="30"/>
  <c r="AC54" i="30" s="1"/>
  <c r="AZ59" i="31"/>
  <c r="BA59" i="31"/>
  <c r="S52" i="31"/>
  <c r="V52" i="31"/>
  <c r="S53" i="31"/>
  <c r="Z53" i="31"/>
  <c r="S55" i="31"/>
  <c r="V55" i="31"/>
  <c r="Z55" i="31"/>
  <c r="AP55" i="31" s="1"/>
  <c r="V56" i="31"/>
  <c r="Z56" i="31"/>
  <c r="S56" i="31"/>
  <c r="X57" i="31"/>
  <c r="P62" i="31"/>
  <c r="X62" i="31" s="1"/>
  <c r="AB57" i="31"/>
  <c r="AR57" i="31" s="1"/>
  <c r="AZ57" i="31" s="1"/>
  <c r="V59" i="31"/>
  <c r="W59" i="31" s="1"/>
  <c r="Z59" i="31"/>
  <c r="M65" i="31"/>
  <c r="M66" i="31"/>
  <c r="X13" i="1"/>
  <c r="AB13" i="1"/>
  <c r="AR13" i="1" s="1"/>
  <c r="M38" i="31"/>
  <c r="M28" i="31"/>
  <c r="M10" i="31"/>
  <c r="M31" i="31"/>
  <c r="M44" i="31"/>
  <c r="M32" i="31"/>
  <c r="M77" i="31"/>
  <c r="M46" i="31"/>
  <c r="M45" i="31"/>
  <c r="M56" i="31"/>
  <c r="M7" i="31"/>
  <c r="M72" i="31"/>
  <c r="M43" i="31"/>
  <c r="M75" i="31"/>
  <c r="M29" i="31"/>
  <c r="M30" i="31"/>
  <c r="M57" i="31"/>
  <c r="M15" i="31"/>
  <c r="M26" i="31"/>
  <c r="M21" i="31"/>
  <c r="M37" i="31"/>
  <c r="L18" i="31"/>
  <c r="M14" i="31"/>
  <c r="M49" i="31"/>
  <c r="M20" i="31"/>
  <c r="M6" i="31"/>
  <c r="M17" i="31"/>
  <c r="M39" i="31"/>
  <c r="M55" i="31"/>
  <c r="AY60" i="31"/>
  <c r="AX60" i="31"/>
  <c r="BA28" i="31"/>
  <c r="AZ28" i="31"/>
  <c r="AP6" i="31"/>
  <c r="AN41" i="31"/>
  <c r="AR41" i="31" s="1"/>
  <c r="AF47" i="31"/>
  <c r="AG47" i="31" s="1"/>
  <c r="AN44" i="31"/>
  <c r="AR44" i="31" s="1"/>
  <c r="AZ44" i="31" s="1"/>
  <c r="AG44" i="31"/>
  <c r="AF54" i="31"/>
  <c r="AN54" i="31" s="1"/>
  <c r="AN49" i="31"/>
  <c r="AR49" i="31" s="1"/>
  <c r="AL50" i="31"/>
  <c r="AE50" i="31"/>
  <c r="AB51" i="31"/>
  <c r="AR51" i="31" s="1"/>
  <c r="AZ51" i="31" s="1"/>
  <c r="T54" i="31"/>
  <c r="AR44" i="27"/>
  <c r="AR9" i="27"/>
  <c r="AK7" i="18"/>
  <c r="AP58" i="27"/>
  <c r="AX31" i="29"/>
  <c r="AM36" i="31"/>
  <c r="M53" i="31"/>
  <c r="M34" i="31"/>
  <c r="AY44" i="31"/>
  <c r="J47" i="31"/>
  <c r="Z23" i="31"/>
  <c r="AP24" i="31"/>
  <c r="D47" i="31"/>
  <c r="E28" i="31"/>
  <c r="AR29" i="31"/>
  <c r="E29" i="31"/>
  <c r="C30" i="31"/>
  <c r="B47" i="31"/>
  <c r="C34" i="31"/>
  <c r="AP34" i="31"/>
  <c r="AT47" i="31"/>
  <c r="AU47" i="31" s="1"/>
  <c r="AU34" i="31"/>
  <c r="AP61" i="16"/>
  <c r="AM43" i="31"/>
  <c r="M58" i="31"/>
  <c r="M16" i="31"/>
  <c r="F11" i="31"/>
  <c r="Z7" i="31"/>
  <c r="X9" i="31"/>
  <c r="AB9" i="31"/>
  <c r="AI55" i="31"/>
  <c r="AI65" i="31"/>
  <c r="AI21" i="31"/>
  <c r="AI43" i="31"/>
  <c r="AI58" i="31"/>
  <c r="AI11" i="31"/>
  <c r="AI16" i="31"/>
  <c r="AI32" i="31"/>
  <c r="AI12" i="31"/>
  <c r="AI50" i="31"/>
  <c r="AI45" i="31"/>
  <c r="AI6" i="31"/>
  <c r="AI22" i="31"/>
  <c r="AI34" i="31"/>
  <c r="AJ17" i="31"/>
  <c r="AJ18" i="31" s="1"/>
  <c r="AK14" i="31"/>
  <c r="AN14" i="31"/>
  <c r="AR14" i="31" s="1"/>
  <c r="O19" i="31"/>
  <c r="N47" i="31"/>
  <c r="O47" i="31" s="1"/>
  <c r="Z19" i="31"/>
  <c r="Z21" i="31"/>
  <c r="O21" i="31"/>
  <c r="L47" i="31"/>
  <c r="M47" i="31" s="1"/>
  <c r="M22" i="31"/>
  <c r="AB22" i="31"/>
  <c r="AR22" i="31" s="1"/>
  <c r="AN47" i="18"/>
  <c r="AO47" i="18" s="1"/>
  <c r="AP60" i="27"/>
  <c r="AP38" i="27"/>
  <c r="AY38" i="27" s="1"/>
  <c r="D54" i="1"/>
  <c r="AZ37" i="29"/>
  <c r="M74" i="31"/>
  <c r="M50" i="31"/>
  <c r="BA34" i="31"/>
  <c r="AZ34" i="31"/>
  <c r="AM19" i="31"/>
  <c r="AZ35" i="30"/>
  <c r="L62" i="31"/>
  <c r="M62" i="31" s="1"/>
  <c r="AR50" i="31"/>
  <c r="AR45" i="31"/>
  <c r="AR30" i="16"/>
  <c r="AI54" i="31"/>
  <c r="AR40" i="30"/>
  <c r="AE41" i="29"/>
  <c r="AE45" i="29"/>
  <c r="AR12" i="28"/>
  <c r="AZ12" i="28" s="1"/>
  <c r="AR10" i="30"/>
  <c r="AE78" i="29"/>
  <c r="AE66" i="29"/>
  <c r="AX57" i="31"/>
  <c r="AK47" i="31"/>
  <c r="AR53" i="30"/>
  <c r="AP24" i="29"/>
  <c r="AI62" i="29"/>
  <c r="AP56" i="30"/>
  <c r="AY56" i="30" s="1"/>
  <c r="AH47" i="31"/>
  <c r="AI47" i="31" s="1"/>
  <c r="AT17" i="17"/>
  <c r="X66" i="1"/>
  <c r="Y66" i="1" s="1"/>
  <c r="AR39" i="31"/>
  <c r="X46" i="1"/>
  <c r="Y46" i="1" s="1"/>
  <c r="AP73" i="27"/>
  <c r="AR23" i="17"/>
  <c r="AX22" i="29"/>
  <c r="AL62" i="31"/>
  <c r="AM62" i="31" s="1"/>
  <c r="AP83" i="29"/>
  <c r="AR24" i="28"/>
  <c r="T11" i="31"/>
  <c r="U9" i="31" s="1"/>
  <c r="Z52" i="31"/>
  <c r="AM52" i="31"/>
  <c r="O30" i="31"/>
  <c r="AR32" i="30"/>
  <c r="AP41" i="31"/>
  <c r="AX41" i="31" s="1"/>
  <c r="AR36" i="29"/>
  <c r="AR49" i="28"/>
  <c r="AP59" i="28"/>
  <c r="AR46" i="31"/>
  <c r="Z54" i="29"/>
  <c r="AA54" i="29" s="1"/>
  <c r="AP40" i="29"/>
  <c r="AQ40" i="29" s="1"/>
  <c r="Z12" i="17"/>
  <c r="AP12" i="17" s="1"/>
  <c r="AX12" i="17" s="1"/>
  <c r="AB28" i="17"/>
  <c r="T67" i="30"/>
  <c r="U64" i="30"/>
  <c r="V67" i="30"/>
  <c r="W67" i="30" s="1"/>
  <c r="N69" i="30"/>
  <c r="X18" i="30"/>
  <c r="Y18" i="30" s="1"/>
  <c r="AZ31" i="30"/>
  <c r="Y72" i="30"/>
  <c r="Y22" i="30"/>
  <c r="AA54" i="30"/>
  <c r="AA9" i="30"/>
  <c r="AA76" i="30"/>
  <c r="L48" i="30"/>
  <c r="P48" i="29"/>
  <c r="AJ64" i="29"/>
  <c r="AN48" i="29"/>
  <c r="AO48" i="29" s="1"/>
  <c r="AK48" i="29"/>
  <c r="BA7" i="28"/>
  <c r="AZ7" i="28"/>
  <c r="AA44" i="30"/>
  <c r="AV64" i="30"/>
  <c r="AA35" i="30"/>
  <c r="AA47" i="30"/>
  <c r="Y14" i="30"/>
  <c r="AA29" i="30"/>
  <c r="Y37" i="30"/>
  <c r="Y11" i="30"/>
  <c r="AA30" i="30"/>
  <c r="AA77" i="30"/>
  <c r="AC72" i="30"/>
  <c r="AC37" i="30"/>
  <c r="AC45" i="30"/>
  <c r="AC14" i="30"/>
  <c r="AC36" i="30"/>
  <c r="AC24" i="30"/>
  <c r="AC7" i="30"/>
  <c r="AC23" i="30"/>
  <c r="AC8" i="30"/>
  <c r="AC20" i="30"/>
  <c r="AC41" i="30"/>
  <c r="AC21" i="30"/>
  <c r="AC30" i="30"/>
  <c r="AC40" i="30"/>
  <c r="AC76" i="30"/>
  <c r="AC66" i="30"/>
  <c r="AC32" i="30"/>
  <c r="AC78" i="30"/>
  <c r="AC57" i="30"/>
  <c r="AC43" i="30"/>
  <c r="AC60" i="30"/>
  <c r="AR11" i="30"/>
  <c r="AS31" i="30" s="1"/>
  <c r="AC29" i="30"/>
  <c r="AC28" i="30"/>
  <c r="AC52" i="30"/>
  <c r="AC62" i="30"/>
  <c r="AC39" i="30"/>
  <c r="AC16" i="30"/>
  <c r="AC75" i="30"/>
  <c r="AC63" i="30"/>
  <c r="AC38" i="30"/>
  <c r="AC50" i="30"/>
  <c r="AC17" i="27"/>
  <c r="O64" i="30"/>
  <c r="Q18" i="30"/>
  <c r="Y28" i="30"/>
  <c r="BA39" i="30"/>
  <c r="Y17" i="30"/>
  <c r="Y76" i="30"/>
  <c r="AZ17" i="30"/>
  <c r="Y34" i="30"/>
  <c r="Y74" i="30"/>
  <c r="Y78" i="30"/>
  <c r="AA53" i="30"/>
  <c r="AA40" i="30"/>
  <c r="AP62" i="30"/>
  <c r="M64" i="29"/>
  <c r="L67" i="29"/>
  <c r="P48" i="30"/>
  <c r="Y35" i="30"/>
  <c r="Y61" i="30"/>
  <c r="AA62" i="30"/>
  <c r="AZ47" i="29"/>
  <c r="AY20" i="29"/>
  <c r="AX20" i="29"/>
  <c r="BA31" i="30"/>
  <c r="AA19" i="30"/>
  <c r="AA15" i="30"/>
  <c r="AA63" i="30"/>
  <c r="AA26" i="30"/>
  <c r="AA38" i="30"/>
  <c r="AA56" i="30"/>
  <c r="AA78" i="30"/>
  <c r="AA45" i="30"/>
  <c r="AA23" i="30"/>
  <c r="AA68" i="30"/>
  <c r="AA43" i="30"/>
  <c r="AA16" i="30"/>
  <c r="AA60" i="30"/>
  <c r="AA50" i="30"/>
  <c r="AA6" i="30"/>
  <c r="AA7" i="30"/>
  <c r="AA25" i="30"/>
  <c r="AA37" i="30"/>
  <c r="AA22" i="30"/>
  <c r="AA55" i="30"/>
  <c r="AA46" i="30"/>
  <c r="AA42" i="30"/>
  <c r="AA20" i="30"/>
  <c r="AA32" i="30"/>
  <c r="AA8" i="30"/>
  <c r="AA66" i="30"/>
  <c r="AA59" i="30"/>
  <c r="AA49" i="30"/>
  <c r="AA74" i="30"/>
  <c r="L48" i="28"/>
  <c r="M18" i="28"/>
  <c r="AB18" i="28"/>
  <c r="Y29" i="30"/>
  <c r="Y41" i="30"/>
  <c r="Y43" i="30"/>
  <c r="Y21" i="30"/>
  <c r="Y30" i="30"/>
  <c r="Y63" i="30"/>
  <c r="Y8" i="30"/>
  <c r="Y52" i="30"/>
  <c r="Y77" i="30"/>
  <c r="Y45" i="30"/>
  <c r="Y40" i="30"/>
  <c r="Y33" i="30"/>
  <c r="Y71" i="30"/>
  <c r="Y66" i="30"/>
  <c r="Y56" i="30"/>
  <c r="Y38" i="30"/>
  <c r="Y20" i="30"/>
  <c r="Y46" i="30"/>
  <c r="Y19" i="30"/>
  <c r="Y36" i="30"/>
  <c r="Y54" i="30"/>
  <c r="Y57" i="30"/>
  <c r="Y42" i="30"/>
  <c r="Y39" i="30"/>
  <c r="Y15" i="30"/>
  <c r="Y50" i="30"/>
  <c r="Y60" i="30"/>
  <c r="Y23" i="30"/>
  <c r="Y62" i="30"/>
  <c r="Y51" i="30"/>
  <c r="Y16" i="30"/>
  <c r="AA71" i="30"/>
  <c r="AA34" i="30"/>
  <c r="Y73" i="30"/>
  <c r="Y10" i="30"/>
  <c r="H64" i="30"/>
  <c r="I48" i="30"/>
  <c r="AA51" i="30"/>
  <c r="AA52" i="30"/>
  <c r="L64" i="27"/>
  <c r="Y60" i="28"/>
  <c r="Y19" i="28"/>
  <c r="Y47" i="28"/>
  <c r="Y16" i="28"/>
  <c r="Y34" i="28"/>
  <c r="Y65" i="28"/>
  <c r="Y75" i="28"/>
  <c r="Y77" i="28"/>
  <c r="AQ37" i="29"/>
  <c r="AQ49" i="29"/>
  <c r="AQ17" i="29"/>
  <c r="AM43" i="29"/>
  <c r="AM58" i="29"/>
  <c r="AM39" i="29"/>
  <c r="AM57" i="29"/>
  <c r="AY32" i="29"/>
  <c r="AO35" i="29"/>
  <c r="AO24" i="29"/>
  <c r="AO29" i="29"/>
  <c r="AO46" i="29"/>
  <c r="Y8" i="28"/>
  <c r="Y22" i="28"/>
  <c r="Y11" i="28"/>
  <c r="Y71" i="28"/>
  <c r="M40" i="28"/>
  <c r="M36" i="28"/>
  <c r="M37" i="28"/>
  <c r="AF69" i="18"/>
  <c r="AG67" i="18"/>
  <c r="AF79" i="18"/>
  <c r="AO54" i="30"/>
  <c r="AQ58" i="29"/>
  <c r="AQ38" i="29"/>
  <c r="AQ75" i="29"/>
  <c r="AQ19" i="29"/>
  <c r="Q18" i="29"/>
  <c r="Y49" i="28"/>
  <c r="Y6" i="28"/>
  <c r="Y46" i="28"/>
  <c r="Y52" i="28"/>
  <c r="Y76" i="28"/>
  <c r="H67" i="17"/>
  <c r="H79" i="17" s="1"/>
  <c r="I64" i="17"/>
  <c r="AQ22" i="29"/>
  <c r="AQ35" i="29"/>
  <c r="AQ57" i="29"/>
  <c r="AQ9" i="29"/>
  <c r="Y26" i="28"/>
  <c r="Y51" i="28"/>
  <c r="Y24" i="28"/>
  <c r="Y37" i="28"/>
  <c r="M29" i="28"/>
  <c r="M6" i="28"/>
  <c r="M33" i="28"/>
  <c r="AQ23" i="29"/>
  <c r="AQ51" i="29"/>
  <c r="AQ45" i="29"/>
  <c r="AQ28" i="29"/>
  <c r="X17" i="27"/>
  <c r="Y44" i="28"/>
  <c r="Y63" i="28"/>
  <c r="Y72" i="28"/>
  <c r="Y15" i="28"/>
  <c r="M47" i="28"/>
  <c r="M46" i="28"/>
  <c r="M62" i="28"/>
  <c r="M15" i="28"/>
  <c r="AI48" i="27"/>
  <c r="AH64" i="27"/>
  <c r="AT67" i="18"/>
  <c r="AU64" i="18"/>
  <c r="AY11" i="29"/>
  <c r="AQ71" i="29"/>
  <c r="AQ53" i="29"/>
  <c r="AQ59" i="29"/>
  <c r="AE18" i="29"/>
  <c r="AW67" i="27"/>
  <c r="T18" i="27"/>
  <c r="Y23" i="28"/>
  <c r="Y9" i="28"/>
  <c r="Y32" i="28"/>
  <c r="Y58" i="28"/>
  <c r="M63" i="28"/>
  <c r="M42" i="28"/>
  <c r="M26" i="28"/>
  <c r="AL18" i="27"/>
  <c r="AM18" i="27" s="1"/>
  <c r="AE18" i="27"/>
  <c r="AQ52" i="29"/>
  <c r="AQ46" i="29"/>
  <c r="AQ63" i="29"/>
  <c r="AD48" i="29"/>
  <c r="Y20" i="28"/>
  <c r="Y57" i="28"/>
  <c r="Y53" i="28"/>
  <c r="AP54" i="27"/>
  <c r="AA54" i="27"/>
  <c r="AQ29" i="29"/>
  <c r="AQ55" i="29"/>
  <c r="AQ39" i="29"/>
  <c r="AQ66" i="29"/>
  <c r="Y30" i="28"/>
  <c r="Y28" i="28"/>
  <c r="M59" i="28"/>
  <c r="M27" i="28"/>
  <c r="M32" i="28"/>
  <c r="M61" i="28"/>
  <c r="Y17" i="28"/>
  <c r="Y50" i="28"/>
  <c r="Y7" i="28"/>
  <c r="Y41" i="28"/>
  <c r="Y39" i="28"/>
  <c r="Y42" i="28"/>
  <c r="Y38" i="28"/>
  <c r="Y21" i="28"/>
  <c r="AY34" i="27"/>
  <c r="AX34" i="27"/>
  <c r="Y35" i="28"/>
  <c r="Y45" i="28"/>
  <c r="Y68" i="28"/>
  <c r="Y54" i="28"/>
  <c r="AZ16" i="30"/>
  <c r="AQ15" i="29"/>
  <c r="AQ60" i="29"/>
  <c r="AQ44" i="29"/>
  <c r="AQ56" i="29"/>
  <c r="AQ43" i="29"/>
  <c r="AM54" i="29"/>
  <c r="AM36" i="29"/>
  <c r="AM75" i="29"/>
  <c r="AO18" i="29"/>
  <c r="AO45" i="29"/>
  <c r="AO6" i="29"/>
  <c r="AO57" i="29"/>
  <c r="AO39" i="29"/>
  <c r="Y29" i="28"/>
  <c r="Y66" i="28"/>
  <c r="Y56" i="28"/>
  <c r="Y61" i="28"/>
  <c r="M58" i="28"/>
  <c r="M20" i="28"/>
  <c r="M39" i="28"/>
  <c r="AQ11" i="29"/>
  <c r="AQ76" i="29"/>
  <c r="AX11" i="29"/>
  <c r="AQ14" i="29"/>
  <c r="AQ27" i="29"/>
  <c r="AM37" i="29"/>
  <c r="AM50" i="29"/>
  <c r="AM52" i="29"/>
  <c r="AO17" i="29"/>
  <c r="AO54" i="29"/>
  <c r="AO37" i="29"/>
  <c r="Y27" i="28"/>
  <c r="Y74" i="28"/>
  <c r="Y59" i="28"/>
  <c r="Y40" i="28"/>
  <c r="M22" i="28"/>
  <c r="M7" i="28"/>
  <c r="M24" i="28"/>
  <c r="AX24" i="28"/>
  <c r="AQ33" i="29"/>
  <c r="AQ10" i="29"/>
  <c r="Y10" i="28"/>
  <c r="Y33" i="28"/>
  <c r="Y36" i="28"/>
  <c r="Y43" i="28"/>
  <c r="M55" i="28"/>
  <c r="M78" i="28"/>
  <c r="M21" i="28"/>
  <c r="AB11" i="28"/>
  <c r="AC47" i="28" s="1"/>
  <c r="M66" i="28"/>
  <c r="M65" i="28"/>
  <c r="M71" i="28"/>
  <c r="M73" i="28"/>
  <c r="M45" i="28"/>
  <c r="M77" i="28"/>
  <c r="M30" i="28"/>
  <c r="M28" i="28"/>
  <c r="W8" i="17"/>
  <c r="W59" i="17"/>
  <c r="W61" i="17"/>
  <c r="W29" i="17"/>
  <c r="W10" i="17"/>
  <c r="W32" i="17"/>
  <c r="W71" i="17"/>
  <c r="W63" i="17"/>
  <c r="W30" i="17"/>
  <c r="W68" i="17"/>
  <c r="W74" i="17"/>
  <c r="W53" i="17"/>
  <c r="W17" i="17"/>
  <c r="W39" i="17"/>
  <c r="W45" i="17"/>
  <c r="W28" i="17"/>
  <c r="W16" i="17"/>
  <c r="W34" i="17"/>
  <c r="W56" i="17"/>
  <c r="W62" i="17"/>
  <c r="AY39" i="18"/>
  <c r="W14" i="17"/>
  <c r="AA78" i="17"/>
  <c r="AA8" i="17"/>
  <c r="AA55" i="17"/>
  <c r="AA11" i="17"/>
  <c r="AA33" i="17"/>
  <c r="AA60" i="17"/>
  <c r="AA44" i="17"/>
  <c r="AA46" i="17"/>
  <c r="AA53" i="17"/>
  <c r="AA65" i="17"/>
  <c r="AA74" i="17"/>
  <c r="AA32" i="17"/>
  <c r="AA31" i="17"/>
  <c r="AA45" i="17"/>
  <c r="AA35" i="17"/>
  <c r="AA10" i="17"/>
  <c r="AA22" i="17"/>
  <c r="AA73" i="17"/>
  <c r="AA21" i="17"/>
  <c r="AA77" i="17"/>
  <c r="AA9" i="17"/>
  <c r="AA27" i="17"/>
  <c r="AY30" i="17"/>
  <c r="AX30" i="17"/>
  <c r="AM60" i="17"/>
  <c r="AX15" i="27"/>
  <c r="AG64" i="18"/>
  <c r="AX39" i="18"/>
  <c r="AY26" i="17"/>
  <c r="S54" i="28"/>
  <c r="AM34" i="27"/>
  <c r="AM17" i="27"/>
  <c r="AM25" i="27"/>
  <c r="AM21" i="27"/>
  <c r="AY61" i="27"/>
  <c r="AS14" i="18"/>
  <c r="D67" i="18"/>
  <c r="AX37" i="17"/>
  <c r="W42" i="17"/>
  <c r="AA38" i="17"/>
  <c r="AM44" i="17"/>
  <c r="AM35" i="17"/>
  <c r="AM30" i="17"/>
  <c r="AM31" i="17"/>
  <c r="AM77" i="17"/>
  <c r="AM11" i="17"/>
  <c r="AM28" i="17"/>
  <c r="AM20" i="17"/>
  <c r="AM45" i="27"/>
  <c r="AM63" i="27"/>
  <c r="AX61" i="27"/>
  <c r="W57" i="17"/>
  <c r="W19" i="17"/>
  <c r="W36" i="17"/>
  <c r="AA75" i="17"/>
  <c r="W65" i="17"/>
  <c r="W38" i="17"/>
  <c r="AY59" i="17"/>
  <c r="AS57" i="18"/>
  <c r="AS46" i="18"/>
  <c r="AZ77" i="18"/>
  <c r="AY29" i="18"/>
  <c r="W46" i="17"/>
  <c r="AA72" i="17"/>
  <c r="AA50" i="17"/>
  <c r="AM39" i="17"/>
  <c r="AM24" i="17"/>
  <c r="AA66" i="17"/>
  <c r="AZ72" i="17"/>
  <c r="AM55" i="27"/>
  <c r="AM66" i="27"/>
  <c r="AM20" i="27"/>
  <c r="AM15" i="27"/>
  <c r="AM50" i="27"/>
  <c r="AS55" i="18"/>
  <c r="AS32" i="18"/>
  <c r="AC59" i="18"/>
  <c r="AC57" i="18"/>
  <c r="AC52" i="18"/>
  <c r="AC55" i="18"/>
  <c r="AC54" i="18"/>
  <c r="BA14" i="18"/>
  <c r="AJ48" i="18"/>
  <c r="AY31" i="18"/>
  <c r="AA37" i="17"/>
  <c r="AA42" i="17"/>
  <c r="AA29" i="17"/>
  <c r="AA76" i="17"/>
  <c r="AM40" i="17"/>
  <c r="AM7" i="17"/>
  <c r="I18" i="17"/>
  <c r="AM38" i="27"/>
  <c r="AM24" i="27"/>
  <c r="AM78" i="27"/>
  <c r="AM58" i="27"/>
  <c r="AM8" i="27"/>
  <c r="AM39" i="27"/>
  <c r="AS52" i="18"/>
  <c r="AS74" i="18"/>
  <c r="AC29" i="18"/>
  <c r="AC8" i="18"/>
  <c r="AC6" i="18"/>
  <c r="BA51" i="18"/>
  <c r="W26" i="17"/>
  <c r="W9" i="17"/>
  <c r="AA68" i="17"/>
  <c r="W73" i="17"/>
  <c r="AM61" i="17"/>
  <c r="W25" i="17"/>
  <c r="W72" i="17"/>
  <c r="AY46" i="17"/>
  <c r="W75" i="17"/>
  <c r="AY25" i="18"/>
  <c r="W55" i="17"/>
  <c r="W6" i="17"/>
  <c r="W31" i="17"/>
  <c r="W20" i="17"/>
  <c r="W22" i="17"/>
  <c r="W35" i="17"/>
  <c r="AA39" i="17"/>
  <c r="AA7" i="17"/>
  <c r="W52" i="17"/>
  <c r="W78" i="17"/>
  <c r="W37" i="17"/>
  <c r="AN18" i="17"/>
  <c r="W60" i="17"/>
  <c r="AY28" i="17"/>
  <c r="W33" i="17"/>
  <c r="W24" i="17"/>
  <c r="W23" i="17"/>
  <c r="W43" i="17"/>
  <c r="W77" i="17"/>
  <c r="AM47" i="17"/>
  <c r="W49" i="17"/>
  <c r="W27" i="17"/>
  <c r="AX28" i="17"/>
  <c r="AA17" i="17"/>
  <c r="W76" i="17"/>
  <c r="AA24" i="17"/>
  <c r="BA10" i="17"/>
  <c r="AZ10" i="17"/>
  <c r="AM51" i="27"/>
  <c r="AM60" i="27"/>
  <c r="AM42" i="27"/>
  <c r="AM23" i="27"/>
  <c r="AC7" i="18"/>
  <c r="W41" i="17"/>
  <c r="AZ7" i="17"/>
  <c r="W40" i="17"/>
  <c r="W50" i="17"/>
  <c r="W7" i="17"/>
  <c r="AM52" i="17"/>
  <c r="W51" i="17"/>
  <c r="AA49" i="1"/>
  <c r="AA65" i="1"/>
  <c r="AA8" i="1"/>
  <c r="AA25" i="1"/>
  <c r="AA41" i="1"/>
  <c r="AA36" i="1"/>
  <c r="AA7" i="1"/>
  <c r="AA28" i="1"/>
  <c r="AA53" i="1"/>
  <c r="AA31" i="1"/>
  <c r="AA27" i="1"/>
  <c r="AA23" i="1"/>
  <c r="AA21" i="1"/>
  <c r="AA34" i="1"/>
  <c r="AA30" i="1"/>
  <c r="AA29" i="1"/>
  <c r="AA63" i="1"/>
  <c r="AA74" i="1"/>
  <c r="AA38" i="1"/>
  <c r="AA50" i="1"/>
  <c r="AQ44" i="1"/>
  <c r="Y63" i="17"/>
  <c r="Y9" i="17"/>
  <c r="Y65" i="17"/>
  <c r="AC57" i="17"/>
  <c r="AC44" i="17"/>
  <c r="AK32" i="17"/>
  <c r="AK61" i="17"/>
  <c r="AK11" i="17"/>
  <c r="Z62" i="17"/>
  <c r="AU55" i="17"/>
  <c r="AU56" i="17"/>
  <c r="AU72" i="17"/>
  <c r="AU9" i="17"/>
  <c r="U8" i="17"/>
  <c r="U63" i="17"/>
  <c r="U46" i="17"/>
  <c r="Q47" i="17"/>
  <c r="Q44" i="17"/>
  <c r="Q46" i="17"/>
  <c r="Q7" i="17"/>
  <c r="AE16" i="17"/>
  <c r="AG22" i="17"/>
  <c r="AG50" i="17"/>
  <c r="AG74" i="17"/>
  <c r="AG27" i="17"/>
  <c r="AY22" i="17"/>
  <c r="AE7" i="17"/>
  <c r="AP60" i="17"/>
  <c r="U71" i="17"/>
  <c r="AQ51" i="1"/>
  <c r="Q8" i="17"/>
  <c r="AQ77" i="1"/>
  <c r="AA78" i="1"/>
  <c r="AA75" i="1"/>
  <c r="AQ46" i="1"/>
  <c r="AQ76" i="1"/>
  <c r="AQ38" i="1"/>
  <c r="AQ62" i="1"/>
  <c r="AR22" i="1"/>
  <c r="Q42" i="17"/>
  <c r="Q40" i="17"/>
  <c r="Q22" i="17"/>
  <c r="Q11" i="17"/>
  <c r="Q52" i="17"/>
  <c r="AG33" i="17"/>
  <c r="AG44" i="17"/>
  <c r="AG78" i="17"/>
  <c r="AG24" i="17"/>
  <c r="AE30" i="17"/>
  <c r="AQ60" i="1"/>
  <c r="B79" i="16"/>
  <c r="C67" i="16"/>
  <c r="B69" i="16"/>
  <c r="AQ72" i="1"/>
  <c r="Y16" i="17"/>
  <c r="Y41" i="17"/>
  <c r="Y36" i="17"/>
  <c r="Y44" i="17"/>
  <c r="AC27" i="17"/>
  <c r="AK72" i="17"/>
  <c r="O6" i="17"/>
  <c r="AK59" i="17"/>
  <c r="AK29" i="17"/>
  <c r="AK36" i="17"/>
  <c r="AK51" i="17"/>
  <c r="AE66" i="17"/>
  <c r="U73" i="17"/>
  <c r="AU24" i="17"/>
  <c r="AU25" i="17"/>
  <c r="AU71" i="17"/>
  <c r="AU45" i="17"/>
  <c r="U27" i="17"/>
  <c r="U36" i="17"/>
  <c r="U51" i="17"/>
  <c r="Q61" i="17"/>
  <c r="Q23" i="17"/>
  <c r="Q78" i="17"/>
  <c r="Q32" i="17"/>
  <c r="Q50" i="17"/>
  <c r="AE24" i="17"/>
  <c r="AG72" i="17"/>
  <c r="AG42" i="17"/>
  <c r="AG54" i="17"/>
  <c r="AG29" i="17"/>
  <c r="AE71" i="17"/>
  <c r="U47" i="17"/>
  <c r="AI58" i="17"/>
  <c r="AI30" i="17"/>
  <c r="O54" i="17"/>
  <c r="AU6" i="17"/>
  <c r="K50" i="17"/>
  <c r="K44" i="17"/>
  <c r="AQ7" i="1"/>
  <c r="AQ22" i="1"/>
  <c r="AA56" i="1"/>
  <c r="N64" i="1"/>
  <c r="AA39" i="1"/>
  <c r="AA37" i="1"/>
  <c r="AR45" i="1"/>
  <c r="Q76" i="17"/>
  <c r="Q59" i="17"/>
  <c r="Q63" i="17"/>
  <c r="Q14" i="17"/>
  <c r="AG53" i="17"/>
  <c r="F48" i="1"/>
  <c r="G18" i="1"/>
  <c r="Y19" i="17"/>
  <c r="AC20" i="17"/>
  <c r="AC53" i="17"/>
  <c r="AC74" i="17"/>
  <c r="M29" i="17"/>
  <c r="M9" i="17"/>
  <c r="M56" i="17"/>
  <c r="G36" i="17"/>
  <c r="G17" i="17"/>
  <c r="AE72" i="17"/>
  <c r="O41" i="17"/>
  <c r="O72" i="17"/>
  <c r="O22" i="17"/>
  <c r="O23" i="17"/>
  <c r="U77" i="17"/>
  <c r="AK43" i="17"/>
  <c r="AK52" i="17"/>
  <c r="AK28" i="17"/>
  <c r="AK8" i="17"/>
  <c r="AE73" i="17"/>
  <c r="AU51" i="17"/>
  <c r="AU32" i="17"/>
  <c r="AU21" i="17"/>
  <c r="U6" i="17"/>
  <c r="U65" i="17"/>
  <c r="U43" i="17"/>
  <c r="U50" i="17"/>
  <c r="Q36" i="17"/>
  <c r="Q34" i="17"/>
  <c r="Q6" i="17"/>
  <c r="Q35" i="17"/>
  <c r="Z54" i="17"/>
  <c r="AE34" i="17"/>
  <c r="AG49" i="17"/>
  <c r="AG47" i="17"/>
  <c r="AG63" i="17"/>
  <c r="AG34" i="17"/>
  <c r="AE39" i="17"/>
  <c r="AU47" i="17"/>
  <c r="AK73" i="17"/>
  <c r="K58" i="17"/>
  <c r="AI41" i="17"/>
  <c r="K36" i="17"/>
  <c r="AI25" i="17"/>
  <c r="K59" i="17"/>
  <c r="K41" i="17"/>
  <c r="AZ16" i="1"/>
  <c r="AQ68" i="1"/>
  <c r="BA51" i="1"/>
  <c r="M33" i="1"/>
  <c r="M72" i="1"/>
  <c r="M11" i="1"/>
  <c r="AA15" i="1"/>
  <c r="AA35" i="1"/>
  <c r="AA62" i="1"/>
  <c r="Q72" i="17"/>
  <c r="Q37" i="17"/>
  <c r="Q9" i="17"/>
  <c r="Q39" i="17"/>
  <c r="AG11" i="17"/>
  <c r="AG21" i="17"/>
  <c r="AG20" i="17"/>
  <c r="AG65" i="17"/>
  <c r="I54" i="1"/>
  <c r="Q29" i="17"/>
  <c r="Q60" i="17"/>
  <c r="Q68" i="17"/>
  <c r="Q28" i="17"/>
  <c r="AN11" i="17"/>
  <c r="AR11" i="17" s="1"/>
  <c r="AG59" i="17"/>
  <c r="AG43" i="17"/>
  <c r="AG56" i="17"/>
  <c r="AQ32" i="1"/>
  <c r="Y43" i="17"/>
  <c r="Y56" i="17"/>
  <c r="Y78" i="17"/>
  <c r="AC22" i="17"/>
  <c r="AC19" i="17"/>
  <c r="AC55" i="17"/>
  <c r="AC66" i="17"/>
  <c r="AC73" i="17"/>
  <c r="AK21" i="17"/>
  <c r="AK78" i="17"/>
  <c r="AK56" i="17"/>
  <c r="AK33" i="17"/>
  <c r="AE29" i="17"/>
  <c r="AG17" i="17"/>
  <c r="AU27" i="17"/>
  <c r="AU35" i="17"/>
  <c r="AU39" i="17"/>
  <c r="AU20" i="17"/>
  <c r="U35" i="17"/>
  <c r="U44" i="17"/>
  <c r="U45" i="17"/>
  <c r="U9" i="17"/>
  <c r="Q21" i="17"/>
  <c r="Q15" i="17"/>
  <c r="Q74" i="17"/>
  <c r="Q30" i="17"/>
  <c r="AE76" i="17"/>
  <c r="AG30" i="17"/>
  <c r="AG46" i="17"/>
  <c r="AG23" i="17"/>
  <c r="AG55" i="17"/>
  <c r="M42" i="1"/>
  <c r="M60" i="1"/>
  <c r="M68" i="1"/>
  <c r="M55" i="1"/>
  <c r="M29" i="1"/>
  <c r="M53" i="1"/>
  <c r="M36" i="1"/>
  <c r="M24" i="1"/>
  <c r="M58" i="1"/>
  <c r="M75" i="1"/>
  <c r="M7" i="1"/>
  <c r="BA40" i="1"/>
  <c r="AQ30" i="1"/>
  <c r="AA45" i="1"/>
  <c r="AA58" i="1"/>
  <c r="AY61" i="1"/>
  <c r="AX61" i="1"/>
  <c r="Y50" i="17"/>
  <c r="Y21" i="17"/>
  <c r="Y38" i="17"/>
  <c r="AC61" i="17"/>
  <c r="AC24" i="17"/>
  <c r="AC11" i="17"/>
  <c r="O36" i="17"/>
  <c r="O39" i="17"/>
  <c r="O19" i="17"/>
  <c r="O7" i="17"/>
  <c r="AK15" i="17"/>
  <c r="AK7" i="17"/>
  <c r="AK41" i="17"/>
  <c r="AK39" i="17"/>
  <c r="AE21" i="17"/>
  <c r="AU63" i="17"/>
  <c r="AU28" i="17"/>
  <c r="AU37" i="17"/>
  <c r="U16" i="17"/>
  <c r="U56" i="17"/>
  <c r="U54" i="17"/>
  <c r="U23" i="17"/>
  <c r="Q49" i="17"/>
  <c r="Q53" i="17"/>
  <c r="Q77" i="17"/>
  <c r="Q20" i="17"/>
  <c r="AE40" i="17"/>
  <c r="AG45" i="17"/>
  <c r="AG14" i="17"/>
  <c r="AG7" i="17"/>
  <c r="AG28" i="17"/>
  <c r="AE36" i="17"/>
  <c r="AI24" i="17"/>
  <c r="AQ21" i="1"/>
  <c r="AQ11" i="1"/>
  <c r="AQ24" i="1"/>
  <c r="AA22" i="1"/>
  <c r="AA40" i="1"/>
  <c r="AA73" i="1"/>
  <c r="AR15" i="1"/>
  <c r="AQ16" i="1"/>
  <c r="Y74" i="17"/>
  <c r="Y37" i="17"/>
  <c r="Y51" i="17"/>
  <c r="Y57" i="17"/>
  <c r="Y24" i="17"/>
  <c r="AH48" i="17"/>
  <c r="AC30" i="17"/>
  <c r="AC33" i="17"/>
  <c r="G49" i="17"/>
  <c r="AE55" i="17"/>
  <c r="O10" i="17"/>
  <c r="O37" i="17"/>
  <c r="O45" i="17"/>
  <c r="AK66" i="17"/>
  <c r="AK19" i="17"/>
  <c r="AK68" i="17"/>
  <c r="AE53" i="17"/>
  <c r="AU40" i="17"/>
  <c r="AU58" i="17"/>
  <c r="AU78" i="17"/>
  <c r="U53" i="17"/>
  <c r="U14" i="17"/>
  <c r="U58" i="17"/>
  <c r="Q73" i="17"/>
  <c r="Q17" i="17"/>
  <c r="AE28" i="17"/>
  <c r="AG15" i="17"/>
  <c r="AG51" i="17"/>
  <c r="AG58" i="17"/>
  <c r="K46" i="17"/>
  <c r="AQ43" i="1"/>
  <c r="AZ57" i="1"/>
  <c r="AQ14" i="1"/>
  <c r="AQ65" i="1"/>
  <c r="AQ39" i="1"/>
  <c r="AA17" i="1"/>
  <c r="BA56" i="1"/>
  <c r="M10" i="1"/>
  <c r="M52" i="1"/>
  <c r="AA68" i="1"/>
  <c r="AA76" i="1"/>
  <c r="AA51" i="1"/>
  <c r="AR14" i="1"/>
  <c r="BA19" i="16"/>
  <c r="AX82" i="16"/>
  <c r="AM50" i="1"/>
  <c r="AA38" i="16"/>
  <c r="AX83" i="16"/>
  <c r="W78" i="1"/>
  <c r="W75" i="1"/>
  <c r="W23" i="1"/>
  <c r="W44" i="1"/>
  <c r="W24" i="1"/>
  <c r="W61" i="1"/>
  <c r="W33" i="1"/>
  <c r="W41" i="1"/>
  <c r="W66" i="1"/>
  <c r="W11" i="1"/>
  <c r="W9" i="1"/>
  <c r="W60" i="1"/>
  <c r="W26" i="1"/>
  <c r="W58" i="1"/>
  <c r="W38" i="1"/>
  <c r="AC65" i="16"/>
  <c r="AC66" i="16"/>
  <c r="AC8" i="16"/>
  <c r="F48" i="16"/>
  <c r="Z18" i="16"/>
  <c r="BA81" i="27"/>
  <c r="AZ81" i="27"/>
  <c r="O18" i="1"/>
  <c r="AX51" i="1"/>
  <c r="AG11" i="1"/>
  <c r="AM78" i="1"/>
  <c r="AM34" i="1"/>
  <c r="AM20" i="1"/>
  <c r="AC52" i="16"/>
  <c r="AC25" i="16"/>
  <c r="AC74" i="16"/>
  <c r="AC41" i="16"/>
  <c r="K32" i="1"/>
  <c r="K68" i="1"/>
  <c r="K10" i="1"/>
  <c r="K40" i="1"/>
  <c r="K14" i="1"/>
  <c r="AE55" i="1"/>
  <c r="AM43" i="1"/>
  <c r="AA10" i="16"/>
  <c r="AA8" i="16"/>
  <c r="AA65" i="16"/>
  <c r="AP17" i="16"/>
  <c r="AM63" i="1"/>
  <c r="AC53" i="16"/>
  <c r="K55" i="1"/>
  <c r="K47" i="1"/>
  <c r="K65" i="1"/>
  <c r="K26" i="1"/>
  <c r="AA21" i="16"/>
  <c r="AA59" i="16"/>
  <c r="I17" i="31"/>
  <c r="AB17" i="31"/>
  <c r="AX53" i="27"/>
  <c r="AY53" i="27"/>
  <c r="AX25" i="27"/>
  <c r="AY25" i="27"/>
  <c r="AY78" i="17"/>
  <c r="AX78" i="17"/>
  <c r="Z18" i="28"/>
  <c r="J48" i="28"/>
  <c r="K18" i="28"/>
  <c r="H18" i="31"/>
  <c r="Y33" i="1"/>
  <c r="Y74" i="1"/>
  <c r="Y26" i="1"/>
  <c r="Y14" i="1"/>
  <c r="Y57" i="1"/>
  <c r="W15" i="30"/>
  <c r="W42" i="30"/>
  <c r="W37" i="30"/>
  <c r="W58" i="30"/>
  <c r="W77" i="30"/>
  <c r="W28" i="30"/>
  <c r="W6" i="30"/>
  <c r="W68" i="30"/>
  <c r="W55" i="30"/>
  <c r="W74" i="30"/>
  <c r="W75" i="30"/>
  <c r="W32" i="30"/>
  <c r="W11" i="30"/>
  <c r="W20" i="30"/>
  <c r="W53" i="30"/>
  <c r="W65" i="30"/>
  <c r="W16" i="30"/>
  <c r="W34" i="30"/>
  <c r="W31" i="30"/>
  <c r="W7" i="30"/>
  <c r="W73" i="30"/>
  <c r="W29" i="30"/>
  <c r="W40" i="30"/>
  <c r="W38" i="30"/>
  <c r="W19" i="30"/>
  <c r="W36" i="30"/>
  <c r="W23" i="30"/>
  <c r="W60" i="30"/>
  <c r="W62" i="30"/>
  <c r="W27" i="30"/>
  <c r="W22" i="30"/>
  <c r="W59" i="30"/>
  <c r="W21" i="30"/>
  <c r="W30" i="30"/>
  <c r="W45" i="30"/>
  <c r="W10" i="30"/>
  <c r="W17" i="30"/>
  <c r="W25" i="30"/>
  <c r="W63" i="30"/>
  <c r="W57" i="30"/>
  <c r="W52" i="30"/>
  <c r="W76" i="30"/>
  <c r="W26" i="30"/>
  <c r="W35" i="30"/>
  <c r="W51" i="30"/>
  <c r="W14" i="30"/>
  <c r="W66" i="30"/>
  <c r="W72" i="30"/>
  <c r="W44" i="30"/>
  <c r="W39" i="30"/>
  <c r="W78" i="30"/>
  <c r="W71" i="30"/>
  <c r="W49" i="30"/>
  <c r="AE28" i="30"/>
  <c r="AE36" i="30"/>
  <c r="AL11" i="30"/>
  <c r="AM62" i="30" s="1"/>
  <c r="AE34" i="30"/>
  <c r="AE47" i="30"/>
  <c r="AE19" i="30"/>
  <c r="AE21" i="30"/>
  <c r="AE24" i="30"/>
  <c r="AE39" i="30"/>
  <c r="AE45" i="30"/>
  <c r="AE26" i="30"/>
  <c r="AD18" i="30"/>
  <c r="AE43" i="30"/>
  <c r="AE56" i="30"/>
  <c r="AE53" i="30"/>
  <c r="AE14" i="30"/>
  <c r="AE75" i="30"/>
  <c r="AE55" i="30"/>
  <c r="AE60" i="30"/>
  <c r="AE25" i="30"/>
  <c r="AE76" i="30"/>
  <c r="AE10" i="30"/>
  <c r="AE63" i="30"/>
  <c r="AE40" i="30"/>
  <c r="AE46" i="30"/>
  <c r="AE11" i="30"/>
  <c r="AE73" i="30"/>
  <c r="AE61" i="30"/>
  <c r="AE44" i="30"/>
  <c r="AE7" i="30"/>
  <c r="AE74" i="30"/>
  <c r="AE6" i="30"/>
  <c r="AE23" i="30"/>
  <c r="AE57" i="30"/>
  <c r="W55" i="28"/>
  <c r="AO28" i="30"/>
  <c r="AO21" i="30"/>
  <c r="AO39" i="30"/>
  <c r="AO74" i="30"/>
  <c r="AO49" i="30"/>
  <c r="AO17" i="30"/>
  <c r="AO61" i="30"/>
  <c r="AO41" i="30"/>
  <c r="AO16" i="30"/>
  <c r="AO15" i="30"/>
  <c r="AO6" i="30"/>
  <c r="AO20" i="30"/>
  <c r="AO26" i="30"/>
  <c r="AO29" i="30"/>
  <c r="AO56" i="30"/>
  <c r="AO9" i="30"/>
  <c r="AO77" i="30"/>
  <c r="AO68" i="30"/>
  <c r="AO30" i="30"/>
  <c r="AO50" i="30"/>
  <c r="AO27" i="30"/>
  <c r="AO42" i="30"/>
  <c r="AO75" i="30"/>
  <c r="AO37" i="30"/>
  <c r="AO19" i="30"/>
  <c r="AO44" i="30"/>
  <c r="AO25" i="30"/>
  <c r="AO33" i="30"/>
  <c r="AO7" i="30"/>
  <c r="AO32" i="30"/>
  <c r="AO35" i="30"/>
  <c r="AO40" i="30"/>
  <c r="AY30" i="31"/>
  <c r="AE66" i="30"/>
  <c r="AE20" i="30"/>
  <c r="AY10" i="30"/>
  <c r="AO46" i="30"/>
  <c r="M47" i="18"/>
  <c r="AB47" i="18"/>
  <c r="AC47" i="18" s="1"/>
  <c r="W49" i="28"/>
  <c r="BA32" i="18"/>
  <c r="AZ32" i="18"/>
  <c r="BA24" i="27"/>
  <c r="AZ24" i="27"/>
  <c r="AE33" i="30"/>
  <c r="AE16" i="30"/>
  <c r="AO73" i="30"/>
  <c r="AO10" i="30"/>
  <c r="AX9" i="31"/>
  <c r="Q27" i="31"/>
  <c r="Q42" i="31"/>
  <c r="Q25" i="31"/>
  <c r="AE30" i="30"/>
  <c r="AE78" i="30"/>
  <c r="AO58" i="30"/>
  <c r="AO43" i="30"/>
  <c r="Q14" i="31"/>
  <c r="AE29" i="30"/>
  <c r="AE27" i="30"/>
  <c r="AO14" i="30"/>
  <c r="AO55" i="30"/>
  <c r="AA49" i="28"/>
  <c r="AP49" i="28"/>
  <c r="BA36" i="16"/>
  <c r="AZ36" i="16"/>
  <c r="AE31" i="30"/>
  <c r="AE52" i="30"/>
  <c r="AO53" i="30"/>
  <c r="W53" i="28"/>
  <c r="W39" i="28"/>
  <c r="W74" i="28"/>
  <c r="W41" i="28"/>
  <c r="W32" i="28"/>
  <c r="W22" i="28"/>
  <c r="W75" i="28"/>
  <c r="W43" i="28"/>
  <c r="W7" i="28"/>
  <c r="W73" i="28"/>
  <c r="W68" i="28"/>
  <c r="W37" i="28"/>
  <c r="W16" i="28"/>
  <c r="W58" i="28"/>
  <c r="W38" i="28"/>
  <c r="W24" i="28"/>
  <c r="W21" i="28"/>
  <c r="W14" i="28"/>
  <c r="W72" i="28"/>
  <c r="W60" i="28"/>
  <c r="W44" i="28"/>
  <c r="W77" i="28"/>
  <c r="W46" i="28"/>
  <c r="W10" i="28"/>
  <c r="W78" i="28"/>
  <c r="W61" i="28"/>
  <c r="W34" i="28"/>
  <c r="W25" i="28"/>
  <c r="W15" i="28"/>
  <c r="W51" i="28"/>
  <c r="W50" i="28"/>
  <c r="W56" i="28"/>
  <c r="W71" i="28"/>
  <c r="W29" i="28"/>
  <c r="W20" i="28"/>
  <c r="W63" i="28"/>
  <c r="W9" i="28"/>
  <c r="W6" i="28"/>
  <c r="W65" i="28"/>
  <c r="W76" i="28"/>
  <c r="W57" i="28"/>
  <c r="W42" i="28"/>
  <c r="W31" i="28"/>
  <c r="W26" i="28"/>
  <c r="W45" i="28"/>
  <c r="W8" i="28"/>
  <c r="AP33" i="28"/>
  <c r="Q38" i="31"/>
  <c r="Q78" i="31"/>
  <c r="Q20" i="31"/>
  <c r="Q77" i="31"/>
  <c r="Q39" i="31"/>
  <c r="Q71" i="31"/>
  <c r="P18" i="31"/>
  <c r="Q6" i="31"/>
  <c r="AE65" i="30"/>
  <c r="AE22" i="30"/>
  <c r="AO51" i="30"/>
  <c r="W52" i="28"/>
  <c r="AY71" i="28"/>
  <c r="AX71" i="28"/>
  <c r="AY32" i="31"/>
  <c r="Q45" i="31"/>
  <c r="Q30" i="31"/>
  <c r="Q40" i="31"/>
  <c r="Q11" i="31"/>
  <c r="AE37" i="30"/>
  <c r="AE32" i="30"/>
  <c r="AO36" i="30"/>
  <c r="W11" i="28"/>
  <c r="I28" i="31"/>
  <c r="I51" i="31"/>
  <c r="I46" i="31"/>
  <c r="I19" i="31"/>
  <c r="I62" i="31"/>
  <c r="I44" i="31"/>
  <c r="I35" i="31"/>
  <c r="I58" i="31"/>
  <c r="I55" i="31"/>
  <c r="AE54" i="30"/>
  <c r="AE77" i="30"/>
  <c r="AO76" i="30"/>
  <c r="V18" i="28"/>
  <c r="W18" i="28" s="1"/>
  <c r="N48" i="28"/>
  <c r="BA43" i="18"/>
  <c r="AZ43" i="18"/>
  <c r="AG75" i="28"/>
  <c r="X70" i="28"/>
  <c r="AB70" i="28"/>
  <c r="AR70" i="28" s="1"/>
  <c r="AZ70" i="28" s="1"/>
  <c r="AU34" i="28"/>
  <c r="AU28" i="28"/>
  <c r="AU44" i="28"/>
  <c r="AU57" i="28"/>
  <c r="AU45" i="28"/>
  <c r="AR25" i="27"/>
  <c r="AC25" i="27"/>
  <c r="AZ41" i="27"/>
  <c r="BA41" i="27"/>
  <c r="AU40" i="18"/>
  <c r="AU35" i="18"/>
  <c r="AU33" i="18"/>
  <c r="AU43" i="18"/>
  <c r="AU9" i="18"/>
  <c r="AU45" i="18"/>
  <c r="AU10" i="18"/>
  <c r="AU16" i="18"/>
  <c r="AU61" i="18"/>
  <c r="AU53" i="18"/>
  <c r="AU20" i="18"/>
  <c r="AU14" i="18"/>
  <c r="AU25" i="18"/>
  <c r="AU7" i="18"/>
  <c r="AU76" i="18"/>
  <c r="AU63" i="18"/>
  <c r="AU71" i="18"/>
  <c r="AU26" i="18"/>
  <c r="AU31" i="18"/>
  <c r="AU68" i="18"/>
  <c r="AU37" i="18"/>
  <c r="AU21" i="18"/>
  <c r="AU39" i="18"/>
  <c r="AU36" i="18"/>
  <c r="AU77" i="18"/>
  <c r="AU34" i="18"/>
  <c r="AU41" i="18"/>
  <c r="AU62" i="18"/>
  <c r="AU29" i="18"/>
  <c r="AU15" i="18"/>
  <c r="AU50" i="18"/>
  <c r="AU60" i="18"/>
  <c r="AU56" i="18"/>
  <c r="AU32" i="18"/>
  <c r="AU42" i="18"/>
  <c r="AU58" i="18"/>
  <c r="AU57" i="18"/>
  <c r="AU59" i="18"/>
  <c r="AU44" i="18"/>
  <c r="AU78" i="18"/>
  <c r="AU30" i="18"/>
  <c r="AU11" i="18"/>
  <c r="AU38" i="18"/>
  <c r="AU75" i="18"/>
  <c r="AU22" i="18"/>
  <c r="AU49" i="18"/>
  <c r="AU51" i="18"/>
  <c r="AU65" i="18"/>
  <c r="AU52" i="18"/>
  <c r="AU19" i="18"/>
  <c r="AU54" i="18"/>
  <c r="AU8" i="18"/>
  <c r="AU66" i="18"/>
  <c r="AU46" i="18"/>
  <c r="AU24" i="18"/>
  <c r="AU55" i="18"/>
  <c r="BA36" i="27"/>
  <c r="AZ36" i="27"/>
  <c r="BA63" i="18"/>
  <c r="AZ63" i="18"/>
  <c r="AZ73" i="18"/>
  <c r="BA73" i="18"/>
  <c r="AX77" i="27"/>
  <c r="AY77" i="27"/>
  <c r="AY22" i="18"/>
  <c r="AX22" i="18"/>
  <c r="AF18" i="28"/>
  <c r="AY75" i="28"/>
  <c r="AX75" i="28"/>
  <c r="AP59" i="27"/>
  <c r="AA59" i="27"/>
  <c r="AI45" i="27"/>
  <c r="AI36" i="27"/>
  <c r="AI11" i="27"/>
  <c r="AI10" i="27"/>
  <c r="AI22" i="27"/>
  <c r="AI49" i="27"/>
  <c r="AI40" i="27"/>
  <c r="AI55" i="27"/>
  <c r="AI61" i="27"/>
  <c r="AY74" i="18"/>
  <c r="AX74" i="18"/>
  <c r="AX14" i="28"/>
  <c r="AN11" i="28"/>
  <c r="AO7" i="28" s="1"/>
  <c r="Z47" i="28"/>
  <c r="AR14" i="28"/>
  <c r="BA28" i="18"/>
  <c r="AZ28" i="18"/>
  <c r="BA40" i="18"/>
  <c r="AY24" i="27"/>
  <c r="AX24" i="27"/>
  <c r="AZ20" i="30"/>
  <c r="BA20" i="30"/>
  <c r="AG55" i="28"/>
  <c r="AG8" i="28"/>
  <c r="AG30" i="28"/>
  <c r="AG24" i="28"/>
  <c r="AG11" i="28"/>
  <c r="AG51" i="28"/>
  <c r="AG65" i="28"/>
  <c r="AG56" i="28"/>
  <c r="AG37" i="28"/>
  <c r="AG14" i="28"/>
  <c r="AG19" i="28"/>
  <c r="AG77" i="28"/>
  <c r="AG23" i="28"/>
  <c r="AG52" i="28"/>
  <c r="O9" i="28"/>
  <c r="O36" i="28"/>
  <c r="O21" i="28"/>
  <c r="O31" i="28"/>
  <c r="O34" i="28"/>
  <c r="O57" i="28"/>
  <c r="O24" i="28"/>
  <c r="O10" i="28"/>
  <c r="O22" i="28"/>
  <c r="O40" i="28"/>
  <c r="O52" i="28"/>
  <c r="O59" i="28"/>
  <c r="BA7" i="27"/>
  <c r="AP62" i="27"/>
  <c r="W33" i="27"/>
  <c r="AX20" i="27"/>
  <c r="AW10" i="30"/>
  <c r="AW44" i="30"/>
  <c r="AW24" i="30"/>
  <c r="AW25" i="30"/>
  <c r="AA61" i="28"/>
  <c r="AA11" i="28"/>
  <c r="AA19" i="28"/>
  <c r="C64" i="29"/>
  <c r="AG78" i="28"/>
  <c r="AG28" i="28"/>
  <c r="K19" i="28"/>
  <c r="K27" i="28"/>
  <c r="K36" i="28"/>
  <c r="K56" i="28"/>
  <c r="Q7" i="28"/>
  <c r="BA20" i="28"/>
  <c r="AG16" i="28"/>
  <c r="O50" i="28"/>
  <c r="AZ15" i="18"/>
  <c r="BA15" i="18"/>
  <c r="AZ75" i="27"/>
  <c r="BA75" i="27"/>
  <c r="AX62" i="29"/>
  <c r="AY62" i="29"/>
  <c r="AN17" i="27"/>
  <c r="AG17" i="27"/>
  <c r="AP36" i="27"/>
  <c r="AA36" i="27"/>
  <c r="AG6" i="28"/>
  <c r="AL54" i="28"/>
  <c r="Q53" i="28"/>
  <c r="Q63" i="28"/>
  <c r="Q72" i="28"/>
  <c r="Q75" i="28"/>
  <c r="Q61" i="28"/>
  <c r="Q16" i="28"/>
  <c r="Q65" i="28"/>
  <c r="Q19" i="28"/>
  <c r="Q51" i="28"/>
  <c r="Q32" i="28"/>
  <c r="Q6" i="28"/>
  <c r="Q36" i="28"/>
  <c r="Q29" i="28"/>
  <c r="Q26" i="28"/>
  <c r="Q40" i="28"/>
  <c r="Q58" i="28"/>
  <c r="Q22" i="28"/>
  <c r="Q10" i="28"/>
  <c r="Q25" i="28"/>
  <c r="Q49" i="28"/>
  <c r="AJ48" i="27"/>
  <c r="AW48" i="18"/>
  <c r="AV64" i="18"/>
  <c r="AZ10" i="18"/>
  <c r="BA10" i="18"/>
  <c r="AO9" i="27"/>
  <c r="AO23" i="27"/>
  <c r="AO34" i="27"/>
  <c r="AO22" i="27"/>
  <c r="AO73" i="27"/>
  <c r="AO68" i="27"/>
  <c r="AO14" i="27"/>
  <c r="AO43" i="27"/>
  <c r="AO20" i="27"/>
  <c r="AO27" i="27"/>
  <c r="AO21" i="27"/>
  <c r="AO25" i="27"/>
  <c r="AO38" i="27"/>
  <c r="AO53" i="27"/>
  <c r="AO10" i="27"/>
  <c r="AO11" i="27"/>
  <c r="AO31" i="27"/>
  <c r="AO42" i="27"/>
  <c r="AO36" i="27"/>
  <c r="AO44" i="27"/>
  <c r="AO46" i="27"/>
  <c r="AO75" i="27"/>
  <c r="AO57" i="27"/>
  <c r="AO50" i="27"/>
  <c r="AO16" i="27"/>
  <c r="AO15" i="27"/>
  <c r="AO41" i="27"/>
  <c r="AO6" i="27"/>
  <c r="AO77" i="27"/>
  <c r="AX7" i="27"/>
  <c r="AY7" i="27"/>
  <c r="X47" i="27"/>
  <c r="Q47" i="27"/>
  <c r="AR8" i="27"/>
  <c r="AO8" i="27"/>
  <c r="BA66" i="18"/>
  <c r="AZ66" i="18"/>
  <c r="AO26" i="27"/>
  <c r="AX60" i="27"/>
  <c r="AY60" i="27"/>
  <c r="AX38" i="27"/>
  <c r="O47" i="28"/>
  <c r="AG29" i="28"/>
  <c r="AX10" i="27"/>
  <c r="AY10" i="27"/>
  <c r="AG72" i="28"/>
  <c r="AO32" i="27"/>
  <c r="BA45" i="18"/>
  <c r="AZ45" i="18"/>
  <c r="AU23" i="18"/>
  <c r="V17" i="28"/>
  <c r="W17" i="28" s="1"/>
  <c r="O17" i="28"/>
  <c r="AZ19" i="27"/>
  <c r="BA19" i="27"/>
  <c r="BA52" i="27"/>
  <c r="AZ52" i="27"/>
  <c r="AR14" i="27"/>
  <c r="AC14" i="27"/>
  <c r="E47" i="27"/>
  <c r="D48" i="27"/>
  <c r="AU28" i="18"/>
  <c r="AW41" i="30"/>
  <c r="AW53" i="30"/>
  <c r="AW63" i="30"/>
  <c r="AA57" i="28"/>
  <c r="AA35" i="28"/>
  <c r="AA28" i="28"/>
  <c r="AA59" i="28"/>
  <c r="AG60" i="28"/>
  <c r="AG21" i="28"/>
  <c r="AG61" i="28"/>
  <c r="K77" i="28"/>
  <c r="K23" i="28"/>
  <c r="K74" i="28"/>
  <c r="Q15" i="28"/>
  <c r="Q76" i="28"/>
  <c r="Q42" i="28"/>
  <c r="Q71" i="28"/>
  <c r="AO30" i="27"/>
  <c r="AF18" i="27"/>
  <c r="BA46" i="27"/>
  <c r="AZ46" i="27"/>
  <c r="H48" i="27"/>
  <c r="I18" i="27"/>
  <c r="Z17" i="28"/>
  <c r="K30" i="28"/>
  <c r="K17" i="28"/>
  <c r="K59" i="28"/>
  <c r="K47" i="28"/>
  <c r="K39" i="28"/>
  <c r="K15" i="28"/>
  <c r="K42" i="28"/>
  <c r="K11" i="28"/>
  <c r="BA41" i="18"/>
  <c r="AZ41" i="18"/>
  <c r="AX46" i="27"/>
  <c r="AY46" i="27"/>
  <c r="AO29" i="27"/>
  <c r="W23" i="27"/>
  <c r="W21" i="27"/>
  <c r="W76" i="27"/>
  <c r="W29" i="27"/>
  <c r="W34" i="27"/>
  <c r="W57" i="27"/>
  <c r="W14" i="27"/>
  <c r="W31" i="27"/>
  <c r="W58" i="27"/>
  <c r="W78" i="27"/>
  <c r="W20" i="27"/>
  <c r="W74" i="27"/>
  <c r="W68" i="27"/>
  <c r="W11" i="27"/>
  <c r="W16" i="27"/>
  <c r="W7" i="27"/>
  <c r="W8" i="27"/>
  <c r="W72" i="27"/>
  <c r="W73" i="27"/>
  <c r="W63" i="27"/>
  <c r="W25" i="27"/>
  <c r="W9" i="27"/>
  <c r="W15" i="27"/>
  <c r="W32" i="27"/>
  <c r="W46" i="27"/>
  <c r="W44" i="27"/>
  <c r="W61" i="27"/>
  <c r="W55" i="27"/>
  <c r="W45" i="27"/>
  <c r="W51" i="27"/>
  <c r="W49" i="27"/>
  <c r="W27" i="27"/>
  <c r="W50" i="27"/>
  <c r="W26" i="27"/>
  <c r="W53" i="27"/>
  <c r="W75" i="27"/>
  <c r="W59" i="27"/>
  <c r="W37" i="27"/>
  <c r="W42" i="27"/>
  <c r="W24" i="27"/>
  <c r="W71" i="27"/>
  <c r="W36" i="27"/>
  <c r="W43" i="27"/>
  <c r="W77" i="27"/>
  <c r="W52" i="27"/>
  <c r="AF64" i="29"/>
  <c r="AG49" i="16"/>
  <c r="AG76" i="16"/>
  <c r="AG42" i="16"/>
  <c r="AF18" i="16"/>
  <c r="AK51" i="18"/>
  <c r="AK24" i="18"/>
  <c r="I51" i="18"/>
  <c r="W21" i="18"/>
  <c r="W20" i="18"/>
  <c r="W15" i="18"/>
  <c r="W68" i="18"/>
  <c r="U68" i="27"/>
  <c r="AP65" i="16"/>
  <c r="AX24" i="16"/>
  <c r="AY24" i="16"/>
  <c r="AP16" i="31"/>
  <c r="AW59" i="27"/>
  <c r="W55" i="18"/>
  <c r="W77" i="18"/>
  <c r="U10" i="27"/>
  <c r="W38" i="27"/>
  <c r="AU17" i="27"/>
  <c r="AY59" i="16"/>
  <c r="AX59" i="16"/>
  <c r="AM44" i="16"/>
  <c r="I17" i="16"/>
  <c r="H18" i="16"/>
  <c r="AW76" i="27"/>
  <c r="U20" i="27"/>
  <c r="U75" i="27"/>
  <c r="U34" i="27"/>
  <c r="AK40" i="18"/>
  <c r="M36" i="18"/>
  <c r="I36" i="18"/>
  <c r="AB17" i="18"/>
  <c r="M7" i="18"/>
  <c r="I60" i="18"/>
  <c r="M32" i="18"/>
  <c r="M60" i="18"/>
  <c r="W9" i="18"/>
  <c r="W66" i="18"/>
  <c r="W63" i="18"/>
  <c r="U76" i="27"/>
  <c r="AU37" i="27"/>
  <c r="W40" i="27"/>
  <c r="AY6" i="16"/>
  <c r="AX6" i="16"/>
  <c r="AG11" i="16"/>
  <c r="AG21" i="16"/>
  <c r="AG9" i="16"/>
  <c r="AG24" i="16"/>
  <c r="AW26" i="27"/>
  <c r="Q25" i="27"/>
  <c r="U45" i="27"/>
  <c r="U74" i="27"/>
  <c r="U33" i="27"/>
  <c r="AK74" i="18"/>
  <c r="M59" i="18"/>
  <c r="M71" i="18"/>
  <c r="M45" i="18"/>
  <c r="AA60" i="27"/>
  <c r="W74" i="18"/>
  <c r="W52" i="18"/>
  <c r="W8" i="18"/>
  <c r="U78" i="27"/>
  <c r="AU29" i="27"/>
  <c r="AE23" i="27"/>
  <c r="AE43" i="27"/>
  <c r="AE19" i="27"/>
  <c r="AE38" i="27"/>
  <c r="AE57" i="27"/>
  <c r="AE31" i="27"/>
  <c r="AW33" i="27"/>
  <c r="AW37" i="27"/>
  <c r="AY45" i="27"/>
  <c r="AW47" i="27"/>
  <c r="U32" i="27"/>
  <c r="AK31" i="18"/>
  <c r="I61" i="18"/>
  <c r="M33" i="18"/>
  <c r="W43" i="18"/>
  <c r="U15" i="27"/>
  <c r="Z47" i="18"/>
  <c r="AP29" i="27"/>
  <c r="W25" i="18"/>
  <c r="W58" i="18"/>
  <c r="BA55" i="18"/>
  <c r="AW57" i="27"/>
  <c r="AW27" i="27"/>
  <c r="AW29" i="27"/>
  <c r="I61" i="27"/>
  <c r="U51" i="27"/>
  <c r="U30" i="27"/>
  <c r="AZ19" i="18"/>
  <c r="AK73" i="18"/>
  <c r="M74" i="18"/>
  <c r="I11" i="18"/>
  <c r="M17" i="18"/>
  <c r="M34" i="18"/>
  <c r="AA10" i="27"/>
  <c r="AA21" i="27"/>
  <c r="W6" i="18"/>
  <c r="W60" i="18"/>
  <c r="U16" i="27"/>
  <c r="O57" i="18"/>
  <c r="O61" i="18"/>
  <c r="O29" i="18"/>
  <c r="O34" i="18"/>
  <c r="O41" i="18"/>
  <c r="O51" i="18"/>
  <c r="O36" i="18"/>
  <c r="O60" i="18"/>
  <c r="O9" i="18"/>
  <c r="O72" i="18"/>
  <c r="O7" i="18"/>
  <c r="O38" i="18"/>
  <c r="O65" i="18"/>
  <c r="O47" i="18"/>
  <c r="AX19" i="16"/>
  <c r="U72" i="16"/>
  <c r="U53" i="16"/>
  <c r="U36" i="16"/>
  <c r="U74" i="16"/>
  <c r="U73" i="16"/>
  <c r="U76" i="16"/>
  <c r="U68" i="16"/>
  <c r="U27" i="16"/>
  <c r="U9" i="16"/>
  <c r="U65" i="16"/>
  <c r="U78" i="16"/>
  <c r="U54" i="16"/>
  <c r="U29" i="16"/>
  <c r="U43" i="16"/>
  <c r="U22" i="16"/>
  <c r="U21" i="16"/>
  <c r="U45" i="16"/>
  <c r="U56" i="16"/>
  <c r="U16" i="16"/>
  <c r="U46" i="16"/>
  <c r="U61" i="16"/>
  <c r="AK58" i="18"/>
  <c r="AK22" i="18"/>
  <c r="H18" i="18"/>
  <c r="W40" i="18"/>
  <c r="W53" i="18"/>
  <c r="W60" i="27"/>
  <c r="U22" i="1"/>
  <c r="X22" i="1"/>
  <c r="Y22" i="1" s="1"/>
  <c r="AW53" i="27"/>
  <c r="AW62" i="27"/>
  <c r="W49" i="18"/>
  <c r="U7" i="27"/>
  <c r="AP42" i="27"/>
  <c r="W22" i="27"/>
  <c r="BA24" i="16"/>
  <c r="AZ24" i="16"/>
  <c r="W10" i="18"/>
  <c r="AU33" i="27"/>
  <c r="AU41" i="27"/>
  <c r="AU7" i="27"/>
  <c r="AU25" i="27"/>
  <c r="AU31" i="27"/>
  <c r="AI46" i="18"/>
  <c r="AI40" i="18"/>
  <c r="AI8" i="18"/>
  <c r="AI23" i="18"/>
  <c r="AI51" i="18"/>
  <c r="AI77" i="18"/>
  <c r="AY60" i="30"/>
  <c r="AX60" i="30"/>
  <c r="U42" i="27"/>
  <c r="U26" i="27"/>
  <c r="AK10" i="18"/>
  <c r="AK54" i="18"/>
  <c r="AK23" i="18"/>
  <c r="I77" i="18"/>
  <c r="W76" i="18"/>
  <c r="W39" i="27"/>
  <c r="O9" i="27"/>
  <c r="O33" i="27"/>
  <c r="O56" i="27"/>
  <c r="O43" i="27"/>
  <c r="O52" i="27"/>
  <c r="W72" i="18"/>
  <c r="W7" i="18"/>
  <c r="AA51" i="27"/>
  <c r="I68" i="27"/>
  <c r="U60" i="27"/>
  <c r="U40" i="27"/>
  <c r="U24" i="27"/>
  <c r="AK75" i="18"/>
  <c r="M14" i="18"/>
  <c r="W71" i="18"/>
  <c r="W65" i="18"/>
  <c r="W46" i="18"/>
  <c r="AU52" i="27"/>
  <c r="AU26" i="27"/>
  <c r="G19" i="27"/>
  <c r="F18" i="27"/>
  <c r="G63" i="27"/>
  <c r="G23" i="27"/>
  <c r="BA26" i="16"/>
  <c r="AZ26" i="16"/>
  <c r="AY43" i="27"/>
  <c r="U61" i="27"/>
  <c r="U39" i="27"/>
  <c r="U23" i="27"/>
  <c r="AK8" i="18"/>
  <c r="M11" i="18"/>
  <c r="M40" i="18"/>
  <c r="W23" i="18"/>
  <c r="W56" i="18"/>
  <c r="W31" i="18"/>
  <c r="U11" i="27"/>
  <c r="AU66" i="27"/>
  <c r="AU73" i="27"/>
  <c r="AZ55" i="16"/>
  <c r="AY13" i="16"/>
  <c r="AX13" i="16"/>
  <c r="AP81" i="29"/>
  <c r="AR81" i="29"/>
  <c r="I16" i="28"/>
  <c r="I60" i="28"/>
  <c r="G23" i="28"/>
  <c r="G65" i="28"/>
  <c r="AA17" i="29"/>
  <c r="AA37" i="29"/>
  <c r="AA50" i="29"/>
  <c r="AO7" i="16"/>
  <c r="AG54" i="16"/>
  <c r="AG72" i="16"/>
  <c r="AG15" i="16"/>
  <c r="AG28" i="16"/>
  <c r="U63" i="27"/>
  <c r="U58" i="27"/>
  <c r="U65" i="27"/>
  <c r="U38" i="27"/>
  <c r="U22" i="27"/>
  <c r="M31" i="18"/>
  <c r="M78" i="18"/>
  <c r="M50" i="18"/>
  <c r="W75" i="18"/>
  <c r="W19" i="18"/>
  <c r="W22" i="18"/>
  <c r="W78" i="18"/>
  <c r="U9" i="27"/>
  <c r="AU59" i="27"/>
  <c r="AU27" i="27"/>
  <c r="K8" i="18"/>
  <c r="K16" i="18"/>
  <c r="K36" i="18"/>
  <c r="K22" i="18"/>
  <c r="K45" i="18"/>
  <c r="K34" i="18"/>
  <c r="K11" i="18"/>
  <c r="K33" i="18"/>
  <c r="K71" i="18"/>
  <c r="K72" i="18"/>
  <c r="K21" i="18"/>
  <c r="K19" i="18"/>
  <c r="K58" i="18"/>
  <c r="K59" i="18"/>
  <c r="K44" i="18"/>
  <c r="K60" i="18"/>
  <c r="Q43" i="16"/>
  <c r="Q59" i="16"/>
  <c r="AZ21" i="29"/>
  <c r="BA21" i="29"/>
  <c r="Q77" i="16"/>
  <c r="Q25" i="16"/>
  <c r="AX63" i="29"/>
  <c r="AY63" i="29"/>
  <c r="G32" i="29"/>
  <c r="G33" i="29"/>
  <c r="G30" i="29"/>
  <c r="G27" i="29"/>
  <c r="G51" i="29"/>
  <c r="G47" i="29"/>
  <c r="AE49" i="18"/>
  <c r="AE21" i="18"/>
  <c r="AE27" i="18"/>
  <c r="K42" i="27"/>
  <c r="AK37" i="16"/>
  <c r="AK53" i="16"/>
  <c r="AK19" i="16"/>
  <c r="AK21" i="16"/>
  <c r="G52" i="16"/>
  <c r="AU25" i="16"/>
  <c r="AU45" i="16"/>
  <c r="AU60" i="16"/>
  <c r="AU26" i="16"/>
  <c r="M20" i="16"/>
  <c r="Q72" i="16"/>
  <c r="BA19" i="31"/>
  <c r="AZ19" i="31"/>
  <c r="Q63" i="16"/>
  <c r="M63" i="16"/>
  <c r="M53" i="16"/>
  <c r="M24" i="16"/>
  <c r="M10" i="16"/>
  <c r="AZ31" i="31"/>
  <c r="BA31" i="31"/>
  <c r="AY25" i="31"/>
  <c r="AX25" i="31"/>
  <c r="Q36" i="16"/>
  <c r="BA32" i="28"/>
  <c r="AV48" i="29"/>
  <c r="AW18" i="29"/>
  <c r="Q52" i="16"/>
  <c r="M14" i="16"/>
  <c r="AZ58" i="31"/>
  <c r="BA58" i="31"/>
  <c r="K37" i="27"/>
  <c r="AK8" i="16"/>
  <c r="AK49" i="16"/>
  <c r="AK15" i="16"/>
  <c r="AK57" i="16"/>
  <c r="AU58" i="16"/>
  <c r="AU34" i="16"/>
  <c r="AU41" i="16"/>
  <c r="M28" i="16"/>
  <c r="M44" i="16"/>
  <c r="BA72" i="31"/>
  <c r="AZ72" i="31"/>
  <c r="AX14" i="31"/>
  <c r="BA44" i="31"/>
  <c r="AX43" i="31"/>
  <c r="AY43" i="31"/>
  <c r="X11" i="16"/>
  <c r="Y62" i="16" s="1"/>
  <c r="BA61" i="31"/>
  <c r="AZ61" i="31"/>
  <c r="AN17" i="16"/>
  <c r="AE66" i="18"/>
  <c r="AE8" i="18"/>
  <c r="AE68" i="18"/>
  <c r="AK20" i="16"/>
  <c r="AK76" i="16"/>
  <c r="AK56" i="16"/>
  <c r="AK66" i="16"/>
  <c r="AU22" i="16"/>
  <c r="AU56" i="16"/>
  <c r="AU51" i="16"/>
  <c r="AU37" i="16"/>
  <c r="M39" i="16"/>
  <c r="M32" i="16"/>
  <c r="M58" i="16"/>
  <c r="BA16" i="31"/>
  <c r="AZ16" i="31"/>
  <c r="AY61" i="31"/>
  <c r="AB47" i="30"/>
  <c r="I47" i="30"/>
  <c r="M46" i="16"/>
  <c r="M73" i="16"/>
  <c r="AZ29" i="30"/>
  <c r="K8" i="27"/>
  <c r="K72" i="27"/>
  <c r="AE46" i="18"/>
  <c r="AE35" i="18"/>
  <c r="AE41" i="18"/>
  <c r="AK55" i="16"/>
  <c r="AK25" i="16"/>
  <c r="AK65" i="16"/>
  <c r="AK9" i="16"/>
  <c r="AU46" i="16"/>
  <c r="AU43" i="16"/>
  <c r="AU76" i="16"/>
  <c r="AU35" i="16"/>
  <c r="M57" i="16"/>
  <c r="M9" i="16"/>
  <c r="Q71" i="16"/>
  <c r="M21" i="16"/>
  <c r="M37" i="16"/>
  <c r="M71" i="16"/>
  <c r="AZ51" i="30"/>
  <c r="AX41" i="29"/>
  <c r="AY41" i="29"/>
  <c r="K45" i="27"/>
  <c r="AK43" i="16"/>
  <c r="AJ18" i="16"/>
  <c r="AK32" i="16"/>
  <c r="AU55" i="16"/>
  <c r="AU75" i="16"/>
  <c r="M36" i="16"/>
  <c r="M77" i="16"/>
  <c r="M66" i="16"/>
  <c r="AZ53" i="31"/>
  <c r="BA53" i="31"/>
  <c r="AR6" i="31"/>
  <c r="BA55" i="31"/>
  <c r="AZ55" i="31"/>
  <c r="BA42" i="31"/>
  <c r="AZ42" i="31"/>
  <c r="Z17" i="30"/>
  <c r="F18" i="30"/>
  <c r="AG26" i="31"/>
  <c r="AG43" i="31"/>
  <c r="AG71" i="31"/>
  <c r="AG25" i="31"/>
  <c r="BA76" i="1"/>
  <c r="AZ76" i="1"/>
  <c r="AX68" i="16"/>
  <c r="AY68" i="16"/>
  <c r="AX78" i="18"/>
  <c r="AY78" i="18"/>
  <c r="AG14" i="31"/>
  <c r="AG7" i="31"/>
  <c r="AG40" i="31"/>
  <c r="AG9" i="31"/>
  <c r="AG29" i="31"/>
  <c r="W9" i="30"/>
  <c r="BA78" i="17"/>
  <c r="AZ78" i="17"/>
  <c r="AG66" i="31"/>
  <c r="AG15" i="31"/>
  <c r="AG36" i="31"/>
  <c r="AG21" i="31"/>
  <c r="AM63" i="31"/>
  <c r="AV11" i="1"/>
  <c r="BA27" i="30"/>
  <c r="AZ27" i="30"/>
  <c r="AR76" i="17"/>
  <c r="AX68" i="1"/>
  <c r="AY68" i="1"/>
  <c r="BA68" i="1"/>
  <c r="AZ68" i="1"/>
  <c r="AG32" i="31"/>
  <c r="AG74" i="31"/>
  <c r="AG16" i="31"/>
  <c r="AN11" i="31"/>
  <c r="AO6" i="31" s="1"/>
  <c r="AG8" i="31"/>
  <c r="AX34" i="30"/>
  <c r="AY34" i="30"/>
  <c r="AG30" i="31"/>
  <c r="AG76" i="31"/>
  <c r="AF18" i="31"/>
  <c r="AG68" i="31"/>
  <c r="AG33" i="31"/>
  <c r="AZ38" i="31"/>
  <c r="W43" i="30"/>
  <c r="BA68" i="27"/>
  <c r="AZ68" i="27"/>
  <c r="AY71" i="31"/>
  <c r="AP26" i="31"/>
  <c r="AM66" i="31"/>
  <c r="AM65" i="31"/>
  <c r="AM60" i="31"/>
  <c r="AG56" i="31"/>
  <c r="AG63" i="31"/>
  <c r="AM24" i="31"/>
  <c r="BA25" i="31"/>
  <c r="AZ15" i="31"/>
  <c r="AX77" i="31"/>
  <c r="AI52" i="31"/>
  <c r="AZ63" i="29"/>
  <c r="E26" i="1"/>
  <c r="BA78" i="30"/>
  <c r="AZ78" i="30"/>
  <c r="W46" i="30"/>
  <c r="AM77" i="31"/>
  <c r="AM22" i="31"/>
  <c r="AM46" i="31"/>
  <c r="AG55" i="31"/>
  <c r="AG35" i="31"/>
  <c r="AG59" i="31"/>
  <c r="AG53" i="31"/>
  <c r="AX73" i="31"/>
  <c r="W41" i="30"/>
  <c r="W24" i="30"/>
  <c r="AP51" i="30"/>
  <c r="AX15" i="29"/>
  <c r="AY15" i="29"/>
  <c r="AZ78" i="1"/>
  <c r="BA78" i="1"/>
  <c r="AG57" i="31"/>
  <c r="AG6" i="31"/>
  <c r="AG60" i="31"/>
  <c r="AG78" i="31"/>
  <c r="AY73" i="31"/>
  <c r="AG7" i="30"/>
  <c r="AG43" i="30"/>
  <c r="AG41" i="30"/>
  <c r="AG24" i="30"/>
  <c r="AG39" i="30"/>
  <c r="AG8" i="30"/>
  <c r="BA33" i="29"/>
  <c r="AZ33" i="29"/>
  <c r="BA78" i="16"/>
  <c r="AZ78" i="16"/>
  <c r="AG41" i="31"/>
  <c r="AG52" i="31"/>
  <c r="AG73" i="31"/>
  <c r="AG65" i="31"/>
  <c r="AN62" i="30"/>
  <c r="AO62" i="30" s="1"/>
  <c r="AK62" i="30"/>
  <c r="W50" i="30"/>
  <c r="AR29" i="29"/>
  <c r="AP81" i="16"/>
  <c r="AR81" i="16"/>
  <c r="AG75" i="31"/>
  <c r="AG11" i="31"/>
  <c r="AG54" i="31"/>
  <c r="AG50" i="31"/>
  <c r="AP37" i="31"/>
  <c r="AB11" i="29"/>
  <c r="I78" i="29"/>
  <c r="I9" i="29"/>
  <c r="AX78" i="16"/>
  <c r="AY78" i="16"/>
  <c r="AY76" i="28"/>
  <c r="AX76" i="28"/>
  <c r="AG61" i="31"/>
  <c r="AG72" i="31"/>
  <c r="AG46" i="31"/>
  <c r="AG42" i="31"/>
  <c r="I28" i="29"/>
  <c r="AY46" i="31"/>
  <c r="BA57" i="31"/>
  <c r="AM55" i="31"/>
  <c r="AM76" i="31"/>
  <c r="AM74" i="31"/>
  <c r="AG22" i="31"/>
  <c r="AG45" i="31"/>
  <c r="AG37" i="31"/>
  <c r="AG31" i="31"/>
  <c r="AX27" i="31"/>
  <c r="AI62" i="31"/>
  <c r="AG71" i="30"/>
  <c r="AW49" i="29"/>
  <c r="AW14" i="29"/>
  <c r="AW31" i="29"/>
  <c r="AW45" i="29"/>
  <c r="AW8" i="29"/>
  <c r="AW76" i="29"/>
  <c r="AW43" i="29"/>
  <c r="AW35" i="29"/>
  <c r="AW17" i="29"/>
  <c r="AW57" i="29"/>
  <c r="AW41" i="29"/>
  <c r="AW37" i="29"/>
  <c r="AW66" i="29"/>
  <c r="AW40" i="29"/>
  <c r="AW33" i="29"/>
  <c r="AW11" i="29"/>
  <c r="AW55" i="29"/>
  <c r="AW36" i="29"/>
  <c r="AW61" i="29"/>
  <c r="AW25" i="29"/>
  <c r="AW34" i="29"/>
  <c r="AW21" i="29"/>
  <c r="AW47" i="29"/>
  <c r="AW26" i="29"/>
  <c r="AW54" i="29"/>
  <c r="AW68" i="29"/>
  <c r="AW10" i="29"/>
  <c r="AW30" i="29"/>
  <c r="AW58" i="29"/>
  <c r="AW53" i="29"/>
  <c r="AW74" i="29"/>
  <c r="AM35" i="31"/>
  <c r="AM56" i="31"/>
  <c r="AM21" i="31"/>
  <c r="AG58" i="31"/>
  <c r="AG77" i="31"/>
  <c r="AG49" i="31"/>
  <c r="AG27" i="31"/>
  <c r="AL54" i="31"/>
  <c r="AM54" i="31" s="1"/>
  <c r="AY27" i="30"/>
  <c r="AX27" i="30"/>
  <c r="AP54" i="29"/>
  <c r="AR56" i="29"/>
  <c r="AR78" i="18"/>
  <c r="AG20" i="31"/>
  <c r="AG51" i="31"/>
  <c r="AG28" i="31"/>
  <c r="BA78" i="28"/>
  <c r="AZ78" i="28"/>
  <c r="W17" i="16"/>
  <c r="AB70" i="30"/>
  <c r="AR70" i="30" s="1"/>
  <c r="AZ70" i="30" s="1"/>
  <c r="X70" i="30"/>
  <c r="I25" i="29"/>
  <c r="I31" i="29"/>
  <c r="I63" i="29"/>
  <c r="I68" i="29"/>
  <c r="I21" i="29"/>
  <c r="I62" i="29"/>
  <c r="I53" i="29"/>
  <c r="I54" i="29"/>
  <c r="I73" i="29"/>
  <c r="I57" i="29"/>
  <c r="I51" i="29"/>
  <c r="I49" i="29"/>
  <c r="I6" i="29"/>
  <c r="I60" i="29"/>
  <c r="I33" i="29"/>
  <c r="I45" i="29"/>
  <c r="I58" i="29"/>
  <c r="I43" i="29"/>
  <c r="I55" i="29"/>
  <c r="I41" i="29"/>
  <c r="I61" i="29"/>
  <c r="I7" i="29"/>
  <c r="I37" i="29"/>
  <c r="I15" i="29"/>
  <c r="I56" i="29"/>
  <c r="I17" i="29"/>
  <c r="I71" i="29"/>
  <c r="I42" i="29"/>
  <c r="H18" i="29"/>
  <c r="I38" i="29"/>
  <c r="I29" i="29"/>
  <c r="I24" i="29"/>
  <c r="I66" i="29"/>
  <c r="I77" i="29"/>
  <c r="I20" i="29"/>
  <c r="I14" i="29"/>
  <c r="I74" i="29"/>
  <c r="AO22" i="30"/>
  <c r="W6" i="27"/>
  <c r="X40" i="1"/>
  <c r="Y40" i="1" s="1"/>
  <c r="S25" i="18"/>
  <c r="AP13" i="28"/>
  <c r="AX13" i="28" s="1"/>
  <c r="U14" i="29"/>
  <c r="U23" i="29"/>
  <c r="U26" i="29"/>
  <c r="U51" i="29"/>
  <c r="G43" i="30"/>
  <c r="G39" i="30"/>
  <c r="AP31" i="16"/>
  <c r="S26" i="18"/>
  <c r="S42" i="18"/>
  <c r="U35" i="29"/>
  <c r="U19" i="29"/>
  <c r="U11" i="29"/>
  <c r="U66" i="29"/>
  <c r="AI50" i="29"/>
  <c r="AE22" i="29"/>
  <c r="AE63" i="29"/>
  <c r="AI59" i="29"/>
  <c r="U68" i="29"/>
  <c r="E75" i="27"/>
  <c r="AR76" i="27"/>
  <c r="AN83" i="27"/>
  <c r="AR83" i="27" s="1"/>
  <c r="AB83" i="28"/>
  <c r="AR70" i="29"/>
  <c r="AZ70" i="29" s="1"/>
  <c r="S44" i="18"/>
  <c r="S50" i="28"/>
  <c r="C38" i="1"/>
  <c r="C53" i="1"/>
  <c r="S8" i="30"/>
  <c r="S7" i="30"/>
  <c r="S10" i="30"/>
  <c r="S6" i="30"/>
  <c r="S9" i="30"/>
  <c r="AK16" i="31"/>
  <c r="U46" i="29"/>
  <c r="U37" i="29"/>
  <c r="U39" i="29"/>
  <c r="AI25" i="29"/>
  <c r="AI8" i="29"/>
  <c r="AI44" i="29"/>
  <c r="AX35" i="29"/>
  <c r="AE46" i="29"/>
  <c r="AI17" i="29"/>
  <c r="AY61" i="29"/>
  <c r="S15" i="1"/>
  <c r="R18" i="27"/>
  <c r="S8" i="27"/>
  <c r="S7" i="27"/>
  <c r="X81" i="27"/>
  <c r="S42" i="28"/>
  <c r="S8" i="28"/>
  <c r="S49" i="28"/>
  <c r="S27" i="28"/>
  <c r="S7" i="28"/>
  <c r="S56" i="28"/>
  <c r="S21" i="28"/>
  <c r="S55" i="28"/>
  <c r="S39" i="28"/>
  <c r="S31" i="28"/>
  <c r="S52" i="28"/>
  <c r="S44" i="28"/>
  <c r="S25" i="28"/>
  <c r="S20" i="28"/>
  <c r="S43" i="28"/>
  <c r="S19" i="28"/>
  <c r="S29" i="28"/>
  <c r="AR27" i="28"/>
  <c r="AP6" i="29"/>
  <c r="AP77" i="16"/>
  <c r="S51" i="28"/>
  <c r="U75" i="29"/>
  <c r="U43" i="29"/>
  <c r="U44" i="29"/>
  <c r="AX76" i="30"/>
  <c r="U47" i="29"/>
  <c r="S25" i="1"/>
  <c r="U57" i="1"/>
  <c r="AR43" i="17"/>
  <c r="S57" i="28"/>
  <c r="U78" i="29"/>
  <c r="U49" i="29"/>
  <c r="U50" i="29"/>
  <c r="M74" i="29"/>
  <c r="M65" i="29"/>
  <c r="AI54" i="29"/>
  <c r="AX76" i="16"/>
  <c r="U77" i="1"/>
  <c r="C17" i="1"/>
  <c r="S6" i="1"/>
  <c r="S71" i="17"/>
  <c r="S8" i="17"/>
  <c r="S6" i="27"/>
  <c r="S22" i="28"/>
  <c r="AR75" i="28"/>
  <c r="U72" i="29"/>
  <c r="U53" i="29"/>
  <c r="U65" i="29"/>
  <c r="AI24" i="30"/>
  <c r="AI39" i="29"/>
  <c r="AI56" i="29"/>
  <c r="AI72" i="29"/>
  <c r="AI16" i="29"/>
  <c r="W59" i="29"/>
  <c r="Q38" i="29"/>
  <c r="BA78" i="29"/>
  <c r="AG77" i="29"/>
  <c r="S6" i="28"/>
  <c r="AN83" i="30"/>
  <c r="AR83" i="30" s="1"/>
  <c r="C29" i="1"/>
  <c r="S32" i="17"/>
  <c r="S23" i="28"/>
  <c r="S59" i="28"/>
  <c r="U62" i="29"/>
  <c r="U73" i="29"/>
  <c r="U77" i="29"/>
  <c r="U76" i="29"/>
  <c r="M55" i="29"/>
  <c r="M54" i="29"/>
  <c r="U11" i="1"/>
  <c r="U59" i="1"/>
  <c r="C28" i="1"/>
  <c r="AR25" i="30"/>
  <c r="S31" i="18"/>
  <c r="S60" i="28"/>
  <c r="T18" i="29"/>
  <c r="U71" i="29"/>
  <c r="U74" i="29"/>
  <c r="U56" i="29"/>
  <c r="M22" i="29"/>
  <c r="U76" i="1"/>
  <c r="U8" i="1"/>
  <c r="S35" i="17"/>
  <c r="S32" i="18"/>
  <c r="AP8" i="27"/>
  <c r="U9" i="29"/>
  <c r="U59" i="29"/>
  <c r="U55" i="29"/>
  <c r="U24" i="29"/>
  <c r="AI10" i="29"/>
  <c r="Q39" i="29"/>
  <c r="M21" i="29"/>
  <c r="AE37" i="29"/>
  <c r="AX68" i="17"/>
  <c r="S60" i="18"/>
  <c r="S28" i="28"/>
  <c r="AP50" i="28"/>
  <c r="M38" i="29"/>
  <c r="M66" i="29"/>
  <c r="S57" i="18"/>
  <c r="S41" i="18"/>
  <c r="S40" i="18"/>
  <c r="S30" i="18"/>
  <c r="S43" i="18"/>
  <c r="S8" i="18"/>
  <c r="S38" i="18"/>
  <c r="S51" i="18"/>
  <c r="R18" i="18"/>
  <c r="S58" i="18"/>
  <c r="S46" i="18"/>
  <c r="S17" i="18"/>
  <c r="S30" i="1"/>
  <c r="AO57" i="30"/>
  <c r="S36" i="18"/>
  <c r="U8" i="29"/>
  <c r="U30" i="29"/>
  <c r="U61" i="29"/>
  <c r="U21" i="29"/>
  <c r="AI63" i="29"/>
  <c r="AI20" i="29"/>
  <c r="AI71" i="29"/>
  <c r="AI37" i="29"/>
  <c r="W78" i="29"/>
  <c r="M28" i="29"/>
  <c r="AG33" i="29"/>
  <c r="AE29" i="29"/>
  <c r="AZ68" i="16"/>
  <c r="C77" i="1"/>
  <c r="R18" i="1"/>
  <c r="S16" i="1"/>
  <c r="D11" i="1"/>
  <c r="S11" i="18"/>
  <c r="AO71" i="30"/>
  <c r="M39" i="29"/>
  <c r="BA68" i="17"/>
  <c r="AY78" i="1"/>
  <c r="AY76" i="1"/>
  <c r="C11" i="1"/>
  <c r="S6" i="18"/>
  <c r="AP21" i="28"/>
  <c r="S30" i="28"/>
  <c r="U42" i="29"/>
  <c r="U20" i="29"/>
  <c r="U58" i="29"/>
  <c r="U40" i="29"/>
  <c r="AI11" i="30"/>
  <c r="AH18" i="29"/>
  <c r="AL18" i="29" s="1"/>
  <c r="AI11" i="29"/>
  <c r="AI6" i="29"/>
  <c r="W42" i="29"/>
  <c r="M44" i="29"/>
  <c r="W19" i="29"/>
  <c r="AI73" i="29"/>
  <c r="C24" i="1"/>
  <c r="C23" i="1"/>
  <c r="C22" i="1"/>
  <c r="C78" i="1"/>
  <c r="C45" i="1"/>
  <c r="C10" i="1"/>
  <c r="C15" i="1"/>
  <c r="U7" i="1"/>
  <c r="S20" i="1"/>
  <c r="S9" i="27"/>
  <c r="S9" i="28"/>
  <c r="X11" i="29"/>
  <c r="Y54" i="29" s="1"/>
  <c r="U15" i="29"/>
  <c r="U31" i="29"/>
  <c r="G68" i="30"/>
  <c r="G74" i="30"/>
  <c r="AI68" i="29"/>
  <c r="AI9" i="29"/>
  <c r="AI76" i="29"/>
  <c r="W63" i="29"/>
  <c r="B18" i="1"/>
  <c r="U30" i="1"/>
  <c r="S33" i="1"/>
  <c r="X23" i="1"/>
  <c r="Y23" i="1" s="1"/>
  <c r="S35" i="28"/>
  <c r="S36" i="28"/>
  <c r="AD17" i="31"/>
  <c r="Z26" i="28"/>
  <c r="S29" i="31"/>
  <c r="Z28" i="18"/>
  <c r="S9" i="31"/>
  <c r="S16" i="31"/>
  <c r="S61" i="16"/>
  <c r="R54" i="31"/>
  <c r="S49" i="31"/>
  <c r="S36" i="16"/>
  <c r="S72" i="16"/>
  <c r="Z33" i="31"/>
  <c r="S65" i="16"/>
  <c r="S63" i="31"/>
  <c r="R18" i="31"/>
  <c r="V18" i="31" s="1"/>
  <c r="AF62" i="31"/>
  <c r="S27" i="31"/>
  <c r="S60" i="16"/>
  <c r="W11" i="31" l="1"/>
  <c r="W18" i="31"/>
  <c r="W75" i="31"/>
  <c r="W10" i="31"/>
  <c r="W33" i="31"/>
  <c r="W61" i="31"/>
  <c r="W7" i="31"/>
  <c r="W77" i="31"/>
  <c r="W74" i="31"/>
  <c r="W53" i="31"/>
  <c r="W37" i="31"/>
  <c r="W16" i="31"/>
  <c r="W56" i="31"/>
  <c r="W29" i="31"/>
  <c r="W76" i="31"/>
  <c r="AR70" i="31"/>
  <c r="AZ70" i="31" s="1"/>
  <c r="W55" i="31"/>
  <c r="W51" i="31"/>
  <c r="AX72" i="31"/>
  <c r="AY72" i="31"/>
  <c r="BA7" i="31"/>
  <c r="AZ7" i="31"/>
  <c r="W35" i="31"/>
  <c r="W31" i="31"/>
  <c r="W68" i="31"/>
  <c r="BA24" i="31"/>
  <c r="BA51" i="31"/>
  <c r="W6" i="31"/>
  <c r="W8" i="31"/>
  <c r="W38" i="31"/>
  <c r="W52" i="31"/>
  <c r="W14" i="31"/>
  <c r="BA10" i="31"/>
  <c r="AZ10" i="31"/>
  <c r="AZ45" i="30"/>
  <c r="BA45" i="30"/>
  <c r="AO59" i="30"/>
  <c r="AZ58" i="30"/>
  <c r="BA58" i="30"/>
  <c r="AX58" i="30"/>
  <c r="BA33" i="30"/>
  <c r="AX44" i="30"/>
  <c r="AY44" i="30"/>
  <c r="BA66" i="30"/>
  <c r="AZ66" i="30"/>
  <c r="BA43" i="30"/>
  <c r="AZ43" i="30"/>
  <c r="AZ38" i="30"/>
  <c r="BA62" i="29"/>
  <c r="AZ62" i="29"/>
  <c r="AZ39" i="29"/>
  <c r="BA39" i="29"/>
  <c r="AY74" i="29"/>
  <c r="AX74" i="29"/>
  <c r="AY39" i="29"/>
  <c r="AX39" i="29"/>
  <c r="AY81" i="30"/>
  <c r="AZ55" i="29"/>
  <c r="BA55" i="29"/>
  <c r="AZ31" i="29"/>
  <c r="BA31" i="29"/>
  <c r="O18" i="29"/>
  <c r="N48" i="29"/>
  <c r="AZ15" i="29"/>
  <c r="AZ46" i="29"/>
  <c r="BA46" i="29"/>
  <c r="Z18" i="29"/>
  <c r="AA18" i="29" s="1"/>
  <c r="W26" i="29"/>
  <c r="BA74" i="29"/>
  <c r="AZ74" i="29"/>
  <c r="K18" i="29"/>
  <c r="J48" i="29"/>
  <c r="AY21" i="29"/>
  <c r="AZ73" i="29"/>
  <c r="BA73" i="29"/>
  <c r="P82" i="29"/>
  <c r="BA23" i="28"/>
  <c r="AZ23" i="28"/>
  <c r="AX82" i="27"/>
  <c r="AY82" i="27"/>
  <c r="AA63" i="27"/>
  <c r="AC54" i="27"/>
  <c r="AO47" i="27"/>
  <c r="AM65" i="27"/>
  <c r="AZ23" i="27"/>
  <c r="AZ45" i="27"/>
  <c r="AZ34" i="27"/>
  <c r="AZ26" i="1"/>
  <c r="BA26" i="1"/>
  <c r="G48" i="17"/>
  <c r="F64" i="17"/>
  <c r="AX43" i="17"/>
  <c r="AD48" i="17"/>
  <c r="M66" i="1"/>
  <c r="M8" i="1"/>
  <c r="AX25" i="17"/>
  <c r="M21" i="1"/>
  <c r="M51" i="1"/>
  <c r="M18" i="1"/>
  <c r="M32" i="1"/>
  <c r="AA27" i="16"/>
  <c r="M47" i="1"/>
  <c r="M38" i="1"/>
  <c r="AZ47" i="1"/>
  <c r="AQ55" i="1"/>
  <c r="AQ53" i="1"/>
  <c r="AY45" i="17"/>
  <c r="AZ37" i="17"/>
  <c r="BA37" i="17"/>
  <c r="M15" i="1"/>
  <c r="AZ20" i="18"/>
  <c r="AY49" i="18"/>
  <c r="M6" i="1"/>
  <c r="M65" i="1"/>
  <c r="AP44" i="18"/>
  <c r="BA20" i="18"/>
  <c r="M9" i="1"/>
  <c r="M14" i="1"/>
  <c r="AZ66" i="17"/>
  <c r="BA66" i="17"/>
  <c r="AP42" i="18"/>
  <c r="BA9" i="16"/>
  <c r="M73" i="1"/>
  <c r="M20" i="1"/>
  <c r="X70" i="1"/>
  <c r="AY74" i="16"/>
  <c r="M28" i="1"/>
  <c r="M61" i="1"/>
  <c r="M39" i="1"/>
  <c r="AB11" i="1"/>
  <c r="AC39" i="1" s="1"/>
  <c r="M63" i="1"/>
  <c r="M49" i="1"/>
  <c r="Y14" i="17"/>
  <c r="AZ33" i="16"/>
  <c r="BA33" i="16"/>
  <c r="M50" i="1"/>
  <c r="M54" i="1"/>
  <c r="M16" i="1"/>
  <c r="M17" i="1"/>
  <c r="M76" i="1"/>
  <c r="M44" i="1"/>
  <c r="M35" i="1"/>
  <c r="M57" i="1"/>
  <c r="M71" i="1"/>
  <c r="AZ30" i="18"/>
  <c r="AY32" i="18"/>
  <c r="M25" i="1"/>
  <c r="AL18" i="17"/>
  <c r="AM18" i="17" s="1"/>
  <c r="M77" i="1"/>
  <c r="M74" i="1"/>
  <c r="M22" i="1"/>
  <c r="M27" i="1"/>
  <c r="G47" i="18"/>
  <c r="AP33" i="18"/>
  <c r="AX33" i="18" s="1"/>
  <c r="AZ40" i="18"/>
  <c r="AZ61" i="18"/>
  <c r="AS36" i="18"/>
  <c r="AO62" i="18"/>
  <c r="AX60" i="18"/>
  <c r="AS61" i="18"/>
  <c r="AY21" i="18"/>
  <c r="AZ29" i="18"/>
  <c r="BA29" i="18"/>
  <c r="AZ25" i="18"/>
  <c r="BA25" i="18"/>
  <c r="AZ36" i="18"/>
  <c r="BA36" i="18"/>
  <c r="AP45" i="18"/>
  <c r="AY45" i="18" s="1"/>
  <c r="AY71" i="18"/>
  <c r="AX71" i="18"/>
  <c r="AY33" i="18"/>
  <c r="AX8" i="18"/>
  <c r="AY8" i="18"/>
  <c r="AZ56" i="18"/>
  <c r="BA58" i="18"/>
  <c r="AZ58" i="18"/>
  <c r="BA75" i="18"/>
  <c r="L48" i="18"/>
  <c r="M48" i="18" s="1"/>
  <c r="AZ75" i="18"/>
  <c r="AM65" i="18"/>
  <c r="AM19" i="18"/>
  <c r="AS56" i="18"/>
  <c r="AZ24" i="17"/>
  <c r="BA24" i="17"/>
  <c r="T48" i="17"/>
  <c r="BA71" i="17"/>
  <c r="AX55" i="17"/>
  <c r="AX35" i="17"/>
  <c r="AX34" i="17"/>
  <c r="AY29" i="17"/>
  <c r="J48" i="17"/>
  <c r="AM27" i="17"/>
  <c r="BA75" i="16"/>
  <c r="AZ75" i="16"/>
  <c r="AZ37" i="16"/>
  <c r="BA37" i="16"/>
  <c r="AE48" i="16"/>
  <c r="AD64" i="16"/>
  <c r="AX43" i="16"/>
  <c r="W45" i="16"/>
  <c r="AX62" i="16"/>
  <c r="AY62" i="16"/>
  <c r="M18" i="16"/>
  <c r="L48" i="16"/>
  <c r="AM62" i="16"/>
  <c r="W26" i="16"/>
  <c r="AM40" i="16"/>
  <c r="AM57" i="16"/>
  <c r="J48" i="16"/>
  <c r="K18" i="16"/>
  <c r="AZ60" i="16"/>
  <c r="BA50" i="16"/>
  <c r="AZ50" i="16"/>
  <c r="BA59" i="16"/>
  <c r="AZ59" i="16"/>
  <c r="AM33" i="16"/>
  <c r="AY32" i="16"/>
  <c r="AM25" i="16"/>
  <c r="AC54" i="16"/>
  <c r="AY71" i="16"/>
  <c r="AM41" i="16"/>
  <c r="AA43" i="16"/>
  <c r="AM32" i="16"/>
  <c r="AX53" i="1"/>
  <c r="AF82" i="18"/>
  <c r="AN82" i="17"/>
  <c r="BA82" i="16"/>
  <c r="AZ82" i="16"/>
  <c r="AB82" i="17"/>
  <c r="H82" i="18"/>
  <c r="BA82" i="1"/>
  <c r="AZ82" i="1"/>
  <c r="BA81" i="1"/>
  <c r="AZ81" i="1"/>
  <c r="BA81" i="31"/>
  <c r="BA81" i="30"/>
  <c r="AZ81" i="30"/>
  <c r="BA6" i="1"/>
  <c r="AZ6" i="1"/>
  <c r="AZ7" i="1"/>
  <c r="BA7" i="1"/>
  <c r="AC11" i="1"/>
  <c r="AX55" i="1"/>
  <c r="AY11" i="1"/>
  <c r="AY55" i="1"/>
  <c r="I19" i="1"/>
  <c r="I36" i="1"/>
  <c r="I27" i="1"/>
  <c r="I50" i="1"/>
  <c r="I57" i="1"/>
  <c r="I25" i="1"/>
  <c r="I55" i="1"/>
  <c r="I58" i="1"/>
  <c r="I28" i="1"/>
  <c r="I73" i="1"/>
  <c r="I49" i="1"/>
  <c r="I20" i="1"/>
  <c r="I33" i="1"/>
  <c r="I23" i="1"/>
  <c r="AM17" i="1"/>
  <c r="I42" i="1"/>
  <c r="I41" i="1"/>
  <c r="AC49" i="1"/>
  <c r="I34" i="1"/>
  <c r="AQ47" i="1"/>
  <c r="AY35" i="1"/>
  <c r="AX35" i="1"/>
  <c r="I17" i="1"/>
  <c r="I39" i="1"/>
  <c r="AC53" i="1"/>
  <c r="AX42" i="1"/>
  <c r="I30" i="1"/>
  <c r="I40" i="1"/>
  <c r="AC31" i="1"/>
  <c r="BA65" i="1"/>
  <c r="I18" i="1"/>
  <c r="I8" i="1"/>
  <c r="I47" i="1"/>
  <c r="I52" i="1"/>
  <c r="I16" i="1"/>
  <c r="I31" i="1"/>
  <c r="I56" i="1"/>
  <c r="I66" i="1"/>
  <c r="I77" i="1"/>
  <c r="I22" i="1"/>
  <c r="BA41" i="16"/>
  <c r="AZ41" i="16"/>
  <c r="AY29" i="28"/>
  <c r="AX29" i="28"/>
  <c r="AY52" i="16"/>
  <c r="AX52" i="16"/>
  <c r="AZ33" i="17"/>
  <c r="BA33" i="17"/>
  <c r="AZ53" i="16"/>
  <c r="BA53" i="16"/>
  <c r="AY14" i="18"/>
  <c r="AX14" i="18"/>
  <c r="AZ38" i="16"/>
  <c r="BA38" i="16"/>
  <c r="AZ25" i="16"/>
  <c r="BA25" i="16"/>
  <c r="AZ62" i="18"/>
  <c r="BA62" i="18"/>
  <c r="AS62" i="18"/>
  <c r="AX27" i="17"/>
  <c r="AY27" i="17"/>
  <c r="AX29" i="16"/>
  <c r="AY29" i="16"/>
  <c r="AY6" i="28"/>
  <c r="AX6" i="28"/>
  <c r="BA45" i="16"/>
  <c r="AZ45" i="16"/>
  <c r="AX22" i="27"/>
  <c r="AY22" i="27"/>
  <c r="AX20" i="17"/>
  <c r="AY20" i="17"/>
  <c r="AX33" i="17"/>
  <c r="AY33" i="17"/>
  <c r="AZ77" i="16"/>
  <c r="BA77" i="16"/>
  <c r="AY51" i="28"/>
  <c r="AX51" i="28"/>
  <c r="AY65" i="27"/>
  <c r="AX65" i="27"/>
  <c r="AY25" i="16"/>
  <c r="AX25" i="16"/>
  <c r="AY53" i="16"/>
  <c r="AX53" i="16"/>
  <c r="AZ50" i="28"/>
  <c r="BA50" i="28"/>
  <c r="AX17" i="17"/>
  <c r="W62" i="31"/>
  <c r="AX34" i="29"/>
  <c r="AY34" i="29"/>
  <c r="AZ40" i="29"/>
  <c r="BA40" i="29"/>
  <c r="AY75" i="18"/>
  <c r="AX75" i="18"/>
  <c r="AC54" i="17"/>
  <c r="AG14" i="1"/>
  <c r="W28" i="31"/>
  <c r="AZ34" i="17"/>
  <c r="BA34" i="17"/>
  <c r="BA46" i="17"/>
  <c r="AZ46" i="17"/>
  <c r="AR57" i="16"/>
  <c r="AC57" i="16"/>
  <c r="AZ14" i="29"/>
  <c r="BA14" i="29"/>
  <c r="AP46" i="18"/>
  <c r="AM46" i="18"/>
  <c r="AZ41" i="17"/>
  <c r="BA41" i="17"/>
  <c r="BA12" i="16"/>
  <c r="AZ12" i="16"/>
  <c r="BA45" i="28"/>
  <c r="AZ45" i="28"/>
  <c r="AZ52" i="29"/>
  <c r="BA52" i="29"/>
  <c r="BA32" i="17"/>
  <c r="AZ32" i="17"/>
  <c r="AX51" i="31"/>
  <c r="AY51" i="31"/>
  <c r="AZ60" i="28"/>
  <c r="BA60" i="28"/>
  <c r="AY31" i="30"/>
  <c r="AX31" i="30"/>
  <c r="AX10" i="18"/>
  <c r="AY10" i="18"/>
  <c r="AY37" i="16"/>
  <c r="AX37" i="16"/>
  <c r="BA37" i="27"/>
  <c r="AZ37" i="27"/>
  <c r="AY81" i="17"/>
  <c r="AX81" i="17"/>
  <c r="AX15" i="1"/>
  <c r="AY15" i="1"/>
  <c r="AY71" i="1"/>
  <c r="AX71" i="1"/>
  <c r="Y54" i="17"/>
  <c r="AY33" i="29"/>
  <c r="AX33" i="29"/>
  <c r="AZ83" i="29"/>
  <c r="BA83" i="29"/>
  <c r="R64" i="29"/>
  <c r="S48" i="29"/>
  <c r="F64" i="29"/>
  <c r="G48" i="29"/>
  <c r="AY44" i="1"/>
  <c r="AX44" i="1"/>
  <c r="AC9" i="17"/>
  <c r="AM43" i="17"/>
  <c r="AM41" i="17"/>
  <c r="AM53" i="17"/>
  <c r="AM37" i="17"/>
  <c r="AP11" i="17"/>
  <c r="AQ28" i="17" s="1"/>
  <c r="AQ62" i="29"/>
  <c r="AP36" i="18"/>
  <c r="AM71" i="31"/>
  <c r="W19" i="31"/>
  <c r="AR46" i="16"/>
  <c r="AC46" i="16"/>
  <c r="AR22" i="16"/>
  <c r="AC22" i="16"/>
  <c r="AY35" i="16"/>
  <c r="AX35" i="16"/>
  <c r="AZ65" i="18"/>
  <c r="BA65" i="18"/>
  <c r="AX72" i="28"/>
  <c r="AY72" i="28"/>
  <c r="AX66" i="1"/>
  <c r="AY66" i="1"/>
  <c r="AN47" i="31"/>
  <c r="Y47" i="27"/>
  <c r="AZ38" i="18"/>
  <c r="AM63" i="17"/>
  <c r="AM59" i="17"/>
  <c r="W44" i="31"/>
  <c r="AB54" i="17"/>
  <c r="AP38" i="18"/>
  <c r="AY58" i="29"/>
  <c r="AX58" i="29"/>
  <c r="AX55" i="16"/>
  <c r="AY55" i="16"/>
  <c r="E48" i="16"/>
  <c r="D64" i="16"/>
  <c r="N48" i="31"/>
  <c r="AX56" i="30"/>
  <c r="BA37" i="18"/>
  <c r="AZ83" i="31"/>
  <c r="AM58" i="17"/>
  <c r="AA49" i="17"/>
  <c r="AW47" i="17"/>
  <c r="W71" i="31"/>
  <c r="AZ28" i="28"/>
  <c r="BA28" i="28"/>
  <c r="U17" i="29"/>
  <c r="X17" i="29"/>
  <c r="AB17" i="29"/>
  <c r="AR17" i="29" s="1"/>
  <c r="E48" i="29"/>
  <c r="D64" i="29"/>
  <c r="BA74" i="27"/>
  <c r="AZ74" i="27"/>
  <c r="AM28" i="18"/>
  <c r="AM11" i="18"/>
  <c r="AM22" i="18"/>
  <c r="AM53" i="18"/>
  <c r="AM76" i="18"/>
  <c r="AM35" i="18"/>
  <c r="AM77" i="18"/>
  <c r="AM72" i="18"/>
  <c r="AM78" i="18"/>
  <c r="AM39" i="18"/>
  <c r="AM30" i="18"/>
  <c r="AM73" i="18"/>
  <c r="AM60" i="18"/>
  <c r="AM37" i="18"/>
  <c r="AM50" i="18"/>
  <c r="AM40" i="18"/>
  <c r="AM66" i="18"/>
  <c r="AM56" i="18"/>
  <c r="AM49" i="18"/>
  <c r="AM15" i="18"/>
  <c r="AM27" i="18"/>
  <c r="AM6" i="18"/>
  <c r="AM8" i="18"/>
  <c r="AM29" i="18"/>
  <c r="AM54" i="18"/>
  <c r="AM32" i="18"/>
  <c r="AV64" i="16"/>
  <c r="AZ37" i="18"/>
  <c r="AC51" i="17"/>
  <c r="AK62" i="17"/>
  <c r="AM22" i="17"/>
  <c r="W32" i="31"/>
  <c r="W22" i="31"/>
  <c r="AM62" i="18"/>
  <c r="BA83" i="16"/>
  <c r="AX71" i="30"/>
  <c r="W23" i="31"/>
  <c r="W30" i="31"/>
  <c r="AP65" i="18"/>
  <c r="AX9" i="29"/>
  <c r="AY9" i="29"/>
  <c r="AZ77" i="28"/>
  <c r="BA77" i="28"/>
  <c r="BA50" i="29"/>
  <c r="AZ50" i="29"/>
  <c r="V47" i="27"/>
  <c r="Z47" i="27"/>
  <c r="AA47" i="27" s="1"/>
  <c r="AM26" i="18"/>
  <c r="AP26" i="18"/>
  <c r="AY28" i="28"/>
  <c r="AX28" i="28"/>
  <c r="AP63" i="18"/>
  <c r="D48" i="17"/>
  <c r="E47" i="17"/>
  <c r="AY49" i="27"/>
  <c r="AX49" i="27"/>
  <c r="AR54" i="28"/>
  <c r="BA63" i="17"/>
  <c r="AZ63" i="17"/>
  <c r="AM41" i="18"/>
  <c r="AP41" i="18"/>
  <c r="AX65" i="29"/>
  <c r="AY65" i="29"/>
  <c r="AX29" i="29"/>
  <c r="AY29" i="29"/>
  <c r="AY75" i="17"/>
  <c r="AX75" i="17"/>
  <c r="AP23" i="18"/>
  <c r="AM23" i="18"/>
  <c r="S54" i="18"/>
  <c r="V54" i="18"/>
  <c r="W54" i="18" s="1"/>
  <c r="U28" i="1"/>
  <c r="AB28" i="1"/>
  <c r="AR28" i="1" s="1"/>
  <c r="W60" i="31"/>
  <c r="AY36" i="29"/>
  <c r="AX36" i="29"/>
  <c r="AX65" i="28"/>
  <c r="AY65" i="28"/>
  <c r="AM20" i="18"/>
  <c r="AP20" i="18"/>
  <c r="BA19" i="29"/>
  <c r="AZ19" i="29"/>
  <c r="AZ40" i="28"/>
  <c r="BA40" i="28"/>
  <c r="AY9" i="16"/>
  <c r="AX9" i="16"/>
  <c r="Z54" i="18"/>
  <c r="AP54" i="18" s="1"/>
  <c r="BA20" i="27"/>
  <c r="AZ20" i="27"/>
  <c r="BA75" i="17"/>
  <c r="AZ75" i="17"/>
  <c r="BA23" i="1"/>
  <c r="AZ23" i="1"/>
  <c r="AZ53" i="1"/>
  <c r="BA53" i="1"/>
  <c r="AX60" i="28"/>
  <c r="AY60" i="28"/>
  <c r="AX21" i="17"/>
  <c r="AY21" i="17"/>
  <c r="BA71" i="28"/>
  <c r="AZ71" i="28"/>
  <c r="AY52" i="28"/>
  <c r="AX52" i="28"/>
  <c r="AZ6" i="28"/>
  <c r="BA6" i="28"/>
  <c r="AX27" i="28"/>
  <c r="AY27" i="28"/>
  <c r="AY38" i="28"/>
  <c r="AX38" i="28"/>
  <c r="AY43" i="28"/>
  <c r="AX43" i="28"/>
  <c r="AZ73" i="17"/>
  <c r="BA73" i="17"/>
  <c r="AM47" i="27"/>
  <c r="AY23" i="28"/>
  <c r="AX23" i="28"/>
  <c r="AX25" i="28"/>
  <c r="AY25" i="28"/>
  <c r="AZ62" i="28"/>
  <c r="BA62" i="28"/>
  <c r="AM30" i="1"/>
  <c r="AY23" i="17"/>
  <c r="AX23" i="17"/>
  <c r="AX66" i="28"/>
  <c r="AY66" i="28"/>
  <c r="AZ59" i="17"/>
  <c r="BA59" i="17"/>
  <c r="BA35" i="17"/>
  <c r="AZ35" i="17"/>
  <c r="AY21" i="16"/>
  <c r="AX21" i="16"/>
  <c r="AU64" i="29"/>
  <c r="AT67" i="29"/>
  <c r="AZ16" i="18"/>
  <c r="BA16" i="18"/>
  <c r="U48" i="18"/>
  <c r="T64" i="18"/>
  <c r="N48" i="18"/>
  <c r="W24" i="16"/>
  <c r="AA44" i="1"/>
  <c r="AA52" i="1"/>
  <c r="AA66" i="1"/>
  <c r="AA59" i="1"/>
  <c r="AA77" i="1"/>
  <c r="AA14" i="1"/>
  <c r="AA24" i="1"/>
  <c r="AA32" i="1"/>
  <c r="AA16" i="1"/>
  <c r="AA6" i="1"/>
  <c r="AA11" i="1"/>
  <c r="AA71" i="1"/>
  <c r="AA61" i="1"/>
  <c r="AA60" i="1"/>
  <c r="AA10" i="1"/>
  <c r="M46" i="1"/>
  <c r="M59" i="1"/>
  <c r="M41" i="1"/>
  <c r="M30" i="1"/>
  <c r="M62" i="1"/>
  <c r="M26" i="1"/>
  <c r="M23" i="1"/>
  <c r="AX53" i="28"/>
  <c r="AY53" i="28"/>
  <c r="AZ56" i="17"/>
  <c r="BA56" i="17"/>
  <c r="AU24" i="1"/>
  <c r="AU78" i="1"/>
  <c r="AU68" i="1"/>
  <c r="AU47" i="1"/>
  <c r="AU55" i="1"/>
  <c r="AU9" i="1"/>
  <c r="AU43" i="1"/>
  <c r="AU65" i="1"/>
  <c r="AU53" i="1"/>
  <c r="AU32" i="1"/>
  <c r="AU40" i="1"/>
  <c r="AU29" i="1"/>
  <c r="AU74" i="1"/>
  <c r="AU23" i="1"/>
  <c r="AU33" i="1"/>
  <c r="AU45" i="1"/>
  <c r="AU66" i="1"/>
  <c r="AU22" i="1"/>
  <c r="AU49" i="1"/>
  <c r="AU59" i="1"/>
  <c r="AU8" i="1"/>
  <c r="AU73" i="1"/>
  <c r="AU35" i="1"/>
  <c r="AU50" i="1"/>
  <c r="AU42" i="1"/>
  <c r="AU46" i="1"/>
  <c r="AU71" i="1"/>
  <c r="AU39" i="1"/>
  <c r="AU38" i="1"/>
  <c r="AU58" i="1"/>
  <c r="AU16" i="1"/>
  <c r="AU25" i="1"/>
  <c r="AU62" i="1"/>
  <c r="AU75" i="1"/>
  <c r="AU19" i="1"/>
  <c r="AU11" i="1"/>
  <c r="AU52" i="1"/>
  <c r="AU30" i="1"/>
  <c r="AU61" i="1"/>
  <c r="AU56" i="1"/>
  <c r="AU77" i="1"/>
  <c r="AU72" i="1"/>
  <c r="AU76" i="1"/>
  <c r="AU51" i="1"/>
  <c r="AU60" i="1"/>
  <c r="AU20" i="1"/>
  <c r="AU34" i="1"/>
  <c r="AU57" i="1"/>
  <c r="AU26" i="1"/>
  <c r="AU54" i="1"/>
  <c r="AU10" i="1"/>
  <c r="AU37" i="1"/>
  <c r="AU6" i="1"/>
  <c r="AU14" i="1"/>
  <c r="AU36" i="1"/>
  <c r="AU21" i="1"/>
  <c r="AU28" i="1"/>
  <c r="AU31" i="1"/>
  <c r="AU41" i="1"/>
  <c r="AU44" i="1"/>
  <c r="AU63" i="1"/>
  <c r="AU27" i="1"/>
  <c r="AU15" i="1"/>
  <c r="AU7" i="1"/>
  <c r="AR21" i="17"/>
  <c r="X62" i="17"/>
  <c r="Y62" i="17" s="1"/>
  <c r="U62" i="17"/>
  <c r="AB62" i="17"/>
  <c r="K17" i="18"/>
  <c r="Z17" i="18"/>
  <c r="AP17" i="18" s="1"/>
  <c r="S47" i="28"/>
  <c r="R48" i="28"/>
  <c r="Z48" i="28" s="1"/>
  <c r="AX41" i="28"/>
  <c r="AY41" i="28"/>
  <c r="AZ60" i="29"/>
  <c r="BA60" i="29"/>
  <c r="AX44" i="28"/>
  <c r="AY44" i="28"/>
  <c r="BA71" i="27"/>
  <c r="AZ71" i="27"/>
  <c r="AY31" i="28"/>
  <c r="AX31" i="28"/>
  <c r="AX59" i="1"/>
  <c r="AY59" i="1"/>
  <c r="AX10" i="1"/>
  <c r="AY10" i="1"/>
  <c r="Z54" i="28"/>
  <c r="AK18" i="30"/>
  <c r="AJ48" i="30"/>
  <c r="AX61" i="28"/>
  <c r="AY61" i="28"/>
  <c r="AZ39" i="16"/>
  <c r="BA39" i="16"/>
  <c r="AY63" i="31"/>
  <c r="AX63" i="31"/>
  <c r="AZ31" i="17"/>
  <c r="BA31" i="17"/>
  <c r="AZ6" i="30"/>
  <c r="BA6" i="30"/>
  <c r="BA10" i="29"/>
  <c r="AZ10" i="29"/>
  <c r="N48" i="17"/>
  <c r="O18" i="17"/>
  <c r="V18" i="17"/>
  <c r="W18" i="17" s="1"/>
  <c r="AA57" i="1"/>
  <c r="AM32" i="1"/>
  <c r="AM72" i="1"/>
  <c r="AM71" i="1"/>
  <c r="P18" i="16"/>
  <c r="X17" i="16"/>
  <c r="Q17" i="16"/>
  <c r="AX7" i="28"/>
  <c r="AY7" i="28"/>
  <c r="W43" i="29"/>
  <c r="W37" i="29"/>
  <c r="W53" i="29"/>
  <c r="W52" i="29"/>
  <c r="W50" i="29"/>
  <c r="W56" i="29"/>
  <c r="W30" i="29"/>
  <c r="W6" i="29"/>
  <c r="W54" i="29"/>
  <c r="W41" i="29"/>
  <c r="W75" i="29"/>
  <c r="W14" i="29"/>
  <c r="W32" i="29"/>
  <c r="W10" i="29"/>
  <c r="W33" i="29"/>
  <c r="W16" i="29"/>
  <c r="W65" i="29"/>
  <c r="W72" i="29"/>
  <c r="W9" i="29"/>
  <c r="W34" i="29"/>
  <c r="W27" i="29"/>
  <c r="W36" i="29"/>
  <c r="W29" i="29"/>
  <c r="W49" i="29"/>
  <c r="W15" i="29"/>
  <c r="W46" i="29"/>
  <c r="W45" i="29"/>
  <c r="W77" i="29"/>
  <c r="W68" i="29"/>
  <c r="W11" i="29"/>
  <c r="W73" i="29"/>
  <c r="W74" i="29"/>
  <c r="W55" i="29"/>
  <c r="W35" i="29"/>
  <c r="W23" i="29"/>
  <c r="W22" i="29"/>
  <c r="W76" i="29"/>
  <c r="W66" i="29"/>
  <c r="W58" i="29"/>
  <c r="W44" i="29"/>
  <c r="W71" i="29"/>
  <c r="W40" i="29"/>
  <c r="W31" i="29"/>
  <c r="AX24" i="30"/>
  <c r="AY24" i="30"/>
  <c r="AX9" i="28"/>
  <c r="AY9" i="28"/>
  <c r="AX25" i="30"/>
  <c r="AY25" i="30"/>
  <c r="BA27" i="17"/>
  <c r="AZ27" i="17"/>
  <c r="W78" i="31"/>
  <c r="W41" i="31"/>
  <c r="W27" i="31"/>
  <c r="W40" i="31"/>
  <c r="W42" i="31"/>
  <c r="W9" i="31"/>
  <c r="W58" i="31"/>
  <c r="W63" i="31"/>
  <c r="W72" i="31"/>
  <c r="W15" i="31"/>
  <c r="W49" i="31"/>
  <c r="E48" i="30"/>
  <c r="D64" i="30"/>
  <c r="AZ22" i="17"/>
  <c r="BA22" i="17"/>
  <c r="AR29" i="16"/>
  <c r="AZ34" i="18"/>
  <c r="BA34" i="18"/>
  <c r="W62" i="29"/>
  <c r="W66" i="31"/>
  <c r="AO54" i="27"/>
  <c r="AR62" i="17"/>
  <c r="AM47" i="1"/>
  <c r="AM49" i="1"/>
  <c r="AM10" i="1"/>
  <c r="AM57" i="1"/>
  <c r="AM19" i="1"/>
  <c r="AY27" i="29"/>
  <c r="AX27" i="29"/>
  <c r="AY39" i="28"/>
  <c r="AX39" i="28"/>
  <c r="AY26" i="29"/>
  <c r="AX26" i="29"/>
  <c r="AX23" i="29"/>
  <c r="AY23" i="29"/>
  <c r="AZ16" i="29"/>
  <c r="BA16" i="29"/>
  <c r="AZ29" i="17"/>
  <c r="BA29" i="17"/>
  <c r="AX42" i="29"/>
  <c r="AY42" i="29"/>
  <c r="AI18" i="30"/>
  <c r="AH48" i="30"/>
  <c r="AZ32" i="29"/>
  <c r="BA32" i="29"/>
  <c r="W25" i="31"/>
  <c r="W20" i="31"/>
  <c r="AX61" i="17"/>
  <c r="AY61" i="17"/>
  <c r="AS33" i="18"/>
  <c r="AS7" i="18"/>
  <c r="AS22" i="18"/>
  <c r="AS51" i="18"/>
  <c r="AS73" i="18"/>
  <c r="AS65" i="18"/>
  <c r="AS44" i="18"/>
  <c r="AS15" i="18"/>
  <c r="AS53" i="18"/>
  <c r="AS58" i="18"/>
  <c r="AO40" i="27"/>
  <c r="AO24" i="27"/>
  <c r="AO72" i="27"/>
  <c r="AZ71" i="1"/>
  <c r="AM23" i="1"/>
  <c r="AM21" i="1"/>
  <c r="AM33" i="1"/>
  <c r="AM77" i="1"/>
  <c r="AM26" i="1"/>
  <c r="AC66" i="1"/>
  <c r="AM58" i="18"/>
  <c r="AP58" i="18"/>
  <c r="BA15" i="28"/>
  <c r="AZ15" i="28"/>
  <c r="AY52" i="29"/>
  <c r="AX52" i="29"/>
  <c r="Q20" i="1"/>
  <c r="X20" i="1"/>
  <c r="Y20" i="1" s="1"/>
  <c r="AB20" i="1"/>
  <c r="W8" i="29"/>
  <c r="AZ28" i="29"/>
  <c r="BA28" i="29"/>
  <c r="W38" i="29"/>
  <c r="AM34" i="31"/>
  <c r="AM7" i="31"/>
  <c r="AM59" i="31"/>
  <c r="AM41" i="31"/>
  <c r="AM37" i="31"/>
  <c r="AM78" i="31"/>
  <c r="AM14" i="31"/>
  <c r="AM40" i="31"/>
  <c r="AM73" i="31"/>
  <c r="AM29" i="31"/>
  <c r="AM26" i="31"/>
  <c r="W20" i="29"/>
  <c r="AX73" i="18"/>
  <c r="AY73" i="18"/>
  <c r="AX19" i="27"/>
  <c r="AY19" i="27"/>
  <c r="W26" i="31"/>
  <c r="W39" i="31"/>
  <c r="AZ83" i="1"/>
  <c r="BA83" i="1"/>
  <c r="AO60" i="27"/>
  <c r="AO51" i="27"/>
  <c r="AO19" i="27"/>
  <c r="AO17" i="27"/>
  <c r="W66" i="27"/>
  <c r="AQ9" i="1"/>
  <c r="AC9" i="1"/>
  <c r="AC34" i="1"/>
  <c r="AM7" i="1"/>
  <c r="AM58" i="1"/>
  <c r="AM41" i="1"/>
  <c r="AM24" i="1"/>
  <c r="AX30" i="1"/>
  <c r="AC74" i="1"/>
  <c r="AY15" i="17"/>
  <c r="AX9" i="30"/>
  <c r="W43" i="31"/>
  <c r="AZ30" i="29"/>
  <c r="BA30" i="29"/>
  <c r="AY73" i="17"/>
  <c r="AX73" i="17"/>
  <c r="BA52" i="17"/>
  <c r="AZ52" i="17"/>
  <c r="AX16" i="29"/>
  <c r="AY16" i="29"/>
  <c r="AZ9" i="30"/>
  <c r="BA9" i="30"/>
  <c r="BA53" i="28"/>
  <c r="AZ53" i="28"/>
  <c r="W57" i="29"/>
  <c r="BA41" i="30"/>
  <c r="AZ41" i="30"/>
  <c r="W24" i="29"/>
  <c r="BA58" i="29"/>
  <c r="AZ58" i="29"/>
  <c r="AX59" i="30"/>
  <c r="AY59" i="30"/>
  <c r="W25" i="29"/>
  <c r="W60" i="29"/>
  <c r="W61" i="29"/>
  <c r="AZ32" i="27"/>
  <c r="BA32" i="27"/>
  <c r="AY40" i="1"/>
  <c r="AX40" i="1"/>
  <c r="W21" i="31"/>
  <c r="AD48" i="27"/>
  <c r="AY41" i="31"/>
  <c r="AO71" i="27"/>
  <c r="AR11" i="27"/>
  <c r="AS62" i="27" s="1"/>
  <c r="AO59" i="27"/>
  <c r="AM40" i="1"/>
  <c r="AM65" i="1"/>
  <c r="AM31" i="1"/>
  <c r="AM28" i="1"/>
  <c r="AM54" i="1"/>
  <c r="AA40" i="17"/>
  <c r="BA31" i="28"/>
  <c r="AZ31" i="28"/>
  <c r="AX43" i="18"/>
  <c r="AY43" i="18"/>
  <c r="BA56" i="28"/>
  <c r="AZ56" i="28"/>
  <c r="AX37" i="28"/>
  <c r="AY37" i="28"/>
  <c r="G55" i="18"/>
  <c r="G76" i="18"/>
  <c r="G62" i="18"/>
  <c r="G49" i="18"/>
  <c r="G56" i="18"/>
  <c r="G9" i="18"/>
  <c r="G16" i="18"/>
  <c r="G21" i="18"/>
  <c r="G41" i="18"/>
  <c r="G36" i="18"/>
  <c r="G39" i="18"/>
  <c r="G23" i="18"/>
  <c r="G44" i="18"/>
  <c r="G8" i="18"/>
  <c r="G50" i="18"/>
  <c r="G17" i="18"/>
  <c r="G6" i="18"/>
  <c r="G33" i="18"/>
  <c r="G43" i="18"/>
  <c r="G45" i="18"/>
  <c r="G15" i="18"/>
  <c r="G57" i="18"/>
  <c r="G29" i="18"/>
  <c r="G46" i="18"/>
  <c r="G24" i="18"/>
  <c r="G28" i="18"/>
  <c r="G78" i="18"/>
  <c r="G38" i="18"/>
  <c r="G58" i="18"/>
  <c r="G61" i="18"/>
  <c r="G75" i="18"/>
  <c r="G53" i="18"/>
  <c r="F18" i="18"/>
  <c r="G51" i="18"/>
  <c r="G40" i="18"/>
  <c r="G60" i="18"/>
  <c r="G19" i="18"/>
  <c r="G26" i="18"/>
  <c r="G42" i="18"/>
  <c r="G52" i="18"/>
  <c r="G34" i="18"/>
  <c r="G10" i="18"/>
  <c r="G71" i="18"/>
  <c r="G68" i="18"/>
  <c r="G37" i="18"/>
  <c r="G14" i="18"/>
  <c r="G74" i="18"/>
  <c r="G54" i="18"/>
  <c r="G35" i="18"/>
  <c r="G63" i="18"/>
  <c r="G20" i="18"/>
  <c r="G25" i="18"/>
  <c r="G65" i="18"/>
  <c r="G27" i="18"/>
  <c r="G73" i="18"/>
  <c r="G66" i="18"/>
  <c r="G72" i="18"/>
  <c r="G7" i="18"/>
  <c r="G59" i="18"/>
  <c r="G11" i="18"/>
  <c r="G31" i="18"/>
  <c r="G77" i="18"/>
  <c r="G22" i="18"/>
  <c r="G30" i="18"/>
  <c r="G32" i="18"/>
  <c r="AY83" i="17"/>
  <c r="AX83" i="17"/>
  <c r="AY71" i="17"/>
  <c r="AX71" i="17"/>
  <c r="AZ38" i="29"/>
  <c r="BA38" i="29"/>
  <c r="W21" i="29"/>
  <c r="W28" i="29"/>
  <c r="W51" i="29"/>
  <c r="W73" i="31"/>
  <c r="AZ42" i="16"/>
  <c r="BA42" i="16"/>
  <c r="AA33" i="1"/>
  <c r="W36" i="31"/>
  <c r="W47" i="29"/>
  <c r="AC45" i="1"/>
  <c r="K62" i="18"/>
  <c r="Z62" i="18"/>
  <c r="AP62" i="18" s="1"/>
  <c r="C47" i="28"/>
  <c r="B48" i="28"/>
  <c r="BA61" i="17"/>
  <c r="AZ61" i="17"/>
  <c r="AY75" i="29"/>
  <c r="AX75" i="29"/>
  <c r="AY42" i="16"/>
  <c r="AX42" i="16"/>
  <c r="AZ46" i="18"/>
  <c r="BA46" i="18"/>
  <c r="W45" i="31"/>
  <c r="J18" i="18"/>
  <c r="AM25" i="31"/>
  <c r="W17" i="29"/>
  <c r="W65" i="31"/>
  <c r="BA38" i="18"/>
  <c r="AM53" i="1"/>
  <c r="AM36" i="1"/>
  <c r="AM39" i="1"/>
  <c r="AM51" i="1"/>
  <c r="AT18" i="1"/>
  <c r="AP34" i="18"/>
  <c r="AM34" i="18"/>
  <c r="AT18" i="28"/>
  <c r="AU17" i="28"/>
  <c r="AY10" i="28"/>
  <c r="AX10" i="28"/>
  <c r="AK68" i="28"/>
  <c r="AK19" i="28"/>
  <c r="AK40" i="28"/>
  <c r="AK11" i="28"/>
  <c r="AK50" i="28"/>
  <c r="AK31" i="28"/>
  <c r="AK62" i="28"/>
  <c r="AK24" i="28"/>
  <c r="AK33" i="28"/>
  <c r="AK73" i="28"/>
  <c r="AK22" i="28"/>
  <c r="AK27" i="28"/>
  <c r="AK37" i="28"/>
  <c r="AK61" i="28"/>
  <c r="AK60" i="28"/>
  <c r="AK71" i="28"/>
  <c r="AK78" i="28"/>
  <c r="AK54" i="28"/>
  <c r="AK44" i="28"/>
  <c r="AK58" i="28"/>
  <c r="AK66" i="28"/>
  <c r="AK51" i="28"/>
  <c r="AK29" i="28"/>
  <c r="AK52" i="28"/>
  <c r="AK55" i="28"/>
  <c r="AK21" i="28"/>
  <c r="AK63" i="28"/>
  <c r="AK25" i="28"/>
  <c r="AK39" i="28"/>
  <c r="AK53" i="28"/>
  <c r="AK49" i="28"/>
  <c r="AK75" i="28"/>
  <c r="AK76" i="28"/>
  <c r="AJ18" i="28"/>
  <c r="AK30" i="28"/>
  <c r="AK38" i="28"/>
  <c r="AK59" i="28"/>
  <c r="AK43" i="28"/>
  <c r="AK14" i="28"/>
  <c r="AK35" i="28"/>
  <c r="AK47" i="28"/>
  <c r="AK36" i="28"/>
  <c r="AK9" i="28"/>
  <c r="AK10" i="28"/>
  <c r="AK16" i="28"/>
  <c r="AK45" i="28"/>
  <c r="AK46" i="28"/>
  <c r="AK26" i="28"/>
  <c r="AK42" i="28"/>
  <c r="AK72" i="28"/>
  <c r="AK34" i="28"/>
  <c r="AK6" i="28"/>
  <c r="AK20" i="28"/>
  <c r="AK41" i="28"/>
  <c r="AK23" i="28"/>
  <c r="AK57" i="28"/>
  <c r="AK65" i="28"/>
  <c r="AK56" i="28"/>
  <c r="AK32" i="28"/>
  <c r="AK8" i="28"/>
  <c r="AK77" i="28"/>
  <c r="AK28" i="28"/>
  <c r="AK74" i="28"/>
  <c r="AK7" i="28"/>
  <c r="AK15" i="28"/>
  <c r="AZ53" i="29"/>
  <c r="BA53" i="29"/>
  <c r="AY16" i="17"/>
  <c r="AX16" i="17"/>
  <c r="W57" i="31"/>
  <c r="W17" i="31"/>
  <c r="W24" i="31"/>
  <c r="W35" i="16"/>
  <c r="W50" i="16"/>
  <c r="W57" i="16"/>
  <c r="W66" i="16"/>
  <c r="W52" i="16"/>
  <c r="W68" i="16"/>
  <c r="W59" i="16"/>
  <c r="W76" i="16"/>
  <c r="W39" i="16"/>
  <c r="W56" i="16"/>
  <c r="W55" i="16"/>
  <c r="W58" i="16"/>
  <c r="W33" i="16"/>
  <c r="W65" i="16"/>
  <c r="W77" i="16"/>
  <c r="W20" i="16"/>
  <c r="W25" i="16"/>
  <c r="W53" i="16"/>
  <c r="W11" i="16"/>
  <c r="W22" i="16"/>
  <c r="W78" i="16"/>
  <c r="W23" i="16"/>
  <c r="W27" i="16"/>
  <c r="W49" i="16"/>
  <c r="W32" i="16"/>
  <c r="W6" i="16"/>
  <c r="W40" i="16"/>
  <c r="W14" i="16"/>
  <c r="W71" i="16"/>
  <c r="W63" i="16"/>
  <c r="W43" i="16"/>
  <c r="W75" i="16"/>
  <c r="W44" i="16"/>
  <c r="W16" i="16"/>
  <c r="W38" i="16"/>
  <c r="W41" i="16"/>
  <c r="W19" i="16"/>
  <c r="W37" i="16"/>
  <c r="W36" i="16"/>
  <c r="W42" i="16"/>
  <c r="W21" i="16"/>
  <c r="W47" i="16"/>
  <c r="W72" i="16"/>
  <c r="W46" i="16"/>
  <c r="W8" i="16"/>
  <c r="W29" i="16"/>
  <c r="W61" i="16"/>
  <c r="W51" i="16"/>
  <c r="W74" i="16"/>
  <c r="W60" i="16"/>
  <c r="W28" i="16"/>
  <c r="W9" i="16"/>
  <c r="W15" i="16"/>
  <c r="W30" i="16"/>
  <c r="W10" i="16"/>
  <c r="W34" i="16"/>
  <c r="AZ28" i="27"/>
  <c r="BA28" i="27"/>
  <c r="AZ62" i="16"/>
  <c r="BA62" i="16"/>
  <c r="AY36" i="18"/>
  <c r="AX36" i="18"/>
  <c r="AY35" i="18"/>
  <c r="AX35" i="18"/>
  <c r="AZ9" i="28"/>
  <c r="BA9" i="28"/>
  <c r="BA44" i="17"/>
  <c r="AZ44" i="17"/>
  <c r="BA57" i="17"/>
  <c r="AZ57" i="17"/>
  <c r="BA57" i="30"/>
  <c r="AZ57" i="30"/>
  <c r="AX33" i="16"/>
  <c r="AY33" i="16"/>
  <c r="AY57" i="29"/>
  <c r="AX57" i="29"/>
  <c r="AY16" i="27"/>
  <c r="AX16" i="27"/>
  <c r="AZ26" i="18"/>
  <c r="BA26" i="18"/>
  <c r="AM76" i="1"/>
  <c r="AM14" i="1"/>
  <c r="AX72" i="29"/>
  <c r="AY72" i="29"/>
  <c r="G17" i="27"/>
  <c r="Z17" i="27"/>
  <c r="AP17" i="27" s="1"/>
  <c r="AW58" i="17"/>
  <c r="AW35" i="17"/>
  <c r="AW16" i="17"/>
  <c r="AW15" i="17"/>
  <c r="AW38" i="17"/>
  <c r="AW36" i="17"/>
  <c r="AW41" i="17"/>
  <c r="AW42" i="17"/>
  <c r="AW62" i="17"/>
  <c r="AW53" i="17"/>
  <c r="AW6" i="17"/>
  <c r="AW11" i="17"/>
  <c r="AW66" i="17"/>
  <c r="AW34" i="17"/>
  <c r="AW75" i="17"/>
  <c r="AW29" i="17"/>
  <c r="AW23" i="17"/>
  <c r="AW45" i="17"/>
  <c r="AW51" i="17"/>
  <c r="AW40" i="17"/>
  <c r="AW27" i="17"/>
  <c r="AW8" i="17"/>
  <c r="AW59" i="17"/>
  <c r="AW22" i="17"/>
  <c r="AW73" i="17"/>
  <c r="AW7" i="17"/>
  <c r="AW56" i="17"/>
  <c r="AW31" i="17"/>
  <c r="AW43" i="17"/>
  <c r="AW28" i="17"/>
  <c r="AW72" i="17"/>
  <c r="AW10" i="17"/>
  <c r="AW77" i="17"/>
  <c r="AW33" i="17"/>
  <c r="AW60" i="17"/>
  <c r="AW76" i="17"/>
  <c r="AW19" i="17"/>
  <c r="AW61" i="17"/>
  <c r="AW44" i="17"/>
  <c r="AW52" i="17"/>
  <c r="AW68" i="17"/>
  <c r="AW32" i="17"/>
  <c r="AW26" i="17"/>
  <c r="AW57" i="17"/>
  <c r="AW21" i="17"/>
  <c r="AW55" i="17"/>
  <c r="AW9" i="17"/>
  <c r="AW46" i="17"/>
  <c r="AW30" i="17"/>
  <c r="AW50" i="17"/>
  <c r="AW49" i="17"/>
  <c r="AW78" i="17"/>
  <c r="AW25" i="17"/>
  <c r="AW71" i="17"/>
  <c r="AW63" i="17"/>
  <c r="AW74" i="17"/>
  <c r="AW24" i="17"/>
  <c r="AW14" i="17"/>
  <c r="AW65" i="17"/>
  <c r="AW37" i="17"/>
  <c r="AW39" i="17"/>
  <c r="AW20" i="17"/>
  <c r="BA72" i="29"/>
  <c r="AZ72" i="29"/>
  <c r="W39" i="29"/>
  <c r="AZ72" i="28"/>
  <c r="BA72" i="28"/>
  <c r="AX33" i="27"/>
  <c r="AY33" i="27"/>
  <c r="AY27" i="16"/>
  <c r="AX27" i="16"/>
  <c r="V62" i="18"/>
  <c r="W62" i="18" s="1"/>
  <c r="S62" i="18"/>
  <c r="AA47" i="1"/>
  <c r="AA43" i="1"/>
  <c r="AO8" i="31"/>
  <c r="Q62" i="31"/>
  <c r="AZ65" i="31"/>
  <c r="BA65" i="31"/>
  <c r="AO16" i="31"/>
  <c r="AZ40" i="31"/>
  <c r="BA40" i="31"/>
  <c r="AF48" i="30"/>
  <c r="AN18" i="30"/>
  <c r="AG18" i="30"/>
  <c r="AO52" i="30"/>
  <c r="AO66" i="30"/>
  <c r="AO63" i="30"/>
  <c r="AO38" i="30"/>
  <c r="AO72" i="30"/>
  <c r="AO24" i="30"/>
  <c r="AO34" i="30"/>
  <c r="AZ22" i="30"/>
  <c r="BA22" i="30"/>
  <c r="K18" i="30"/>
  <c r="J48" i="30"/>
  <c r="BA71" i="30"/>
  <c r="AZ71" i="30"/>
  <c r="AS39" i="30"/>
  <c r="AY32" i="30"/>
  <c r="AX32" i="30"/>
  <c r="AX39" i="30"/>
  <c r="AY39" i="30"/>
  <c r="AY73" i="30"/>
  <c r="AX73" i="30"/>
  <c r="AO47" i="30"/>
  <c r="AY75" i="30"/>
  <c r="AX75" i="30"/>
  <c r="AZ23" i="30"/>
  <c r="BA23" i="30"/>
  <c r="AZ61" i="30"/>
  <c r="BA61" i="30"/>
  <c r="AZ28" i="30"/>
  <c r="BA28" i="30"/>
  <c r="BA59" i="30"/>
  <c r="AZ59" i="30"/>
  <c r="AX23" i="30"/>
  <c r="AY23" i="30"/>
  <c r="AX29" i="30"/>
  <c r="AY29" i="30"/>
  <c r="AZ14" i="31"/>
  <c r="BA14" i="31"/>
  <c r="AQ37" i="1"/>
  <c r="BA19" i="1"/>
  <c r="AZ19" i="1"/>
  <c r="AC42" i="1"/>
  <c r="AX63" i="1"/>
  <c r="AY63" i="1"/>
  <c r="BA74" i="18"/>
  <c r="AZ74" i="18"/>
  <c r="BA37" i="1"/>
  <c r="AZ37" i="1"/>
  <c r="BA8" i="28"/>
  <c r="AZ8" i="28"/>
  <c r="AZ43" i="1"/>
  <c r="BA43" i="1"/>
  <c r="AG9" i="1"/>
  <c r="AG37" i="1"/>
  <c r="AG27" i="1"/>
  <c r="AG61" i="1"/>
  <c r="AG32" i="1"/>
  <c r="AG59" i="1"/>
  <c r="AG44" i="1"/>
  <c r="AG53" i="1"/>
  <c r="AG50" i="1"/>
  <c r="AG28" i="1"/>
  <c r="AG31" i="1"/>
  <c r="AG68" i="1"/>
  <c r="AG56" i="1"/>
  <c r="AG39" i="1"/>
  <c r="AG40" i="1"/>
  <c r="AG57" i="1"/>
  <c r="AG25" i="1"/>
  <c r="AG15" i="1"/>
  <c r="AG75" i="1"/>
  <c r="AG46" i="1"/>
  <c r="AG54" i="1"/>
  <c r="AG21" i="1"/>
  <c r="AG60" i="1"/>
  <c r="AG74" i="1"/>
  <c r="AN11" i="1"/>
  <c r="AO38" i="1" s="1"/>
  <c r="AG72" i="1"/>
  <c r="AG63" i="1"/>
  <c r="AG42" i="1"/>
  <c r="AG10" i="1"/>
  <c r="AG8" i="1"/>
  <c r="AG36" i="1"/>
  <c r="AG17" i="1"/>
  <c r="AG29" i="1"/>
  <c r="AG16" i="1"/>
  <c r="AG26" i="1"/>
  <c r="AG65" i="1"/>
  <c r="AG7" i="1"/>
  <c r="AG66" i="1"/>
  <c r="AG33" i="1"/>
  <c r="AG77" i="1"/>
  <c r="AG47" i="1"/>
  <c r="AG41" i="1"/>
  <c r="AG20" i="1"/>
  <c r="AG78" i="1"/>
  <c r="AG35" i="1"/>
  <c r="AG52" i="1"/>
  <c r="AG6" i="1"/>
  <c r="AG73" i="1"/>
  <c r="AG43" i="1"/>
  <c r="AG62" i="1"/>
  <c r="AG22" i="1"/>
  <c r="AG24" i="1"/>
  <c r="AG55" i="1"/>
  <c r="AG76" i="1"/>
  <c r="AG51" i="1"/>
  <c r="AX57" i="17"/>
  <c r="AY57" i="17"/>
  <c r="AG19" i="1"/>
  <c r="AX45" i="1"/>
  <c r="AY45" i="1"/>
  <c r="AG38" i="1"/>
  <c r="AR54" i="18"/>
  <c r="AZ10" i="27"/>
  <c r="BA10" i="27"/>
  <c r="BA21" i="18"/>
  <c r="AZ21" i="18"/>
  <c r="AQ45" i="17"/>
  <c r="AY26" i="16"/>
  <c r="AX26" i="16"/>
  <c r="AS35" i="18"/>
  <c r="BA35" i="18"/>
  <c r="AZ35" i="18"/>
  <c r="AZ30" i="1"/>
  <c r="BA30" i="1"/>
  <c r="G18" i="17"/>
  <c r="Z18" i="17"/>
  <c r="AG49" i="1"/>
  <c r="AM49" i="17"/>
  <c r="AQ25" i="17"/>
  <c r="AM33" i="17"/>
  <c r="AM72" i="17"/>
  <c r="O67" i="30"/>
  <c r="BA31" i="18"/>
  <c r="AZ31" i="18"/>
  <c r="BA19" i="18"/>
  <c r="AS19" i="18"/>
  <c r="BA74" i="1"/>
  <c r="AZ74" i="1"/>
  <c r="AE48" i="1"/>
  <c r="AD64" i="1"/>
  <c r="AF48" i="1"/>
  <c r="AG48" i="1" s="1"/>
  <c r="AY39" i="17"/>
  <c r="AX39" i="17"/>
  <c r="AG18" i="1"/>
  <c r="AM42" i="17"/>
  <c r="AM8" i="17"/>
  <c r="AZ60" i="18"/>
  <c r="BA60" i="18"/>
  <c r="AZ21" i="27"/>
  <c r="BA21" i="27"/>
  <c r="AY51" i="17"/>
  <c r="AX51" i="17"/>
  <c r="Q48" i="27"/>
  <c r="P64" i="27"/>
  <c r="AM65" i="17"/>
  <c r="AM29" i="17"/>
  <c r="AA14" i="27"/>
  <c r="AZ6" i="18"/>
  <c r="BA6" i="18"/>
  <c r="AS6" i="18"/>
  <c r="AZ38" i="27"/>
  <c r="BA38" i="27"/>
  <c r="BA65" i="27"/>
  <c r="AZ65" i="27"/>
  <c r="AG23" i="1"/>
  <c r="BA66" i="27"/>
  <c r="AZ66" i="27"/>
  <c r="AC30" i="1"/>
  <c r="AC7" i="1"/>
  <c r="AC63" i="1"/>
  <c r="AC57" i="1"/>
  <c r="AC50" i="1"/>
  <c r="AC8" i="1"/>
  <c r="AC25" i="1"/>
  <c r="AC78" i="1"/>
  <c r="AC44" i="1"/>
  <c r="AC14" i="1"/>
  <c r="AC73" i="1"/>
  <c r="AC77" i="1"/>
  <c r="AC76" i="1"/>
  <c r="AC41" i="1"/>
  <c r="AC23" i="1"/>
  <c r="AC6" i="1"/>
  <c r="AC61" i="1"/>
  <c r="AC19" i="1"/>
  <c r="AC28" i="1"/>
  <c r="AC37" i="1"/>
  <c r="AG34" i="1"/>
  <c r="Q18" i="17"/>
  <c r="P48" i="17"/>
  <c r="X18" i="17"/>
  <c r="Y18" i="17" s="1"/>
  <c r="AA47" i="17"/>
  <c r="AP47" i="17"/>
  <c r="AG58" i="1"/>
  <c r="AX19" i="1"/>
  <c r="AY19" i="1"/>
  <c r="AR47" i="18"/>
  <c r="AM15" i="17"/>
  <c r="AQ37" i="17"/>
  <c r="AM75" i="17"/>
  <c r="AM16" i="17"/>
  <c r="AY74" i="1"/>
  <c r="AX74" i="1"/>
  <c r="AR58" i="1"/>
  <c r="AA6" i="17"/>
  <c r="AA71" i="17"/>
  <c r="AA28" i="17"/>
  <c r="AA16" i="17"/>
  <c r="AA20" i="17"/>
  <c r="AA23" i="17"/>
  <c r="AA15" i="17"/>
  <c r="AA30" i="17"/>
  <c r="AA58" i="17"/>
  <c r="AA61" i="17"/>
  <c r="AA63" i="17"/>
  <c r="AA51" i="17"/>
  <c r="AA26" i="17"/>
  <c r="AQ46" i="17"/>
  <c r="AM76" i="17"/>
  <c r="AQ26" i="1"/>
  <c r="BA56" i="27"/>
  <c r="AZ56" i="27"/>
  <c r="AY40" i="16"/>
  <c r="AX40" i="16"/>
  <c r="AM74" i="1"/>
  <c r="AM60" i="1"/>
  <c r="AM38" i="1"/>
  <c r="AM8" i="1"/>
  <c r="AM66" i="1"/>
  <c r="AM29" i="1"/>
  <c r="AM25" i="1"/>
  <c r="AM15" i="1"/>
  <c r="AM55" i="1"/>
  <c r="S48" i="17"/>
  <c r="R64" i="17"/>
  <c r="Q64" i="28"/>
  <c r="P67" i="28"/>
  <c r="AC24" i="1"/>
  <c r="AG30" i="1"/>
  <c r="AB62" i="1"/>
  <c r="I62" i="1"/>
  <c r="BA40" i="27"/>
  <c r="AZ40" i="27"/>
  <c r="AX51" i="27"/>
  <c r="AY51" i="27"/>
  <c r="AC17" i="1"/>
  <c r="AQ26" i="17"/>
  <c r="AQ73" i="1"/>
  <c r="AY40" i="18"/>
  <c r="AX40" i="18"/>
  <c r="D64" i="28"/>
  <c r="E48" i="28"/>
  <c r="BA59" i="27"/>
  <c r="AZ59" i="27"/>
  <c r="AZ72" i="27"/>
  <c r="BA72" i="27"/>
  <c r="BA63" i="1"/>
  <c r="AZ63" i="1"/>
  <c r="AR38" i="1"/>
  <c r="AM66" i="17"/>
  <c r="AY81" i="28"/>
  <c r="AX81" i="28"/>
  <c r="AX40" i="27"/>
  <c r="AY40" i="27"/>
  <c r="AR17" i="28"/>
  <c r="AA25" i="17"/>
  <c r="AM45" i="1"/>
  <c r="AM71" i="17"/>
  <c r="AM62" i="17"/>
  <c r="AM45" i="17"/>
  <c r="AM57" i="17"/>
  <c r="V64" i="30"/>
  <c r="W64" i="30" s="1"/>
  <c r="AQ17" i="1"/>
  <c r="AY46" i="16"/>
  <c r="AX46" i="16"/>
  <c r="AA36" i="17"/>
  <c r="R79" i="30"/>
  <c r="R69" i="30"/>
  <c r="S69" i="30" s="1"/>
  <c r="AG71" i="1"/>
  <c r="AJ48" i="31"/>
  <c r="AJ64" i="31" s="1"/>
  <c r="AK18" i="31"/>
  <c r="BA62" i="17"/>
  <c r="AZ62" i="17"/>
  <c r="AQ19" i="16"/>
  <c r="AX11" i="16"/>
  <c r="AQ30" i="16"/>
  <c r="AQ54" i="16"/>
  <c r="AQ37" i="16"/>
  <c r="AQ45" i="16"/>
  <c r="AQ52" i="16"/>
  <c r="AQ35" i="16"/>
  <c r="AQ21" i="16"/>
  <c r="AQ74" i="16"/>
  <c r="AQ58" i="16"/>
  <c r="AQ38" i="16"/>
  <c r="AQ41" i="16"/>
  <c r="AQ50" i="16"/>
  <c r="AQ42" i="16"/>
  <c r="AQ16" i="16"/>
  <c r="AQ10" i="16"/>
  <c r="AY11" i="16"/>
  <c r="AQ6" i="16"/>
  <c r="AQ24" i="16"/>
  <c r="AQ7" i="16"/>
  <c r="AQ36" i="16"/>
  <c r="AQ23" i="16"/>
  <c r="AQ15" i="16"/>
  <c r="AQ27" i="16"/>
  <c r="AQ9" i="16"/>
  <c r="AQ78" i="16"/>
  <c r="AQ59" i="16"/>
  <c r="AQ34" i="16"/>
  <c r="AQ11" i="16"/>
  <c r="AQ25" i="16"/>
  <c r="AQ33" i="16"/>
  <c r="AQ66" i="16"/>
  <c r="AQ63" i="16"/>
  <c r="AQ53" i="16"/>
  <c r="AQ72" i="16"/>
  <c r="AQ26" i="16"/>
  <c r="AQ8" i="16"/>
  <c r="AQ62" i="16"/>
  <c r="AQ46" i="16"/>
  <c r="AQ40" i="16"/>
  <c r="AQ73" i="16"/>
  <c r="AQ68" i="16"/>
  <c r="AQ76" i="16"/>
  <c r="AQ28" i="16"/>
  <c r="AQ32" i="16"/>
  <c r="AQ29" i="16"/>
  <c r="AQ55" i="16"/>
  <c r="AQ43" i="16"/>
  <c r="AQ49" i="16"/>
  <c r="AQ75" i="16"/>
  <c r="AQ56" i="16"/>
  <c r="AQ39" i="16"/>
  <c r="AQ14" i="16"/>
  <c r="AQ60" i="16"/>
  <c r="AQ44" i="16"/>
  <c r="AQ71" i="16"/>
  <c r="AQ20" i="16"/>
  <c r="AQ51" i="16"/>
  <c r="AQ57" i="16"/>
  <c r="AZ19" i="17"/>
  <c r="BA19" i="17"/>
  <c r="AZ41" i="31"/>
  <c r="BA41" i="31"/>
  <c r="AZ36" i="29"/>
  <c r="BA36" i="29"/>
  <c r="AO6" i="16"/>
  <c r="AO65" i="16"/>
  <c r="AO72" i="16"/>
  <c r="AO62" i="16"/>
  <c r="AO56" i="16"/>
  <c r="AO59" i="16"/>
  <c r="AO37" i="16"/>
  <c r="AO55" i="16"/>
  <c r="AO8" i="16"/>
  <c r="AO77" i="16"/>
  <c r="AO10" i="16"/>
  <c r="AO26" i="16"/>
  <c r="AO36" i="16"/>
  <c r="AO32" i="16"/>
  <c r="AO15" i="16"/>
  <c r="AO71" i="16"/>
  <c r="AO23" i="16"/>
  <c r="AO28" i="16"/>
  <c r="AO39" i="16"/>
  <c r="AO21" i="16"/>
  <c r="AO75" i="16"/>
  <c r="AO60" i="16"/>
  <c r="AO68" i="16"/>
  <c r="AO66" i="16"/>
  <c r="AO61" i="16"/>
  <c r="AO30" i="16"/>
  <c r="AO29" i="16"/>
  <c r="AO19" i="16"/>
  <c r="AO9" i="16"/>
  <c r="AO53" i="16"/>
  <c r="AO14" i="16"/>
  <c r="AO45" i="16"/>
  <c r="AO22" i="16"/>
  <c r="AO49" i="16"/>
  <c r="AO40" i="16"/>
  <c r="AO52" i="16"/>
  <c r="AO46" i="16"/>
  <c r="AO35" i="16"/>
  <c r="AO78" i="16"/>
  <c r="AO16" i="16"/>
  <c r="AO38" i="16"/>
  <c r="AO76" i="16"/>
  <c r="AO25" i="16"/>
  <c r="AO63" i="16"/>
  <c r="AO11" i="16"/>
  <c r="AO41" i="16"/>
  <c r="AO58" i="16"/>
  <c r="AO74" i="16"/>
  <c r="AO44" i="16"/>
  <c r="AO24" i="16"/>
  <c r="AO33" i="16"/>
  <c r="AO34" i="16"/>
  <c r="AO51" i="16"/>
  <c r="AR11" i="16"/>
  <c r="AS54" i="16" s="1"/>
  <c r="AO43" i="16"/>
  <c r="AO50" i="16"/>
  <c r="AO42" i="16"/>
  <c r="Y52" i="27"/>
  <c r="Y21" i="27"/>
  <c r="Y36" i="27"/>
  <c r="Y65" i="27"/>
  <c r="Y63" i="27"/>
  <c r="Y55" i="27"/>
  <c r="Y53" i="27"/>
  <c r="Y51" i="27"/>
  <c r="Y77" i="27"/>
  <c r="Y45" i="27"/>
  <c r="Y31" i="27"/>
  <c r="Y76" i="27"/>
  <c r="Y49" i="27"/>
  <c r="Y27" i="27"/>
  <c r="Y8" i="27"/>
  <c r="Y25" i="27"/>
  <c r="Y29" i="27"/>
  <c r="Y11" i="27"/>
  <c r="Y20" i="27"/>
  <c r="Y33" i="27"/>
  <c r="Y56" i="27"/>
  <c r="Y60" i="27"/>
  <c r="Y32" i="27"/>
  <c r="Y39" i="27"/>
  <c r="Y14" i="27"/>
  <c r="Y22" i="27"/>
  <c r="Y61" i="27"/>
  <c r="Y23" i="27"/>
  <c r="Y75" i="27"/>
  <c r="Y28" i="27"/>
  <c r="Y73" i="27"/>
  <c r="Y38" i="27"/>
  <c r="Y71" i="27"/>
  <c r="Y34" i="27"/>
  <c r="Y50" i="27"/>
  <c r="Y46" i="27"/>
  <c r="Y66" i="27"/>
  <c r="Y10" i="27"/>
  <c r="Y26" i="27"/>
  <c r="Y16" i="27"/>
  <c r="Y19" i="27"/>
  <c r="Y59" i="27"/>
  <c r="Y68" i="27"/>
  <c r="Y9" i="27"/>
  <c r="Y72" i="27"/>
  <c r="Y30" i="27"/>
  <c r="Y24" i="27"/>
  <c r="Y40" i="27"/>
  <c r="Y57" i="27"/>
  <c r="Y6" i="27"/>
  <c r="Y74" i="27"/>
  <c r="Y78" i="27"/>
  <c r="Y58" i="27"/>
  <c r="Y37" i="27"/>
  <c r="Y43" i="27"/>
  <c r="AO20" i="16"/>
  <c r="AQ57" i="1"/>
  <c r="AX57" i="1"/>
  <c r="AY57" i="1"/>
  <c r="AX66" i="17"/>
  <c r="AY66" i="17"/>
  <c r="AO73" i="16"/>
  <c r="AO72" i="17"/>
  <c r="Z48" i="17"/>
  <c r="AP23" i="31"/>
  <c r="AN47" i="17"/>
  <c r="AR47" i="17" s="1"/>
  <c r="AK47" i="17"/>
  <c r="U62" i="31"/>
  <c r="Y54" i="27"/>
  <c r="AE18" i="28"/>
  <c r="AL18" i="28"/>
  <c r="AM18" i="28" s="1"/>
  <c r="AD48" i="28"/>
  <c r="AH67" i="28"/>
  <c r="AI64" i="28"/>
  <c r="AY75" i="1"/>
  <c r="AX75" i="1"/>
  <c r="AQ75" i="1"/>
  <c r="AY24" i="31"/>
  <c r="AX24" i="31"/>
  <c r="AY49" i="17"/>
  <c r="AX49" i="17"/>
  <c r="AP21" i="31"/>
  <c r="K47" i="31"/>
  <c r="J48" i="31"/>
  <c r="Z47" i="31"/>
  <c r="AP50" i="31"/>
  <c r="AM50" i="31"/>
  <c r="AW64" i="31"/>
  <c r="AV67" i="31"/>
  <c r="AZ75" i="31"/>
  <c r="BA75" i="31"/>
  <c r="BA77" i="31"/>
  <c r="AZ77" i="31"/>
  <c r="AY47" i="29"/>
  <c r="AX47" i="29"/>
  <c r="AQ47" i="29"/>
  <c r="BA77" i="27"/>
  <c r="AZ77" i="27"/>
  <c r="AQ27" i="1"/>
  <c r="AY27" i="1"/>
  <c r="AX27" i="1"/>
  <c r="AY40" i="17"/>
  <c r="AX40" i="17"/>
  <c r="AG18" i="17"/>
  <c r="AF48" i="17"/>
  <c r="AC17" i="17"/>
  <c r="AR17" i="17"/>
  <c r="AS17" i="17" s="1"/>
  <c r="J64" i="1"/>
  <c r="K48" i="1"/>
  <c r="L48" i="1"/>
  <c r="M48" i="1" s="1"/>
  <c r="Y17" i="27"/>
  <c r="AR28" i="17"/>
  <c r="AC28" i="17"/>
  <c r="AZ23" i="17"/>
  <c r="BA23" i="17"/>
  <c r="BA10" i="30"/>
  <c r="AZ10" i="30"/>
  <c r="AP19" i="31"/>
  <c r="AY61" i="16"/>
  <c r="AX61" i="16"/>
  <c r="AQ61" i="16"/>
  <c r="AP59" i="31"/>
  <c r="AX35" i="27"/>
  <c r="AY35" i="27"/>
  <c r="AI48" i="18"/>
  <c r="AH64" i="18"/>
  <c r="AC37" i="27"/>
  <c r="AC63" i="27"/>
  <c r="AC41" i="27"/>
  <c r="AC71" i="27"/>
  <c r="AC16" i="27"/>
  <c r="AC19" i="27"/>
  <c r="AC30" i="27"/>
  <c r="AC20" i="27"/>
  <c r="AC38" i="27"/>
  <c r="AC66" i="27"/>
  <c r="AC35" i="27"/>
  <c r="AC31" i="27"/>
  <c r="AC11" i="27"/>
  <c r="AC32" i="27"/>
  <c r="AC21" i="27"/>
  <c r="AC72" i="27"/>
  <c r="AC15" i="27"/>
  <c r="AC68" i="27"/>
  <c r="AC9" i="27"/>
  <c r="AC56" i="27"/>
  <c r="AC26" i="27"/>
  <c r="AC50" i="27"/>
  <c r="AC49" i="27"/>
  <c r="AC59" i="27"/>
  <c r="AC44" i="27"/>
  <c r="AC53" i="27"/>
  <c r="AC29" i="27"/>
  <c r="AC10" i="27"/>
  <c r="AC33" i="27"/>
  <c r="AC27" i="27"/>
  <c r="AC60" i="27"/>
  <c r="AC65" i="27"/>
  <c r="AC78" i="27"/>
  <c r="AC6" i="27"/>
  <c r="AC40" i="27"/>
  <c r="AC73" i="27"/>
  <c r="AC76" i="27"/>
  <c r="AC7" i="27"/>
  <c r="AC52" i="27"/>
  <c r="AC77" i="27"/>
  <c r="AC28" i="27"/>
  <c r="AC42" i="27"/>
  <c r="AC75" i="27"/>
  <c r="AC34" i="27"/>
  <c r="AC45" i="27"/>
  <c r="AC43" i="27"/>
  <c r="AC22" i="27"/>
  <c r="AC8" i="27"/>
  <c r="AC23" i="27"/>
  <c r="AC74" i="27"/>
  <c r="AC57" i="27"/>
  <c r="AC39" i="27"/>
  <c r="AC46" i="27"/>
  <c r="AC36" i="27"/>
  <c r="AC24" i="27"/>
  <c r="AC51" i="27"/>
  <c r="AC55" i="27"/>
  <c r="AC47" i="27"/>
  <c r="AC58" i="27"/>
  <c r="BA47" i="27"/>
  <c r="AZ47" i="27"/>
  <c r="AO31" i="16"/>
  <c r="V47" i="31"/>
  <c r="W47" i="31" s="1"/>
  <c r="AZ49" i="1"/>
  <c r="BA49" i="1"/>
  <c r="AM17" i="16"/>
  <c r="AZ72" i="1"/>
  <c r="BA72" i="1"/>
  <c r="AV79" i="30"/>
  <c r="AW79" i="30" s="1"/>
  <c r="AU79" i="30"/>
  <c r="AT48" i="27"/>
  <c r="AU18" i="27"/>
  <c r="BA32" i="30"/>
  <c r="AZ32" i="30"/>
  <c r="AY73" i="27"/>
  <c r="AX73" i="27"/>
  <c r="BA35" i="27"/>
  <c r="AZ35" i="27"/>
  <c r="AH48" i="31"/>
  <c r="AZ15" i="27"/>
  <c r="BA15" i="27"/>
  <c r="B67" i="18"/>
  <c r="C64" i="18"/>
  <c r="AZ54" i="16"/>
  <c r="BA54" i="16"/>
  <c r="AZ31" i="16"/>
  <c r="BA31" i="16"/>
  <c r="AY83" i="31"/>
  <c r="AX83" i="31"/>
  <c r="AC50" i="17"/>
  <c r="AC76" i="17"/>
  <c r="AC31" i="17"/>
  <c r="AC10" i="17"/>
  <c r="AC72" i="17"/>
  <c r="AC47" i="17"/>
  <c r="AC46" i="17"/>
  <c r="AC21" i="17"/>
  <c r="AC6" i="17"/>
  <c r="AC75" i="17"/>
  <c r="AC78" i="17"/>
  <c r="AC40" i="17"/>
  <c r="AC32" i="17"/>
  <c r="AC60" i="17"/>
  <c r="AC42" i="17"/>
  <c r="AC15" i="17"/>
  <c r="AC36" i="17"/>
  <c r="AC56" i="17"/>
  <c r="AC63" i="17"/>
  <c r="AC68" i="17"/>
  <c r="AC34" i="17"/>
  <c r="AC8" i="17"/>
  <c r="AC58" i="17"/>
  <c r="AC23" i="17"/>
  <c r="AC16" i="17"/>
  <c r="AC45" i="17"/>
  <c r="AC52" i="17"/>
  <c r="AC39" i="17"/>
  <c r="AC29" i="17"/>
  <c r="AC43" i="17"/>
  <c r="AC65" i="17"/>
  <c r="AC37" i="17"/>
  <c r="AC71" i="17"/>
  <c r="AC14" i="17"/>
  <c r="AC7" i="17"/>
  <c r="AC77" i="17"/>
  <c r="AC38" i="17"/>
  <c r="AC49" i="17"/>
  <c r="AC59" i="17"/>
  <c r="AC41" i="17"/>
  <c r="AC35" i="17"/>
  <c r="AZ49" i="28"/>
  <c r="BA49" i="28"/>
  <c r="Y43" i="29"/>
  <c r="AC25" i="17"/>
  <c r="AZ38" i="17"/>
  <c r="BA38" i="17"/>
  <c r="AN54" i="17"/>
  <c r="AR54" i="17" s="1"/>
  <c r="AS54" i="17" s="1"/>
  <c r="X29" i="1"/>
  <c r="Y29" i="1" s="1"/>
  <c r="AB29" i="1"/>
  <c r="Q29" i="1"/>
  <c r="AX56" i="16"/>
  <c r="AY56" i="16"/>
  <c r="Y41" i="27"/>
  <c r="AQ61" i="29"/>
  <c r="AQ78" i="29"/>
  <c r="AQ74" i="29"/>
  <c r="AQ26" i="29"/>
  <c r="AQ25" i="29"/>
  <c r="AQ34" i="29"/>
  <c r="AQ21" i="29"/>
  <c r="AQ73" i="29"/>
  <c r="AQ36" i="29"/>
  <c r="AQ16" i="29"/>
  <c r="AQ65" i="29"/>
  <c r="AQ72" i="29"/>
  <c r="AQ7" i="29"/>
  <c r="AQ8" i="29"/>
  <c r="AQ20" i="29"/>
  <c r="AQ42" i="29"/>
  <c r="AQ68" i="29"/>
  <c r="AQ41" i="29"/>
  <c r="AQ30" i="29"/>
  <c r="AQ31" i="29"/>
  <c r="AQ77" i="29"/>
  <c r="BA55" i="17"/>
  <c r="AZ55" i="17"/>
  <c r="BA30" i="16"/>
  <c r="AZ30" i="16"/>
  <c r="AY34" i="31"/>
  <c r="AX34" i="31"/>
  <c r="AZ39" i="18"/>
  <c r="BA39" i="18"/>
  <c r="AS39" i="18"/>
  <c r="Y44" i="27"/>
  <c r="AA11" i="27"/>
  <c r="AA8" i="27"/>
  <c r="AA42" i="27"/>
  <c r="AA53" i="27"/>
  <c r="AA72" i="27"/>
  <c r="AA32" i="27"/>
  <c r="AA58" i="27"/>
  <c r="AA55" i="27"/>
  <c r="AA25" i="27"/>
  <c r="AA43" i="27"/>
  <c r="AA22" i="27"/>
  <c r="AA57" i="27"/>
  <c r="AA76" i="27"/>
  <c r="AA61" i="27"/>
  <c r="AA29" i="27"/>
  <c r="AA78" i="27"/>
  <c r="AA24" i="27"/>
  <c r="AA35" i="27"/>
  <c r="AA33" i="27"/>
  <c r="AA65" i="27"/>
  <c r="AA45" i="27"/>
  <c r="AA46" i="27"/>
  <c r="AA73" i="27"/>
  <c r="AA31" i="27"/>
  <c r="AA19" i="27"/>
  <c r="AA15" i="27"/>
  <c r="AA40" i="27"/>
  <c r="AA39" i="27"/>
  <c r="AA77" i="27"/>
  <c r="AA68" i="27"/>
  <c r="AA23" i="27"/>
  <c r="AA16" i="27"/>
  <c r="AA7" i="27"/>
  <c r="AA20" i="27"/>
  <c r="AA56" i="27"/>
  <c r="AA71" i="27"/>
  <c r="AA75" i="27"/>
  <c r="AA30" i="27"/>
  <c r="AA66" i="27"/>
  <c r="AA34" i="27"/>
  <c r="AA49" i="27"/>
  <c r="AA41" i="27"/>
  <c r="AA50" i="27"/>
  <c r="AA44" i="27"/>
  <c r="AA74" i="27"/>
  <c r="AP11" i="27"/>
  <c r="AQ30" i="27" s="1"/>
  <c r="AA26" i="27"/>
  <c r="AA28" i="27"/>
  <c r="AA37" i="27"/>
  <c r="AA6" i="27"/>
  <c r="AA27" i="27"/>
  <c r="AA9" i="27"/>
  <c r="AA38" i="27"/>
  <c r="AZ50" i="18"/>
  <c r="AS50" i="18"/>
  <c r="AP62" i="28"/>
  <c r="AA62" i="28"/>
  <c r="AX55" i="28"/>
  <c r="AY55" i="28"/>
  <c r="AM14" i="28"/>
  <c r="AM11" i="28"/>
  <c r="AM53" i="28"/>
  <c r="AM34" i="28"/>
  <c r="AM49" i="28"/>
  <c r="AM78" i="28"/>
  <c r="AM26" i="28"/>
  <c r="AM56" i="28"/>
  <c r="AM10" i="28"/>
  <c r="AM74" i="28"/>
  <c r="AM7" i="28"/>
  <c r="AM32" i="28"/>
  <c r="AM75" i="28"/>
  <c r="AM6" i="28"/>
  <c r="AM16" i="28"/>
  <c r="AM9" i="28"/>
  <c r="AM22" i="28"/>
  <c r="AM31" i="28"/>
  <c r="AM59" i="28"/>
  <c r="AM44" i="28"/>
  <c r="AM62" i="28"/>
  <c r="AM50" i="28"/>
  <c r="AM66" i="28"/>
  <c r="AM60" i="28"/>
  <c r="AM41" i="28"/>
  <c r="AM36" i="28"/>
  <c r="AM77" i="28"/>
  <c r="AM73" i="28"/>
  <c r="AM35" i="28"/>
  <c r="AM46" i="28"/>
  <c r="AM27" i="28"/>
  <c r="AM47" i="28"/>
  <c r="AM40" i="28"/>
  <c r="AM38" i="28"/>
  <c r="AM52" i="28"/>
  <c r="AM25" i="28"/>
  <c r="AM65" i="28"/>
  <c r="AM45" i="28"/>
  <c r="AM58" i="28"/>
  <c r="AM30" i="28"/>
  <c r="AM23" i="28"/>
  <c r="AM19" i="28"/>
  <c r="AM24" i="28"/>
  <c r="AM8" i="28"/>
  <c r="AM37" i="28"/>
  <c r="AM28" i="28"/>
  <c r="AM51" i="28"/>
  <c r="AM21" i="28"/>
  <c r="AM20" i="28"/>
  <c r="AM63" i="28"/>
  <c r="AM57" i="28"/>
  <c r="AM61" i="28"/>
  <c r="AM17" i="28"/>
  <c r="AM76" i="28"/>
  <c r="AM72" i="28"/>
  <c r="AM39" i="28"/>
  <c r="AM42" i="28"/>
  <c r="AM71" i="28"/>
  <c r="AM15" i="28"/>
  <c r="AM43" i="28"/>
  <c r="AM29" i="28"/>
  <c r="AM55" i="28"/>
  <c r="AZ9" i="1"/>
  <c r="BA9" i="1"/>
  <c r="AH48" i="1"/>
  <c r="AJ18" i="1"/>
  <c r="AI18" i="1"/>
  <c r="AL18" i="1"/>
  <c r="AM18" i="1" s="1"/>
  <c r="AZ34" i="1"/>
  <c r="BA34" i="1"/>
  <c r="AY17" i="17"/>
  <c r="AA32" i="28"/>
  <c r="Y28" i="29"/>
  <c r="AX30" i="27"/>
  <c r="AY24" i="29"/>
  <c r="AX24" i="29"/>
  <c r="BA45" i="31"/>
  <c r="AZ45" i="31"/>
  <c r="M18" i="31"/>
  <c r="L48" i="31"/>
  <c r="U27" i="1"/>
  <c r="X27" i="1"/>
  <c r="Y27" i="1" s="1"/>
  <c r="AB27" i="1"/>
  <c r="X52" i="1"/>
  <c r="Y52" i="1" s="1"/>
  <c r="AB52" i="1"/>
  <c r="Q52" i="1"/>
  <c r="BA30" i="27"/>
  <c r="AZ30" i="27"/>
  <c r="BA26" i="27"/>
  <c r="AZ26" i="27"/>
  <c r="AX24" i="17"/>
  <c r="AY24" i="17"/>
  <c r="AZ75" i="1"/>
  <c r="BA75" i="1"/>
  <c r="K64" i="27"/>
  <c r="J67" i="27"/>
  <c r="AQ36" i="17"/>
  <c r="AQ29" i="17"/>
  <c r="AX40" i="29"/>
  <c r="AY40" i="29"/>
  <c r="AZ53" i="30"/>
  <c r="BA53" i="30"/>
  <c r="AP39" i="31"/>
  <c r="AR9" i="31"/>
  <c r="C47" i="31"/>
  <c r="B48" i="31"/>
  <c r="P54" i="1"/>
  <c r="Z54" i="1"/>
  <c r="V54" i="1"/>
  <c r="W54" i="1" s="1"/>
  <c r="O54" i="1"/>
  <c r="AR26" i="17"/>
  <c r="AC26" i="17"/>
  <c r="BA71" i="18"/>
  <c r="AZ71" i="18"/>
  <c r="AS71" i="18"/>
  <c r="Y35" i="27"/>
  <c r="W10" i="27"/>
  <c r="W35" i="27"/>
  <c r="W56" i="27"/>
  <c r="W19" i="27"/>
  <c r="W62" i="27"/>
  <c r="W54" i="27"/>
  <c r="W41" i="27"/>
  <c r="W30" i="27"/>
  <c r="W28" i="27"/>
  <c r="W65" i="27"/>
  <c r="AO76" i="27"/>
  <c r="AO63" i="27"/>
  <c r="AO56" i="27"/>
  <c r="AO65" i="27"/>
  <c r="AO58" i="27"/>
  <c r="AO37" i="27"/>
  <c r="AO35" i="27"/>
  <c r="AO61" i="27"/>
  <c r="AO28" i="27"/>
  <c r="AO33" i="27"/>
  <c r="AO78" i="27"/>
  <c r="AO45" i="27"/>
  <c r="AO74" i="27"/>
  <c r="AO52" i="27"/>
  <c r="AO55" i="27"/>
  <c r="AO7" i="27"/>
  <c r="AO49" i="27"/>
  <c r="AO39" i="27"/>
  <c r="AO62" i="27"/>
  <c r="BA29" i="27"/>
  <c r="AQ30" i="17"/>
  <c r="AM47" i="29"/>
  <c r="AZ50" i="31"/>
  <c r="BA50" i="31"/>
  <c r="AN17" i="31"/>
  <c r="AR17" i="31" s="1"/>
  <c r="AK17" i="31"/>
  <c r="AP56" i="31"/>
  <c r="AA47" i="16"/>
  <c r="AP47" i="16"/>
  <c r="AL18" i="18"/>
  <c r="AM18" i="18" s="1"/>
  <c r="AD48" i="18"/>
  <c r="AE18" i="18"/>
  <c r="AZ49" i="27"/>
  <c r="BA49" i="27"/>
  <c r="AP62" i="31"/>
  <c r="AH48" i="16"/>
  <c r="AI18" i="16"/>
  <c r="AL18" i="16"/>
  <c r="AM18" i="16" s="1"/>
  <c r="AJ48" i="17"/>
  <c r="U48" i="16"/>
  <c r="T64" i="16"/>
  <c r="C64" i="17"/>
  <c r="B67" i="17"/>
  <c r="AC62" i="27"/>
  <c r="AY83" i="29"/>
  <c r="AX83" i="29"/>
  <c r="AB62" i="31"/>
  <c r="AZ39" i="31"/>
  <c r="BA39" i="31"/>
  <c r="AX6" i="31"/>
  <c r="AY6" i="31"/>
  <c r="AY27" i="31"/>
  <c r="I48" i="28"/>
  <c r="H64" i="28"/>
  <c r="AX8" i="28"/>
  <c r="AY8" i="28"/>
  <c r="AO54" i="16"/>
  <c r="AQ20" i="1"/>
  <c r="AQ42" i="1"/>
  <c r="AQ33" i="1"/>
  <c r="AQ52" i="1"/>
  <c r="AQ25" i="1"/>
  <c r="AX11" i="1"/>
  <c r="AQ19" i="1"/>
  <c r="AQ66" i="1"/>
  <c r="AQ28" i="1"/>
  <c r="AQ78" i="1"/>
  <c r="AQ56" i="1"/>
  <c r="AQ41" i="1"/>
  <c r="AQ49" i="1"/>
  <c r="AQ10" i="1"/>
  <c r="AQ45" i="1"/>
  <c r="AQ6" i="1"/>
  <c r="AQ35" i="1"/>
  <c r="AQ61" i="1"/>
  <c r="AQ29" i="1"/>
  <c r="AQ8" i="1"/>
  <c r="AQ71" i="1"/>
  <c r="AQ59" i="1"/>
  <c r="AQ31" i="1"/>
  <c r="AQ40" i="1"/>
  <c r="AQ74" i="1"/>
  <c r="AR17" i="1"/>
  <c r="AR46" i="1"/>
  <c r="AC46" i="1"/>
  <c r="AR54" i="30"/>
  <c r="BA74" i="16"/>
  <c r="AZ74" i="16"/>
  <c r="AX63" i="27"/>
  <c r="AY63" i="27"/>
  <c r="AV69" i="28"/>
  <c r="AW69" i="28" s="1"/>
  <c r="AZ46" i="31"/>
  <c r="BA46" i="31"/>
  <c r="AY55" i="31"/>
  <c r="AX55" i="31"/>
  <c r="AP7" i="31"/>
  <c r="AZ29" i="31"/>
  <c r="BA29" i="31"/>
  <c r="AX58" i="27"/>
  <c r="AY58" i="27"/>
  <c r="AY20" i="16"/>
  <c r="AX20" i="16"/>
  <c r="BA61" i="16"/>
  <c r="AZ61" i="16"/>
  <c r="AZ25" i="17"/>
  <c r="BA25" i="17"/>
  <c r="O18" i="27"/>
  <c r="N48" i="27"/>
  <c r="G18" i="28"/>
  <c r="F48" i="28"/>
  <c r="AY15" i="28"/>
  <c r="AX15" i="28"/>
  <c r="AM14" i="17"/>
  <c r="AM74" i="17"/>
  <c r="AM50" i="17"/>
  <c r="AM78" i="17"/>
  <c r="AM23" i="17"/>
  <c r="AM25" i="17"/>
  <c r="AM9" i="17"/>
  <c r="AM73" i="17"/>
  <c r="AM32" i="17"/>
  <c r="AM34" i="17"/>
  <c r="AM17" i="17"/>
  <c r="AM19" i="17"/>
  <c r="AM46" i="17"/>
  <c r="AM36" i="17"/>
  <c r="AM55" i="17"/>
  <c r="AM21" i="17"/>
  <c r="AM26" i="17"/>
  <c r="AM6" i="17"/>
  <c r="AM10" i="17"/>
  <c r="AM56" i="17"/>
  <c r="AQ32" i="29"/>
  <c r="Q48" i="18"/>
  <c r="P64" i="18"/>
  <c r="X48" i="18"/>
  <c r="Y48" i="18" s="1"/>
  <c r="AZ13" i="1"/>
  <c r="BA13" i="1"/>
  <c r="AZ8" i="18"/>
  <c r="AS8" i="18"/>
  <c r="BA8" i="18"/>
  <c r="AP52" i="31"/>
  <c r="AB47" i="31"/>
  <c r="G61" i="31"/>
  <c r="G38" i="31"/>
  <c r="G78" i="31"/>
  <c r="G63" i="31"/>
  <c r="G52" i="31"/>
  <c r="G74" i="31"/>
  <c r="G49" i="31"/>
  <c r="G26" i="31"/>
  <c r="Z11" i="31"/>
  <c r="AA19" i="31" s="1"/>
  <c r="F18" i="31"/>
  <c r="Z18" i="31" s="1"/>
  <c r="G23" i="31"/>
  <c r="G35" i="31"/>
  <c r="G40" i="31"/>
  <c r="G65" i="31"/>
  <c r="G8" i="31"/>
  <c r="G62" i="31"/>
  <c r="G55" i="31"/>
  <c r="G36" i="31"/>
  <c r="G33" i="31"/>
  <c r="G46" i="31"/>
  <c r="G16" i="31"/>
  <c r="G37" i="31"/>
  <c r="G15" i="31"/>
  <c r="G24" i="31"/>
  <c r="G41" i="31"/>
  <c r="G14" i="31"/>
  <c r="G73" i="31"/>
  <c r="G39" i="31"/>
  <c r="G58" i="31"/>
  <c r="G66" i="31"/>
  <c r="G60" i="31"/>
  <c r="G9" i="31"/>
  <c r="G20" i="31"/>
  <c r="G10" i="31"/>
  <c r="G59" i="31"/>
  <c r="G25" i="31"/>
  <c r="G31" i="31"/>
  <c r="G57" i="31"/>
  <c r="G21" i="31"/>
  <c r="G50" i="31"/>
  <c r="G7" i="31"/>
  <c r="G30" i="31"/>
  <c r="G75" i="31"/>
  <c r="G17" i="31"/>
  <c r="G76" i="31"/>
  <c r="G44" i="31"/>
  <c r="G45" i="31"/>
  <c r="G53" i="31"/>
  <c r="G29" i="31"/>
  <c r="G43" i="31"/>
  <c r="G34" i="31"/>
  <c r="G56" i="31"/>
  <c r="G28" i="31"/>
  <c r="G27" i="31"/>
  <c r="G68" i="31"/>
  <c r="G77" i="31"/>
  <c r="G72" i="31"/>
  <c r="G19" i="31"/>
  <c r="G42" i="31"/>
  <c r="G51" i="31"/>
  <c r="G71" i="31"/>
  <c r="G32" i="31"/>
  <c r="G11" i="31"/>
  <c r="G6" i="31"/>
  <c r="G54" i="31"/>
  <c r="G22" i="31"/>
  <c r="AX26" i="27"/>
  <c r="AY26" i="27"/>
  <c r="AO47" i="16"/>
  <c r="AR47" i="16"/>
  <c r="BA49" i="18"/>
  <c r="AS49" i="18"/>
  <c r="AZ49" i="18"/>
  <c r="N64" i="16"/>
  <c r="V48" i="16"/>
  <c r="W48" i="16" s="1"/>
  <c r="O48" i="16"/>
  <c r="C48" i="27"/>
  <c r="B64" i="27"/>
  <c r="AA52" i="27"/>
  <c r="AA51" i="28"/>
  <c r="AA72" i="28"/>
  <c r="AA39" i="28"/>
  <c r="AA46" i="28"/>
  <c r="AA41" i="28"/>
  <c r="AA30" i="28"/>
  <c r="AA7" i="28"/>
  <c r="AA34" i="28"/>
  <c r="AA43" i="28"/>
  <c r="AA78" i="28"/>
  <c r="AA68" i="28"/>
  <c r="AA44" i="28"/>
  <c r="AA77" i="28"/>
  <c r="AA38" i="28"/>
  <c r="AA73" i="28"/>
  <c r="AA16" i="28"/>
  <c r="AA6" i="28"/>
  <c r="AA27" i="28"/>
  <c r="AA60" i="28"/>
  <c r="AA21" i="28"/>
  <c r="AA10" i="28"/>
  <c r="AA45" i="28"/>
  <c r="AA52" i="28"/>
  <c r="AA50" i="28"/>
  <c r="AA66" i="28"/>
  <c r="AA23" i="28"/>
  <c r="AA9" i="28"/>
  <c r="AA75" i="28"/>
  <c r="AA29" i="28"/>
  <c r="AA63" i="28"/>
  <c r="AA37" i="28"/>
  <c r="AA22" i="28"/>
  <c r="AA14" i="28"/>
  <c r="AA71" i="28"/>
  <c r="AA25" i="28"/>
  <c r="AA36" i="28"/>
  <c r="AA74" i="28"/>
  <c r="AA55" i="28"/>
  <c r="AA20" i="28"/>
  <c r="AA53" i="28"/>
  <c r="AA24" i="28"/>
  <c r="AA31" i="28"/>
  <c r="AA76" i="28"/>
  <c r="AA56" i="28"/>
  <c r="AA42" i="28"/>
  <c r="AA65" i="28"/>
  <c r="AA33" i="28"/>
  <c r="AA58" i="28"/>
  <c r="AA40" i="28"/>
  <c r="AA54" i="28"/>
  <c r="AP11" i="28"/>
  <c r="AQ55" i="28" s="1"/>
  <c r="AX65" i="1"/>
  <c r="AY65" i="1"/>
  <c r="AY23" i="1"/>
  <c r="AQ23" i="1"/>
  <c r="AX23" i="1"/>
  <c r="AA15" i="28"/>
  <c r="BA35" i="1"/>
  <c r="AZ35" i="1"/>
  <c r="AQ34" i="1"/>
  <c r="B79" i="30"/>
  <c r="C79" i="30" s="1"/>
  <c r="C67" i="30"/>
  <c r="B69" i="30"/>
  <c r="C69" i="30" s="1"/>
  <c r="W47" i="27"/>
  <c r="X64" i="28"/>
  <c r="Y64" i="28" s="1"/>
  <c r="U64" i="28"/>
  <c r="T67" i="28"/>
  <c r="AT18" i="17"/>
  <c r="AU17" i="17"/>
  <c r="U54" i="31"/>
  <c r="X54" i="31"/>
  <c r="AB54" i="31"/>
  <c r="BA42" i="1"/>
  <c r="AQ63" i="27"/>
  <c r="AX59" i="28"/>
  <c r="AY59" i="28"/>
  <c r="U61" i="31"/>
  <c r="U16" i="31"/>
  <c r="U74" i="31"/>
  <c r="U6" i="31"/>
  <c r="U63" i="31"/>
  <c r="U45" i="31"/>
  <c r="U21" i="31"/>
  <c r="U60" i="31"/>
  <c r="U65" i="31"/>
  <c r="U22" i="31"/>
  <c r="U38" i="31"/>
  <c r="U11" i="31"/>
  <c r="U29" i="31"/>
  <c r="U41" i="31"/>
  <c r="U27" i="31"/>
  <c r="U33" i="31"/>
  <c r="U50" i="31"/>
  <c r="U57" i="31"/>
  <c r="U32" i="31"/>
  <c r="U19" i="31"/>
  <c r="U36" i="31"/>
  <c r="U53" i="31"/>
  <c r="U10" i="31"/>
  <c r="U25" i="31"/>
  <c r="U43" i="31"/>
  <c r="U14" i="31"/>
  <c r="U7" i="31"/>
  <c r="U73" i="31"/>
  <c r="U20" i="31"/>
  <c r="U72" i="31"/>
  <c r="U24" i="31"/>
  <c r="U46" i="31"/>
  <c r="U44" i="31"/>
  <c r="T18" i="31"/>
  <c r="X18" i="31" s="1"/>
  <c r="U40" i="31"/>
  <c r="U8" i="31"/>
  <c r="U51" i="31"/>
  <c r="U77" i="31"/>
  <c r="U78" i="31"/>
  <c r="U35" i="31"/>
  <c r="U31" i="31"/>
  <c r="U66" i="31"/>
  <c r="U59" i="31"/>
  <c r="U49" i="31"/>
  <c r="U42" i="31"/>
  <c r="U26" i="31"/>
  <c r="U34" i="31"/>
  <c r="U71" i="31"/>
  <c r="U23" i="31"/>
  <c r="U52" i="31"/>
  <c r="U28" i="31"/>
  <c r="U58" i="31"/>
  <c r="U68" i="31"/>
  <c r="U47" i="31"/>
  <c r="U55" i="31"/>
  <c r="U56" i="31"/>
  <c r="U17" i="31"/>
  <c r="U39" i="31"/>
  <c r="U75" i="31"/>
  <c r="U76" i="31"/>
  <c r="U30" i="31"/>
  <c r="U15" i="31"/>
  <c r="U37" i="31"/>
  <c r="X11" i="31"/>
  <c r="Y62" i="31" s="1"/>
  <c r="AB11" i="31"/>
  <c r="AC9" i="31" s="1"/>
  <c r="AZ40" i="30"/>
  <c r="BA40" i="30"/>
  <c r="E47" i="31"/>
  <c r="D48" i="31"/>
  <c r="AZ9" i="27"/>
  <c r="BA9" i="27"/>
  <c r="AZ24" i="18"/>
  <c r="BA24" i="18"/>
  <c r="AS24" i="18"/>
  <c r="BA54" i="29"/>
  <c r="AZ54" i="29"/>
  <c r="Y42" i="27"/>
  <c r="Y7" i="27"/>
  <c r="AM23" i="16"/>
  <c r="AM72" i="16"/>
  <c r="AM36" i="16"/>
  <c r="AM43" i="16"/>
  <c r="AM8" i="16"/>
  <c r="AM73" i="16"/>
  <c r="AM59" i="16"/>
  <c r="AM49" i="16"/>
  <c r="AM61" i="16"/>
  <c r="AM30" i="16"/>
  <c r="AM34" i="16"/>
  <c r="AM75" i="16"/>
  <c r="AM11" i="16"/>
  <c r="AM20" i="16"/>
  <c r="AM29" i="16"/>
  <c r="AM24" i="16"/>
  <c r="AM10" i="16"/>
  <c r="AM19" i="16"/>
  <c r="AM46" i="16"/>
  <c r="AM78" i="16"/>
  <c r="AM35" i="16"/>
  <c r="AM42" i="16"/>
  <c r="AM74" i="16"/>
  <c r="AM45" i="16"/>
  <c r="AM31" i="16"/>
  <c r="AM65" i="16"/>
  <c r="AM27" i="16"/>
  <c r="AM53" i="16"/>
  <c r="AM38" i="16"/>
  <c r="AM66" i="16"/>
  <c r="AM21" i="16"/>
  <c r="AM26" i="16"/>
  <c r="AM22" i="16"/>
  <c r="AM60" i="16"/>
  <c r="AM16" i="16"/>
  <c r="AM28" i="16"/>
  <c r="AM7" i="16"/>
  <c r="AM37" i="16"/>
  <c r="AM58" i="16"/>
  <c r="AM71" i="16"/>
  <c r="AM47" i="16"/>
  <c r="AM76" i="16"/>
  <c r="AM51" i="16"/>
  <c r="AM63" i="16"/>
  <c r="AM50" i="16"/>
  <c r="AM54" i="16"/>
  <c r="AM39" i="16"/>
  <c r="AM77" i="16"/>
  <c r="AM52" i="16"/>
  <c r="AM15" i="16"/>
  <c r="AM9" i="16"/>
  <c r="AM55" i="16"/>
  <c r="AM6" i="16"/>
  <c r="AM56" i="16"/>
  <c r="AM14" i="16"/>
  <c r="AX52" i="27"/>
  <c r="AY52" i="27"/>
  <c r="AX72" i="1"/>
  <c r="AY72" i="1"/>
  <c r="AX58" i="17"/>
  <c r="AY58" i="17"/>
  <c r="AC62" i="17"/>
  <c r="AM51" i="17"/>
  <c r="AZ61" i="27"/>
  <c r="BA61" i="27"/>
  <c r="AX56" i="17"/>
  <c r="AY56" i="17"/>
  <c r="AO17" i="16"/>
  <c r="AO57" i="16"/>
  <c r="AO18" i="17"/>
  <c r="AQ20" i="17"/>
  <c r="AQ24" i="29"/>
  <c r="AZ24" i="28"/>
  <c r="BA24" i="28"/>
  <c r="AZ22" i="31"/>
  <c r="BA22" i="31"/>
  <c r="G47" i="31"/>
  <c r="AZ44" i="27"/>
  <c r="BA44" i="27"/>
  <c r="AP53" i="31"/>
  <c r="AL47" i="31"/>
  <c r="AM47" i="31" s="1"/>
  <c r="AU48" i="16"/>
  <c r="AT64" i="16"/>
  <c r="Y15" i="27"/>
  <c r="AX22" i="16"/>
  <c r="AY22" i="16"/>
  <c r="AQ22" i="16"/>
  <c r="Y62" i="27"/>
  <c r="AC61" i="27"/>
  <c r="AY58" i="1"/>
  <c r="AX58" i="1"/>
  <c r="AQ58" i="1"/>
  <c r="AZ60" i="1"/>
  <c r="BA60" i="1"/>
  <c r="AT48" i="31"/>
  <c r="AY19" i="17"/>
  <c r="AX19" i="17"/>
  <c r="AC21" i="1"/>
  <c r="AR21" i="1"/>
  <c r="AY41" i="17"/>
  <c r="AX41" i="17"/>
  <c r="BA33" i="1"/>
  <c r="AZ33" i="1"/>
  <c r="M18" i="17"/>
  <c r="AB18" i="17"/>
  <c r="AC18" i="17" s="1"/>
  <c r="L48" i="17"/>
  <c r="AQ50" i="1"/>
  <c r="BA59" i="1"/>
  <c r="AZ59" i="1"/>
  <c r="AW18" i="17"/>
  <c r="AV48" i="17"/>
  <c r="AM18" i="29"/>
  <c r="AP18" i="29"/>
  <c r="AP28" i="18"/>
  <c r="AA28" i="18"/>
  <c r="E77" i="1"/>
  <c r="E46" i="1"/>
  <c r="E78" i="1"/>
  <c r="E58" i="1"/>
  <c r="E32" i="1"/>
  <c r="E31" i="1"/>
  <c r="E11" i="1"/>
  <c r="E15" i="1"/>
  <c r="E8" i="1"/>
  <c r="E50" i="1"/>
  <c r="E25" i="1"/>
  <c r="E41" i="1"/>
  <c r="E49" i="1"/>
  <c r="E29" i="1"/>
  <c r="E79" i="1"/>
  <c r="E10" i="1"/>
  <c r="E7" i="1"/>
  <c r="E28" i="1"/>
  <c r="E23" i="1"/>
  <c r="E59" i="1"/>
  <c r="E6" i="1"/>
  <c r="E37" i="1"/>
  <c r="E9" i="1"/>
  <c r="E65" i="1"/>
  <c r="E22" i="1"/>
  <c r="E60" i="1"/>
  <c r="E68" i="1"/>
  <c r="E24" i="1"/>
  <c r="E21" i="1"/>
  <c r="E36" i="1"/>
  <c r="E45" i="1"/>
  <c r="E63" i="1"/>
  <c r="E55" i="1"/>
  <c r="E74" i="1"/>
  <c r="E57" i="1"/>
  <c r="E34" i="1"/>
  <c r="E51" i="1"/>
  <c r="E20" i="1"/>
  <c r="E52" i="1"/>
  <c r="E43" i="1"/>
  <c r="E47" i="1"/>
  <c r="AR11" i="1"/>
  <c r="AS14" i="1" s="1"/>
  <c r="E62" i="1"/>
  <c r="E14" i="1"/>
  <c r="AF48" i="28"/>
  <c r="AG18" i="28"/>
  <c r="AN18" i="28"/>
  <c r="AO18" i="28" s="1"/>
  <c r="J64" i="28"/>
  <c r="K48" i="28"/>
  <c r="AA18" i="16"/>
  <c r="AO14" i="17"/>
  <c r="AO32" i="17"/>
  <c r="AO10" i="17"/>
  <c r="AO30" i="17"/>
  <c r="AO56" i="17"/>
  <c r="AO51" i="17"/>
  <c r="AO49" i="17"/>
  <c r="AO75" i="17"/>
  <c r="AO46" i="17"/>
  <c r="AO34" i="17"/>
  <c r="AO37" i="17"/>
  <c r="AO65" i="17"/>
  <c r="AO7" i="17"/>
  <c r="AO47" i="17"/>
  <c r="AO6" i="17"/>
  <c r="AO40" i="17"/>
  <c r="AO19" i="17"/>
  <c r="AO35" i="17"/>
  <c r="AO63" i="17"/>
  <c r="AO36" i="17"/>
  <c r="AO41" i="17"/>
  <c r="AO57" i="17"/>
  <c r="AO43" i="17"/>
  <c r="AO68" i="17"/>
  <c r="AO26" i="17"/>
  <c r="AO58" i="17"/>
  <c r="AO21" i="17"/>
  <c r="AO9" i="17"/>
  <c r="AO22" i="17"/>
  <c r="AO25" i="17"/>
  <c r="AO11" i="17"/>
  <c r="AO31" i="17"/>
  <c r="AO45" i="17"/>
  <c r="AO78" i="17"/>
  <c r="AO24" i="17"/>
  <c r="AO71" i="17"/>
  <c r="AO28" i="17"/>
  <c r="AO44" i="17"/>
  <c r="AO60" i="17"/>
  <c r="AO23" i="17"/>
  <c r="AO29" i="17"/>
  <c r="AO38" i="17"/>
  <c r="AO53" i="17"/>
  <c r="AO66" i="17"/>
  <c r="AO76" i="17"/>
  <c r="AO77" i="17"/>
  <c r="AO39" i="17"/>
  <c r="AO20" i="17"/>
  <c r="AO50" i="17"/>
  <c r="AO62" i="17"/>
  <c r="AO55" i="17"/>
  <c r="AO42" i="17"/>
  <c r="AO74" i="17"/>
  <c r="AO52" i="17"/>
  <c r="AO33" i="17"/>
  <c r="AO73" i="17"/>
  <c r="AO61" i="17"/>
  <c r="AO27" i="17"/>
  <c r="AO59" i="17"/>
  <c r="AO17" i="17"/>
  <c r="AO15" i="17"/>
  <c r="AO8" i="17"/>
  <c r="E67" i="18"/>
  <c r="D79" i="18"/>
  <c r="D69" i="18"/>
  <c r="I18" i="31"/>
  <c r="H48" i="31"/>
  <c r="AA18" i="28"/>
  <c r="Y17" i="16"/>
  <c r="AS44" i="17"/>
  <c r="AS35" i="17"/>
  <c r="AS57" i="17"/>
  <c r="AS60" i="17"/>
  <c r="AS37" i="17"/>
  <c r="AS58" i="17"/>
  <c r="AS41" i="17"/>
  <c r="AS19" i="17"/>
  <c r="AS73" i="17"/>
  <c r="AS11" i="17"/>
  <c r="AS38" i="17"/>
  <c r="AS65" i="17"/>
  <c r="AS29" i="17"/>
  <c r="AS20" i="17"/>
  <c r="AS46" i="17"/>
  <c r="AS32" i="17"/>
  <c r="AS78" i="17"/>
  <c r="AS10" i="17"/>
  <c r="AS34" i="17"/>
  <c r="AS52" i="17"/>
  <c r="AS15" i="17"/>
  <c r="BA11" i="17"/>
  <c r="AS77" i="17"/>
  <c r="AS68" i="17"/>
  <c r="AS66" i="17"/>
  <c r="AZ11" i="17"/>
  <c r="AS33" i="17"/>
  <c r="AS26" i="17"/>
  <c r="AS56" i="17"/>
  <c r="AS50" i="17"/>
  <c r="AS8" i="17"/>
  <c r="AS55" i="17"/>
  <c r="AS21" i="17"/>
  <c r="AS27" i="17"/>
  <c r="AS59" i="17"/>
  <c r="AS14" i="17"/>
  <c r="AS24" i="17"/>
  <c r="AS63" i="17"/>
  <c r="AS40" i="17"/>
  <c r="AS75" i="17"/>
  <c r="AS39" i="17"/>
  <c r="AS42" i="17"/>
  <c r="AS61" i="17"/>
  <c r="AS9" i="17"/>
  <c r="AS25" i="17"/>
  <c r="AS22" i="17"/>
  <c r="AS36" i="17"/>
  <c r="AS30" i="17"/>
  <c r="AS23" i="17"/>
  <c r="AS74" i="17"/>
  <c r="AS45" i="17"/>
  <c r="AS31" i="17"/>
  <c r="AS16" i="17"/>
  <c r="AS51" i="17"/>
  <c r="AS49" i="17"/>
  <c r="AO62" i="28"/>
  <c r="AP11" i="30"/>
  <c r="AQ51" i="30" s="1"/>
  <c r="C18" i="1"/>
  <c r="D18" i="1"/>
  <c r="B48" i="1"/>
  <c r="E73" i="1"/>
  <c r="Y30" i="16"/>
  <c r="Y25" i="16"/>
  <c r="Y68" i="16"/>
  <c r="Y15" i="16"/>
  <c r="Y36" i="16"/>
  <c r="Y59" i="16"/>
  <c r="Y65" i="16"/>
  <c r="Y77" i="16"/>
  <c r="Y45" i="16"/>
  <c r="Y20" i="16"/>
  <c r="Y52" i="16"/>
  <c r="Y73" i="16"/>
  <c r="Y55" i="16"/>
  <c r="Y75" i="16"/>
  <c r="Y23" i="16"/>
  <c r="Y31" i="16"/>
  <c r="Y37" i="16"/>
  <c r="Y76" i="16"/>
  <c r="Y46" i="16"/>
  <c r="Y29" i="16"/>
  <c r="Y74" i="16"/>
  <c r="Y61" i="16"/>
  <c r="Y43" i="16"/>
  <c r="Y42" i="16"/>
  <c r="Y14" i="16"/>
  <c r="Y50" i="16"/>
  <c r="Y44" i="16"/>
  <c r="Y27" i="16"/>
  <c r="Y7" i="16"/>
  <c r="Y51" i="16"/>
  <c r="Y66" i="16"/>
  <c r="Y40" i="16"/>
  <c r="Y33" i="16"/>
  <c r="Y72" i="16"/>
  <c r="Y35" i="16"/>
  <c r="Y19" i="16"/>
  <c r="Y53" i="16"/>
  <c r="Y54" i="16"/>
  <c r="Y11" i="16"/>
  <c r="Y71" i="16"/>
  <c r="Y22" i="16"/>
  <c r="Y78" i="16"/>
  <c r="Y10" i="16"/>
  <c r="Y60" i="16"/>
  <c r="Y32" i="16"/>
  <c r="Y58" i="16"/>
  <c r="Y8" i="16"/>
  <c r="Y47" i="16"/>
  <c r="Y49" i="16"/>
  <c r="Y63" i="16"/>
  <c r="Y24" i="16"/>
  <c r="Y39" i="16"/>
  <c r="Y9" i="16"/>
  <c r="Y26" i="16"/>
  <c r="Y56" i="16"/>
  <c r="Y41" i="16"/>
  <c r="Y38" i="16"/>
  <c r="Y21" i="16"/>
  <c r="Y16" i="16"/>
  <c r="Y6" i="16"/>
  <c r="Y34" i="16"/>
  <c r="AQ65" i="16"/>
  <c r="AX65" i="16"/>
  <c r="AY65" i="16"/>
  <c r="AR17" i="18"/>
  <c r="AC17" i="18"/>
  <c r="E48" i="27"/>
  <c r="D64" i="27"/>
  <c r="AZ14" i="1"/>
  <c r="BA14" i="1"/>
  <c r="AZ45" i="1"/>
  <c r="BA45" i="1"/>
  <c r="AG79" i="18"/>
  <c r="AY8" i="27"/>
  <c r="AX8" i="27"/>
  <c r="AQ8" i="27"/>
  <c r="T18" i="1"/>
  <c r="S18" i="1"/>
  <c r="R48" i="1"/>
  <c r="Z48" i="1" s="1"/>
  <c r="AA48" i="1" s="1"/>
  <c r="V18" i="1"/>
  <c r="W18" i="1" s="1"/>
  <c r="E56" i="1"/>
  <c r="AY50" i="28"/>
  <c r="AX50" i="28"/>
  <c r="E39" i="1"/>
  <c r="AZ81" i="29"/>
  <c r="BA81" i="29"/>
  <c r="AM54" i="28"/>
  <c r="AP54" i="28"/>
  <c r="N64" i="28"/>
  <c r="O48" i="28"/>
  <c r="Z48" i="16"/>
  <c r="F64" i="16"/>
  <c r="G48" i="16"/>
  <c r="I67" i="17"/>
  <c r="H69" i="17"/>
  <c r="E30" i="1"/>
  <c r="AY51" i="30"/>
  <c r="AX51" i="30"/>
  <c r="AZ49" i="31"/>
  <c r="BA49" i="31"/>
  <c r="AY81" i="29"/>
  <c r="AX81" i="29"/>
  <c r="BA54" i="27"/>
  <c r="AZ54" i="27"/>
  <c r="AS54" i="27"/>
  <c r="AA54" i="17"/>
  <c r="AP54" i="17"/>
  <c r="AS7" i="17"/>
  <c r="AO47" i="28"/>
  <c r="AY54" i="27"/>
  <c r="AQ54" i="27"/>
  <c r="AX54" i="27"/>
  <c r="AU67" i="18"/>
  <c r="AT79" i="18"/>
  <c r="AT69" i="18"/>
  <c r="AU69" i="18" s="1"/>
  <c r="AG69" i="18"/>
  <c r="AJ67" i="29"/>
  <c r="AK64" i="29"/>
  <c r="S18" i="31"/>
  <c r="R48" i="31"/>
  <c r="V48" i="31" s="1"/>
  <c r="W48" i="31" s="1"/>
  <c r="AX54" i="29"/>
  <c r="AY54" i="29"/>
  <c r="AQ54" i="29"/>
  <c r="BA29" i="29"/>
  <c r="AZ29" i="29"/>
  <c r="AQ21" i="28"/>
  <c r="AX21" i="28"/>
  <c r="AY21" i="28"/>
  <c r="E42" i="1"/>
  <c r="AO27" i="31"/>
  <c r="AO34" i="31"/>
  <c r="AO42" i="31"/>
  <c r="AO26" i="31"/>
  <c r="AO49" i="31"/>
  <c r="AO29" i="31"/>
  <c r="AO15" i="31"/>
  <c r="AO9" i="31"/>
  <c r="AO41" i="31"/>
  <c r="AO50" i="31"/>
  <c r="AO25" i="31"/>
  <c r="AO76" i="31"/>
  <c r="AO36" i="31"/>
  <c r="AO56" i="31"/>
  <c r="AO40" i="31"/>
  <c r="AO78" i="31"/>
  <c r="AO60" i="31"/>
  <c r="AO77" i="31"/>
  <c r="AO22" i="31"/>
  <c r="AO73" i="31"/>
  <c r="AO72" i="31"/>
  <c r="AO65" i="31"/>
  <c r="AO55" i="31"/>
  <c r="AO19" i="31"/>
  <c r="AO43" i="31"/>
  <c r="AO24" i="31"/>
  <c r="AO66" i="31"/>
  <c r="AO11" i="31"/>
  <c r="AO58" i="31"/>
  <c r="AO68" i="31"/>
  <c r="AO7" i="31"/>
  <c r="AO57" i="31"/>
  <c r="AO14" i="31"/>
  <c r="AO71" i="31"/>
  <c r="AO23" i="31"/>
  <c r="AO33" i="31"/>
  <c r="AO45" i="31"/>
  <c r="AO52" i="31"/>
  <c r="AO39" i="31"/>
  <c r="AO31" i="31"/>
  <c r="AO35" i="31"/>
  <c r="AO32" i="31"/>
  <c r="AO30" i="31"/>
  <c r="AO46" i="31"/>
  <c r="AO37" i="31"/>
  <c r="AO38" i="31"/>
  <c r="AO51" i="31"/>
  <c r="AO61" i="31"/>
  <c r="AO21" i="31"/>
  <c r="AO59" i="31"/>
  <c r="AO54" i="31"/>
  <c r="AO44" i="31"/>
  <c r="AO28" i="31"/>
  <c r="AO10" i="31"/>
  <c r="AO63" i="31"/>
  <c r="AO20" i="31"/>
  <c r="AO74" i="31"/>
  <c r="Z18" i="30"/>
  <c r="F48" i="30"/>
  <c r="G18" i="30"/>
  <c r="E66" i="1"/>
  <c r="AP17" i="30"/>
  <c r="AA17" i="30"/>
  <c r="E40" i="1"/>
  <c r="AZ14" i="27"/>
  <c r="BA14" i="27"/>
  <c r="AS14" i="27"/>
  <c r="AD48" i="30"/>
  <c r="AE18" i="30"/>
  <c r="AL18" i="30"/>
  <c r="AM18" i="30" s="1"/>
  <c r="P64" i="1"/>
  <c r="O64" i="1"/>
  <c r="N67" i="1"/>
  <c r="AI64" i="27"/>
  <c r="AH67" i="27"/>
  <c r="L79" i="29"/>
  <c r="M79" i="29" s="1"/>
  <c r="L69" i="29"/>
  <c r="M69" i="29" s="1"/>
  <c r="M67" i="29"/>
  <c r="AP33" i="31"/>
  <c r="AW19" i="1"/>
  <c r="AW37" i="1"/>
  <c r="AW60" i="1"/>
  <c r="AW76" i="1"/>
  <c r="AW74" i="1"/>
  <c r="AW52" i="1"/>
  <c r="AW10" i="1"/>
  <c r="AW26" i="1"/>
  <c r="AW56" i="1"/>
  <c r="AW23" i="1"/>
  <c r="AW24" i="1"/>
  <c r="AW54" i="1"/>
  <c r="AW63" i="1"/>
  <c r="AW65" i="1"/>
  <c r="AW22" i="1"/>
  <c r="AW11" i="1"/>
  <c r="AW42" i="1"/>
  <c r="AW36" i="1"/>
  <c r="AW43" i="1"/>
  <c r="AW34" i="1"/>
  <c r="AW38" i="1"/>
  <c r="AW39" i="1"/>
  <c r="AW33" i="1"/>
  <c r="AW20" i="1"/>
  <c r="AW40" i="1"/>
  <c r="AW71" i="1"/>
  <c r="AW51" i="1"/>
  <c r="AW46" i="1"/>
  <c r="AW78" i="1"/>
  <c r="AW50" i="1"/>
  <c r="AW9" i="1"/>
  <c r="AW6" i="1"/>
  <c r="AW29" i="1"/>
  <c r="AW27" i="1"/>
  <c r="AW35" i="1"/>
  <c r="AW15" i="1"/>
  <c r="AW28" i="1"/>
  <c r="AW55" i="1"/>
  <c r="AW68" i="1"/>
  <c r="AW30" i="1"/>
  <c r="AW14" i="1"/>
  <c r="AW58" i="1"/>
  <c r="AW45" i="1"/>
  <c r="AW21" i="1"/>
  <c r="AW59" i="1"/>
  <c r="AW44" i="1"/>
  <c r="AW47" i="1"/>
  <c r="AW53" i="1"/>
  <c r="AW57" i="1"/>
  <c r="AW73" i="1"/>
  <c r="AW8" i="1"/>
  <c r="AW61" i="1"/>
  <c r="AW41" i="1"/>
  <c r="AW49" i="1"/>
  <c r="AW62" i="1"/>
  <c r="AW72" i="1"/>
  <c r="AW75" i="1"/>
  <c r="AW66" i="1"/>
  <c r="AW16" i="1"/>
  <c r="AW25" i="1"/>
  <c r="AW32" i="1"/>
  <c r="AW31" i="1"/>
  <c r="AW7" i="1"/>
  <c r="AW17" i="1"/>
  <c r="AW77" i="1"/>
  <c r="AY42" i="18"/>
  <c r="AX42" i="18"/>
  <c r="E72" i="1"/>
  <c r="AX77" i="16"/>
  <c r="AY77" i="16"/>
  <c r="AQ77" i="16"/>
  <c r="S54" i="31"/>
  <c r="Z54" i="31"/>
  <c r="V54" i="31"/>
  <c r="W54" i="31" s="1"/>
  <c r="AP26" i="28"/>
  <c r="AA26" i="28"/>
  <c r="AX6" i="29"/>
  <c r="AY6" i="29"/>
  <c r="AQ6" i="29"/>
  <c r="AP83" i="28"/>
  <c r="AR83" i="28"/>
  <c r="E53" i="1"/>
  <c r="BA78" i="18"/>
  <c r="AZ78" i="18"/>
  <c r="AS78" i="18"/>
  <c r="E17" i="1"/>
  <c r="AY36" i="27"/>
  <c r="AX36" i="27"/>
  <c r="AQ36" i="27"/>
  <c r="AS62" i="17"/>
  <c r="E33" i="1"/>
  <c r="E38" i="1"/>
  <c r="AC65" i="29"/>
  <c r="AC57" i="29"/>
  <c r="AC62" i="29"/>
  <c r="AC44" i="29"/>
  <c r="AC56" i="29"/>
  <c r="AC27" i="29"/>
  <c r="AC68" i="29"/>
  <c r="AC50" i="29"/>
  <c r="AC25" i="29"/>
  <c r="AC78" i="29"/>
  <c r="AC45" i="29"/>
  <c r="AC20" i="29"/>
  <c r="AC37" i="29"/>
  <c r="AC73" i="29"/>
  <c r="AC36" i="29"/>
  <c r="AC19" i="29"/>
  <c r="AC34" i="29"/>
  <c r="AC15" i="29"/>
  <c r="AC53" i="29"/>
  <c r="AC32" i="29"/>
  <c r="AC72" i="29"/>
  <c r="AC21" i="29"/>
  <c r="AC58" i="29"/>
  <c r="AC14" i="29"/>
  <c r="AC39" i="29"/>
  <c r="AC55" i="29"/>
  <c r="AC30" i="29"/>
  <c r="AC11" i="29"/>
  <c r="AC51" i="29"/>
  <c r="AC16" i="29"/>
  <c r="AC75" i="29"/>
  <c r="AC60" i="29"/>
  <c r="AC24" i="29"/>
  <c r="AC74" i="29"/>
  <c r="AC49" i="29"/>
  <c r="AC33" i="29"/>
  <c r="AC63" i="29"/>
  <c r="AC29" i="29"/>
  <c r="AC61" i="29"/>
  <c r="AC38" i="29"/>
  <c r="AC76" i="29"/>
  <c r="AC40" i="29"/>
  <c r="AC6" i="29"/>
  <c r="AC8" i="29"/>
  <c r="AC9" i="29"/>
  <c r="AC7" i="29"/>
  <c r="AC41" i="29"/>
  <c r="AC10" i="29"/>
  <c r="AC71" i="29"/>
  <c r="AC52" i="29"/>
  <c r="AC31" i="29"/>
  <c r="AC59" i="29"/>
  <c r="AC42" i="29"/>
  <c r="AC28" i="29"/>
  <c r="AC46" i="29"/>
  <c r="AC26" i="29"/>
  <c r="AC66" i="29"/>
  <c r="AC22" i="29"/>
  <c r="AC35" i="29"/>
  <c r="AR11" i="29"/>
  <c r="AC17" i="29"/>
  <c r="AC43" i="29"/>
  <c r="AC77" i="29"/>
  <c r="Y28" i="16"/>
  <c r="Z18" i="1"/>
  <c r="AA18" i="1" s="1"/>
  <c r="AZ15" i="1"/>
  <c r="BA15" i="1"/>
  <c r="AY60" i="17"/>
  <c r="AX60" i="17"/>
  <c r="AQ60" i="17"/>
  <c r="AS71" i="17"/>
  <c r="AK48" i="18"/>
  <c r="AJ64" i="18"/>
  <c r="L67" i="27"/>
  <c r="M64" i="27"/>
  <c r="O79" i="30"/>
  <c r="V79" i="30"/>
  <c r="W79" i="30" s="1"/>
  <c r="AZ27" i="28"/>
  <c r="BA27" i="28"/>
  <c r="BA83" i="27"/>
  <c r="AZ83" i="27"/>
  <c r="AN62" i="31"/>
  <c r="AO62" i="31" s="1"/>
  <c r="AG62" i="31"/>
  <c r="S18" i="18"/>
  <c r="R48" i="18"/>
  <c r="V18" i="18"/>
  <c r="W18" i="18" s="1"/>
  <c r="AZ76" i="27"/>
  <c r="BA76" i="27"/>
  <c r="AS76" i="27"/>
  <c r="AY31" i="16"/>
  <c r="AX31" i="16"/>
  <c r="AQ31" i="16"/>
  <c r="AZ56" i="29"/>
  <c r="BA56" i="29"/>
  <c r="E44" i="1"/>
  <c r="AX37" i="31"/>
  <c r="AY37" i="31"/>
  <c r="E16" i="1"/>
  <c r="AC23" i="29"/>
  <c r="AZ25" i="27"/>
  <c r="BA25" i="27"/>
  <c r="AS25" i="27"/>
  <c r="AS6" i="17"/>
  <c r="T64" i="17"/>
  <c r="X48" i="17"/>
  <c r="Y48" i="17" s="1"/>
  <c r="U48" i="17"/>
  <c r="AS47" i="17"/>
  <c r="AO16" i="17"/>
  <c r="AY62" i="30"/>
  <c r="AX62" i="30"/>
  <c r="AQ62" i="30"/>
  <c r="AS63" i="30"/>
  <c r="BA11" i="30"/>
  <c r="AS33" i="30"/>
  <c r="AS43" i="30"/>
  <c r="AS78" i="30"/>
  <c r="AS72" i="30"/>
  <c r="AS75" i="30"/>
  <c r="AS73" i="30"/>
  <c r="AS36" i="30"/>
  <c r="AS44" i="30"/>
  <c r="AS27" i="30"/>
  <c r="AS68" i="30"/>
  <c r="AS26" i="30"/>
  <c r="AS61" i="30"/>
  <c r="AS14" i="30"/>
  <c r="AS11" i="30"/>
  <c r="AS10" i="30"/>
  <c r="AS77" i="30"/>
  <c r="AS20" i="30"/>
  <c r="AS74" i="30"/>
  <c r="AS65" i="30"/>
  <c r="AS37" i="30"/>
  <c r="AS40" i="30"/>
  <c r="AS9" i="30"/>
  <c r="AS7" i="30"/>
  <c r="AS46" i="30"/>
  <c r="AS24" i="30"/>
  <c r="AS19" i="30"/>
  <c r="AS56" i="30"/>
  <c r="AS8" i="30"/>
  <c r="AS30" i="30"/>
  <c r="AS28" i="30"/>
  <c r="AS55" i="30"/>
  <c r="AS59" i="30"/>
  <c r="AS16" i="30"/>
  <c r="AS21" i="30"/>
  <c r="AS29" i="30"/>
  <c r="AS15" i="30"/>
  <c r="AS66" i="30"/>
  <c r="AS57" i="30"/>
  <c r="AS51" i="30"/>
  <c r="AS58" i="30"/>
  <c r="AS42" i="30"/>
  <c r="AS60" i="30"/>
  <c r="AS45" i="30"/>
  <c r="AS34" i="30"/>
  <c r="AS52" i="30"/>
  <c r="AS22" i="30"/>
  <c r="AS50" i="30"/>
  <c r="AS35" i="30"/>
  <c r="AS71" i="30"/>
  <c r="AZ11" i="30"/>
  <c r="AS6" i="30"/>
  <c r="AS38" i="30"/>
  <c r="AS32" i="30"/>
  <c r="AS49" i="30"/>
  <c r="AS76" i="30"/>
  <c r="AS23" i="30"/>
  <c r="AS53" i="30"/>
  <c r="AS41" i="30"/>
  <c r="O69" i="30"/>
  <c r="V69" i="30"/>
  <c r="W69" i="30" s="1"/>
  <c r="AY49" i="28"/>
  <c r="AX49" i="28"/>
  <c r="AQ49" i="28"/>
  <c r="F64" i="1"/>
  <c r="H48" i="1"/>
  <c r="G48" i="1"/>
  <c r="AC22" i="28"/>
  <c r="AC37" i="28"/>
  <c r="AC28" i="28"/>
  <c r="AC38" i="28"/>
  <c r="AC53" i="28"/>
  <c r="AC30" i="28"/>
  <c r="AC43" i="28"/>
  <c r="AC62" i="28"/>
  <c r="AC68" i="28"/>
  <c r="AC42" i="28"/>
  <c r="AC34" i="28"/>
  <c r="AC6" i="28"/>
  <c r="AC11" i="28"/>
  <c r="AC45" i="28"/>
  <c r="AC40" i="28"/>
  <c r="AC8" i="28"/>
  <c r="AC55" i="28"/>
  <c r="AC39" i="28"/>
  <c r="AC54" i="28"/>
  <c r="AC77" i="28"/>
  <c r="AC24" i="28"/>
  <c r="AC33" i="28"/>
  <c r="AC50" i="28"/>
  <c r="AC36" i="28"/>
  <c r="AC74" i="28"/>
  <c r="AC61" i="28"/>
  <c r="AC19" i="28"/>
  <c r="AC46" i="28"/>
  <c r="AC25" i="28"/>
  <c r="AC31" i="28"/>
  <c r="AC35" i="28"/>
  <c r="AC44" i="28"/>
  <c r="AC17" i="28"/>
  <c r="AC59" i="28"/>
  <c r="AC41" i="28"/>
  <c r="AC52" i="28"/>
  <c r="AC76" i="28"/>
  <c r="AC63" i="28"/>
  <c r="AC26" i="28"/>
  <c r="AC21" i="28"/>
  <c r="AC32" i="28"/>
  <c r="AC9" i="28"/>
  <c r="AC29" i="28"/>
  <c r="AC58" i="28"/>
  <c r="AC15" i="28"/>
  <c r="AC75" i="28"/>
  <c r="AR11" i="28"/>
  <c r="AC56" i="28"/>
  <c r="AC51" i="28"/>
  <c r="AC20" i="28"/>
  <c r="AC72" i="28"/>
  <c r="AC78" i="28"/>
  <c r="AC71" i="28"/>
  <c r="AC7" i="28"/>
  <c r="AC27" i="28"/>
  <c r="AC57" i="28"/>
  <c r="AC49" i="28"/>
  <c r="AC23" i="28"/>
  <c r="AC73" i="28"/>
  <c r="AC65" i="28"/>
  <c r="AC16" i="28"/>
  <c r="AC60" i="28"/>
  <c r="AC14" i="28"/>
  <c r="AC10" i="28"/>
  <c r="AC66" i="28"/>
  <c r="AD64" i="29"/>
  <c r="AE48" i="29"/>
  <c r="X18" i="27"/>
  <c r="Y18" i="27" s="1"/>
  <c r="AB18" i="27"/>
  <c r="U18" i="27"/>
  <c r="T48" i="27"/>
  <c r="AB48" i="27" s="1"/>
  <c r="AC48" i="27" s="1"/>
  <c r="E19" i="1"/>
  <c r="AA17" i="28"/>
  <c r="AP17" i="28"/>
  <c r="Y10" i="29"/>
  <c r="Y19" i="29"/>
  <c r="Y59" i="29"/>
  <c r="Y75" i="29"/>
  <c r="Y26" i="29"/>
  <c r="Y57" i="29"/>
  <c r="Y72" i="29"/>
  <c r="Y62" i="29"/>
  <c r="Y16" i="29"/>
  <c r="Y66" i="29"/>
  <c r="Y39" i="29"/>
  <c r="Y30" i="29"/>
  <c r="Y58" i="29"/>
  <c r="Y7" i="29"/>
  <c r="Y32" i="29"/>
  <c r="Y63" i="29"/>
  <c r="Y31" i="29"/>
  <c r="Y38" i="29"/>
  <c r="Y6" i="29"/>
  <c r="Y40" i="29"/>
  <c r="Y22" i="29"/>
  <c r="Y33" i="29"/>
  <c r="Y41" i="29"/>
  <c r="Y49" i="29"/>
  <c r="Y73" i="29"/>
  <c r="Y24" i="29"/>
  <c r="Y55" i="29"/>
  <c r="Y76" i="29"/>
  <c r="Y52" i="29"/>
  <c r="Y20" i="29"/>
  <c r="Y14" i="29"/>
  <c r="Y8" i="29"/>
  <c r="Y35" i="29"/>
  <c r="Y42" i="29"/>
  <c r="Y53" i="29"/>
  <c r="Y45" i="29"/>
  <c r="Y11" i="29"/>
  <c r="Y25" i="29"/>
  <c r="Y74" i="29"/>
  <c r="Y23" i="29"/>
  <c r="Y44" i="29"/>
  <c r="Y27" i="29"/>
  <c r="Y61" i="29"/>
  <c r="Y78" i="29"/>
  <c r="Y65" i="29"/>
  <c r="Y21" i="29"/>
  <c r="Y50" i="29"/>
  <c r="Y34" i="29"/>
  <c r="Y46" i="29"/>
  <c r="Y68" i="29"/>
  <c r="Y51" i="29"/>
  <c r="Y9" i="29"/>
  <c r="Y36" i="29"/>
  <c r="Y37" i="29"/>
  <c r="Y15" i="29"/>
  <c r="Y56" i="29"/>
  <c r="Y60" i="29"/>
  <c r="Y77" i="29"/>
  <c r="Y29" i="29"/>
  <c r="Y17" i="29"/>
  <c r="U18" i="29"/>
  <c r="T48" i="29"/>
  <c r="X48" i="29" s="1"/>
  <c r="Y48" i="29" s="1"/>
  <c r="E75" i="1"/>
  <c r="Y71" i="29"/>
  <c r="AO47" i="31"/>
  <c r="AN18" i="31"/>
  <c r="AO18" i="31" s="1"/>
  <c r="AG18" i="31"/>
  <c r="AF48" i="31"/>
  <c r="E76" i="1"/>
  <c r="BA6" i="31"/>
  <c r="AZ6" i="31"/>
  <c r="AO53" i="31"/>
  <c r="E54" i="1"/>
  <c r="I18" i="16"/>
  <c r="H48" i="16"/>
  <c r="AB18" i="16"/>
  <c r="AF48" i="16"/>
  <c r="AG18" i="16"/>
  <c r="AN18" i="16"/>
  <c r="AO18" i="16" s="1"/>
  <c r="AZ14" i="28"/>
  <c r="BA14" i="28"/>
  <c r="AP62" i="17"/>
  <c r="AA62" i="17"/>
  <c r="P64" i="29"/>
  <c r="Q48" i="29"/>
  <c r="AL17" i="31"/>
  <c r="AE17" i="31"/>
  <c r="AD18" i="31"/>
  <c r="I18" i="18"/>
  <c r="H48" i="18"/>
  <c r="AB18" i="18"/>
  <c r="AC17" i="16"/>
  <c r="AR17" i="16"/>
  <c r="I48" i="27"/>
  <c r="H64" i="27"/>
  <c r="AY62" i="27"/>
  <c r="AQ62" i="27"/>
  <c r="AX62" i="27"/>
  <c r="AP47" i="28"/>
  <c r="AA47" i="28"/>
  <c r="AY59" i="27"/>
  <c r="AX59" i="27"/>
  <c r="AQ59" i="27"/>
  <c r="AZ22" i="1"/>
  <c r="BA22" i="1"/>
  <c r="AQ68" i="17"/>
  <c r="AQ8" i="17"/>
  <c r="AQ11" i="17"/>
  <c r="AQ56" i="17"/>
  <c r="AQ33" i="17"/>
  <c r="AQ49" i="17"/>
  <c r="AQ78" i="17"/>
  <c r="AQ31" i="17"/>
  <c r="AQ23" i="17"/>
  <c r="AQ35" i="17"/>
  <c r="AQ71" i="17"/>
  <c r="AX11" i="17"/>
  <c r="AQ77" i="17"/>
  <c r="AQ21" i="17"/>
  <c r="AQ39" i="17"/>
  <c r="AQ22" i="17"/>
  <c r="AQ34" i="17"/>
  <c r="AQ53" i="17"/>
  <c r="AQ27" i="17"/>
  <c r="AQ63" i="17"/>
  <c r="AQ10" i="17"/>
  <c r="AQ72" i="17"/>
  <c r="AQ61" i="17"/>
  <c r="AQ75" i="17"/>
  <c r="AQ51" i="17"/>
  <c r="AQ58" i="17"/>
  <c r="AQ44" i="17"/>
  <c r="AQ9" i="17"/>
  <c r="AQ40" i="17"/>
  <c r="AQ38" i="17"/>
  <c r="AQ41" i="17"/>
  <c r="AQ19" i="17"/>
  <c r="AQ24" i="17"/>
  <c r="AQ32" i="17"/>
  <c r="AQ6" i="17"/>
  <c r="AY11" i="17"/>
  <c r="AQ16" i="17"/>
  <c r="AQ52" i="17"/>
  <c r="AQ73" i="17"/>
  <c r="AQ15" i="17"/>
  <c r="AQ74" i="17"/>
  <c r="AQ65" i="17"/>
  <c r="AQ55" i="17"/>
  <c r="AQ66" i="17"/>
  <c r="AQ17" i="17"/>
  <c r="AQ57" i="17"/>
  <c r="AQ42" i="17"/>
  <c r="AQ43" i="17"/>
  <c r="AQ50" i="17"/>
  <c r="AQ14" i="17"/>
  <c r="AQ76" i="17"/>
  <c r="AQ47" i="17"/>
  <c r="AR62" i="30"/>
  <c r="AR17" i="27"/>
  <c r="AW64" i="30"/>
  <c r="AV67" i="30"/>
  <c r="U67" i="30"/>
  <c r="T69" i="30"/>
  <c r="U69" i="30" s="1"/>
  <c r="T79" i="30"/>
  <c r="U79" i="30" s="1"/>
  <c r="AZ75" i="28"/>
  <c r="BA75" i="28"/>
  <c r="O48" i="31"/>
  <c r="N64" i="31"/>
  <c r="AX44" i="18"/>
  <c r="AY44" i="18"/>
  <c r="BA83" i="30"/>
  <c r="AZ83" i="30"/>
  <c r="AS43" i="17"/>
  <c r="AZ43" i="17"/>
  <c r="BA43" i="17"/>
  <c r="S18" i="27"/>
  <c r="V18" i="27"/>
  <c r="W18" i="27" s="1"/>
  <c r="R48" i="27"/>
  <c r="AK18" i="16"/>
  <c r="AJ48" i="16"/>
  <c r="Z18" i="27"/>
  <c r="F48" i="27"/>
  <c r="G18" i="27"/>
  <c r="AC54" i="29"/>
  <c r="AY16" i="31"/>
  <c r="AX16" i="31"/>
  <c r="AV67" i="18"/>
  <c r="AW64" i="18"/>
  <c r="AZ47" i="18"/>
  <c r="BA47" i="18"/>
  <c r="AS47" i="18"/>
  <c r="AO50" i="28"/>
  <c r="AO16" i="28"/>
  <c r="AO41" i="28"/>
  <c r="AO49" i="28"/>
  <c r="AO23" i="28"/>
  <c r="AO35" i="28"/>
  <c r="AO73" i="28"/>
  <c r="AO72" i="28"/>
  <c r="AO60" i="28"/>
  <c r="AO10" i="28"/>
  <c r="AO51" i="28"/>
  <c r="AO40" i="28"/>
  <c r="AO36" i="28"/>
  <c r="AO63" i="28"/>
  <c r="AO9" i="28"/>
  <c r="AO74" i="28"/>
  <c r="AO20" i="28"/>
  <c r="AO38" i="28"/>
  <c r="AO27" i="28"/>
  <c r="AO32" i="28"/>
  <c r="AO42" i="28"/>
  <c r="AO75" i="28"/>
  <c r="AO78" i="28"/>
  <c r="AO39" i="28"/>
  <c r="AO11" i="28"/>
  <c r="AO55" i="28"/>
  <c r="AO8" i="28"/>
  <c r="AO15" i="28"/>
  <c r="AO25" i="28"/>
  <c r="AO24" i="28"/>
  <c r="AO71" i="28"/>
  <c r="AO29" i="28"/>
  <c r="AO34" i="28"/>
  <c r="AO22" i="28"/>
  <c r="AO77" i="28"/>
  <c r="AO31" i="28"/>
  <c r="AO45" i="28"/>
  <c r="AO30" i="28"/>
  <c r="AO26" i="28"/>
  <c r="AO43" i="28"/>
  <c r="AO53" i="28"/>
  <c r="AO6" i="28"/>
  <c r="AO37" i="28"/>
  <c r="AO52" i="28"/>
  <c r="AO65" i="28"/>
  <c r="AO19" i="28"/>
  <c r="AO21" i="28"/>
  <c r="AO33" i="28"/>
  <c r="AO61" i="28"/>
  <c r="AO44" i="28"/>
  <c r="AO68" i="28"/>
  <c r="AO66" i="28"/>
  <c r="AO59" i="28"/>
  <c r="AO17" i="28"/>
  <c r="AO57" i="28"/>
  <c r="AO56" i="28"/>
  <c r="AO28" i="28"/>
  <c r="AO58" i="28"/>
  <c r="AO46" i="28"/>
  <c r="AO14" i="28"/>
  <c r="AO54" i="28"/>
  <c r="AO76" i="28"/>
  <c r="P48" i="31"/>
  <c r="Q18" i="31"/>
  <c r="C69" i="16"/>
  <c r="I79" i="17"/>
  <c r="AC47" i="29"/>
  <c r="Y47" i="29"/>
  <c r="AS25" i="30"/>
  <c r="BA25" i="30"/>
  <c r="AZ25" i="30"/>
  <c r="BA53" i="17"/>
  <c r="AZ53" i="17"/>
  <c r="AS53" i="17"/>
  <c r="AZ81" i="16"/>
  <c r="BA81" i="16"/>
  <c r="AS76" i="17"/>
  <c r="AZ76" i="17"/>
  <c r="BA76" i="17"/>
  <c r="AC47" i="30"/>
  <c r="AR47" i="30"/>
  <c r="AA52" i="18"/>
  <c r="AA11" i="18"/>
  <c r="AA8" i="18"/>
  <c r="AA58" i="18"/>
  <c r="AA74" i="18"/>
  <c r="AA65" i="18"/>
  <c r="AA66" i="18"/>
  <c r="AA71" i="18"/>
  <c r="AA34" i="18"/>
  <c r="AA61" i="18"/>
  <c r="AA35" i="18"/>
  <c r="AA77" i="18"/>
  <c r="AA37" i="18"/>
  <c r="AA59" i="18"/>
  <c r="AA31" i="18"/>
  <c r="AA19" i="18"/>
  <c r="AA72" i="18"/>
  <c r="AA78" i="18"/>
  <c r="AA63" i="18"/>
  <c r="AA49" i="18"/>
  <c r="AA44" i="18"/>
  <c r="AA53" i="18"/>
  <c r="AA40" i="18"/>
  <c r="AA55" i="18"/>
  <c r="AA46" i="18"/>
  <c r="AA14" i="18"/>
  <c r="AA21" i="18"/>
  <c r="AA20" i="18"/>
  <c r="AA54" i="18"/>
  <c r="AA17" i="18"/>
  <c r="AA62" i="18"/>
  <c r="AA6" i="18"/>
  <c r="AA10" i="18"/>
  <c r="AA51" i="18"/>
  <c r="AP11" i="18"/>
  <c r="AQ44" i="18" s="1"/>
  <c r="AA16" i="18"/>
  <c r="AA38" i="18"/>
  <c r="AA45" i="18"/>
  <c r="AA23" i="18"/>
  <c r="AA60" i="18"/>
  <c r="AA32" i="18"/>
  <c r="AA36" i="18"/>
  <c r="AA25" i="18"/>
  <c r="AA41" i="18"/>
  <c r="AA30" i="18"/>
  <c r="AA68" i="18"/>
  <c r="AA43" i="18"/>
  <c r="AA29" i="18"/>
  <c r="AA33" i="18"/>
  <c r="AA39" i="18"/>
  <c r="AA75" i="18"/>
  <c r="AA50" i="18"/>
  <c r="AA42" i="18"/>
  <c r="AA24" i="18"/>
  <c r="AA22" i="18"/>
  <c r="AA73" i="18"/>
  <c r="AA57" i="18"/>
  <c r="AA56" i="18"/>
  <c r="AA15" i="18"/>
  <c r="AA9" i="18"/>
  <c r="AA7" i="18"/>
  <c r="AA27" i="18"/>
  <c r="AA26" i="18"/>
  <c r="AA76" i="18"/>
  <c r="AX29" i="27"/>
  <c r="AY29" i="27"/>
  <c r="AQ29" i="27"/>
  <c r="AY17" i="16"/>
  <c r="AX17" i="16"/>
  <c r="AQ17" i="16"/>
  <c r="AC18" i="28"/>
  <c r="AR18" i="28"/>
  <c r="L64" i="30"/>
  <c r="AB48" i="30"/>
  <c r="M48" i="30"/>
  <c r="AH48" i="29"/>
  <c r="AI18" i="29"/>
  <c r="E71" i="1"/>
  <c r="E61" i="1"/>
  <c r="AY81" i="16"/>
  <c r="AX81" i="16"/>
  <c r="E35" i="1"/>
  <c r="AV64" i="29"/>
  <c r="AW48" i="29"/>
  <c r="AX42" i="27"/>
  <c r="AY42" i="27"/>
  <c r="AQ42" i="27"/>
  <c r="AP47" i="18"/>
  <c r="AA47" i="18"/>
  <c r="AG64" i="29"/>
  <c r="AF67" i="29"/>
  <c r="AN64" i="29"/>
  <c r="AO64" i="29" s="1"/>
  <c r="AN18" i="27"/>
  <c r="AO18" i="27" s="1"/>
  <c r="AG18" i="27"/>
  <c r="AF48" i="27"/>
  <c r="AZ8" i="27"/>
  <c r="BA8" i="27"/>
  <c r="AS8" i="27"/>
  <c r="AJ64" i="27"/>
  <c r="AK48" i="27"/>
  <c r="AM51" i="30"/>
  <c r="AM60" i="30"/>
  <c r="AM76" i="30"/>
  <c r="AM41" i="30"/>
  <c r="AM35" i="30"/>
  <c r="AM72" i="30"/>
  <c r="AM56" i="30"/>
  <c r="AM57" i="30"/>
  <c r="AM17" i="30"/>
  <c r="AM77" i="30"/>
  <c r="AM14" i="30"/>
  <c r="AM71" i="30"/>
  <c r="AM47" i="30"/>
  <c r="AM61" i="30"/>
  <c r="AM15" i="30"/>
  <c r="AM34" i="30"/>
  <c r="AM73" i="30"/>
  <c r="AM54" i="30"/>
  <c r="AM36" i="30"/>
  <c r="AM63" i="30"/>
  <c r="AM28" i="30"/>
  <c r="AM65" i="30"/>
  <c r="AM8" i="30"/>
  <c r="AM45" i="30"/>
  <c r="AM75" i="30"/>
  <c r="AM25" i="30"/>
  <c r="AM49" i="30"/>
  <c r="AM26" i="30"/>
  <c r="AM44" i="30"/>
  <c r="AM11" i="30"/>
  <c r="AM29" i="30"/>
  <c r="AM23" i="30"/>
  <c r="AM9" i="30"/>
  <c r="AM42" i="30"/>
  <c r="AM55" i="30"/>
  <c r="AM19" i="30"/>
  <c r="AM52" i="30"/>
  <c r="AM21" i="30"/>
  <c r="AM39" i="30"/>
  <c r="AM20" i="30"/>
  <c r="AM32" i="30"/>
  <c r="AM16" i="30"/>
  <c r="AM37" i="30"/>
  <c r="AM38" i="30"/>
  <c r="AM22" i="30"/>
  <c r="AM59" i="30"/>
  <c r="AM33" i="30"/>
  <c r="AM6" i="30"/>
  <c r="AM50" i="30"/>
  <c r="AM58" i="30"/>
  <c r="AM31" i="30"/>
  <c r="AM30" i="30"/>
  <c r="AM66" i="30"/>
  <c r="AM7" i="30"/>
  <c r="AM43" i="30"/>
  <c r="AM27" i="30"/>
  <c r="AM78" i="30"/>
  <c r="AM53" i="30"/>
  <c r="AM24" i="30"/>
  <c r="AM74" i="30"/>
  <c r="AM10" i="30"/>
  <c r="AM46" i="30"/>
  <c r="AM40" i="30"/>
  <c r="AI48" i="17"/>
  <c r="AH64" i="17"/>
  <c r="C79" i="16"/>
  <c r="AQ7" i="17"/>
  <c r="AS72" i="17"/>
  <c r="AQ59" i="17"/>
  <c r="G64" i="17"/>
  <c r="F67" i="17"/>
  <c r="AN48" i="18"/>
  <c r="AO48" i="18" s="1"/>
  <c r="X18" i="29"/>
  <c r="Y18" i="29" s="1"/>
  <c r="AS17" i="30"/>
  <c r="I18" i="29"/>
  <c r="H48" i="29"/>
  <c r="AB18" i="29"/>
  <c r="AY26" i="31"/>
  <c r="AX26" i="31"/>
  <c r="E27" i="1"/>
  <c r="AS49" i="27"/>
  <c r="AS59" i="27"/>
  <c r="AS38" i="27"/>
  <c r="AS74" i="27"/>
  <c r="AS22" i="27"/>
  <c r="AS24" i="27"/>
  <c r="AS57" i="27"/>
  <c r="AS20" i="27"/>
  <c r="AS27" i="27"/>
  <c r="AS65" i="27"/>
  <c r="AS34" i="27"/>
  <c r="AS11" i="27"/>
  <c r="AS16" i="27"/>
  <c r="AS40" i="27"/>
  <c r="AS42" i="27"/>
  <c r="AS71" i="27"/>
  <c r="AS32" i="27"/>
  <c r="AS66" i="27"/>
  <c r="AS68" i="27"/>
  <c r="BA11" i="27"/>
  <c r="AS31" i="27"/>
  <c r="AS50" i="27"/>
  <c r="AS75" i="27"/>
  <c r="AS10" i="27"/>
  <c r="AS46" i="27"/>
  <c r="AS19" i="27"/>
  <c r="AS78" i="27"/>
  <c r="AS72" i="27"/>
  <c r="AS6" i="27"/>
  <c r="AS44" i="27"/>
  <c r="AS35" i="27"/>
  <c r="AS33" i="27"/>
  <c r="AS29" i="27"/>
  <c r="AS23" i="27"/>
  <c r="AZ11" i="27"/>
  <c r="AS52" i="27"/>
  <c r="AS9" i="27"/>
  <c r="AS61" i="27"/>
  <c r="AS21" i="27"/>
  <c r="AS63" i="27"/>
  <c r="AS77" i="27"/>
  <c r="AS26" i="27"/>
  <c r="AS37" i="27"/>
  <c r="AS28" i="27"/>
  <c r="AS36" i="27"/>
  <c r="AS58" i="27"/>
  <c r="AS15" i="27"/>
  <c r="AS60" i="27"/>
  <c r="AS47" i="27"/>
  <c r="AS43" i="27"/>
  <c r="AS39" i="27"/>
  <c r="AS41" i="27"/>
  <c r="AS30" i="27"/>
  <c r="AS7" i="27"/>
  <c r="AS55" i="27"/>
  <c r="AS51" i="27"/>
  <c r="AS73" i="27"/>
  <c r="AS45" i="27"/>
  <c r="AS53" i="27"/>
  <c r="AS56" i="27"/>
  <c r="Y57" i="16"/>
  <c r="AY33" i="28"/>
  <c r="AX33" i="28"/>
  <c r="AQ33" i="28"/>
  <c r="AO75" i="31"/>
  <c r="AA48" i="17"/>
  <c r="I64" i="30"/>
  <c r="H67" i="30"/>
  <c r="AB48" i="28"/>
  <c r="L64" i="28"/>
  <c r="M48" i="28"/>
  <c r="Q48" i="30"/>
  <c r="P64" i="30"/>
  <c r="X48" i="30"/>
  <c r="Y48" i="30" s="1"/>
  <c r="AS54" i="30"/>
  <c r="AK48" i="31" l="1"/>
  <c r="AC17" i="31"/>
  <c r="AC62" i="31"/>
  <c r="AA53" i="31"/>
  <c r="AA52" i="31"/>
  <c r="AA33" i="31"/>
  <c r="Y18" i="31"/>
  <c r="V48" i="29"/>
  <c r="W48" i="29" s="1"/>
  <c r="O48" i="29"/>
  <c r="N64" i="29"/>
  <c r="K48" i="29"/>
  <c r="J64" i="29"/>
  <c r="Z48" i="29"/>
  <c r="AA48" i="29" s="1"/>
  <c r="P82" i="30"/>
  <c r="X82" i="29"/>
  <c r="V48" i="28"/>
  <c r="W48" i="28" s="1"/>
  <c r="AO58" i="1"/>
  <c r="AC47" i="1"/>
  <c r="AC22" i="1"/>
  <c r="AC75" i="1"/>
  <c r="AC51" i="1"/>
  <c r="AC55" i="1"/>
  <c r="AC58" i="1"/>
  <c r="AC38" i="1"/>
  <c r="AC40" i="1"/>
  <c r="AO17" i="1"/>
  <c r="AC32" i="1"/>
  <c r="AC60" i="1"/>
  <c r="AO45" i="1"/>
  <c r="AC43" i="1"/>
  <c r="AC36" i="1"/>
  <c r="AD64" i="17"/>
  <c r="AE48" i="17"/>
  <c r="AC59" i="1"/>
  <c r="AC71" i="1"/>
  <c r="AC72" i="1"/>
  <c r="AC26" i="1"/>
  <c r="AC35" i="1"/>
  <c r="AL48" i="17"/>
  <c r="AC16" i="1"/>
  <c r="AC15" i="1"/>
  <c r="AC10" i="1"/>
  <c r="AC68" i="1"/>
  <c r="AC33" i="1"/>
  <c r="AC56" i="1"/>
  <c r="AC65" i="1"/>
  <c r="AX45" i="18"/>
  <c r="Z18" i="18"/>
  <c r="L64" i="18"/>
  <c r="AR82" i="17"/>
  <c r="K48" i="17"/>
  <c r="J64" i="17"/>
  <c r="AO54" i="17"/>
  <c r="L64" i="16"/>
  <c r="M48" i="16"/>
  <c r="AE64" i="16"/>
  <c r="AD67" i="16"/>
  <c r="J64" i="16"/>
  <c r="K48" i="16"/>
  <c r="AF82" i="27"/>
  <c r="AN82" i="18"/>
  <c r="H82" i="27"/>
  <c r="AB82" i="18"/>
  <c r="BA82" i="17"/>
  <c r="AZ82" i="17"/>
  <c r="AW64" i="16"/>
  <c r="AV67" i="16"/>
  <c r="D67" i="16"/>
  <c r="E64" i="16"/>
  <c r="G64" i="29"/>
  <c r="F67" i="29"/>
  <c r="AS45" i="1"/>
  <c r="BA28" i="1"/>
  <c r="AZ28" i="1"/>
  <c r="AY41" i="18"/>
  <c r="AX41" i="18"/>
  <c r="AX26" i="18"/>
  <c r="AY26" i="18"/>
  <c r="R67" i="29"/>
  <c r="S64" i="29"/>
  <c r="BA22" i="16"/>
  <c r="AZ22" i="16"/>
  <c r="AS22" i="1"/>
  <c r="AY46" i="18"/>
  <c r="AX46" i="18"/>
  <c r="AY20" i="18"/>
  <c r="AX20" i="18"/>
  <c r="E64" i="29"/>
  <c r="D67" i="29"/>
  <c r="AZ46" i="16"/>
  <c r="BA46" i="16"/>
  <c r="BA54" i="28"/>
  <c r="AZ54" i="28"/>
  <c r="AY65" i="18"/>
  <c r="AX65" i="18"/>
  <c r="AY38" i="18"/>
  <c r="AX38" i="18"/>
  <c r="AX23" i="18"/>
  <c r="AY23" i="18"/>
  <c r="BA17" i="29"/>
  <c r="AZ17" i="29"/>
  <c r="AZ57" i="16"/>
  <c r="BA57" i="16"/>
  <c r="AR11" i="31"/>
  <c r="AP18" i="28"/>
  <c r="AP47" i="27"/>
  <c r="AX47" i="27" s="1"/>
  <c r="AX54" i="18"/>
  <c r="AY54" i="18"/>
  <c r="D64" i="17"/>
  <c r="E48" i="17"/>
  <c r="AA17" i="27"/>
  <c r="AX63" i="18"/>
  <c r="AY63" i="18"/>
  <c r="AP18" i="18"/>
  <c r="AY18" i="18" s="1"/>
  <c r="AA18" i="18"/>
  <c r="AB18" i="31"/>
  <c r="U64" i="18"/>
  <c r="T67" i="18"/>
  <c r="K18" i="18"/>
  <c r="J48" i="18"/>
  <c r="B64" i="28"/>
  <c r="C48" i="28"/>
  <c r="AK18" i="28"/>
  <c r="AJ48" i="28"/>
  <c r="P48" i="16"/>
  <c r="Q18" i="16"/>
  <c r="X18" i="16"/>
  <c r="Y18" i="16" s="1"/>
  <c r="AU18" i="28"/>
  <c r="AT48" i="28"/>
  <c r="AY62" i="18"/>
  <c r="AX62" i="18"/>
  <c r="BA29" i="16"/>
  <c r="AZ29" i="16"/>
  <c r="N64" i="17"/>
  <c r="V64" i="17" s="1"/>
  <c r="W64" i="17" s="1"/>
  <c r="O48" i="17"/>
  <c r="V48" i="17"/>
  <c r="W48" i="17" s="1"/>
  <c r="AQ50" i="28"/>
  <c r="AI48" i="30"/>
  <c r="AH64" i="30"/>
  <c r="BA21" i="17"/>
  <c r="AZ21" i="17"/>
  <c r="AT69" i="29"/>
  <c r="AU69" i="29" s="1"/>
  <c r="AT79" i="29"/>
  <c r="AU67" i="29"/>
  <c r="AY34" i="18"/>
  <c r="AX34" i="18"/>
  <c r="AY58" i="18"/>
  <c r="AX58" i="18"/>
  <c r="AY17" i="27"/>
  <c r="AX17" i="27"/>
  <c r="AL48" i="27"/>
  <c r="AM48" i="27" s="1"/>
  <c r="AD64" i="27"/>
  <c r="AE48" i="27"/>
  <c r="D67" i="30"/>
  <c r="E64" i="30"/>
  <c r="G18" i="18"/>
  <c r="F48" i="18"/>
  <c r="AC20" i="1"/>
  <c r="AR20" i="1"/>
  <c r="AT48" i="1"/>
  <c r="AV18" i="1"/>
  <c r="AW18" i="1" s="1"/>
  <c r="AU18" i="1"/>
  <c r="S48" i="28"/>
  <c r="R64" i="28"/>
  <c r="AS15" i="1"/>
  <c r="AJ64" i="30"/>
  <c r="AK48" i="30"/>
  <c r="AY17" i="18"/>
  <c r="AX17" i="18"/>
  <c r="N64" i="18"/>
  <c r="O48" i="18"/>
  <c r="K48" i="30"/>
  <c r="J64" i="30"/>
  <c r="AO18" i="30"/>
  <c r="AR18" i="30"/>
  <c r="AF64" i="30"/>
  <c r="AN48" i="30"/>
  <c r="AO48" i="30" s="1"/>
  <c r="AG48" i="30"/>
  <c r="AS74" i="16"/>
  <c r="AP18" i="17"/>
  <c r="AA18" i="17"/>
  <c r="R67" i="17"/>
  <c r="S64" i="17"/>
  <c r="AS61" i="16"/>
  <c r="BA17" i="28"/>
  <c r="AZ17" i="28"/>
  <c r="AZ54" i="18"/>
  <c r="BA54" i="18"/>
  <c r="AS54" i="18"/>
  <c r="AR62" i="31"/>
  <c r="AZ62" i="31" s="1"/>
  <c r="AA55" i="31"/>
  <c r="D67" i="28"/>
  <c r="E64" i="28"/>
  <c r="BA58" i="1"/>
  <c r="AZ58" i="1"/>
  <c r="AY47" i="17"/>
  <c r="AX47" i="17"/>
  <c r="AZ38" i="1"/>
  <c r="BA38" i="1"/>
  <c r="AC62" i="1"/>
  <c r="AR62" i="1"/>
  <c r="AO31" i="1"/>
  <c r="AO53" i="1"/>
  <c r="AO15" i="1"/>
  <c r="AO35" i="1"/>
  <c r="AO74" i="1"/>
  <c r="AO78" i="1"/>
  <c r="AO51" i="1"/>
  <c r="AO40" i="1"/>
  <c r="AO28" i="1"/>
  <c r="AO46" i="1"/>
  <c r="AO77" i="1"/>
  <c r="AO9" i="1"/>
  <c r="AO7" i="1"/>
  <c r="AO21" i="1"/>
  <c r="AO56" i="1"/>
  <c r="AO59" i="1"/>
  <c r="AO66" i="1"/>
  <c r="AO26" i="1"/>
  <c r="AO61" i="1"/>
  <c r="AO50" i="1"/>
  <c r="AO42" i="1"/>
  <c r="AO65" i="1"/>
  <c r="AO76" i="1"/>
  <c r="AO25" i="1"/>
  <c r="AO68" i="1"/>
  <c r="AO30" i="1"/>
  <c r="AO63" i="1"/>
  <c r="AO73" i="1"/>
  <c r="AO75" i="1"/>
  <c r="AO54" i="1"/>
  <c r="AO34" i="1"/>
  <c r="AO33" i="1"/>
  <c r="AO43" i="1"/>
  <c r="AO23" i="1"/>
  <c r="AO19" i="1"/>
  <c r="AO20" i="1"/>
  <c r="AO27" i="1"/>
  <c r="AO14" i="1"/>
  <c r="AO72" i="1"/>
  <c r="AO57" i="1"/>
  <c r="AO44" i="1"/>
  <c r="AO60" i="1"/>
  <c r="AO10" i="1"/>
  <c r="AO8" i="1"/>
  <c r="AO6" i="1"/>
  <c r="AO41" i="1"/>
  <c r="AO36" i="1"/>
  <c r="AO71" i="1"/>
  <c r="AO39" i="1"/>
  <c r="AO52" i="1"/>
  <c r="AO24" i="1"/>
  <c r="AO11" i="1"/>
  <c r="AO49" i="1"/>
  <c r="AO62" i="1"/>
  <c r="AO37" i="1"/>
  <c r="AO16" i="1"/>
  <c r="AO47" i="1"/>
  <c r="AO29" i="1"/>
  <c r="AO22" i="1"/>
  <c r="AO55" i="1"/>
  <c r="AO32" i="1"/>
  <c r="AC75" i="31"/>
  <c r="AS31" i="16"/>
  <c r="AC47" i="31"/>
  <c r="Q48" i="17"/>
  <c r="P64" i="17"/>
  <c r="Y57" i="31"/>
  <c r="P69" i="28"/>
  <c r="Q69" i="28" s="1"/>
  <c r="P79" i="28"/>
  <c r="Q79" i="28" s="1"/>
  <c r="Q67" i="28"/>
  <c r="Q64" i="27"/>
  <c r="P67" i="27"/>
  <c r="AR18" i="17"/>
  <c r="AA47" i="31"/>
  <c r="AF64" i="1"/>
  <c r="AG64" i="1" s="1"/>
  <c r="AE64" i="1"/>
  <c r="AD67" i="1"/>
  <c r="AW48" i="17"/>
  <c r="AV64" i="17"/>
  <c r="AY53" i="31"/>
  <c r="AX53" i="31"/>
  <c r="AR54" i="31"/>
  <c r="AC54" i="31"/>
  <c r="AZ46" i="1"/>
  <c r="BA46" i="1"/>
  <c r="H67" i="28"/>
  <c r="I64" i="28"/>
  <c r="L64" i="31"/>
  <c r="M48" i="31"/>
  <c r="G48" i="28"/>
  <c r="F64" i="28"/>
  <c r="AI48" i="16"/>
  <c r="AH64" i="16"/>
  <c r="AL48" i="16"/>
  <c r="AM48" i="16" s="1"/>
  <c r="AP47" i="31"/>
  <c r="AR29" i="1"/>
  <c r="AC29" i="1"/>
  <c r="AA59" i="31"/>
  <c r="AW67" i="31"/>
  <c r="AV69" i="31"/>
  <c r="AW69" i="31" s="1"/>
  <c r="J69" i="27"/>
  <c r="K69" i="27" s="1"/>
  <c r="K67" i="27"/>
  <c r="J79" i="27"/>
  <c r="K79" i="27" s="1"/>
  <c r="AZ28" i="17"/>
  <c r="BA28" i="17"/>
  <c r="E48" i="31"/>
  <c r="D64" i="31"/>
  <c r="AZ17" i="1"/>
  <c r="BA17" i="1"/>
  <c r="AY62" i="31"/>
  <c r="AX62" i="31"/>
  <c r="C48" i="31"/>
  <c r="B64" i="31"/>
  <c r="AY59" i="31"/>
  <c r="AX59" i="31"/>
  <c r="AZ47" i="17"/>
  <c r="BA47" i="17"/>
  <c r="O64" i="16"/>
  <c r="V64" i="16"/>
  <c r="W64" i="16" s="1"/>
  <c r="N67" i="16"/>
  <c r="N64" i="27"/>
  <c r="O48" i="27"/>
  <c r="AX62" i="28"/>
  <c r="AQ62" i="28"/>
  <c r="AY62" i="28"/>
  <c r="BA54" i="17"/>
  <c r="AZ54" i="17"/>
  <c r="AR47" i="31"/>
  <c r="C64" i="27"/>
  <c r="B67" i="27"/>
  <c r="AO17" i="31"/>
  <c r="AT48" i="17"/>
  <c r="AU18" i="17"/>
  <c r="AX52" i="31"/>
  <c r="AY52" i="31"/>
  <c r="AX50" i="31"/>
  <c r="AY50" i="31"/>
  <c r="T69" i="28"/>
  <c r="U67" i="28"/>
  <c r="X67" i="28"/>
  <c r="Y67" i="28" s="1"/>
  <c r="T79" i="28"/>
  <c r="BA21" i="1"/>
  <c r="AZ21" i="1"/>
  <c r="AA7" i="31"/>
  <c r="B69" i="17"/>
  <c r="C69" i="17" s="1"/>
  <c r="B79" i="17"/>
  <c r="C79" i="17" s="1"/>
  <c r="C67" i="17"/>
  <c r="AD64" i="18"/>
  <c r="AL48" i="18"/>
  <c r="AM48" i="18" s="1"/>
  <c r="AE48" i="18"/>
  <c r="AX39" i="31"/>
  <c r="AY39" i="31"/>
  <c r="AN18" i="1"/>
  <c r="AO18" i="1" s="1"/>
  <c r="AK18" i="1"/>
  <c r="C67" i="18"/>
  <c r="B69" i="18"/>
  <c r="C69" i="18" s="1"/>
  <c r="B79" i="18"/>
  <c r="C79" i="18" s="1"/>
  <c r="AX19" i="31"/>
  <c r="AY19" i="31"/>
  <c r="K48" i="31"/>
  <c r="J64" i="31"/>
  <c r="AH69" i="28"/>
  <c r="AI69" i="28" s="1"/>
  <c r="AH79" i="28"/>
  <c r="AI67" i="28"/>
  <c r="AA23" i="31"/>
  <c r="AX7" i="31"/>
  <c r="AY7" i="31"/>
  <c r="AZ9" i="31"/>
  <c r="BA9" i="31"/>
  <c r="L64" i="17"/>
  <c r="M48" i="17"/>
  <c r="AB48" i="17"/>
  <c r="U18" i="31"/>
  <c r="T48" i="31"/>
  <c r="X48" i="31" s="1"/>
  <c r="Y48" i="31" s="1"/>
  <c r="AQ20" i="28"/>
  <c r="AQ60" i="28"/>
  <c r="AQ14" i="28"/>
  <c r="AQ42" i="28"/>
  <c r="AQ38" i="28"/>
  <c r="AQ39" i="28"/>
  <c r="AQ58" i="28"/>
  <c r="AQ71" i="28"/>
  <c r="AQ51" i="28"/>
  <c r="AQ52" i="28"/>
  <c r="AQ66" i="28"/>
  <c r="AQ78" i="28"/>
  <c r="AQ6" i="28"/>
  <c r="AX11" i="28"/>
  <c r="AQ44" i="28"/>
  <c r="AQ27" i="28"/>
  <c r="AQ76" i="28"/>
  <c r="AQ72" i="28"/>
  <c r="AQ40" i="28"/>
  <c r="AQ43" i="28"/>
  <c r="AQ28" i="28"/>
  <c r="AQ63" i="28"/>
  <c r="AQ36" i="28"/>
  <c r="AQ11" i="28"/>
  <c r="AQ45" i="28"/>
  <c r="AQ31" i="28"/>
  <c r="AQ57" i="28"/>
  <c r="AQ37" i="28"/>
  <c r="AQ74" i="28"/>
  <c r="AQ34" i="28"/>
  <c r="AQ73" i="28"/>
  <c r="AQ46" i="28"/>
  <c r="AQ53" i="28"/>
  <c r="AQ16" i="28"/>
  <c r="AQ30" i="28"/>
  <c r="AQ75" i="28"/>
  <c r="AQ29" i="28"/>
  <c r="AQ61" i="28"/>
  <c r="AQ41" i="28"/>
  <c r="AQ9" i="28"/>
  <c r="AQ25" i="28"/>
  <c r="AQ7" i="28"/>
  <c r="AY11" i="28"/>
  <c r="AQ23" i="28"/>
  <c r="AQ65" i="28"/>
  <c r="AQ68" i="28"/>
  <c r="AQ22" i="28"/>
  <c r="AQ77" i="28"/>
  <c r="AQ10" i="28"/>
  <c r="AQ32" i="28"/>
  <c r="AQ19" i="28"/>
  <c r="AQ35" i="28"/>
  <c r="AQ24" i="28"/>
  <c r="AQ56" i="28"/>
  <c r="BA47" i="16"/>
  <c r="AS47" i="16"/>
  <c r="AZ47" i="16"/>
  <c r="F48" i="31"/>
  <c r="G18" i="31"/>
  <c r="AR52" i="1"/>
  <c r="AS52" i="1" s="1"/>
  <c r="AC52" i="1"/>
  <c r="AL48" i="1"/>
  <c r="AM48" i="1" s="1"/>
  <c r="AJ48" i="1"/>
  <c r="AI48" i="1"/>
  <c r="AH64" i="1"/>
  <c r="J67" i="1"/>
  <c r="K64" i="1"/>
  <c r="L64" i="1"/>
  <c r="M64" i="1" s="1"/>
  <c r="AZ54" i="30"/>
  <c r="BA54" i="30"/>
  <c r="AS28" i="17"/>
  <c r="AP18" i="16"/>
  <c r="AX18" i="16" s="1"/>
  <c r="AC50" i="31"/>
  <c r="AC10" i="31"/>
  <c r="AC34" i="31"/>
  <c r="AC25" i="31"/>
  <c r="AC19" i="31"/>
  <c r="AC66" i="31"/>
  <c r="AC59" i="31"/>
  <c r="AC31" i="31"/>
  <c r="AC74" i="31"/>
  <c r="AC39" i="31"/>
  <c r="AC21" i="31"/>
  <c r="AC76" i="31"/>
  <c r="AC73" i="31"/>
  <c r="AC29" i="31"/>
  <c r="AC46" i="31"/>
  <c r="AC8" i="31"/>
  <c r="AC26" i="31"/>
  <c r="AC51" i="31"/>
  <c r="AC56" i="31"/>
  <c r="AC11" i="31"/>
  <c r="AC24" i="31"/>
  <c r="AC16" i="31"/>
  <c r="AC49" i="31"/>
  <c r="AC32" i="31"/>
  <c r="AC60" i="31"/>
  <c r="AC38" i="31"/>
  <c r="AC77" i="31"/>
  <c r="AC63" i="31"/>
  <c r="AC36" i="31"/>
  <c r="AC40" i="31"/>
  <c r="AC15" i="31"/>
  <c r="AC7" i="31"/>
  <c r="AC30" i="31"/>
  <c r="AC72" i="31"/>
  <c r="AC33" i="31"/>
  <c r="AC37" i="31"/>
  <c r="AC65" i="31"/>
  <c r="AC28" i="31"/>
  <c r="AC14" i="31"/>
  <c r="AC6" i="31"/>
  <c r="AC78" i="31"/>
  <c r="AC20" i="31"/>
  <c r="AC57" i="31"/>
  <c r="AC35" i="31"/>
  <c r="AC71" i="31"/>
  <c r="AC44" i="31"/>
  <c r="AC68" i="31"/>
  <c r="AC52" i="31"/>
  <c r="AC23" i="31"/>
  <c r="AC43" i="31"/>
  <c r="AC58" i="31"/>
  <c r="AC55" i="31"/>
  <c r="AC27" i="31"/>
  <c r="AC41" i="31"/>
  <c r="AC45" i="31"/>
  <c r="AC53" i="31"/>
  <c r="AC22" i="31"/>
  <c r="AC42" i="31"/>
  <c r="AC61" i="31"/>
  <c r="AA36" i="31"/>
  <c r="AA14" i="31"/>
  <c r="AA28" i="31"/>
  <c r="AA46" i="31"/>
  <c r="AA35" i="31"/>
  <c r="AA68" i="31"/>
  <c r="AA32" i="31"/>
  <c r="AA39" i="31"/>
  <c r="AA76" i="31"/>
  <c r="AA78" i="31"/>
  <c r="AA29" i="31"/>
  <c r="AA49" i="31"/>
  <c r="AA8" i="31"/>
  <c r="AA22" i="31"/>
  <c r="AA57" i="31"/>
  <c r="AA10" i="31"/>
  <c r="AA41" i="31"/>
  <c r="AA50" i="31"/>
  <c r="AA30" i="31"/>
  <c r="AA15" i="31"/>
  <c r="AA73" i="31"/>
  <c r="AA34" i="31"/>
  <c r="AA43" i="31"/>
  <c r="AA44" i="31"/>
  <c r="AA25" i="31"/>
  <c r="AA26" i="31"/>
  <c r="AA42" i="31"/>
  <c r="AA45" i="31"/>
  <c r="AA40" i="31"/>
  <c r="AA11" i="31"/>
  <c r="AP11" i="31"/>
  <c r="AQ62" i="31" s="1"/>
  <c r="AA66" i="31"/>
  <c r="AA74" i="31"/>
  <c r="AA77" i="31"/>
  <c r="AA20" i="31"/>
  <c r="AA65" i="31"/>
  <c r="AA9" i="31"/>
  <c r="AA24" i="31"/>
  <c r="AA37" i="31"/>
  <c r="AA16" i="31"/>
  <c r="AA27" i="31"/>
  <c r="AA6" i="31"/>
  <c r="AA62" i="31"/>
  <c r="AA63" i="31"/>
  <c r="AA58" i="31"/>
  <c r="AA72" i="31"/>
  <c r="AA60" i="31"/>
  <c r="AA17" i="31"/>
  <c r="AA38" i="31"/>
  <c r="AA51" i="31"/>
  <c r="AA61" i="31"/>
  <c r="AA71" i="31"/>
  <c r="AA75" i="31"/>
  <c r="AA31" i="31"/>
  <c r="AH67" i="18"/>
  <c r="AI64" i="18"/>
  <c r="AZ17" i="17"/>
  <c r="BA17" i="17"/>
  <c r="AY21" i="31"/>
  <c r="AX21" i="31"/>
  <c r="AL48" i="28"/>
  <c r="AM48" i="28" s="1"/>
  <c r="AD64" i="28"/>
  <c r="AE48" i="28"/>
  <c r="AY23" i="31"/>
  <c r="AX23" i="31"/>
  <c r="Y54" i="31"/>
  <c r="Y42" i="31"/>
  <c r="Y77" i="31"/>
  <c r="Y33" i="31"/>
  <c r="Y34" i="31"/>
  <c r="Y46" i="31"/>
  <c r="Y43" i="31"/>
  <c r="Y38" i="31"/>
  <c r="Y72" i="31"/>
  <c r="Y65" i="31"/>
  <c r="Y22" i="31"/>
  <c r="Y44" i="31"/>
  <c r="Y25" i="31"/>
  <c r="Y74" i="31"/>
  <c r="Y51" i="31"/>
  <c r="Y52" i="31"/>
  <c r="Y23" i="31"/>
  <c r="Y61" i="31"/>
  <c r="Y32" i="31"/>
  <c r="Y20" i="31"/>
  <c r="Y35" i="31"/>
  <c r="Y49" i="31"/>
  <c r="Y11" i="31"/>
  <c r="Y29" i="31"/>
  <c r="Y6" i="31"/>
  <c r="Y50" i="31"/>
  <c r="Y41" i="31"/>
  <c r="Y36" i="31"/>
  <c r="Y55" i="31"/>
  <c r="Y14" i="31"/>
  <c r="Y45" i="31"/>
  <c r="Y26" i="31"/>
  <c r="Y28" i="31"/>
  <c r="Y16" i="31"/>
  <c r="Y15" i="31"/>
  <c r="Y27" i="31"/>
  <c r="Y53" i="31"/>
  <c r="Y73" i="31"/>
  <c r="Y66" i="31"/>
  <c r="Y58" i="31"/>
  <c r="Y60" i="31"/>
  <c r="Y39" i="31"/>
  <c r="Y68" i="31"/>
  <c r="Y31" i="31"/>
  <c r="Y19" i="31"/>
  <c r="Y76" i="31"/>
  <c r="Y10" i="31"/>
  <c r="Y78" i="31"/>
  <c r="Y75" i="31"/>
  <c r="Y63" i="31"/>
  <c r="Y24" i="31"/>
  <c r="Y8" i="31"/>
  <c r="Y21" i="31"/>
  <c r="Y56" i="31"/>
  <c r="Y47" i="31"/>
  <c r="Y71" i="31"/>
  <c r="Y17" i="31"/>
  <c r="Y7" i="31"/>
  <c r="Y40" i="31"/>
  <c r="Y37" i="31"/>
  <c r="Y30" i="31"/>
  <c r="Y59" i="31"/>
  <c r="AQ59" i="28"/>
  <c r="T67" i="16"/>
  <c r="U64" i="16"/>
  <c r="AY47" i="16"/>
  <c r="AQ47" i="16"/>
  <c r="AX47" i="16"/>
  <c r="AR27" i="1"/>
  <c r="AC27" i="1"/>
  <c r="AA21" i="31"/>
  <c r="AU48" i="31"/>
  <c r="AT64" i="31"/>
  <c r="BA26" i="17"/>
  <c r="AZ26" i="17"/>
  <c r="AF64" i="17"/>
  <c r="AG48" i="17"/>
  <c r="AN48" i="17"/>
  <c r="AO48" i="17" s="1"/>
  <c r="Q54" i="1"/>
  <c r="X54" i="1"/>
  <c r="Y54" i="1" s="1"/>
  <c r="AB54" i="1"/>
  <c r="AU64" i="16"/>
  <c r="AT67" i="16"/>
  <c r="AK48" i="17"/>
  <c r="AJ64" i="17"/>
  <c r="AX56" i="31"/>
  <c r="AY56" i="31"/>
  <c r="AH64" i="31"/>
  <c r="AI48" i="31"/>
  <c r="AU48" i="27"/>
  <c r="AT64" i="27"/>
  <c r="Q64" i="18"/>
  <c r="X64" i="18"/>
  <c r="Y64" i="18" s="1"/>
  <c r="P67" i="18"/>
  <c r="AA56" i="31"/>
  <c r="AQ15" i="28"/>
  <c r="AQ8" i="28"/>
  <c r="Y9" i="31"/>
  <c r="AP54" i="1"/>
  <c r="AA54" i="1"/>
  <c r="AQ15" i="27"/>
  <c r="AQ49" i="27"/>
  <c r="AQ6" i="27"/>
  <c r="AQ53" i="27"/>
  <c r="AQ16" i="27"/>
  <c r="AY11" i="27"/>
  <c r="AQ71" i="27"/>
  <c r="AQ47" i="27"/>
  <c r="AQ45" i="27"/>
  <c r="AQ7" i="27"/>
  <c r="AQ58" i="27"/>
  <c r="AQ11" i="27"/>
  <c r="AQ34" i="27"/>
  <c r="AQ72" i="27"/>
  <c r="AQ38" i="27"/>
  <c r="AQ66" i="27"/>
  <c r="AQ14" i="27"/>
  <c r="AQ19" i="27"/>
  <c r="AQ39" i="27"/>
  <c r="AQ27" i="27"/>
  <c r="AQ78" i="27"/>
  <c r="AQ28" i="27"/>
  <c r="AQ17" i="27"/>
  <c r="AQ77" i="27"/>
  <c r="AQ35" i="27"/>
  <c r="AX11" i="27"/>
  <c r="AQ65" i="27"/>
  <c r="AQ24" i="27"/>
  <c r="AQ57" i="27"/>
  <c r="AQ21" i="27"/>
  <c r="AQ23" i="27"/>
  <c r="AQ68" i="27"/>
  <c r="AQ20" i="27"/>
  <c r="AQ55" i="27"/>
  <c r="AQ9" i="27"/>
  <c r="AQ10" i="27"/>
  <c r="AQ26" i="27"/>
  <c r="AQ40" i="27"/>
  <c r="AQ56" i="27"/>
  <c r="AQ51" i="27"/>
  <c r="AQ52" i="27"/>
  <c r="AQ31" i="27"/>
  <c r="AQ73" i="27"/>
  <c r="AQ43" i="27"/>
  <c r="AQ25" i="27"/>
  <c r="AQ50" i="27"/>
  <c r="AQ46" i="27"/>
  <c r="AQ75" i="27"/>
  <c r="AQ41" i="27"/>
  <c r="AQ44" i="27"/>
  <c r="AQ22" i="27"/>
  <c r="AQ60" i="27"/>
  <c r="AQ33" i="27"/>
  <c r="AQ37" i="27"/>
  <c r="AQ61" i="27"/>
  <c r="AQ32" i="27"/>
  <c r="AQ76" i="27"/>
  <c r="AQ74" i="27"/>
  <c r="AS30" i="16"/>
  <c r="AS41" i="16"/>
  <c r="AS78" i="16"/>
  <c r="AS35" i="16"/>
  <c r="AS53" i="16"/>
  <c r="AS9" i="16"/>
  <c r="AS57" i="16"/>
  <c r="AS10" i="16"/>
  <c r="AS33" i="16"/>
  <c r="AS65" i="16"/>
  <c r="AS40" i="16"/>
  <c r="AS59" i="16"/>
  <c r="AS50" i="16"/>
  <c r="AS8" i="16"/>
  <c r="AS15" i="16"/>
  <c r="AS71" i="16"/>
  <c r="AS63" i="16"/>
  <c r="AS49" i="16"/>
  <c r="AS11" i="16"/>
  <c r="AS6" i="16"/>
  <c r="AS56" i="16"/>
  <c r="AS28" i="16"/>
  <c r="AS34" i="16"/>
  <c r="AS52" i="16"/>
  <c r="AS25" i="16"/>
  <c r="AS42" i="16"/>
  <c r="AS20" i="16"/>
  <c r="AS24" i="16"/>
  <c r="BA11" i="16"/>
  <c r="AS43" i="16"/>
  <c r="AS29" i="16"/>
  <c r="AS36" i="16"/>
  <c r="AS75" i="16"/>
  <c r="AS37" i="16"/>
  <c r="AS45" i="16"/>
  <c r="AS46" i="16"/>
  <c r="AS26" i="16"/>
  <c r="AS23" i="16"/>
  <c r="AS66" i="16"/>
  <c r="AS38" i="16"/>
  <c r="AS19" i="16"/>
  <c r="AS32" i="16"/>
  <c r="AS76" i="16"/>
  <c r="AS73" i="16"/>
  <c r="AS68" i="16"/>
  <c r="AS72" i="16"/>
  <c r="AS21" i="16"/>
  <c r="AS7" i="16"/>
  <c r="AS27" i="16"/>
  <c r="AS58" i="16"/>
  <c r="AZ11" i="16"/>
  <c r="AS60" i="16"/>
  <c r="AS16" i="16"/>
  <c r="AS62" i="16"/>
  <c r="AS44" i="16"/>
  <c r="AS22" i="16"/>
  <c r="AS77" i="16"/>
  <c r="AS55" i="16"/>
  <c r="AS51" i="16"/>
  <c r="AS39" i="16"/>
  <c r="AS14" i="16"/>
  <c r="AC18" i="29"/>
  <c r="AR18" i="29"/>
  <c r="M64" i="30"/>
  <c r="L67" i="30"/>
  <c r="AX62" i="17"/>
  <c r="AQ62" i="17"/>
  <c r="AY62" i="17"/>
  <c r="AG48" i="31"/>
  <c r="AF64" i="31"/>
  <c r="AN48" i="31"/>
  <c r="AO48" i="31" s="1"/>
  <c r="AP18" i="1"/>
  <c r="AQ42" i="18"/>
  <c r="AB48" i="29"/>
  <c r="H64" i="29"/>
  <c r="I48" i="29"/>
  <c r="AZ17" i="27"/>
  <c r="BA17" i="27"/>
  <c r="AS17" i="27"/>
  <c r="AZ62" i="30"/>
  <c r="AS62" i="30"/>
  <c r="BA62" i="30"/>
  <c r="AR18" i="16"/>
  <c r="AC18" i="16"/>
  <c r="L69" i="27"/>
  <c r="M69" i="27" s="1"/>
  <c r="M67" i="27"/>
  <c r="L79" i="27"/>
  <c r="M79" i="27" s="1"/>
  <c r="AI67" i="27"/>
  <c r="AH69" i="27"/>
  <c r="AI69" i="27" s="1"/>
  <c r="AH79" i="27"/>
  <c r="AI79" i="27" s="1"/>
  <c r="S48" i="31"/>
  <c r="R64" i="31"/>
  <c r="V64" i="31" s="1"/>
  <c r="W64" i="31" s="1"/>
  <c r="B64" i="1"/>
  <c r="D48" i="1"/>
  <c r="C48" i="1"/>
  <c r="BA18" i="28"/>
  <c r="AZ18" i="28"/>
  <c r="AS18" i="28"/>
  <c r="I48" i="18"/>
  <c r="H64" i="18"/>
  <c r="AB48" i="18"/>
  <c r="AG48" i="16"/>
  <c r="AF64" i="16"/>
  <c r="AN48" i="16"/>
  <c r="AO48" i="16" s="1"/>
  <c r="BA11" i="28"/>
  <c r="AS60" i="28"/>
  <c r="AS25" i="28"/>
  <c r="AZ11" i="28"/>
  <c r="AS50" i="28"/>
  <c r="AS72" i="28"/>
  <c r="AS37" i="28"/>
  <c r="AS74" i="28"/>
  <c r="AS23" i="28"/>
  <c r="AS22" i="28"/>
  <c r="AS45" i="28"/>
  <c r="AS56" i="28"/>
  <c r="AS59" i="28"/>
  <c r="AS21" i="28"/>
  <c r="AS38" i="28"/>
  <c r="AS58" i="28"/>
  <c r="AS33" i="28"/>
  <c r="AS39" i="28"/>
  <c r="AS77" i="28"/>
  <c r="AS19" i="28"/>
  <c r="AS9" i="28"/>
  <c r="AS36" i="28"/>
  <c r="AS68" i="28"/>
  <c r="AS53" i="28"/>
  <c r="AS78" i="28"/>
  <c r="AS43" i="28"/>
  <c r="AS66" i="28"/>
  <c r="AS52" i="28"/>
  <c r="AS16" i="28"/>
  <c r="AS10" i="28"/>
  <c r="AS34" i="28"/>
  <c r="AS17" i="28"/>
  <c r="AS24" i="28"/>
  <c r="AS40" i="28"/>
  <c r="AS42" i="28"/>
  <c r="AS31" i="28"/>
  <c r="AS41" i="28"/>
  <c r="AS76" i="28"/>
  <c r="AS32" i="28"/>
  <c r="AS51" i="28"/>
  <c r="AS46" i="28"/>
  <c r="AS65" i="28"/>
  <c r="AS6" i="28"/>
  <c r="AS49" i="28"/>
  <c r="AS20" i="28"/>
  <c r="AS57" i="28"/>
  <c r="AS35" i="28"/>
  <c r="AS30" i="28"/>
  <c r="AS8" i="28"/>
  <c r="AS28" i="28"/>
  <c r="AS63" i="28"/>
  <c r="AS29" i="28"/>
  <c r="AS55" i="28"/>
  <c r="AS26" i="28"/>
  <c r="AS15" i="28"/>
  <c r="AS61" i="28"/>
  <c r="AS44" i="28"/>
  <c r="AS71" i="28"/>
  <c r="AS11" i="28"/>
  <c r="AS73" i="28"/>
  <c r="AS54" i="28"/>
  <c r="AS62" i="28"/>
  <c r="AS47" i="28"/>
  <c r="AS7" i="28"/>
  <c r="AG67" i="29"/>
  <c r="AF79" i="29"/>
  <c r="AN67" i="29"/>
  <c r="AO67" i="29" s="1"/>
  <c r="AF69" i="29"/>
  <c r="Q48" i="31"/>
  <c r="P64" i="31"/>
  <c r="I48" i="16"/>
  <c r="H64" i="16"/>
  <c r="AB48" i="16"/>
  <c r="U48" i="27"/>
  <c r="T64" i="27"/>
  <c r="AB64" i="27" s="1"/>
  <c r="AC64" i="27" s="1"/>
  <c r="X48" i="27"/>
  <c r="Y48" i="27" s="1"/>
  <c r="N67" i="28"/>
  <c r="O64" i="28"/>
  <c r="V64" i="28"/>
  <c r="W64" i="28" s="1"/>
  <c r="E18" i="1"/>
  <c r="AX28" i="18"/>
  <c r="AY28" i="18"/>
  <c r="AQ28" i="18"/>
  <c r="S48" i="18"/>
  <c r="R64" i="18"/>
  <c r="V48" i="18"/>
  <c r="W48" i="18" s="1"/>
  <c r="AS66" i="29"/>
  <c r="AS6" i="29"/>
  <c r="AS73" i="29"/>
  <c r="AS9" i="29"/>
  <c r="AS62" i="29"/>
  <c r="AS11" i="29"/>
  <c r="AS51" i="29"/>
  <c r="AS37" i="29"/>
  <c r="AS77" i="29"/>
  <c r="AS78" i="29"/>
  <c r="AS74" i="29"/>
  <c r="AS30" i="29"/>
  <c r="AS27" i="29"/>
  <c r="AS72" i="29"/>
  <c r="AS25" i="29"/>
  <c r="AS76" i="29"/>
  <c r="AS53" i="29"/>
  <c r="AS55" i="29"/>
  <c r="AS16" i="29"/>
  <c r="AS26" i="29"/>
  <c r="AS42" i="29"/>
  <c r="AS65" i="29"/>
  <c r="AS21" i="29"/>
  <c r="AS60" i="29"/>
  <c r="AZ11" i="29"/>
  <c r="AS40" i="29"/>
  <c r="AS71" i="29"/>
  <c r="AS35" i="29"/>
  <c r="AS33" i="29"/>
  <c r="AS36" i="29"/>
  <c r="AS75" i="29"/>
  <c r="AS54" i="29"/>
  <c r="AS10" i="29"/>
  <c r="AS15" i="29"/>
  <c r="AS49" i="29"/>
  <c r="AS52" i="29"/>
  <c r="AS41" i="29"/>
  <c r="BA11" i="29"/>
  <c r="AS22" i="29"/>
  <c r="AS68" i="29"/>
  <c r="AS46" i="29"/>
  <c r="AS61" i="29"/>
  <c r="AS14" i="29"/>
  <c r="AS8" i="29"/>
  <c r="AS24" i="29"/>
  <c r="AS23" i="29"/>
  <c r="AS32" i="29"/>
  <c r="AS7" i="29"/>
  <c r="AS38" i="29"/>
  <c r="AS44" i="29"/>
  <c r="AS57" i="29"/>
  <c r="AS50" i="29"/>
  <c r="AS19" i="29"/>
  <c r="AS39" i="29"/>
  <c r="AS59" i="29"/>
  <c r="AS63" i="29"/>
  <c r="AS58" i="29"/>
  <c r="AS28" i="29"/>
  <c r="AS31" i="29"/>
  <c r="AS34" i="29"/>
  <c r="AS45" i="29"/>
  <c r="AS20" i="29"/>
  <c r="AS43" i="29"/>
  <c r="AS47" i="29"/>
  <c r="AS17" i="29"/>
  <c r="AA18" i="31"/>
  <c r="AX54" i="28"/>
  <c r="AQ54" i="28"/>
  <c r="AY54" i="28"/>
  <c r="T48" i="1"/>
  <c r="S48" i="1"/>
  <c r="R64" i="1"/>
  <c r="V48" i="1"/>
  <c r="W48" i="1" s="1"/>
  <c r="M64" i="18"/>
  <c r="L67" i="18"/>
  <c r="AQ18" i="28"/>
  <c r="AX18" i="28"/>
  <c r="AY18" i="28"/>
  <c r="AD48" i="31"/>
  <c r="AE18" i="31"/>
  <c r="AL18" i="31"/>
  <c r="AM18" i="31" s="1"/>
  <c r="I48" i="1"/>
  <c r="U64" i="17"/>
  <c r="T67" i="17"/>
  <c r="X64" i="17"/>
  <c r="Y64" i="17" s="1"/>
  <c r="AB64" i="17"/>
  <c r="AK64" i="18"/>
  <c r="AJ67" i="18"/>
  <c r="AN64" i="18"/>
  <c r="AO64" i="18" s="1"/>
  <c r="AQ54" i="17"/>
  <c r="AX54" i="17"/>
  <c r="AY54" i="17"/>
  <c r="AY11" i="30"/>
  <c r="AQ77" i="30"/>
  <c r="AQ39" i="30"/>
  <c r="AQ27" i="30"/>
  <c r="AQ32" i="30"/>
  <c r="AQ31" i="30"/>
  <c r="AQ34" i="30"/>
  <c r="AQ49" i="30"/>
  <c r="AQ57" i="30"/>
  <c r="AQ43" i="30"/>
  <c r="AQ8" i="30"/>
  <c r="AQ55" i="30"/>
  <c r="AQ23" i="30"/>
  <c r="AQ66" i="30"/>
  <c r="AQ72" i="30"/>
  <c r="AQ41" i="30"/>
  <c r="AQ73" i="30"/>
  <c r="AQ29" i="30"/>
  <c r="AQ10" i="30"/>
  <c r="AQ36" i="30"/>
  <c r="AQ58" i="30"/>
  <c r="AQ74" i="30"/>
  <c r="AQ14" i="30"/>
  <c r="AQ61" i="30"/>
  <c r="AQ20" i="30"/>
  <c r="AQ45" i="30"/>
  <c r="AQ22" i="30"/>
  <c r="AQ42" i="30"/>
  <c r="AQ76" i="30"/>
  <c r="AQ71" i="30"/>
  <c r="AQ33" i="30"/>
  <c r="AQ9" i="30"/>
  <c r="AQ16" i="30"/>
  <c r="AQ52" i="30"/>
  <c r="AQ21" i="30"/>
  <c r="AQ37" i="30"/>
  <c r="AQ53" i="30"/>
  <c r="AQ47" i="30"/>
  <c r="AQ68" i="30"/>
  <c r="AQ6" i="30"/>
  <c r="AQ35" i="30"/>
  <c r="AQ19" i="30"/>
  <c r="AQ60" i="30"/>
  <c r="AQ30" i="30"/>
  <c r="AQ26" i="30"/>
  <c r="AQ7" i="30"/>
  <c r="AQ59" i="30"/>
  <c r="AQ63" i="30"/>
  <c r="AQ28" i="30"/>
  <c r="AQ50" i="30"/>
  <c r="AQ11" i="30"/>
  <c r="AQ54" i="30"/>
  <c r="AX11" i="30"/>
  <c r="AQ78" i="30"/>
  <c r="AQ38" i="30"/>
  <c r="AQ75" i="30"/>
  <c r="AQ44" i="30"/>
  <c r="AQ25" i="30"/>
  <c r="AQ65" i="30"/>
  <c r="AQ15" i="30"/>
  <c r="AQ46" i="30"/>
  <c r="AQ56" i="30"/>
  <c r="AQ40" i="30"/>
  <c r="AQ24" i="30"/>
  <c r="AF64" i="28"/>
  <c r="AG48" i="28"/>
  <c r="AN48" i="28"/>
  <c r="AO48" i="28" s="1"/>
  <c r="AQ47" i="28"/>
  <c r="AX47" i="28"/>
  <c r="AY47" i="28"/>
  <c r="AR18" i="27"/>
  <c r="AC18" i="27"/>
  <c r="H64" i="1"/>
  <c r="F67" i="1"/>
  <c r="G64" i="1"/>
  <c r="AX26" i="28"/>
  <c r="AY26" i="28"/>
  <c r="AQ26" i="28"/>
  <c r="U18" i="1"/>
  <c r="X18" i="1"/>
  <c r="Y18" i="1" s="1"/>
  <c r="AB18" i="1"/>
  <c r="AC18" i="1" s="1"/>
  <c r="AZ18" i="17"/>
  <c r="AS18" i="17"/>
  <c r="BA18" i="17"/>
  <c r="AC18" i="31"/>
  <c r="AR18" i="31"/>
  <c r="BA17" i="31"/>
  <c r="AZ17" i="31"/>
  <c r="AS17" i="31"/>
  <c r="AW67" i="18"/>
  <c r="AV69" i="18"/>
  <c r="AW69" i="18" s="1"/>
  <c r="Q64" i="30"/>
  <c r="X64" i="30"/>
  <c r="Y64" i="30" s="1"/>
  <c r="P67" i="30"/>
  <c r="AS47" i="30"/>
  <c r="AZ47" i="30"/>
  <c r="BA47" i="30"/>
  <c r="AK48" i="16"/>
  <c r="AJ64" i="16"/>
  <c r="O64" i="31"/>
  <c r="N67" i="31"/>
  <c r="AM17" i="31"/>
  <c r="AP17" i="31"/>
  <c r="P67" i="1"/>
  <c r="N79" i="1"/>
  <c r="O67" i="1"/>
  <c r="N69" i="1"/>
  <c r="AK67" i="29"/>
  <c r="AJ69" i="29"/>
  <c r="AK69" i="29" s="1"/>
  <c r="AJ79" i="29"/>
  <c r="AK79" i="29" s="1"/>
  <c r="I69" i="17"/>
  <c r="D67" i="27"/>
  <c r="E64" i="27"/>
  <c r="I48" i="31"/>
  <c r="H64" i="31"/>
  <c r="AP54" i="31"/>
  <c r="AA54" i="31"/>
  <c r="AY17" i="30"/>
  <c r="AX17" i="30"/>
  <c r="AQ17" i="30"/>
  <c r="AS27" i="1"/>
  <c r="AS31" i="1"/>
  <c r="AS36" i="1"/>
  <c r="AS58" i="1"/>
  <c r="AS38" i="1"/>
  <c r="AS60" i="1"/>
  <c r="AS35" i="1"/>
  <c r="AS20" i="1"/>
  <c r="AS19" i="1"/>
  <c r="AS39" i="1"/>
  <c r="AS11" i="1"/>
  <c r="BA11" i="1"/>
  <c r="AS41" i="1"/>
  <c r="AS74" i="1"/>
  <c r="AS40" i="1"/>
  <c r="AS57" i="1"/>
  <c r="AS53" i="1"/>
  <c r="AS23" i="1"/>
  <c r="AS65" i="1"/>
  <c r="AS49" i="1"/>
  <c r="AS34" i="1"/>
  <c r="AS26" i="1"/>
  <c r="AS25" i="1"/>
  <c r="AS59" i="1"/>
  <c r="AS10" i="1"/>
  <c r="AS55" i="1"/>
  <c r="AS68" i="1"/>
  <c r="AS76" i="1"/>
  <c r="AS77" i="1"/>
  <c r="AS78" i="1"/>
  <c r="AZ11" i="1"/>
  <c r="AS6" i="1"/>
  <c r="AS24" i="1"/>
  <c r="AS30" i="1"/>
  <c r="AS37" i="1"/>
  <c r="AS50" i="1"/>
  <c r="AS72" i="1"/>
  <c r="AS33" i="1"/>
  <c r="AS46" i="1"/>
  <c r="AS75" i="1"/>
  <c r="AS66" i="1"/>
  <c r="AS63" i="1"/>
  <c r="AS73" i="1"/>
  <c r="AS43" i="1"/>
  <c r="AS9" i="1"/>
  <c r="AS21" i="1"/>
  <c r="AS44" i="1"/>
  <c r="AS8" i="1"/>
  <c r="AS47" i="1"/>
  <c r="AS51" i="1"/>
  <c r="AS28" i="1"/>
  <c r="AS42" i="1"/>
  <c r="AS16" i="1"/>
  <c r="AS17" i="1"/>
  <c r="AS56" i="1"/>
  <c r="AS7" i="1"/>
  <c r="AS71" i="1"/>
  <c r="AS61" i="1"/>
  <c r="AS32" i="1"/>
  <c r="U48" i="29"/>
  <c r="T64" i="29"/>
  <c r="X64" i="29" s="1"/>
  <c r="Y64" i="29" s="1"/>
  <c r="AE64" i="29"/>
  <c r="AD67" i="29"/>
  <c r="AS56" i="29"/>
  <c r="Q64" i="1"/>
  <c r="AP48" i="28"/>
  <c r="AA48" i="28"/>
  <c r="H69" i="30"/>
  <c r="I67" i="30"/>
  <c r="H79" i="30"/>
  <c r="AQ47" i="18"/>
  <c r="AY47" i="18"/>
  <c r="AX47" i="18"/>
  <c r="V48" i="27"/>
  <c r="W48" i="27" s="1"/>
  <c r="S48" i="27"/>
  <c r="R64" i="27"/>
  <c r="M64" i="28"/>
  <c r="L67" i="28"/>
  <c r="AB64" i="28"/>
  <c r="AJ67" i="27"/>
  <c r="AK64" i="27"/>
  <c r="AH64" i="29"/>
  <c r="AL64" i="29" s="1"/>
  <c r="AI48" i="29"/>
  <c r="AK64" i="31"/>
  <c r="AJ67" i="31"/>
  <c r="Q64" i="29"/>
  <c r="P67" i="29"/>
  <c r="AX17" i="28"/>
  <c r="AY17" i="28"/>
  <c r="AQ17" i="28"/>
  <c r="AL48" i="29"/>
  <c r="AZ17" i="18"/>
  <c r="BA17" i="18"/>
  <c r="AS17" i="18"/>
  <c r="E69" i="18"/>
  <c r="AQ37" i="18"/>
  <c r="AQ51" i="18"/>
  <c r="AQ60" i="18"/>
  <c r="AQ71" i="18"/>
  <c r="AQ41" i="18"/>
  <c r="AQ40" i="18"/>
  <c r="AQ66" i="18"/>
  <c r="AQ74" i="18"/>
  <c r="AQ29" i="18"/>
  <c r="AQ63" i="18"/>
  <c r="AQ35" i="18"/>
  <c r="AX11" i="18"/>
  <c r="AQ33" i="18"/>
  <c r="AQ17" i="18"/>
  <c r="AQ22" i="18"/>
  <c r="AQ61" i="18"/>
  <c r="AQ52" i="18"/>
  <c r="AQ65" i="18"/>
  <c r="AQ14" i="18"/>
  <c r="AQ8" i="18"/>
  <c r="AQ77" i="18"/>
  <c r="AQ59" i="18"/>
  <c r="AQ24" i="18"/>
  <c r="AQ76" i="18"/>
  <c r="AQ19" i="18"/>
  <c r="AQ56" i="18"/>
  <c r="AQ57" i="18"/>
  <c r="AQ75" i="18"/>
  <c r="AQ45" i="18"/>
  <c r="AQ32" i="18"/>
  <c r="AQ31" i="18"/>
  <c r="AQ11" i="18"/>
  <c r="AQ30" i="18"/>
  <c r="AQ20" i="18"/>
  <c r="AQ68" i="18"/>
  <c r="AQ53" i="18"/>
  <c r="AQ16" i="18"/>
  <c r="AQ34" i="18"/>
  <c r="AY11" i="18"/>
  <c r="AQ73" i="18"/>
  <c r="AQ36" i="18"/>
  <c r="AQ15" i="18"/>
  <c r="AQ50" i="18"/>
  <c r="AQ26" i="18"/>
  <c r="AQ72" i="18"/>
  <c r="AQ46" i="18"/>
  <c r="AQ38" i="18"/>
  <c r="AQ6" i="18"/>
  <c r="AQ7" i="18"/>
  <c r="AQ10" i="18"/>
  <c r="AQ55" i="18"/>
  <c r="AQ78" i="18"/>
  <c r="AQ21" i="18"/>
  <c r="AQ23" i="18"/>
  <c r="AQ43" i="18"/>
  <c r="AQ27" i="18"/>
  <c r="AQ49" i="18"/>
  <c r="AQ54" i="18"/>
  <c r="AQ9" i="18"/>
  <c r="AQ58" i="18"/>
  <c r="AQ39" i="18"/>
  <c r="AQ25" i="18"/>
  <c r="AQ62" i="18"/>
  <c r="AI64" i="17"/>
  <c r="AH67" i="17"/>
  <c r="AS75" i="28"/>
  <c r="F69" i="17"/>
  <c r="G67" i="17"/>
  <c r="F79" i="17"/>
  <c r="AV67" i="29"/>
  <c r="AW64" i="29"/>
  <c r="I64" i="27"/>
  <c r="H67" i="27"/>
  <c r="AS27" i="28"/>
  <c r="AQ33" i="31"/>
  <c r="AY33" i="31"/>
  <c r="AX33" i="31"/>
  <c r="J67" i="28"/>
  <c r="K64" i="28"/>
  <c r="Z64" i="28"/>
  <c r="AY18" i="29"/>
  <c r="AX18" i="29"/>
  <c r="AQ18" i="29"/>
  <c r="AC48" i="28"/>
  <c r="AB64" i="30"/>
  <c r="AS14" i="28"/>
  <c r="AE48" i="30"/>
  <c r="AL48" i="30"/>
  <c r="AM48" i="30" s="1"/>
  <c r="AD64" i="30"/>
  <c r="AS29" i="29"/>
  <c r="AS30" i="31"/>
  <c r="AS19" i="31"/>
  <c r="AS39" i="31"/>
  <c r="AS20" i="31"/>
  <c r="AS22" i="31"/>
  <c r="AS24" i="31"/>
  <c r="AS55" i="31"/>
  <c r="AS38" i="31"/>
  <c r="AS51" i="31"/>
  <c r="AS74" i="31"/>
  <c r="AS56" i="31"/>
  <c r="AS41" i="31"/>
  <c r="AS35" i="31"/>
  <c r="AS58" i="31"/>
  <c r="AS45" i="31"/>
  <c r="AS72" i="31"/>
  <c r="AS16" i="31"/>
  <c r="AS50" i="31"/>
  <c r="AS78" i="31"/>
  <c r="BA11" i="31"/>
  <c r="AS77" i="31"/>
  <c r="AS15" i="31"/>
  <c r="AS68" i="31"/>
  <c r="AS23" i="31"/>
  <c r="AS46" i="31"/>
  <c r="AS26" i="31"/>
  <c r="AS21" i="31"/>
  <c r="AS40" i="31"/>
  <c r="AS34" i="31"/>
  <c r="AS27" i="31"/>
  <c r="AS60" i="31"/>
  <c r="AS32" i="31"/>
  <c r="AS37" i="31"/>
  <c r="AS36" i="31"/>
  <c r="AS10" i="31"/>
  <c r="AS52" i="31"/>
  <c r="AS25" i="31"/>
  <c r="AS59" i="31"/>
  <c r="AS33" i="31"/>
  <c r="AS43" i="31"/>
  <c r="AS29" i="31"/>
  <c r="AS31" i="31"/>
  <c r="AS63" i="31"/>
  <c r="AS65" i="31"/>
  <c r="AS76" i="31"/>
  <c r="AS53" i="31"/>
  <c r="AS71" i="31"/>
  <c r="AS9" i="31"/>
  <c r="AS44" i="31"/>
  <c r="AS11" i="31"/>
  <c r="AS73" i="31"/>
  <c r="AS8" i="31"/>
  <c r="AS7" i="31"/>
  <c r="AS61" i="31"/>
  <c r="AS28" i="31"/>
  <c r="AS66" i="31"/>
  <c r="AS57" i="31"/>
  <c r="AZ11" i="31"/>
  <c r="AS42" i="31"/>
  <c r="AS54" i="31"/>
  <c r="AS75" i="31"/>
  <c r="AS14" i="31"/>
  <c r="G48" i="30"/>
  <c r="F64" i="30"/>
  <c r="Z48" i="30"/>
  <c r="AV79" i="18"/>
  <c r="AW79" i="18" s="1"/>
  <c r="AU79" i="18"/>
  <c r="BA17" i="16"/>
  <c r="AZ17" i="16"/>
  <c r="AS17" i="16"/>
  <c r="AA18" i="27"/>
  <c r="AP18" i="27"/>
  <c r="AY83" i="28"/>
  <c r="AX83" i="28"/>
  <c r="AA18" i="30"/>
  <c r="AP18" i="30"/>
  <c r="F67" i="16"/>
  <c r="G64" i="16"/>
  <c r="Z64" i="16"/>
  <c r="F64" i="27"/>
  <c r="G48" i="27"/>
  <c r="Z48" i="27"/>
  <c r="AZ83" i="28"/>
  <c r="BA83" i="28"/>
  <c r="AG48" i="27"/>
  <c r="AN48" i="27"/>
  <c r="AO48" i="27" s="1"/>
  <c r="AF64" i="27"/>
  <c r="AR48" i="30"/>
  <c r="AC48" i="30"/>
  <c r="AW67" i="30"/>
  <c r="AV69" i="30"/>
  <c r="AW69" i="30" s="1"/>
  <c r="AR18" i="18"/>
  <c r="AC18" i="18"/>
  <c r="AA48" i="16"/>
  <c r="AP48" i="16"/>
  <c r="AS62" i="31" l="1"/>
  <c r="BA62" i="31"/>
  <c r="AB48" i="31"/>
  <c r="AQ56" i="31"/>
  <c r="K64" i="29"/>
  <c r="J67" i="29"/>
  <c r="Z64" i="29"/>
  <c r="AA64" i="29" s="1"/>
  <c r="N67" i="29"/>
  <c r="O64" i="29"/>
  <c r="V64" i="29"/>
  <c r="W64" i="29" s="1"/>
  <c r="P82" i="31"/>
  <c r="X82" i="30"/>
  <c r="AE64" i="17"/>
  <c r="AD67" i="17"/>
  <c r="AL64" i="17"/>
  <c r="AM64" i="17" s="1"/>
  <c r="AM48" i="17"/>
  <c r="AP48" i="17"/>
  <c r="AQ48" i="17" s="1"/>
  <c r="AY48" i="17"/>
  <c r="Z48" i="18"/>
  <c r="AQ18" i="18"/>
  <c r="AX18" i="18"/>
  <c r="AR82" i="18"/>
  <c r="AX48" i="17"/>
  <c r="J67" i="17"/>
  <c r="K64" i="17"/>
  <c r="J67" i="16"/>
  <c r="K64" i="16"/>
  <c r="AE67" i="16"/>
  <c r="AD79" i="16"/>
  <c r="AE79" i="16" s="1"/>
  <c r="AD69" i="16"/>
  <c r="AE69" i="16" s="1"/>
  <c r="L67" i="16"/>
  <c r="M64" i="16"/>
  <c r="AF82" i="28"/>
  <c r="AN82" i="27"/>
  <c r="AZ82" i="18"/>
  <c r="BA82" i="18"/>
  <c r="H82" i="28"/>
  <c r="AB82" i="27"/>
  <c r="AP48" i="1"/>
  <c r="AQ48" i="1" s="1"/>
  <c r="AY47" i="27"/>
  <c r="AS49" i="31"/>
  <c r="AS6" i="31"/>
  <c r="AB67" i="30"/>
  <c r="D79" i="29"/>
  <c r="E67" i="29"/>
  <c r="D69" i="29"/>
  <c r="E69" i="29" s="1"/>
  <c r="F69" i="29"/>
  <c r="G69" i="29" s="1"/>
  <c r="G67" i="29"/>
  <c r="F79" i="29"/>
  <c r="G79" i="29" s="1"/>
  <c r="S67" i="29"/>
  <c r="R69" i="29"/>
  <c r="S69" i="29" s="1"/>
  <c r="R79" i="29"/>
  <c r="D69" i="16"/>
  <c r="E69" i="16" s="1"/>
  <c r="D79" i="16"/>
  <c r="E67" i="16"/>
  <c r="D67" i="17"/>
  <c r="E64" i="17"/>
  <c r="Z67" i="29"/>
  <c r="AA67" i="29" s="1"/>
  <c r="AW67" i="16"/>
  <c r="AV69" i="16"/>
  <c r="AW69" i="16" s="1"/>
  <c r="AR48" i="28"/>
  <c r="BA48" i="28" s="1"/>
  <c r="R67" i="28"/>
  <c r="S64" i="28"/>
  <c r="AH67" i="30"/>
  <c r="AI64" i="30"/>
  <c r="AT64" i="28"/>
  <c r="AU48" i="28"/>
  <c r="O64" i="18"/>
  <c r="N67" i="18"/>
  <c r="AU48" i="1"/>
  <c r="AV48" i="1"/>
  <c r="AW48" i="1" s="1"/>
  <c r="AT64" i="1"/>
  <c r="C64" i="28"/>
  <c r="B67" i="28"/>
  <c r="G48" i="18"/>
  <c r="F64" i="18"/>
  <c r="J64" i="18"/>
  <c r="K48" i="18"/>
  <c r="BA20" i="1"/>
  <c r="AZ20" i="1"/>
  <c r="AV79" i="29"/>
  <c r="AW79" i="29" s="1"/>
  <c r="AU79" i="29"/>
  <c r="T69" i="18"/>
  <c r="U69" i="18" s="1"/>
  <c r="T79" i="18"/>
  <c r="U79" i="18" s="1"/>
  <c r="U67" i="18"/>
  <c r="AJ67" i="30"/>
  <c r="AK64" i="30"/>
  <c r="D79" i="30"/>
  <c r="E67" i="30"/>
  <c r="D69" i="30"/>
  <c r="E69" i="30" s="1"/>
  <c r="AL64" i="27"/>
  <c r="AM64" i="27" s="1"/>
  <c r="AD67" i="27"/>
  <c r="AE64" i="27"/>
  <c r="O64" i="17"/>
  <c r="N67" i="17"/>
  <c r="V67" i="17" s="1"/>
  <c r="W67" i="17" s="1"/>
  <c r="Z64" i="17"/>
  <c r="P64" i="16"/>
  <c r="Q48" i="16"/>
  <c r="X48" i="16"/>
  <c r="Y48" i="16" s="1"/>
  <c r="AK48" i="28"/>
  <c r="AJ64" i="28"/>
  <c r="AN64" i="28" s="1"/>
  <c r="AQ52" i="31"/>
  <c r="AQ39" i="31"/>
  <c r="AQ21" i="31"/>
  <c r="AQ23" i="31"/>
  <c r="AQ59" i="31"/>
  <c r="AQ7" i="31"/>
  <c r="AG64" i="30"/>
  <c r="AN64" i="30"/>
  <c r="AO64" i="30" s="1"/>
  <c r="AF67" i="30"/>
  <c r="BA18" i="30"/>
  <c r="AZ18" i="30"/>
  <c r="AS18" i="30"/>
  <c r="K64" i="30"/>
  <c r="J67" i="30"/>
  <c r="AQ19" i="31"/>
  <c r="D79" i="28"/>
  <c r="E67" i="28"/>
  <c r="D69" i="28"/>
  <c r="E69" i="28" s="1"/>
  <c r="P67" i="17"/>
  <c r="Q64" i="17"/>
  <c r="R79" i="17"/>
  <c r="S67" i="17"/>
  <c r="R69" i="17"/>
  <c r="AQ18" i="16"/>
  <c r="AY18" i="16"/>
  <c r="AD69" i="1"/>
  <c r="AE67" i="1"/>
  <c r="AF67" i="1"/>
  <c r="AG67" i="1" s="1"/>
  <c r="AD79" i="1"/>
  <c r="AS62" i="1"/>
  <c r="AZ62" i="1"/>
  <c r="BA62" i="1"/>
  <c r="AX18" i="17"/>
  <c r="AY18" i="17"/>
  <c r="AQ18" i="17"/>
  <c r="P69" i="27"/>
  <c r="Q69" i="27" s="1"/>
  <c r="Q67" i="27"/>
  <c r="P79" i="27"/>
  <c r="Q79" i="27" s="1"/>
  <c r="AM64" i="29"/>
  <c r="AP64" i="29"/>
  <c r="AY64" i="29" s="1"/>
  <c r="AD67" i="28"/>
  <c r="AL64" i="28"/>
  <c r="AM64" i="28" s="1"/>
  <c r="AE64" i="28"/>
  <c r="F64" i="31"/>
  <c r="G48" i="31"/>
  <c r="Z48" i="31"/>
  <c r="AA48" i="31" s="1"/>
  <c r="BA47" i="31"/>
  <c r="AZ47" i="31"/>
  <c r="AT67" i="27"/>
  <c r="AU64" i="27"/>
  <c r="AG64" i="17"/>
  <c r="AN64" i="17"/>
  <c r="AO64" i="17" s="1"/>
  <c r="AF67" i="17"/>
  <c r="AQ53" i="31"/>
  <c r="AI64" i="16"/>
  <c r="AH67" i="16"/>
  <c r="AL64" i="16"/>
  <c r="AM64" i="16" s="1"/>
  <c r="AZ27" i="1"/>
  <c r="BA27" i="1"/>
  <c r="F67" i="28"/>
  <c r="Z67" i="28" s="1"/>
  <c r="G64" i="28"/>
  <c r="J69" i="1"/>
  <c r="K67" i="1"/>
  <c r="L67" i="1"/>
  <c r="M67" i="1" s="1"/>
  <c r="J79" i="1"/>
  <c r="M64" i="31"/>
  <c r="L67" i="31"/>
  <c r="AH67" i="31"/>
  <c r="AI64" i="31"/>
  <c r="C64" i="31"/>
  <c r="B67" i="31"/>
  <c r="I67" i="28"/>
  <c r="H69" i="28"/>
  <c r="I69" i="28" s="1"/>
  <c r="H79" i="28"/>
  <c r="I79" i="28" s="1"/>
  <c r="AJ67" i="17"/>
  <c r="AK64" i="17"/>
  <c r="AI67" i="18"/>
  <c r="AH79" i="18"/>
  <c r="AI79" i="18" s="1"/>
  <c r="AH69" i="18"/>
  <c r="AI69" i="18" s="1"/>
  <c r="AT64" i="17"/>
  <c r="AU48" i="17"/>
  <c r="AQ6" i="31"/>
  <c r="AQ68" i="31"/>
  <c r="AQ15" i="31"/>
  <c r="AQ11" i="31"/>
  <c r="AQ77" i="31"/>
  <c r="AX11" i="31"/>
  <c r="AQ57" i="31"/>
  <c r="AQ74" i="31"/>
  <c r="AQ8" i="31"/>
  <c r="AQ45" i="31"/>
  <c r="AQ75" i="31"/>
  <c r="AQ71" i="31"/>
  <c r="AQ35" i="31"/>
  <c r="AQ65" i="31"/>
  <c r="AQ29" i="31"/>
  <c r="AQ58" i="31"/>
  <c r="AQ60" i="31"/>
  <c r="AQ25" i="31"/>
  <c r="AQ43" i="31"/>
  <c r="AQ28" i="31"/>
  <c r="AQ30" i="31"/>
  <c r="AQ49" i="31"/>
  <c r="AQ76" i="31"/>
  <c r="AQ44" i="31"/>
  <c r="AQ63" i="31"/>
  <c r="AQ51" i="31"/>
  <c r="AQ72" i="31"/>
  <c r="AQ73" i="31"/>
  <c r="AQ46" i="31"/>
  <c r="AQ55" i="31"/>
  <c r="AQ31" i="31"/>
  <c r="AY11" i="31"/>
  <c r="AQ22" i="31"/>
  <c r="AQ36" i="31"/>
  <c r="AQ78" i="31"/>
  <c r="AQ14" i="31"/>
  <c r="AQ32" i="31"/>
  <c r="AQ42" i="31"/>
  <c r="AQ61" i="31"/>
  <c r="AQ10" i="31"/>
  <c r="AQ20" i="31"/>
  <c r="AQ40" i="31"/>
  <c r="AQ66" i="31"/>
  <c r="AQ9" i="31"/>
  <c r="AQ38" i="31"/>
  <c r="AQ37" i="31"/>
  <c r="AQ41" i="31"/>
  <c r="AQ26" i="31"/>
  <c r="AQ16" i="31"/>
  <c r="AQ24" i="31"/>
  <c r="AQ27" i="31"/>
  <c r="AQ34" i="31"/>
  <c r="AH67" i="1"/>
  <c r="AJ64" i="1"/>
  <c r="AL64" i="1"/>
  <c r="AM64" i="1" s="1"/>
  <c r="AI64" i="1"/>
  <c r="AI79" i="28"/>
  <c r="U79" i="28"/>
  <c r="X79" i="28"/>
  <c r="Y79" i="28" s="1"/>
  <c r="AU67" i="16"/>
  <c r="AT69" i="16"/>
  <c r="AU69" i="16" s="1"/>
  <c r="AT79" i="16"/>
  <c r="AT67" i="31"/>
  <c r="AU64" i="31"/>
  <c r="U67" i="16"/>
  <c r="T69" i="16"/>
  <c r="T79" i="16"/>
  <c r="U48" i="31"/>
  <c r="T64" i="31"/>
  <c r="AB64" i="31" s="1"/>
  <c r="AL64" i="18"/>
  <c r="AM64" i="18" s="1"/>
  <c r="AE64" i="18"/>
  <c r="AD67" i="18"/>
  <c r="O64" i="27"/>
  <c r="N67" i="27"/>
  <c r="AK48" i="1"/>
  <c r="AN48" i="1"/>
  <c r="AO48" i="1" s="1"/>
  <c r="J67" i="31"/>
  <c r="K64" i="31"/>
  <c r="O67" i="16"/>
  <c r="N79" i="16"/>
  <c r="V67" i="16"/>
  <c r="W67" i="16" s="1"/>
  <c r="N69" i="16"/>
  <c r="AC54" i="1"/>
  <c r="AR54" i="1"/>
  <c r="AR48" i="17"/>
  <c r="AC48" i="17"/>
  <c r="U69" i="28"/>
  <c r="X69" i="28"/>
  <c r="Y69" i="28" s="1"/>
  <c r="C67" i="27"/>
  <c r="B79" i="27"/>
  <c r="C79" i="27" s="1"/>
  <c r="B69" i="27"/>
  <c r="C69" i="27" s="1"/>
  <c r="E64" i="31"/>
  <c r="D67" i="31"/>
  <c r="AZ54" i="31"/>
  <c r="BA54" i="31"/>
  <c r="AV67" i="17"/>
  <c r="AW64" i="17"/>
  <c r="AY54" i="1"/>
  <c r="AX54" i="1"/>
  <c r="AQ54" i="1"/>
  <c r="P69" i="18"/>
  <c r="Q67" i="18"/>
  <c r="X67" i="18"/>
  <c r="Y67" i="18" s="1"/>
  <c r="P79" i="18"/>
  <c r="AQ50" i="31"/>
  <c r="AS29" i="1"/>
  <c r="AZ29" i="1"/>
  <c r="BA29" i="1"/>
  <c r="AS47" i="31"/>
  <c r="BA52" i="1"/>
  <c r="AZ52" i="1"/>
  <c r="M64" i="17"/>
  <c r="L67" i="17"/>
  <c r="AX47" i="31"/>
  <c r="AY47" i="31"/>
  <c r="AQ47" i="31"/>
  <c r="H69" i="27"/>
  <c r="I67" i="27"/>
  <c r="H79" i="27"/>
  <c r="AM48" i="29"/>
  <c r="AP48" i="29"/>
  <c r="AH67" i="29"/>
  <c r="AI64" i="29"/>
  <c r="AZ18" i="27"/>
  <c r="BA18" i="27"/>
  <c r="AS18" i="27"/>
  <c r="T64" i="1"/>
  <c r="AB64" i="1" s="1"/>
  <c r="AC64" i="1" s="1"/>
  <c r="S64" i="1"/>
  <c r="R67" i="1"/>
  <c r="Z67" i="1" s="1"/>
  <c r="AA67" i="1" s="1"/>
  <c r="V64" i="1"/>
  <c r="W64" i="1" s="1"/>
  <c r="S64" i="18"/>
  <c r="R67" i="18"/>
  <c r="V64" i="18"/>
  <c r="W64" i="18" s="1"/>
  <c r="AN64" i="31"/>
  <c r="AO64" i="31" s="1"/>
  <c r="AG64" i="31"/>
  <c r="AF67" i="31"/>
  <c r="AP48" i="27"/>
  <c r="AA48" i="27"/>
  <c r="AS48" i="28"/>
  <c r="AY48" i="28"/>
  <c r="AQ48" i="28"/>
  <c r="AX48" i="28"/>
  <c r="AX17" i="31"/>
  <c r="AQ17" i="31"/>
  <c r="AY17" i="31"/>
  <c r="AY18" i="30"/>
  <c r="AQ18" i="30"/>
  <c r="AX18" i="30"/>
  <c r="AX48" i="16"/>
  <c r="AQ48" i="16"/>
  <c r="AY48" i="16"/>
  <c r="AJ69" i="27"/>
  <c r="AK69" i="27" s="1"/>
  <c r="AK67" i="27"/>
  <c r="AJ79" i="27"/>
  <c r="AK79" i="27" s="1"/>
  <c r="X67" i="30"/>
  <c r="Y67" i="30" s="1"/>
  <c r="Q67" i="30"/>
  <c r="P69" i="30"/>
  <c r="P79" i="30"/>
  <c r="U48" i="1"/>
  <c r="X48" i="1"/>
  <c r="Y48" i="1" s="1"/>
  <c r="T67" i="27"/>
  <c r="AB67" i="27" s="1"/>
  <c r="AC67" i="27" s="1"/>
  <c r="U64" i="27"/>
  <c r="X64" i="27"/>
  <c r="Y64" i="27" s="1"/>
  <c r="E48" i="1"/>
  <c r="AG64" i="16"/>
  <c r="AN64" i="16"/>
  <c r="AO64" i="16" s="1"/>
  <c r="AF67" i="16"/>
  <c r="C64" i="1"/>
  <c r="B67" i="1"/>
  <c r="D64" i="1"/>
  <c r="AB67" i="28"/>
  <c r="M67" i="28"/>
  <c r="L69" i="28"/>
  <c r="L79" i="28"/>
  <c r="AJ69" i="18"/>
  <c r="AJ79" i="18"/>
  <c r="AK67" i="18"/>
  <c r="AN67" i="18"/>
  <c r="AO67" i="18" s="1"/>
  <c r="AC48" i="16"/>
  <c r="AR48" i="16"/>
  <c r="S64" i="31"/>
  <c r="R67" i="31"/>
  <c r="V67" i="31" s="1"/>
  <c r="W67" i="31" s="1"/>
  <c r="AC48" i="31"/>
  <c r="AR48" i="31"/>
  <c r="N79" i="31"/>
  <c r="O67" i="31"/>
  <c r="N69" i="31"/>
  <c r="I64" i="16"/>
  <c r="AB64" i="16"/>
  <c r="H67" i="16"/>
  <c r="AC48" i="18"/>
  <c r="AR48" i="18"/>
  <c r="AC64" i="17"/>
  <c r="AP18" i="31"/>
  <c r="AB64" i="18"/>
  <c r="I64" i="18"/>
  <c r="H67" i="18"/>
  <c r="AB64" i="29"/>
  <c r="I64" i="29"/>
  <c r="H67" i="29"/>
  <c r="AX18" i="1"/>
  <c r="AY18" i="1"/>
  <c r="AQ18" i="1"/>
  <c r="R67" i="27"/>
  <c r="S64" i="27"/>
  <c r="V64" i="27"/>
  <c r="W64" i="27" s="1"/>
  <c r="I64" i="31"/>
  <c r="H67" i="31"/>
  <c r="O69" i="1"/>
  <c r="P69" i="1"/>
  <c r="AS18" i="18"/>
  <c r="AZ18" i="18"/>
  <c r="BA18" i="18"/>
  <c r="AJ67" i="16"/>
  <c r="AK64" i="16"/>
  <c r="AR18" i="1"/>
  <c r="AR48" i="29"/>
  <c r="AC48" i="29"/>
  <c r="T69" i="17"/>
  <c r="T79" i="17"/>
  <c r="U67" i="17"/>
  <c r="AD67" i="30"/>
  <c r="AE64" i="30"/>
  <c r="AL64" i="30"/>
  <c r="AM64" i="30" s="1"/>
  <c r="P69" i="29"/>
  <c r="P79" i="29"/>
  <c r="Q67" i="29"/>
  <c r="AL67" i="29"/>
  <c r="AD69" i="29"/>
  <c r="AD79" i="29"/>
  <c r="AE67" i="29"/>
  <c r="Q67" i="1"/>
  <c r="AG64" i="28"/>
  <c r="AF67" i="28"/>
  <c r="M67" i="30"/>
  <c r="L79" i="30"/>
  <c r="M79" i="30" s="1"/>
  <c r="L69" i="30"/>
  <c r="M69" i="30" s="1"/>
  <c r="G64" i="27"/>
  <c r="F67" i="27"/>
  <c r="Z64" i="27"/>
  <c r="AA64" i="28"/>
  <c r="G79" i="17"/>
  <c r="O79" i="1"/>
  <c r="P79" i="1"/>
  <c r="J69" i="28"/>
  <c r="K67" i="28"/>
  <c r="J79" i="28"/>
  <c r="P67" i="31"/>
  <c r="Q64" i="31"/>
  <c r="BA48" i="30"/>
  <c r="AZ48" i="30"/>
  <c r="AS48" i="30"/>
  <c r="G69" i="17"/>
  <c r="Z64" i="1"/>
  <c r="AA64" i="1" s="1"/>
  <c r="AB48" i="1"/>
  <c r="AC48" i="1" s="1"/>
  <c r="AG64" i="27"/>
  <c r="AF67" i="27"/>
  <c r="AN64" i="27"/>
  <c r="AC67" i="30"/>
  <c r="AX54" i="31"/>
  <c r="AQ54" i="31"/>
  <c r="AY54" i="31"/>
  <c r="N69" i="28"/>
  <c r="O67" i="28"/>
  <c r="N79" i="28"/>
  <c r="V67" i="28"/>
  <c r="W67" i="28" s="1"/>
  <c r="AG69" i="29"/>
  <c r="AN69" i="29"/>
  <c r="AO69" i="29" s="1"/>
  <c r="AV69" i="29"/>
  <c r="AW69" i="29" s="1"/>
  <c r="AW67" i="29"/>
  <c r="AA64" i="16"/>
  <c r="AY18" i="27"/>
  <c r="AQ18" i="27"/>
  <c r="AX18" i="27"/>
  <c r="AK67" i="31"/>
  <c r="AJ69" i="31"/>
  <c r="AK69" i="31" s="1"/>
  <c r="AJ79" i="31"/>
  <c r="AK79" i="31" s="1"/>
  <c r="I79" i="30"/>
  <c r="D79" i="27"/>
  <c r="E67" i="27"/>
  <c r="D69" i="27"/>
  <c r="G67" i="1"/>
  <c r="H67" i="1"/>
  <c r="F79" i="1"/>
  <c r="F69" i="1"/>
  <c r="L69" i="18"/>
  <c r="M69" i="18" s="1"/>
  <c r="L79" i="18"/>
  <c r="M79" i="18" s="1"/>
  <c r="M67" i="18"/>
  <c r="AS18" i="31"/>
  <c r="AZ18" i="31"/>
  <c r="BA18" i="31"/>
  <c r="AA48" i="30"/>
  <c r="AP48" i="30"/>
  <c r="AR48" i="27"/>
  <c r="I64" i="1"/>
  <c r="AG79" i="29"/>
  <c r="AN79" i="29"/>
  <c r="AS18" i="29"/>
  <c r="BA18" i="29"/>
  <c r="AZ18" i="29"/>
  <c r="AC64" i="28"/>
  <c r="U64" i="29"/>
  <c r="T67" i="29"/>
  <c r="F69" i="16"/>
  <c r="F79" i="16"/>
  <c r="G67" i="16"/>
  <c r="Z67" i="16"/>
  <c r="G64" i="30"/>
  <c r="Z64" i="30"/>
  <c r="F67" i="30"/>
  <c r="AR64" i="30"/>
  <c r="AC64" i="30"/>
  <c r="AI67" i="17"/>
  <c r="AH69" i="17"/>
  <c r="AI69" i="17" s="1"/>
  <c r="AH79" i="17"/>
  <c r="AI79" i="17" s="1"/>
  <c r="I69" i="30"/>
  <c r="AL67" i="17"/>
  <c r="AM67" i="17" s="1"/>
  <c r="AL48" i="31"/>
  <c r="AD64" i="31"/>
  <c r="AE48" i="31"/>
  <c r="AA48" i="18"/>
  <c r="AP48" i="18"/>
  <c r="AS18" i="16"/>
  <c r="AZ18" i="16"/>
  <c r="BA18" i="16"/>
  <c r="O67" i="29" l="1"/>
  <c r="N79" i="29"/>
  <c r="V67" i="29"/>
  <c r="W67" i="29" s="1"/>
  <c r="N69" i="29"/>
  <c r="K67" i="29"/>
  <c r="J79" i="29"/>
  <c r="K79" i="29" s="1"/>
  <c r="J69" i="29"/>
  <c r="K69" i="29" s="1"/>
  <c r="AX64" i="29"/>
  <c r="X82" i="31"/>
  <c r="AX48" i="1"/>
  <c r="AY48" i="1"/>
  <c r="AD79" i="17"/>
  <c r="AE79" i="17" s="1"/>
  <c r="AE67" i="17"/>
  <c r="AD69" i="17"/>
  <c r="AE69" i="17" s="1"/>
  <c r="Z64" i="18"/>
  <c r="AR82" i="27"/>
  <c r="BA82" i="27" s="1"/>
  <c r="K67" i="17"/>
  <c r="J69" i="17"/>
  <c r="K69" i="17" s="1"/>
  <c r="J79" i="17"/>
  <c r="K79" i="17" s="1"/>
  <c r="L69" i="16"/>
  <c r="M69" i="16" s="1"/>
  <c r="M67" i="16"/>
  <c r="L79" i="16"/>
  <c r="M79" i="16" s="1"/>
  <c r="J79" i="16"/>
  <c r="K79" i="16" s="1"/>
  <c r="K67" i="16"/>
  <c r="J69" i="16"/>
  <c r="K69" i="16" s="1"/>
  <c r="AN82" i="28"/>
  <c r="AF82" i="29"/>
  <c r="H82" i="29"/>
  <c r="AB82" i="28"/>
  <c r="AO64" i="28"/>
  <c r="AR64" i="28"/>
  <c r="BA64" i="28" s="1"/>
  <c r="AP64" i="16"/>
  <c r="AY64" i="16" s="1"/>
  <c r="D69" i="17"/>
  <c r="E69" i="17" s="1"/>
  <c r="E67" i="17"/>
  <c r="D79" i="17"/>
  <c r="AZ48" i="28"/>
  <c r="Z69" i="29"/>
  <c r="AA69" i="29" s="1"/>
  <c r="AP64" i="28"/>
  <c r="AJ67" i="28"/>
  <c r="AN67" i="28" s="1"/>
  <c r="AK64" i="28"/>
  <c r="N69" i="18"/>
  <c r="O69" i="18" s="1"/>
  <c r="O67" i="18"/>
  <c r="N79" i="18"/>
  <c r="O79" i="18" s="1"/>
  <c r="K64" i="18"/>
  <c r="J67" i="18"/>
  <c r="P67" i="16"/>
  <c r="AB67" i="16" s="1"/>
  <c r="Q64" i="16"/>
  <c r="X64" i="16"/>
  <c r="Y64" i="16" s="1"/>
  <c r="G64" i="18"/>
  <c r="F67" i="18"/>
  <c r="AT67" i="28"/>
  <c r="AU64" i="28"/>
  <c r="AR64" i="17"/>
  <c r="AZ64" i="17" s="1"/>
  <c r="AA64" i="17"/>
  <c r="AP64" i="17"/>
  <c r="O67" i="17"/>
  <c r="N79" i="17"/>
  <c r="O79" i="17" s="1"/>
  <c r="N69" i="17"/>
  <c r="V69" i="17" s="1"/>
  <c r="W69" i="17" s="1"/>
  <c r="Z67" i="17"/>
  <c r="AA67" i="17" s="1"/>
  <c r="AJ69" i="30"/>
  <c r="AK69" i="30" s="1"/>
  <c r="AK67" i="30"/>
  <c r="AJ79" i="30"/>
  <c r="AK79" i="30" s="1"/>
  <c r="AH69" i="30"/>
  <c r="AI69" i="30" s="1"/>
  <c r="AI67" i="30"/>
  <c r="AH79" i="30"/>
  <c r="AI79" i="30" s="1"/>
  <c r="C67" i="28"/>
  <c r="B79" i="28"/>
  <c r="C79" i="28" s="1"/>
  <c r="B69" i="28"/>
  <c r="C69" i="28" s="1"/>
  <c r="AE67" i="27"/>
  <c r="AD69" i="27"/>
  <c r="AL67" i="27"/>
  <c r="AM67" i="27" s="1"/>
  <c r="AD79" i="27"/>
  <c r="AV64" i="1"/>
  <c r="AW64" i="1" s="1"/>
  <c r="AU64" i="1"/>
  <c r="AT67" i="1"/>
  <c r="S67" i="28"/>
  <c r="R79" i="28"/>
  <c r="R69" i="28"/>
  <c r="S69" i="28" s="1"/>
  <c r="J69" i="30"/>
  <c r="K69" i="30" s="1"/>
  <c r="J79" i="30"/>
  <c r="K79" i="30" s="1"/>
  <c r="K67" i="30"/>
  <c r="AF69" i="30"/>
  <c r="AN67" i="30"/>
  <c r="AF79" i="30"/>
  <c r="AG67" i="30"/>
  <c r="AQ64" i="29"/>
  <c r="AE79" i="1"/>
  <c r="AF79" i="1"/>
  <c r="AG79" i="1" s="1"/>
  <c r="AF69" i="1"/>
  <c r="AG69" i="1" s="1"/>
  <c r="AE69" i="1"/>
  <c r="Q67" i="17"/>
  <c r="P69" i="17"/>
  <c r="Q69" i="17" s="1"/>
  <c r="P79" i="17"/>
  <c r="Q79" i="17" s="1"/>
  <c r="X67" i="17"/>
  <c r="Y67" i="17" s="1"/>
  <c r="AB67" i="17"/>
  <c r="AC67" i="17" s="1"/>
  <c r="S69" i="17"/>
  <c r="X64" i="31"/>
  <c r="Y64" i="31" s="1"/>
  <c r="AT79" i="31"/>
  <c r="AT69" i="31"/>
  <c r="AU69" i="31" s="1"/>
  <c r="AU67" i="31"/>
  <c r="AI67" i="1"/>
  <c r="AJ67" i="1"/>
  <c r="AH79" i="1"/>
  <c r="AH69" i="1"/>
  <c r="AL67" i="1"/>
  <c r="AM67" i="1" s="1"/>
  <c r="AU79" i="16"/>
  <c r="AV79" i="16"/>
  <c r="AW79" i="16" s="1"/>
  <c r="AH79" i="31"/>
  <c r="AI79" i="31" s="1"/>
  <c r="AI67" i="31"/>
  <c r="AH69" i="31"/>
  <c r="AI69" i="31" s="1"/>
  <c r="AV69" i="17"/>
  <c r="AW69" i="17" s="1"/>
  <c r="AW67" i="17"/>
  <c r="AH69" i="16"/>
  <c r="AI67" i="16"/>
  <c r="AL67" i="16"/>
  <c r="AM67" i="16" s="1"/>
  <c r="AH79" i="16"/>
  <c r="G64" i="31"/>
  <c r="F67" i="31"/>
  <c r="Z64" i="31"/>
  <c r="AA64" i="31" s="1"/>
  <c r="AB69" i="30"/>
  <c r="AC69" i="30" s="1"/>
  <c r="E67" i="31"/>
  <c r="D79" i="31"/>
  <c r="D69" i="31"/>
  <c r="E69" i="31" s="1"/>
  <c r="O69" i="16"/>
  <c r="V69" i="16"/>
  <c r="W69" i="16" s="1"/>
  <c r="AS54" i="1"/>
  <c r="BA54" i="1"/>
  <c r="AZ54" i="1"/>
  <c r="N69" i="27"/>
  <c r="O69" i="27" s="1"/>
  <c r="O67" i="27"/>
  <c r="N79" i="27"/>
  <c r="O79" i="27" s="1"/>
  <c r="M67" i="31"/>
  <c r="L69" i="31"/>
  <c r="M69" i="31" s="1"/>
  <c r="L79" i="31"/>
  <c r="M79" i="31" s="1"/>
  <c r="X79" i="18"/>
  <c r="Y79" i="18" s="1"/>
  <c r="Q79" i="18"/>
  <c r="V79" i="16"/>
  <c r="W79" i="16" s="1"/>
  <c r="O79" i="16"/>
  <c r="AN67" i="17"/>
  <c r="AO67" i="17" s="1"/>
  <c r="AF69" i="17"/>
  <c r="AG67" i="17"/>
  <c r="AF79" i="17"/>
  <c r="AD69" i="28"/>
  <c r="AE67" i="28"/>
  <c r="AL67" i="28"/>
  <c r="AM67" i="28" s="1"/>
  <c r="AD79" i="28"/>
  <c r="L69" i="17"/>
  <c r="M69" i="17" s="1"/>
  <c r="L79" i="17"/>
  <c r="M79" i="17" s="1"/>
  <c r="M67" i="17"/>
  <c r="AL67" i="18"/>
  <c r="AM67" i="18" s="1"/>
  <c r="AE67" i="18"/>
  <c r="AD69" i="18"/>
  <c r="AD79" i="18"/>
  <c r="K79" i="1"/>
  <c r="L79" i="1"/>
  <c r="M79" i="1" s="1"/>
  <c r="AU64" i="17"/>
  <c r="AT67" i="17"/>
  <c r="Q69" i="18"/>
  <c r="X69" i="18"/>
  <c r="Y69" i="18" s="1"/>
  <c r="K67" i="31"/>
  <c r="J69" i="31"/>
  <c r="K69" i="31" s="1"/>
  <c r="J79" i="31"/>
  <c r="K79" i="31" s="1"/>
  <c r="U64" i="31"/>
  <c r="T67" i="31"/>
  <c r="AB67" i="31" s="1"/>
  <c r="B79" i="31"/>
  <c r="C79" i="31" s="1"/>
  <c r="B69" i="31"/>
  <c r="C69" i="31" s="1"/>
  <c r="C67" i="31"/>
  <c r="L69" i="1"/>
  <c r="M69" i="1" s="1"/>
  <c r="K69" i="1"/>
  <c r="AU67" i="27"/>
  <c r="AT79" i="27"/>
  <c r="AT69" i="27"/>
  <c r="AU69" i="27" s="1"/>
  <c r="AZ48" i="17"/>
  <c r="BA48" i="17"/>
  <c r="AS48" i="17"/>
  <c r="U79" i="16"/>
  <c r="U69" i="16"/>
  <c r="AK64" i="1"/>
  <c r="AN64" i="1"/>
  <c r="AO64" i="1" s="1"/>
  <c r="AK67" i="17"/>
  <c r="AJ69" i="17"/>
  <c r="AK69" i="17" s="1"/>
  <c r="AJ79" i="17"/>
  <c r="AK79" i="17" s="1"/>
  <c r="F69" i="28"/>
  <c r="G69" i="28" s="1"/>
  <c r="G67" i="28"/>
  <c r="F79" i="28"/>
  <c r="G79" i="28" s="1"/>
  <c r="Q79" i="29"/>
  <c r="AX48" i="18"/>
  <c r="AQ48" i="18"/>
  <c r="AY48" i="18"/>
  <c r="G79" i="16"/>
  <c r="G69" i="16"/>
  <c r="Z69" i="16"/>
  <c r="P69" i="31"/>
  <c r="Q67" i="31"/>
  <c r="P79" i="31"/>
  <c r="AL67" i="30"/>
  <c r="AM67" i="30" s="1"/>
  <c r="AD69" i="30"/>
  <c r="AE67" i="30"/>
  <c r="AD79" i="30"/>
  <c r="T69" i="29"/>
  <c r="U69" i="29" s="1"/>
  <c r="U67" i="29"/>
  <c r="T79" i="29"/>
  <c r="U79" i="29" s="1"/>
  <c r="E69" i="27"/>
  <c r="AE79" i="29"/>
  <c r="S67" i="27"/>
  <c r="R69" i="27"/>
  <c r="R79" i="27"/>
  <c r="V67" i="27"/>
  <c r="W67" i="27" s="1"/>
  <c r="AR64" i="18"/>
  <c r="AC64" i="18"/>
  <c r="AQ18" i="31"/>
  <c r="AY18" i="31"/>
  <c r="AX18" i="31"/>
  <c r="AK79" i="18"/>
  <c r="AN79" i="18"/>
  <c r="AP64" i="1"/>
  <c r="K79" i="28"/>
  <c r="AM67" i="29"/>
  <c r="AP67" i="29"/>
  <c r="AK69" i="18"/>
  <c r="AN69" i="18"/>
  <c r="AO69" i="18" s="1"/>
  <c r="E64" i="1"/>
  <c r="B69" i="1"/>
  <c r="D67" i="1"/>
  <c r="C67" i="1"/>
  <c r="B79" i="1"/>
  <c r="X79" i="30"/>
  <c r="Y79" i="30" s="1"/>
  <c r="Q79" i="30"/>
  <c r="AZ64" i="28"/>
  <c r="AB79" i="30"/>
  <c r="K69" i="28"/>
  <c r="X67" i="29"/>
  <c r="Y67" i="29" s="1"/>
  <c r="Q69" i="30"/>
  <c r="X69" i="30"/>
  <c r="Y69" i="30" s="1"/>
  <c r="AP64" i="18"/>
  <c r="AA64" i="18"/>
  <c r="O69" i="31"/>
  <c r="AG67" i="16"/>
  <c r="AN67" i="16"/>
  <c r="AO67" i="16" s="1"/>
  <c r="AF69" i="16"/>
  <c r="AF79" i="16"/>
  <c r="AH69" i="29"/>
  <c r="AI69" i="29" s="1"/>
  <c r="AI67" i="29"/>
  <c r="AH79" i="29"/>
  <c r="AI79" i="29" s="1"/>
  <c r="AL79" i="17"/>
  <c r="AM79" i="17" s="1"/>
  <c r="Q79" i="1"/>
  <c r="Q69" i="29"/>
  <c r="U69" i="17"/>
  <c r="R69" i="18"/>
  <c r="S67" i="18"/>
  <c r="V67" i="18"/>
  <c r="W67" i="18" s="1"/>
  <c r="R79" i="18"/>
  <c r="V79" i="18" s="1"/>
  <c r="AY48" i="29"/>
  <c r="AX48" i="29"/>
  <c r="AQ48" i="29"/>
  <c r="AO64" i="27"/>
  <c r="AR64" i="27"/>
  <c r="O79" i="31"/>
  <c r="AB79" i="28"/>
  <c r="M79" i="28"/>
  <c r="AL69" i="17"/>
  <c r="AZ48" i="29"/>
  <c r="AS48" i="29"/>
  <c r="BA48" i="29"/>
  <c r="Q69" i="1"/>
  <c r="AZ48" i="31"/>
  <c r="AS48" i="31"/>
  <c r="BA48" i="31"/>
  <c r="M69" i="28"/>
  <c r="AB69" i="28"/>
  <c r="AE69" i="29"/>
  <c r="O79" i="28"/>
  <c r="V79" i="28"/>
  <c r="W79" i="28" s="1"/>
  <c r="R69" i="31"/>
  <c r="S69" i="31" s="1"/>
  <c r="S67" i="31"/>
  <c r="R79" i="31"/>
  <c r="V79" i="31" s="1"/>
  <c r="AR48" i="1"/>
  <c r="AY48" i="27"/>
  <c r="AQ48" i="27"/>
  <c r="AX48" i="27"/>
  <c r="R69" i="1"/>
  <c r="Z69" i="1" s="1"/>
  <c r="AA69" i="1" s="1"/>
  <c r="T67" i="1"/>
  <c r="AB67" i="1" s="1"/>
  <c r="AC67" i="1" s="1"/>
  <c r="S67" i="1"/>
  <c r="R79" i="1"/>
  <c r="V67" i="1"/>
  <c r="W67" i="1" s="1"/>
  <c r="AS48" i="18"/>
  <c r="AZ48" i="18"/>
  <c r="BA48" i="18"/>
  <c r="AC67" i="28"/>
  <c r="AF69" i="31"/>
  <c r="AG67" i="31"/>
  <c r="AN67" i="31"/>
  <c r="AO67" i="31" s="1"/>
  <c r="AF79" i="31"/>
  <c r="O69" i="28"/>
  <c r="V69" i="28"/>
  <c r="W69" i="28" s="1"/>
  <c r="AX64" i="28"/>
  <c r="AQ64" i="28"/>
  <c r="AY64" i="28"/>
  <c r="H69" i="31"/>
  <c r="I67" i="31"/>
  <c r="H79" i="31"/>
  <c r="H69" i="29"/>
  <c r="I67" i="29"/>
  <c r="AB67" i="29"/>
  <c r="H79" i="29"/>
  <c r="AZ48" i="16"/>
  <c r="AS48" i="16"/>
  <c r="BA48" i="16"/>
  <c r="U64" i="1"/>
  <c r="X64" i="1"/>
  <c r="Y64" i="1" s="1"/>
  <c r="I79" i="27"/>
  <c r="AG67" i="27"/>
  <c r="AN67" i="27"/>
  <c r="AF69" i="27"/>
  <c r="AF79" i="27"/>
  <c r="Z67" i="30"/>
  <c r="F69" i="30"/>
  <c r="G67" i="30"/>
  <c r="F79" i="30"/>
  <c r="AA64" i="30"/>
  <c r="AP64" i="30"/>
  <c r="AE64" i="31"/>
  <c r="AD67" i="31"/>
  <c r="AL64" i="31"/>
  <c r="G69" i="1"/>
  <c r="H69" i="1"/>
  <c r="G79" i="1"/>
  <c r="AC64" i="31"/>
  <c r="AR64" i="31"/>
  <c r="H69" i="16"/>
  <c r="I67" i="16"/>
  <c r="H79" i="16"/>
  <c r="BA48" i="27"/>
  <c r="AS48" i="27"/>
  <c r="AZ48" i="27"/>
  <c r="U79" i="17"/>
  <c r="AZ64" i="30"/>
  <c r="BA64" i="30"/>
  <c r="AS64" i="30"/>
  <c r="AG67" i="28"/>
  <c r="AF69" i="28"/>
  <c r="AF79" i="28"/>
  <c r="AM48" i="31"/>
  <c r="AP48" i="31"/>
  <c r="AA67" i="16"/>
  <c r="AS18" i="1"/>
  <c r="AZ18" i="1"/>
  <c r="BA18" i="1"/>
  <c r="AQ48" i="30"/>
  <c r="AY48" i="30"/>
  <c r="AX48" i="30"/>
  <c r="I67" i="1"/>
  <c r="H79" i="1"/>
  <c r="AA64" i="27"/>
  <c r="AP64" i="27"/>
  <c r="AC64" i="29"/>
  <c r="AR64" i="29"/>
  <c r="AC64" i="16"/>
  <c r="AR64" i="16"/>
  <c r="U67" i="27"/>
  <c r="T69" i="27"/>
  <c r="AB69" i="27" s="1"/>
  <c r="AC69" i="27" s="1"/>
  <c r="X67" i="27"/>
  <c r="Y67" i="27" s="1"/>
  <c r="T79" i="27"/>
  <c r="AB79" i="27" s="1"/>
  <c r="AC79" i="27" s="1"/>
  <c r="I69" i="27"/>
  <c r="AA67" i="28"/>
  <c r="F69" i="27"/>
  <c r="G67" i="27"/>
  <c r="Z67" i="27"/>
  <c r="F79" i="27"/>
  <c r="AK67" i="16"/>
  <c r="AJ69" i="16"/>
  <c r="AK69" i="16" s="1"/>
  <c r="AJ79" i="16"/>
  <c r="AK79" i="16" s="1"/>
  <c r="H69" i="18"/>
  <c r="I67" i="18"/>
  <c r="AB67" i="18"/>
  <c r="H79" i="18"/>
  <c r="O69" i="29" l="1"/>
  <c r="V69" i="29"/>
  <c r="W69" i="29" s="1"/>
  <c r="O79" i="29"/>
  <c r="V79" i="29"/>
  <c r="AP67" i="28"/>
  <c r="AS64" i="28"/>
  <c r="AZ82" i="27"/>
  <c r="AR67" i="17"/>
  <c r="AX64" i="16"/>
  <c r="AQ64" i="16"/>
  <c r="Z67" i="18"/>
  <c r="AR82" i="28"/>
  <c r="AS64" i="17"/>
  <c r="BA64" i="17"/>
  <c r="AN82" i="29"/>
  <c r="AF82" i="30"/>
  <c r="AZ82" i="28"/>
  <c r="BA82" i="28"/>
  <c r="AB82" i="29"/>
  <c r="H82" i="30"/>
  <c r="AP67" i="1"/>
  <c r="AQ67" i="1" s="1"/>
  <c r="AO67" i="28"/>
  <c r="AR67" i="28"/>
  <c r="AZ67" i="28" s="1"/>
  <c r="AL69" i="29"/>
  <c r="AP69" i="29" s="1"/>
  <c r="AY69" i="29" s="1"/>
  <c r="Z69" i="28"/>
  <c r="AA69" i="28" s="1"/>
  <c r="AV67" i="1"/>
  <c r="AW67" i="1" s="1"/>
  <c r="AT69" i="1"/>
  <c r="AU67" i="1"/>
  <c r="AT79" i="1"/>
  <c r="O69" i="17"/>
  <c r="Z69" i="17"/>
  <c r="AA69" i="17" s="1"/>
  <c r="AP67" i="17"/>
  <c r="AQ67" i="17" s="1"/>
  <c r="AL79" i="27"/>
  <c r="AM79" i="27" s="1"/>
  <c r="AE79" i="27"/>
  <c r="P69" i="16"/>
  <c r="Q67" i="16"/>
  <c r="P79" i="16"/>
  <c r="X67" i="16"/>
  <c r="Y67" i="16" s="1"/>
  <c r="J69" i="18"/>
  <c r="K69" i="18" s="1"/>
  <c r="K67" i="18"/>
  <c r="J79" i="18"/>
  <c r="K79" i="18" s="1"/>
  <c r="AE69" i="27"/>
  <c r="AL69" i="27"/>
  <c r="AY64" i="17"/>
  <c r="AX64" i="17"/>
  <c r="AQ64" i="17"/>
  <c r="V79" i="17"/>
  <c r="AP67" i="16"/>
  <c r="AQ67" i="16" s="1"/>
  <c r="AT79" i="28"/>
  <c r="AU67" i="28"/>
  <c r="AT69" i="28"/>
  <c r="AU69" i="28" s="1"/>
  <c r="F69" i="18"/>
  <c r="G69" i="18" s="1"/>
  <c r="F79" i="18"/>
  <c r="G79" i="18" s="1"/>
  <c r="G67" i="18"/>
  <c r="AJ79" i="28"/>
  <c r="AK79" i="28" s="1"/>
  <c r="AK67" i="28"/>
  <c r="AJ69" i="28"/>
  <c r="AK69" i="28" s="1"/>
  <c r="AG79" i="30"/>
  <c r="AN79" i="30"/>
  <c r="AR79" i="30" s="1"/>
  <c r="AO67" i="30"/>
  <c r="AR67" i="30"/>
  <c r="AN69" i="30"/>
  <c r="AO69" i="30" s="1"/>
  <c r="AG69" i="30"/>
  <c r="AB69" i="17"/>
  <c r="AR69" i="17" s="1"/>
  <c r="X69" i="17"/>
  <c r="Y69" i="17" s="1"/>
  <c r="AB79" i="17"/>
  <c r="X79" i="17"/>
  <c r="Y79" i="17" s="1"/>
  <c r="X67" i="31"/>
  <c r="Y67" i="31" s="1"/>
  <c r="Z79" i="16"/>
  <c r="AA79" i="16" s="1"/>
  <c r="X69" i="29"/>
  <c r="Y69" i="29" s="1"/>
  <c r="AR64" i="1"/>
  <c r="AZ64" i="1" s="1"/>
  <c r="AI79" i="1"/>
  <c r="AJ79" i="1"/>
  <c r="AL79" i="1"/>
  <c r="AM79" i="1" s="1"/>
  <c r="AK67" i="1"/>
  <c r="AN67" i="1"/>
  <c r="AO67" i="1" s="1"/>
  <c r="AU79" i="27"/>
  <c r="AV79" i="27"/>
  <c r="AW79" i="27" s="1"/>
  <c r="AE69" i="28"/>
  <c r="AL69" i="28"/>
  <c r="AI69" i="1"/>
  <c r="AJ69" i="1"/>
  <c r="AL69" i="1"/>
  <c r="AP69" i="1" s="1"/>
  <c r="AT79" i="17"/>
  <c r="AU67" i="17"/>
  <c r="AT69" i="17"/>
  <c r="AU69" i="17" s="1"/>
  <c r="AN79" i="17"/>
  <c r="AG79" i="17"/>
  <c r="AU79" i="31"/>
  <c r="AV79" i="31"/>
  <c r="AW79" i="31" s="1"/>
  <c r="AN69" i="17"/>
  <c r="AO69" i="17" s="1"/>
  <c r="AG69" i="17"/>
  <c r="AE79" i="28"/>
  <c r="AL79" i="28"/>
  <c r="AM79" i="28" s="1"/>
  <c r="V69" i="31"/>
  <c r="W69" i="31" s="1"/>
  <c r="AE79" i="18"/>
  <c r="AL79" i="18"/>
  <c r="AM79" i="18" s="1"/>
  <c r="AE69" i="18"/>
  <c r="AL69" i="18"/>
  <c r="U67" i="31"/>
  <c r="T69" i="31"/>
  <c r="U69" i="31" s="1"/>
  <c r="T79" i="31"/>
  <c r="U79" i="31" s="1"/>
  <c r="F79" i="31"/>
  <c r="G79" i="31" s="1"/>
  <c r="G67" i="31"/>
  <c r="F69" i="31"/>
  <c r="G69" i="31" s="1"/>
  <c r="Z67" i="31"/>
  <c r="AA67" i="31" s="1"/>
  <c r="AI69" i="16"/>
  <c r="AL69" i="16"/>
  <c r="AP69" i="16" s="1"/>
  <c r="AI79" i="16"/>
  <c r="AL79" i="16"/>
  <c r="AM79" i="16" s="1"/>
  <c r="V79" i="27"/>
  <c r="W79" i="27" s="1"/>
  <c r="W79" i="31"/>
  <c r="AG79" i="27"/>
  <c r="AN79" i="27"/>
  <c r="AR79" i="27" s="1"/>
  <c r="AB69" i="29"/>
  <c r="I69" i="29"/>
  <c r="AG69" i="16"/>
  <c r="AN69" i="16"/>
  <c r="AO69" i="16" s="1"/>
  <c r="BA64" i="27"/>
  <c r="AS64" i="27"/>
  <c r="AZ64" i="27"/>
  <c r="BA67" i="17"/>
  <c r="AZ67" i="17"/>
  <c r="AS67" i="17"/>
  <c r="I79" i="31"/>
  <c r="AP67" i="27"/>
  <c r="AA67" i="27"/>
  <c r="AS64" i="29"/>
  <c r="AZ64" i="29"/>
  <c r="BA64" i="29"/>
  <c r="AO67" i="27"/>
  <c r="AR67" i="27"/>
  <c r="AC67" i="31"/>
  <c r="AR67" i="31"/>
  <c r="AS67" i="28"/>
  <c r="BA67" i="28"/>
  <c r="AS48" i="1"/>
  <c r="BA48" i="1"/>
  <c r="AZ48" i="1"/>
  <c r="AC69" i="28"/>
  <c r="C79" i="1"/>
  <c r="AA69" i="16"/>
  <c r="AZ64" i="16"/>
  <c r="BA64" i="16"/>
  <c r="AS64" i="16"/>
  <c r="AY48" i="31"/>
  <c r="AQ48" i="31"/>
  <c r="AX48" i="31"/>
  <c r="I69" i="1"/>
  <c r="AG69" i="27"/>
  <c r="AN69" i="27"/>
  <c r="AO69" i="27" s="1"/>
  <c r="AY67" i="29"/>
  <c r="AQ67" i="29"/>
  <c r="AX67" i="29"/>
  <c r="AN79" i="28"/>
  <c r="AR79" i="28" s="1"/>
  <c r="AG79" i="28"/>
  <c r="AM64" i="31"/>
  <c r="AP64" i="31"/>
  <c r="G69" i="27"/>
  <c r="Z69" i="27"/>
  <c r="AQ64" i="27"/>
  <c r="AY64" i="27"/>
  <c r="AX64" i="27"/>
  <c r="AG69" i="28"/>
  <c r="AN69" i="28"/>
  <c r="AO69" i="28" s="1"/>
  <c r="AE67" i="31"/>
  <c r="AL67" i="31"/>
  <c r="AD69" i="31"/>
  <c r="AD79" i="31"/>
  <c r="I69" i="31"/>
  <c r="AS64" i="18"/>
  <c r="BA64" i="18"/>
  <c r="AZ64" i="18"/>
  <c r="AL79" i="30"/>
  <c r="AM79" i="30" s="1"/>
  <c r="AE79" i="30"/>
  <c r="I79" i="18"/>
  <c r="AB79" i="18"/>
  <c r="G79" i="27"/>
  <c r="AQ67" i="28"/>
  <c r="AX67" i="28"/>
  <c r="AY67" i="28"/>
  <c r="AB79" i="16"/>
  <c r="I79" i="16"/>
  <c r="E67" i="1"/>
  <c r="D79" i="1"/>
  <c r="Z79" i="28"/>
  <c r="AX64" i="30"/>
  <c r="AY64" i="30"/>
  <c r="AQ64" i="30"/>
  <c r="W79" i="18"/>
  <c r="C69" i="1"/>
  <c r="D69" i="1"/>
  <c r="AE69" i="30"/>
  <c r="AL69" i="30"/>
  <c r="AG69" i="31"/>
  <c r="AN69" i="31"/>
  <c r="AO69" i="31" s="1"/>
  <c r="I79" i="1"/>
  <c r="AC67" i="16"/>
  <c r="AR67" i="16"/>
  <c r="AA67" i="18"/>
  <c r="AP67" i="18"/>
  <c r="AY64" i="1"/>
  <c r="AQ64" i="1"/>
  <c r="AX64" i="1"/>
  <c r="S69" i="27"/>
  <c r="V69" i="27"/>
  <c r="W69" i="27" s="1"/>
  <c r="Q79" i="31"/>
  <c r="X79" i="27"/>
  <c r="Y79" i="27" s="1"/>
  <c r="U79" i="27"/>
  <c r="BA64" i="31"/>
  <c r="AZ64" i="31"/>
  <c r="AS64" i="31"/>
  <c r="I69" i="16"/>
  <c r="AB69" i="16"/>
  <c r="S69" i="18"/>
  <c r="V69" i="18"/>
  <c r="W69" i="18" s="1"/>
  <c r="AC79" i="30"/>
  <c r="AL79" i="29"/>
  <c r="AM79" i="29" s="1"/>
  <c r="Q69" i="31"/>
  <c r="U69" i="27"/>
  <c r="X69" i="27"/>
  <c r="Y69" i="27" s="1"/>
  <c r="AC79" i="17"/>
  <c r="G79" i="30"/>
  <c r="Z79" i="30"/>
  <c r="X79" i="29"/>
  <c r="Y79" i="29" s="1"/>
  <c r="U67" i="1"/>
  <c r="X67" i="1"/>
  <c r="Y67" i="1" s="1"/>
  <c r="AX64" i="18"/>
  <c r="AY64" i="18"/>
  <c r="AQ64" i="18"/>
  <c r="AC67" i="18"/>
  <c r="AR67" i="18"/>
  <c r="T79" i="1"/>
  <c r="AB79" i="1" s="1"/>
  <c r="AC79" i="1" s="1"/>
  <c r="V79" i="1"/>
  <c r="I69" i="18"/>
  <c r="AB69" i="18"/>
  <c r="I79" i="29"/>
  <c r="AB79" i="29"/>
  <c r="G69" i="30"/>
  <c r="Z69" i="30"/>
  <c r="AC67" i="29"/>
  <c r="AR67" i="29"/>
  <c r="AN79" i="31"/>
  <c r="AG79" i="31"/>
  <c r="T69" i="1"/>
  <c r="S69" i="1"/>
  <c r="V69" i="1"/>
  <c r="W69" i="1" s="1"/>
  <c r="AC79" i="28"/>
  <c r="AP67" i="30"/>
  <c r="AA67" i="30"/>
  <c r="AN79" i="16"/>
  <c r="AG79" i="16"/>
  <c r="X79" i="31" l="1"/>
  <c r="Y79" i="31" s="1"/>
  <c r="AQ69" i="29"/>
  <c r="W79" i="29"/>
  <c r="Z79" i="29"/>
  <c r="AA79" i="29" s="1"/>
  <c r="AX69" i="29"/>
  <c r="AC69" i="17"/>
  <c r="Z69" i="18"/>
  <c r="Z79" i="18"/>
  <c r="AX67" i="16"/>
  <c r="AR82" i="29"/>
  <c r="AZ82" i="29" s="1"/>
  <c r="AY67" i="1"/>
  <c r="AX67" i="1"/>
  <c r="AN82" i="30"/>
  <c r="AF82" i="31"/>
  <c r="AB82" i="30"/>
  <c r="H82" i="31"/>
  <c r="AR79" i="17"/>
  <c r="AP69" i="28"/>
  <c r="AQ69" i="28" s="1"/>
  <c r="Z79" i="27"/>
  <c r="AY67" i="16"/>
  <c r="AU79" i="28"/>
  <c r="AV79" i="28"/>
  <c r="AW79" i="28" s="1"/>
  <c r="AR69" i="27"/>
  <c r="AS69" i="27" s="1"/>
  <c r="AX67" i="17"/>
  <c r="BA64" i="1"/>
  <c r="AS64" i="1"/>
  <c r="Q79" i="16"/>
  <c r="X79" i="16"/>
  <c r="Y79" i="16" s="1"/>
  <c r="AP69" i="17"/>
  <c r="AQ69" i="17" s="1"/>
  <c r="AU79" i="1"/>
  <c r="AV79" i="1"/>
  <c r="AW79" i="1" s="1"/>
  <c r="AR69" i="30"/>
  <c r="W79" i="17"/>
  <c r="Z79" i="17"/>
  <c r="Q69" i="16"/>
  <c r="X69" i="16"/>
  <c r="Y69" i="16" s="1"/>
  <c r="AY67" i="17"/>
  <c r="AU69" i="1"/>
  <c r="AV69" i="1"/>
  <c r="AW69" i="1" s="1"/>
  <c r="Z69" i="31"/>
  <c r="AA69" i="31" s="1"/>
  <c r="AS67" i="30"/>
  <c r="AZ67" i="30"/>
  <c r="BA67" i="30"/>
  <c r="X69" i="31"/>
  <c r="Y69" i="31" s="1"/>
  <c r="AB69" i="31"/>
  <c r="AR69" i="31" s="1"/>
  <c r="Z79" i="31"/>
  <c r="AA79" i="31" s="1"/>
  <c r="AP79" i="16"/>
  <c r="AX79" i="16" s="1"/>
  <c r="AB79" i="31"/>
  <c r="AR79" i="31" s="1"/>
  <c r="AV79" i="17"/>
  <c r="AW79" i="17" s="1"/>
  <c r="AU79" i="17"/>
  <c r="AK79" i="1"/>
  <c r="AN79" i="1"/>
  <c r="AR79" i="1" s="1"/>
  <c r="AR67" i="1"/>
  <c r="BA67" i="1" s="1"/>
  <c r="AK69" i="1"/>
  <c r="AN69" i="1"/>
  <c r="AO69" i="1" s="1"/>
  <c r="AS79" i="28"/>
  <c r="AZ79" i="28"/>
  <c r="BA79" i="28"/>
  <c r="AC69" i="18"/>
  <c r="AR69" i="18"/>
  <c r="AZ69" i="17"/>
  <c r="AS69" i="17"/>
  <c r="BA69" i="17"/>
  <c r="AC69" i="31"/>
  <c r="U79" i="1"/>
  <c r="X79" i="1"/>
  <c r="Y79" i="1" s="1"/>
  <c r="AE79" i="31"/>
  <c r="AL79" i="31"/>
  <c r="AM79" i="31" s="1"/>
  <c r="AS67" i="27"/>
  <c r="AZ67" i="27"/>
  <c r="BA67" i="27"/>
  <c r="AA79" i="30"/>
  <c r="AP79" i="30"/>
  <c r="AE69" i="31"/>
  <c r="AL69" i="31"/>
  <c r="AP69" i="31" s="1"/>
  <c r="AS67" i="31"/>
  <c r="AZ67" i="31"/>
  <c r="BA67" i="31"/>
  <c r="AA79" i="27"/>
  <c r="AP79" i="27"/>
  <c r="AM67" i="31"/>
  <c r="AP67" i="31"/>
  <c r="AY69" i="16"/>
  <c r="AX69" i="16"/>
  <c r="AQ69" i="16"/>
  <c r="AS67" i="16"/>
  <c r="BA67" i="16"/>
  <c r="AZ67" i="16"/>
  <c r="AC69" i="16"/>
  <c r="AR69" i="16"/>
  <c r="U69" i="1"/>
  <c r="X69" i="1"/>
  <c r="Y69" i="1" s="1"/>
  <c r="AQ79" i="16"/>
  <c r="AY79" i="16"/>
  <c r="AP79" i="28"/>
  <c r="AA79" i="28"/>
  <c r="AY67" i="30"/>
  <c r="AQ67" i="30"/>
  <c r="AX67" i="30"/>
  <c r="AS67" i="18"/>
  <c r="AZ67" i="18"/>
  <c r="BA67" i="18"/>
  <c r="AZ67" i="29"/>
  <c r="BA67" i="29"/>
  <c r="AS67" i="29"/>
  <c r="AY69" i="1"/>
  <c r="AX69" i="1"/>
  <c r="AQ69" i="1"/>
  <c r="AC69" i="29"/>
  <c r="AR69" i="29"/>
  <c r="AY69" i="28"/>
  <c r="E69" i="1"/>
  <c r="AR69" i="28"/>
  <c r="AZ69" i="27"/>
  <c r="AS67" i="1"/>
  <c r="AZ67" i="1"/>
  <c r="AC79" i="18"/>
  <c r="AR79" i="18"/>
  <c r="AP79" i="29"/>
  <c r="AA69" i="27"/>
  <c r="AP69" i="27"/>
  <c r="AQ67" i="27"/>
  <c r="AX67" i="27"/>
  <c r="AY67" i="27"/>
  <c r="W79" i="1"/>
  <c r="Z79" i="1"/>
  <c r="AS79" i="30"/>
  <c r="AZ79" i="30"/>
  <c r="BA79" i="30"/>
  <c r="AA79" i="18"/>
  <c r="AP79" i="18"/>
  <c r="AB69" i="1"/>
  <c r="AC69" i="1" s="1"/>
  <c r="BA79" i="27"/>
  <c r="AZ79" i="27"/>
  <c r="AS79" i="27"/>
  <c r="AA69" i="30"/>
  <c r="AP69" i="30"/>
  <c r="AY67" i="18"/>
  <c r="AQ67" i="18"/>
  <c r="AX67" i="18"/>
  <c r="AQ64" i="31"/>
  <c r="AX64" i="31"/>
  <c r="AY64" i="31"/>
  <c r="AC79" i="29"/>
  <c r="AR79" i="29"/>
  <c r="AA69" i="18"/>
  <c r="AP69" i="18"/>
  <c r="AC79" i="16"/>
  <c r="AR79" i="16"/>
  <c r="AR82" i="30" l="1"/>
  <c r="BA82" i="29"/>
  <c r="BA69" i="27"/>
  <c r="AZ79" i="17"/>
  <c r="AX69" i="17"/>
  <c r="AN82" i="31"/>
  <c r="AB82" i="31"/>
  <c r="BA82" i="30"/>
  <c r="AZ82" i="30"/>
  <c r="AX69" i="28"/>
  <c r="AS79" i="17"/>
  <c r="AY69" i="17"/>
  <c r="AA79" i="17"/>
  <c r="AP79" i="17"/>
  <c r="BA79" i="17"/>
  <c r="AZ69" i="30"/>
  <c r="AS69" i="30"/>
  <c r="BA69" i="30"/>
  <c r="AC79" i="31"/>
  <c r="AP79" i="31"/>
  <c r="AY79" i="31" s="1"/>
  <c r="AX69" i="31"/>
  <c r="AY69" i="31"/>
  <c r="AQ69" i="31"/>
  <c r="BA69" i="16"/>
  <c r="AS69" i="16"/>
  <c r="AZ69" i="16"/>
  <c r="AS69" i="31"/>
  <c r="AZ69" i="31"/>
  <c r="BA69" i="31"/>
  <c r="AZ69" i="28"/>
  <c r="AS69" i="28"/>
  <c r="BA69" i="28"/>
  <c r="AR69" i="1"/>
  <c r="AZ79" i="1"/>
  <c r="BA79" i="1"/>
  <c r="AS79" i="1"/>
  <c r="AQ79" i="30"/>
  <c r="AY79" i="30"/>
  <c r="AX79" i="30"/>
  <c r="AQ67" i="31"/>
  <c r="AY67" i="31"/>
  <c r="AX67" i="31"/>
  <c r="AQ69" i="27"/>
  <c r="AY69" i="27"/>
  <c r="AX69" i="27"/>
  <c r="AS79" i="31"/>
  <c r="AZ79" i="31"/>
  <c r="BA79" i="31"/>
  <c r="AZ69" i="29"/>
  <c r="AS69" i="29"/>
  <c r="BA69" i="29"/>
  <c r="AY79" i="28"/>
  <c r="AQ79" i="28"/>
  <c r="AX79" i="28"/>
  <c r="AY79" i="27"/>
  <c r="AQ79" i="27"/>
  <c r="AX79" i="27"/>
  <c r="AX79" i="29"/>
  <c r="AQ79" i="29"/>
  <c r="AY79" i="29"/>
  <c r="AX79" i="18"/>
  <c r="AQ79" i="18"/>
  <c r="AY79" i="18"/>
  <c r="BA69" i="18"/>
  <c r="AS69" i="18"/>
  <c r="AZ69" i="18"/>
  <c r="AA79" i="1"/>
  <c r="AP79" i="1"/>
  <c r="BA79" i="18"/>
  <c r="AZ79" i="18"/>
  <c r="AS79" i="18"/>
  <c r="AZ79" i="16"/>
  <c r="BA79" i="16"/>
  <c r="AS79" i="16"/>
  <c r="AZ79" i="29"/>
  <c r="AS79" i="29"/>
  <c r="BA79" i="29"/>
  <c r="AY69" i="18"/>
  <c r="AQ69" i="18"/>
  <c r="AX69" i="18"/>
  <c r="AY69" i="30"/>
  <c r="AQ69" i="30"/>
  <c r="AX69" i="30"/>
  <c r="AR82" i="31" l="1"/>
  <c r="BA82" i="31" s="1"/>
  <c r="AQ79" i="17"/>
  <c r="AY79" i="17"/>
  <c r="AX79" i="17"/>
  <c r="AX79" i="31"/>
  <c r="AQ79" i="31"/>
  <c r="AQ79" i="1"/>
  <c r="AY79" i="1"/>
  <c r="AX79" i="1"/>
  <c r="BA69" i="1"/>
  <c r="AZ69" i="1"/>
  <c r="AS69" i="1"/>
  <c r="AZ82" i="31" l="1"/>
</calcChain>
</file>

<file path=xl/sharedStrings.xml><?xml version="1.0" encoding="utf-8"?>
<sst xmlns="http://schemas.openxmlformats.org/spreadsheetml/2006/main" count="1422" uniqueCount="99">
  <si>
    <t>科　　目</t>
  </si>
  <si>
    <t>金　額</t>
  </si>
  <si>
    <t>比率</t>
  </si>
  <si>
    <t>売上高</t>
  </si>
  <si>
    <t>加工賃収入</t>
  </si>
  <si>
    <t>役務収入</t>
  </si>
  <si>
    <t>本支店売上高</t>
  </si>
  <si>
    <t>【売上高合計】</t>
  </si>
  <si>
    <t>（売上重量）</t>
  </si>
  <si>
    <t>（加工重量）</t>
  </si>
  <si>
    <t>期首商品棚卸高</t>
  </si>
  <si>
    <t>当期商品仕入高</t>
  </si>
  <si>
    <t>期末商品棚卸高</t>
  </si>
  <si>
    <t>《差引売上原価》</t>
  </si>
  <si>
    <t>【売上総利益】</t>
  </si>
  <si>
    <t>給料</t>
  </si>
  <si>
    <t>退職年金保険</t>
  </si>
  <si>
    <t>退職金</t>
  </si>
  <si>
    <t>法定福利費</t>
  </si>
  <si>
    <t>厚生費</t>
  </si>
  <si>
    <t>賃借料</t>
  </si>
  <si>
    <t>修繕費</t>
  </si>
  <si>
    <t>事務用消耗品費</t>
  </si>
  <si>
    <t>消耗品費</t>
  </si>
  <si>
    <t>水道光熱費</t>
  </si>
  <si>
    <t>旅費交通費</t>
  </si>
  <si>
    <t>支払手数料</t>
  </si>
  <si>
    <t>租税公課</t>
  </si>
  <si>
    <t>交際費</t>
  </si>
  <si>
    <t>保険料</t>
  </si>
  <si>
    <t>通信費</t>
  </si>
  <si>
    <t>備品費</t>
  </si>
  <si>
    <t>車両費</t>
  </si>
  <si>
    <t>会議費</t>
  </si>
  <si>
    <t>組合費</t>
  </si>
  <si>
    <t>広告費</t>
  </si>
  <si>
    <t>運搬費</t>
  </si>
  <si>
    <t>減価償却費</t>
  </si>
  <si>
    <t>雑費</t>
  </si>
  <si>
    <t>《経費合計》</t>
  </si>
  <si>
    <t>【営業利益】</t>
  </si>
  <si>
    <t>受取利息配当金</t>
  </si>
  <si>
    <t>有価証券売却益</t>
  </si>
  <si>
    <t>賃貸料収入</t>
  </si>
  <si>
    <t>貸倒引当金</t>
  </si>
  <si>
    <t>雑収入</t>
  </si>
  <si>
    <t>《営業外収益》</t>
  </si>
  <si>
    <t>支払利息割引料</t>
  </si>
  <si>
    <t>雑損失</t>
  </si>
  <si>
    <t>《営業外費用》</t>
  </si>
  <si>
    <t>【経常利益】</t>
  </si>
  <si>
    <t>特別利益</t>
  </si>
  <si>
    <t>特別損失</t>
  </si>
  <si>
    <t>輸出売上高</t>
    <rPh sb="0" eb="2">
      <t>ユシュツ</t>
    </rPh>
    <rPh sb="2" eb="5">
      <t>ウリアゲダカ</t>
    </rPh>
    <phoneticPr fontId="19"/>
  </si>
  <si>
    <t>リース料</t>
    <rPh sb="3" eb="4">
      <t>リョウ</t>
    </rPh>
    <phoneticPr fontId="19"/>
  </si>
  <si>
    <t>保守料</t>
    <rPh sb="0" eb="3">
      <t>ホシュリョウ</t>
    </rPh>
    <phoneticPr fontId="19"/>
  </si>
  <si>
    <t>新聞図書費</t>
    <rPh sb="0" eb="2">
      <t>シンブン</t>
    </rPh>
    <rPh sb="2" eb="5">
      <t>トショヒ</t>
    </rPh>
    <phoneticPr fontId="19"/>
  </si>
  <si>
    <t>修繕引当金繰入</t>
    <rPh sb="0" eb="2">
      <t>シュウゼン</t>
    </rPh>
    <rPh sb="2" eb="5">
      <t>ヒキアテキン</t>
    </rPh>
    <rPh sb="5" eb="7">
      <t>クリイレ</t>
    </rPh>
    <phoneticPr fontId="19"/>
  </si>
  <si>
    <t>社債発行費</t>
    <rPh sb="0" eb="2">
      <t>シャサイ</t>
    </rPh>
    <rPh sb="2" eb="4">
      <t>ハッコウ</t>
    </rPh>
    <rPh sb="4" eb="5">
      <t>ヒ</t>
    </rPh>
    <phoneticPr fontId="19"/>
  </si>
  <si>
    <t>本社費分担金</t>
    <rPh sb="0" eb="3">
      <t>ホンシャヒ</t>
    </rPh>
    <rPh sb="3" eb="6">
      <t>ブンタンキン</t>
    </rPh>
    <phoneticPr fontId="19"/>
  </si>
  <si>
    <t>【税引前当期利益】</t>
    <rPh sb="1" eb="3">
      <t>ゼイビ</t>
    </rPh>
    <rPh sb="3" eb="4">
      <t>マエ</t>
    </rPh>
    <phoneticPr fontId="19"/>
  </si>
  <si>
    <t>法人税等充当額</t>
    <rPh sb="0" eb="4">
      <t>ホウジンゼイトウ</t>
    </rPh>
    <rPh sb="4" eb="6">
      <t>ジュウトウ</t>
    </rPh>
    <rPh sb="6" eb="7">
      <t>ガク</t>
    </rPh>
    <phoneticPr fontId="19"/>
  </si>
  <si>
    <t>【当期利益】</t>
    <rPh sb="1" eb="3">
      <t>トウキ</t>
    </rPh>
    <rPh sb="3" eb="5">
      <t>リエキ</t>
    </rPh>
    <phoneticPr fontId="19"/>
  </si>
  <si>
    <t>賞与月割額</t>
    <rPh sb="0" eb="2">
      <t>ショウヨ</t>
    </rPh>
    <rPh sb="2" eb="4">
      <t>ツキワリ</t>
    </rPh>
    <rPh sb="4" eb="5">
      <t>ガク</t>
    </rPh>
    <phoneticPr fontId="19"/>
  </si>
  <si>
    <t>固定資産税月割額</t>
    <rPh sb="0" eb="2">
      <t>コテイ</t>
    </rPh>
    <rPh sb="2" eb="5">
      <t>シサンゼイ</t>
    </rPh>
    <rPh sb="5" eb="7">
      <t>ツキワリ</t>
    </rPh>
    <rPh sb="7" eb="8">
      <t>ガク</t>
    </rPh>
    <phoneticPr fontId="19"/>
  </si>
  <si>
    <t>保険料・社会保険料</t>
    <rPh sb="0" eb="3">
      <t>ホケンリョウ</t>
    </rPh>
    <rPh sb="4" eb="6">
      <t>シャカイ</t>
    </rPh>
    <rPh sb="6" eb="9">
      <t>ホケンリョウ</t>
    </rPh>
    <phoneticPr fontId="19"/>
  </si>
  <si>
    <t>事業所税他</t>
    <rPh sb="0" eb="3">
      <t>ジギョウショ</t>
    </rPh>
    <rPh sb="3" eb="4">
      <t>ゼイ</t>
    </rPh>
    <rPh sb="4" eb="5">
      <t>ホカ</t>
    </rPh>
    <phoneticPr fontId="30"/>
  </si>
  <si>
    <t>中元歳暮</t>
    <rPh sb="0" eb="2">
      <t>チュウゲン</t>
    </rPh>
    <rPh sb="2" eb="4">
      <t>セイボ</t>
    </rPh>
    <phoneticPr fontId="30"/>
  </si>
  <si>
    <t>修繕費</t>
    <rPh sb="0" eb="3">
      <t>シュウゼンヒ</t>
    </rPh>
    <phoneticPr fontId="30"/>
  </si>
  <si>
    <t>その他特別経費</t>
    <rPh sb="2" eb="3">
      <t>タ</t>
    </rPh>
    <rPh sb="3" eb="5">
      <t>トクベツ</t>
    </rPh>
    <rPh sb="5" eb="7">
      <t>ケイヒ</t>
    </rPh>
    <phoneticPr fontId="30"/>
  </si>
  <si>
    <t>総経費</t>
    <rPh sb="0" eb="3">
      <t>ソウケイヒ</t>
    </rPh>
    <phoneticPr fontId="19"/>
  </si>
  <si>
    <t>本部</t>
    <rPh sb="0" eb="2">
      <t>ホンブ</t>
    </rPh>
    <phoneticPr fontId="19"/>
  </si>
  <si>
    <t>累計</t>
    <rPh sb="0" eb="2">
      <t>ルイケイ</t>
    </rPh>
    <phoneticPr fontId="19"/>
  </si>
  <si>
    <t>営業本部</t>
    <rPh sb="0" eb="2">
      <t>エイギョウ</t>
    </rPh>
    <rPh sb="2" eb="4">
      <t>ホンブ</t>
    </rPh>
    <phoneticPr fontId="19"/>
  </si>
  <si>
    <t>東大阪</t>
    <rPh sb="0" eb="3">
      <t>ヒガシオオサカ</t>
    </rPh>
    <phoneticPr fontId="19"/>
  </si>
  <si>
    <t>南港事務</t>
    <rPh sb="0" eb="2">
      <t>ナンコウ</t>
    </rPh>
    <rPh sb="2" eb="4">
      <t>ジム</t>
    </rPh>
    <phoneticPr fontId="19"/>
  </si>
  <si>
    <t>南港合計</t>
    <rPh sb="0" eb="2">
      <t>ナンコウ</t>
    </rPh>
    <rPh sb="2" eb="4">
      <t>ゴウケイ</t>
    </rPh>
    <phoneticPr fontId="19"/>
  </si>
  <si>
    <t>東京営業</t>
    <rPh sb="0" eb="2">
      <t>トウキョウ</t>
    </rPh>
    <rPh sb="2" eb="4">
      <t>エイギョウ</t>
    </rPh>
    <phoneticPr fontId="19"/>
  </si>
  <si>
    <t>東京工場</t>
    <rPh sb="0" eb="2">
      <t>トウキョウ</t>
    </rPh>
    <rPh sb="2" eb="4">
      <t>コウジョウ</t>
    </rPh>
    <phoneticPr fontId="19"/>
  </si>
  <si>
    <t>本社営業合計</t>
    <rPh sb="0" eb="2">
      <t>ホンシャ</t>
    </rPh>
    <rPh sb="2" eb="4">
      <t>エイギョウ</t>
    </rPh>
    <rPh sb="4" eb="6">
      <t>ゴウケイ</t>
    </rPh>
    <phoneticPr fontId="19"/>
  </si>
  <si>
    <t>東京合計</t>
    <rPh sb="0" eb="2">
      <t>トウキョウ</t>
    </rPh>
    <rPh sb="2" eb="4">
      <t>ゴウケイ</t>
    </rPh>
    <phoneticPr fontId="19"/>
  </si>
  <si>
    <t>全社合計</t>
    <rPh sb="0" eb="2">
      <t>ゼンシャ</t>
    </rPh>
    <rPh sb="2" eb="4">
      <t>ゴウケイ</t>
    </rPh>
    <phoneticPr fontId="19"/>
  </si>
  <si>
    <t>本社営業本部</t>
    <rPh sb="0" eb="2">
      <t>ホンシャ</t>
    </rPh>
    <rPh sb="2" eb="4">
      <t>エイギョウ</t>
    </rPh>
    <rPh sb="4" eb="6">
      <t>ホンブ</t>
    </rPh>
    <phoneticPr fontId="19"/>
  </si>
  <si>
    <t>東京支店</t>
    <rPh sb="0" eb="2">
      <t>トウキョウ</t>
    </rPh>
    <rPh sb="2" eb="4">
      <t>シテン</t>
    </rPh>
    <phoneticPr fontId="19"/>
  </si>
  <si>
    <t>（月末人員･稼働日）</t>
    <rPh sb="6" eb="9">
      <t>カドウビ</t>
    </rPh>
    <phoneticPr fontId="19"/>
  </si>
  <si>
    <t>月初在庫重量</t>
    <rPh sb="0" eb="1">
      <t>ゲッショ</t>
    </rPh>
    <rPh sb="1" eb="2">
      <t>ショ</t>
    </rPh>
    <rPh sb="2" eb="4">
      <t>ザイコ</t>
    </rPh>
    <rPh sb="4" eb="6">
      <t>ジュウリョウ</t>
    </rPh>
    <phoneticPr fontId="19"/>
  </si>
  <si>
    <t>仕入重量</t>
    <rPh sb="0" eb="2">
      <t>シイレ</t>
    </rPh>
    <rPh sb="2" eb="4">
      <t>ジュウリョウ</t>
    </rPh>
    <phoneticPr fontId="19"/>
  </si>
  <si>
    <t>月末在庫重量</t>
    <rPh sb="0" eb="1">
      <t>ゲッショ</t>
    </rPh>
    <rPh sb="1" eb="2">
      <t>マツ</t>
    </rPh>
    <rPh sb="2" eb="4">
      <t>ザイコ</t>
    </rPh>
    <rPh sb="4" eb="6">
      <t>ジュウリョウ</t>
    </rPh>
    <phoneticPr fontId="19"/>
  </si>
  <si>
    <t>前期実績</t>
    <rPh sb="0" eb="2">
      <t>ゼンキ</t>
    </rPh>
    <rPh sb="2" eb="4">
      <t>ジッセキ</t>
    </rPh>
    <phoneticPr fontId="19"/>
  </si>
  <si>
    <t>前期比較</t>
    <rPh sb="0" eb="2">
      <t>ゼンキ</t>
    </rPh>
    <rPh sb="2" eb="4">
      <t>ヒカク</t>
    </rPh>
    <phoneticPr fontId="19"/>
  </si>
  <si>
    <t>月中比較</t>
    <rPh sb="0" eb="2">
      <t>ゲッチュウ</t>
    </rPh>
    <rPh sb="2" eb="4">
      <t>ヒカク</t>
    </rPh>
    <phoneticPr fontId="19"/>
  </si>
  <si>
    <t>累計比較</t>
    <rPh sb="0" eb="2">
      <t>ルイケイ</t>
    </rPh>
    <rPh sb="2" eb="4">
      <t>ヒカク</t>
    </rPh>
    <phoneticPr fontId="19"/>
  </si>
  <si>
    <t>南港工場</t>
    <rPh sb="0" eb="4">
      <t>ナンコウコウジョウ</t>
    </rPh>
    <phoneticPr fontId="19"/>
  </si>
  <si>
    <t>役員退職引当金繰入</t>
    <rPh sb="0" eb="2">
      <t>ヤクイン</t>
    </rPh>
    <rPh sb="2" eb="4">
      <t>タイショク</t>
    </rPh>
    <rPh sb="4" eb="6">
      <t>ヒキアテ</t>
    </rPh>
    <rPh sb="6" eb="7">
      <t>キン</t>
    </rPh>
    <rPh sb="7" eb="9">
      <t>クリイレ</t>
    </rPh>
    <phoneticPr fontId="19"/>
  </si>
  <si>
    <t>貸倒損失</t>
    <rPh sb="0" eb="4">
      <t>カシダオレソンシツ</t>
    </rPh>
    <phoneticPr fontId="19"/>
  </si>
  <si>
    <t>貸倒損失</t>
    <rPh sb="0" eb="4">
      <t>カシダオレソンシツ</t>
    </rPh>
    <phoneticPr fontId="30"/>
  </si>
  <si>
    <t>株式手数料</t>
    <rPh sb="0" eb="5">
      <t>カブシキテスウリョウ</t>
    </rPh>
    <phoneticPr fontId="19"/>
  </si>
  <si>
    <t>株式手数料</t>
    <rPh sb="0" eb="5">
      <t>カブシキテスウリョウ</t>
    </rPh>
    <phoneticPr fontId="30"/>
  </si>
  <si>
    <t>有価証券売却損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</si>
</sst>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%"/>
    <numFmt numFmtId="177" formatCode="\(#,###\)"/>
    <numFmt numFmtId="178" formatCode="[$-411]ggge&quot;年&quot;m&quot;月&quot;"/>
    <numFmt numFmtId="179" formatCode="#,##0&quot;日&quot;"/>
    <numFmt numFmtId="180" formatCode="#,##0&quot;ﾄﾝ&quot;"/>
    <numFmt numFmtId="181" formatCode="[$-411]ggge&quot;年&quot;m&quot;月中&quot;"/>
    <numFmt numFmtId="182" formatCode="#,##0,"/>
    <numFmt numFmtId="183" formatCode="\(#,##0,&quot;ﾄﾝ&quot;\)"/>
  </numFmts>
  <fonts count="46">
    <font>
      <sz val="11"/>
      <name val="明朝"/>
      <family val="1"/>
      <charset val="128"/>
    </font>
    <font>
      <b/>
      <sz val="11"/>
      <name val="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3"/>
      <name val="ＭＳ Ｐゴシック"/>
      <family val="3"/>
      <charset val="128"/>
    </font>
    <font>
      <b/>
      <sz val="13"/>
      <name val="ＭＳ Ｐゴシック"/>
      <family val="3"/>
      <charset val="128"/>
    </font>
    <font>
      <sz val="12"/>
      <color indexed="5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明朝"/>
      <family val="1"/>
      <charset val="128"/>
    </font>
    <font>
      <sz val="12"/>
      <name val="明朝"/>
      <family val="3"/>
      <charset val="128"/>
    </font>
    <font>
      <sz val="6"/>
      <name val="明朝"/>
      <family val="1"/>
      <charset val="128"/>
    </font>
    <font>
      <sz val="6"/>
      <name val="明朝"/>
      <family val="1"/>
      <charset val="128"/>
    </font>
    <font>
      <sz val="6"/>
      <name val="明朝"/>
      <family val="1"/>
      <charset val="128"/>
    </font>
    <font>
      <sz val="6"/>
      <name val="明朝"/>
      <family val="1"/>
      <charset val="128"/>
    </font>
    <font>
      <sz val="6"/>
      <name val="明朝"/>
      <family val="1"/>
      <charset val="128"/>
    </font>
    <font>
      <sz val="6"/>
      <name val="明朝"/>
      <family val="1"/>
      <charset val="128"/>
    </font>
    <font>
      <b/>
      <sz val="11"/>
      <color theme="3"/>
      <name val="ＭＳ Ｐゴシック"/>
      <family val="3"/>
      <charset val="128"/>
    </font>
    <font>
      <b/>
      <sz val="12"/>
      <color theme="3"/>
      <name val="ＭＳ Ｐゴシック"/>
      <family val="3"/>
      <charset val="128"/>
    </font>
    <font>
      <b/>
      <sz val="13"/>
      <color theme="3"/>
      <name val="ＭＳ Ｐゴシック"/>
      <family val="3"/>
      <charset val="128"/>
    </font>
    <font>
      <sz val="11"/>
      <color theme="3"/>
      <name val="ＭＳ Ｐゴシック"/>
      <family val="3"/>
      <charset val="128"/>
    </font>
    <font>
      <sz val="13"/>
      <color theme="3"/>
      <name val="ＭＳ Ｐゴシック"/>
      <family val="3"/>
      <charset val="128"/>
    </font>
    <font>
      <b/>
      <sz val="14"/>
      <color theme="3"/>
      <name val="ＭＳ Ｐゴシック"/>
      <family val="3"/>
      <charset val="128"/>
    </font>
    <font>
      <sz val="12"/>
      <color theme="3"/>
      <name val="ＭＳ Ｐゴシック"/>
      <family val="3"/>
      <charset val="128"/>
    </font>
    <font>
      <b/>
      <sz val="12"/>
      <color rgb="FF00206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0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B0F0"/>
      </left>
      <right/>
      <top/>
      <bottom style="thin">
        <color indexed="64"/>
      </bottom>
      <diagonal/>
    </border>
    <border>
      <left style="hair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00B0F0"/>
      </right>
      <top/>
      <bottom/>
      <diagonal/>
    </border>
    <border>
      <left style="hair">
        <color indexed="64"/>
      </left>
      <right style="medium">
        <color rgb="FF00B0F0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00B0F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00B0F0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00B0F0"/>
      </right>
      <top/>
      <bottom style="thin">
        <color indexed="64"/>
      </bottom>
      <diagonal/>
    </border>
    <border>
      <left style="double">
        <color rgb="FF7030A0"/>
      </left>
      <right/>
      <top/>
      <bottom style="thin">
        <color indexed="64"/>
      </bottom>
      <diagonal/>
    </border>
    <border>
      <left style="hair">
        <color indexed="64"/>
      </left>
      <right style="double">
        <color rgb="FF7030A0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rgb="FF7030A0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rgb="FF7030A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rgb="FF7030A0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rgb="FF7030A0"/>
      </right>
      <top/>
      <bottom/>
      <diagonal/>
    </border>
    <border>
      <left style="hair">
        <color indexed="64"/>
      </left>
      <right style="double">
        <color rgb="FF7030A0"/>
      </right>
      <top/>
      <bottom style="thin">
        <color indexed="64"/>
      </bottom>
      <diagonal/>
    </border>
    <border>
      <left style="double">
        <color rgb="FF7030A0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double">
        <color rgb="FF7030A0"/>
      </bottom>
      <diagonal/>
    </border>
    <border>
      <left style="hair">
        <color indexed="64"/>
      </left>
      <right style="medium">
        <color rgb="FF00B0F0"/>
      </right>
      <top style="hair">
        <color indexed="64"/>
      </top>
      <bottom style="double">
        <color rgb="FF7030A0"/>
      </bottom>
      <diagonal/>
    </border>
    <border>
      <left style="hair">
        <color indexed="64"/>
      </left>
      <right style="double">
        <color rgb="FF7030A0"/>
      </right>
      <top style="hair">
        <color indexed="64"/>
      </top>
      <bottom style="double">
        <color rgb="FF7030A0"/>
      </bottom>
      <diagonal/>
    </border>
    <border>
      <left style="medium">
        <color rgb="FF00B0F0"/>
      </left>
      <right style="hair">
        <color indexed="64"/>
      </right>
      <top/>
      <bottom/>
      <diagonal/>
    </border>
    <border>
      <left style="thin">
        <color indexed="64"/>
      </left>
      <right style="double">
        <color rgb="FF00B0F0"/>
      </right>
      <top/>
      <bottom style="thin">
        <color indexed="64"/>
      </bottom>
      <diagonal/>
    </border>
    <border>
      <left style="hair">
        <color indexed="64"/>
      </left>
      <right style="medium">
        <color rgb="FF00B0F0"/>
      </right>
      <top/>
      <bottom style="hair">
        <color indexed="64"/>
      </bottom>
      <diagonal/>
    </border>
    <border>
      <left style="hair">
        <color indexed="64"/>
      </left>
      <right style="double">
        <color rgb="FF7030A0"/>
      </right>
      <top/>
      <bottom style="hair">
        <color indexed="64"/>
      </bottom>
      <diagonal/>
    </border>
    <border>
      <left style="double">
        <color rgb="FF7030A0"/>
      </left>
      <right/>
      <top style="thin">
        <color indexed="64"/>
      </top>
      <bottom style="hair">
        <color indexed="64"/>
      </bottom>
      <diagonal/>
    </border>
    <border>
      <left style="double">
        <color rgb="FF7030A0"/>
      </left>
      <right/>
      <top style="hair">
        <color indexed="64"/>
      </top>
      <bottom style="hair">
        <color indexed="64"/>
      </bottom>
      <diagonal/>
    </border>
    <border>
      <left style="double">
        <color rgb="FF7030A0"/>
      </left>
      <right/>
      <top style="hair">
        <color indexed="64"/>
      </top>
      <bottom style="thin">
        <color indexed="64"/>
      </bottom>
      <diagonal/>
    </border>
    <border>
      <left style="double">
        <color rgb="FF7030A0"/>
      </left>
      <right/>
      <top style="thin">
        <color indexed="64"/>
      </top>
      <bottom style="thin">
        <color indexed="64"/>
      </bottom>
      <diagonal/>
    </border>
    <border>
      <left style="double">
        <color rgb="FF7030A0"/>
      </left>
      <right/>
      <top/>
      <bottom style="hair">
        <color indexed="64"/>
      </bottom>
      <diagonal/>
    </border>
    <border>
      <left style="double">
        <color rgb="FF7030A0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7030A0"/>
      </left>
      <right/>
      <top style="hair">
        <color indexed="64"/>
      </top>
      <bottom style="double">
        <color rgb="FF7030A0"/>
      </bottom>
      <diagonal/>
    </border>
    <border>
      <left style="thin">
        <color indexed="64"/>
      </left>
      <right/>
      <top style="hair">
        <color indexed="64"/>
      </top>
      <bottom style="double">
        <color rgb="FF7030A0"/>
      </bottom>
      <diagonal/>
    </border>
    <border>
      <left style="medium">
        <color rgb="FF00B0F0"/>
      </left>
      <right/>
      <top style="thin">
        <color indexed="64"/>
      </top>
      <bottom style="hair">
        <color indexed="64"/>
      </bottom>
      <diagonal/>
    </border>
    <border>
      <left style="medium">
        <color rgb="FF00B0F0"/>
      </left>
      <right/>
      <top style="hair">
        <color indexed="64"/>
      </top>
      <bottom style="hair">
        <color indexed="64"/>
      </bottom>
      <diagonal/>
    </border>
    <border>
      <left style="medium">
        <color rgb="FF00B0F0"/>
      </left>
      <right/>
      <top style="hair">
        <color indexed="64"/>
      </top>
      <bottom style="thin">
        <color indexed="64"/>
      </bottom>
      <diagonal/>
    </border>
    <border>
      <left style="medium">
        <color rgb="FF00B0F0"/>
      </left>
      <right/>
      <top style="thin">
        <color indexed="64"/>
      </top>
      <bottom style="thin">
        <color indexed="64"/>
      </bottom>
      <diagonal/>
    </border>
    <border>
      <left style="medium">
        <color rgb="FF00B0F0"/>
      </left>
      <right/>
      <top/>
      <bottom/>
      <diagonal/>
    </border>
    <border>
      <left style="medium">
        <color rgb="FF00B0F0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F0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rgb="FF00B0F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B0F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00B0F0"/>
      </left>
      <right style="hair">
        <color indexed="64"/>
      </right>
      <top/>
      <bottom style="hair">
        <color indexed="64"/>
      </bottom>
      <diagonal/>
    </border>
    <border>
      <left style="medium">
        <color rgb="FF00B0F0"/>
      </left>
      <right style="hair">
        <color indexed="64"/>
      </right>
      <top/>
      <bottom style="thin">
        <color indexed="64"/>
      </bottom>
      <diagonal/>
    </border>
    <border>
      <left style="medium">
        <color rgb="FF00B0F0"/>
      </left>
      <right style="hair">
        <color indexed="64"/>
      </right>
      <top style="hair">
        <color indexed="64"/>
      </top>
      <bottom style="double">
        <color rgb="FF7030A0"/>
      </bottom>
      <diagonal/>
    </border>
    <border>
      <left/>
      <right/>
      <top style="hair">
        <color indexed="64"/>
      </top>
      <bottom style="double">
        <color rgb="FF7030A0"/>
      </bottom>
      <diagonal/>
    </border>
    <border>
      <left/>
      <right style="medium">
        <color rgb="FF00B0F0"/>
      </right>
      <top style="thin">
        <color indexed="64"/>
      </top>
      <bottom style="thin">
        <color indexed="64"/>
      </bottom>
      <diagonal/>
    </border>
    <border>
      <left/>
      <right style="double">
        <color rgb="FF7030A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7030A0"/>
      </right>
      <top/>
      <bottom style="thin">
        <color indexed="64"/>
      </bottom>
      <diagonal/>
    </border>
    <border>
      <left style="double">
        <color rgb="FF7030A0"/>
      </left>
      <right style="thin">
        <color indexed="64"/>
      </right>
      <top/>
      <bottom style="thin">
        <color indexed="64"/>
      </bottom>
      <diagonal/>
    </border>
    <border>
      <left style="medium">
        <color rgb="FF00B0F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B0F0"/>
      </right>
      <top/>
      <bottom style="thin">
        <color indexed="64"/>
      </bottom>
      <diagonal/>
    </border>
    <border>
      <left/>
      <right style="double">
        <color rgb="FF00B0F0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5" borderId="1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9" fontId="7" fillId="0" borderId="0" applyFont="0" applyFill="0" applyBorder="0" applyAlignment="0" applyProtection="0"/>
    <xf numFmtId="0" fontId="7" fillId="4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7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</cellStyleXfs>
  <cellXfs count="830">
    <xf numFmtId="0" fontId="0" fillId="0" borderId="0" xfId="0"/>
    <xf numFmtId="0" fontId="20" fillId="0" borderId="0" xfId="0" applyFont="1"/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176" fontId="21" fillId="0" borderId="12" xfId="0" applyNumberFormat="1" applyFont="1" applyBorder="1" applyAlignment="1">
      <alignment horizontal="center"/>
    </xf>
    <xf numFmtId="176" fontId="21" fillId="0" borderId="13" xfId="0" applyNumberFormat="1" applyFont="1" applyBorder="1" applyAlignment="1">
      <alignment horizontal="center"/>
    </xf>
    <xf numFmtId="176" fontId="21" fillId="0" borderId="14" xfId="0" applyNumberFormat="1" applyFont="1" applyBorder="1" applyAlignment="1">
      <alignment horizontal="center"/>
    </xf>
    <xf numFmtId="176" fontId="20" fillId="0" borderId="15" xfId="34" applyNumberFormat="1" applyFont="1" applyBorder="1"/>
    <xf numFmtId="0" fontId="0" fillId="0" borderId="0" xfId="0" applyAlignment="1">
      <alignment horizontal="centerContinuous"/>
    </xf>
    <xf numFmtId="176" fontId="20" fillId="0" borderId="16" xfId="34" applyNumberFormat="1" applyFont="1" applyBorder="1"/>
    <xf numFmtId="176" fontId="20" fillId="0" borderId="16" xfId="28" applyNumberFormat="1" applyFont="1" applyBorder="1"/>
    <xf numFmtId="38" fontId="7" fillId="0" borderId="0" xfId="34" applyFont="1"/>
    <xf numFmtId="176" fontId="20" fillId="0" borderId="17" xfId="34" applyNumberFormat="1" applyFont="1" applyBorder="1"/>
    <xf numFmtId="38" fontId="7" fillId="0" borderId="0" xfId="34" applyFont="1" applyAlignment="1">
      <alignment horizontal="centerContinuous"/>
    </xf>
    <xf numFmtId="38" fontId="1" fillId="0" borderId="0" xfId="34" applyFont="1" applyAlignment="1">
      <alignment horizontal="centerContinuous"/>
    </xf>
    <xf numFmtId="176" fontId="20" fillId="0" borderId="18" xfId="34" applyNumberFormat="1" applyFont="1" applyBorder="1"/>
    <xf numFmtId="176" fontId="20" fillId="0" borderId="12" xfId="34" applyNumberFormat="1" applyFont="1" applyBorder="1"/>
    <xf numFmtId="177" fontId="21" fillId="0" borderId="19" xfId="34" applyNumberFormat="1" applyFont="1" applyBorder="1" applyAlignment="1" applyProtection="1">
      <alignment horizontal="center"/>
      <protection locked="0"/>
    </xf>
    <xf numFmtId="177" fontId="21" fillId="0" borderId="0" xfId="34" applyNumberFormat="1" applyFont="1" applyBorder="1" applyAlignment="1" applyProtection="1">
      <alignment horizontal="center"/>
      <protection locked="0"/>
    </xf>
    <xf numFmtId="176" fontId="20" fillId="0" borderId="18" xfId="34" applyNumberFormat="1" applyFont="1" applyBorder="1" applyProtection="1">
      <protection locked="0"/>
    </xf>
    <xf numFmtId="179" fontId="13" fillId="0" borderId="20" xfId="34" applyNumberFormat="1" applyFont="1" applyBorder="1" applyAlignment="1" applyProtection="1">
      <alignment horizontal="center"/>
      <protection locked="0"/>
    </xf>
    <xf numFmtId="0" fontId="20" fillId="0" borderId="15" xfId="0" applyFont="1" applyBorder="1" applyAlignment="1">
      <alignment horizontal="right"/>
    </xf>
    <xf numFmtId="176" fontId="20" fillId="0" borderId="15" xfId="28" applyNumberFormat="1" applyFont="1" applyBorder="1" applyAlignment="1">
      <alignment horizontal="right"/>
    </xf>
    <xf numFmtId="176" fontId="20" fillId="0" borderId="21" xfId="28" applyNumberFormat="1" applyFont="1" applyBorder="1"/>
    <xf numFmtId="0" fontId="22" fillId="0" borderId="0" xfId="0" applyFont="1" applyAlignment="1" applyProtection="1">
      <alignment horizontal="distributed"/>
      <protection locked="0"/>
    </xf>
    <xf numFmtId="0" fontId="31" fillId="0" borderId="0" xfId="0" applyFont="1"/>
    <xf numFmtId="0" fontId="20" fillId="0" borderId="0" xfId="0" applyFont="1" applyProtection="1">
      <protection locked="0"/>
    </xf>
    <xf numFmtId="176" fontId="20" fillId="0" borderId="0" xfId="28" applyNumberFormat="1" applyFont="1"/>
    <xf numFmtId="177" fontId="21" fillId="0" borderId="22" xfId="34" applyNumberFormat="1" applyFont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177" fontId="21" fillId="0" borderId="25" xfId="34" applyNumberFormat="1" applyFont="1" applyBorder="1" applyAlignment="1" applyProtection="1">
      <alignment horizontal="center"/>
      <protection locked="0"/>
    </xf>
    <xf numFmtId="179" fontId="13" fillId="0" borderId="26" xfId="34" applyNumberFormat="1" applyFont="1" applyBorder="1" applyAlignment="1" applyProtection="1">
      <alignment horizontal="center"/>
      <protection locked="0"/>
    </xf>
    <xf numFmtId="0" fontId="21" fillId="0" borderId="13" xfId="0" applyFont="1" applyBorder="1" applyAlignment="1">
      <alignment horizontal="center"/>
    </xf>
    <xf numFmtId="176" fontId="20" fillId="0" borderId="27" xfId="34" applyNumberFormat="1" applyFont="1" applyBorder="1" applyProtection="1">
      <protection locked="0"/>
    </xf>
    <xf numFmtId="38" fontId="23" fillId="0" borderId="28" xfId="34" applyFont="1" applyBorder="1" applyAlignment="1">
      <alignment horizontal="distributed"/>
    </xf>
    <xf numFmtId="38" fontId="23" fillId="0" borderId="29" xfId="34" applyFont="1" applyBorder="1" applyAlignment="1">
      <alignment horizontal="distributed"/>
    </xf>
    <xf numFmtId="38" fontId="23" fillId="0" borderId="30" xfId="34" applyFont="1" applyBorder="1" applyAlignment="1">
      <alignment horizontal="distributed"/>
    </xf>
    <xf numFmtId="38" fontId="26" fillId="0" borderId="28" xfId="34" applyFont="1" applyBorder="1" applyAlignment="1">
      <alignment horizontal="distributed"/>
    </xf>
    <xf numFmtId="38" fontId="29" fillId="0" borderId="28" xfId="34" applyFont="1" applyBorder="1" applyAlignment="1">
      <alignment horizontal="distributed"/>
    </xf>
    <xf numFmtId="38" fontId="29" fillId="0" borderId="29" xfId="34" applyFont="1" applyBorder="1" applyAlignment="1">
      <alignment horizontal="distributed"/>
    </xf>
    <xf numFmtId="38" fontId="22" fillId="0" borderId="31" xfId="34" applyFont="1" applyBorder="1" applyAlignment="1">
      <alignment horizontal="center"/>
    </xf>
    <xf numFmtId="38" fontId="21" fillId="0" borderId="32" xfId="34" applyFont="1" applyBorder="1" applyAlignment="1" applyProtection="1">
      <alignment horizontal="distributed"/>
      <protection locked="0"/>
    </xf>
    <xf numFmtId="38" fontId="21" fillId="0" borderId="33" xfId="34" applyFont="1" applyBorder="1" applyAlignment="1" applyProtection="1">
      <alignment horizontal="distributed"/>
      <protection locked="0"/>
    </xf>
    <xf numFmtId="38" fontId="21" fillId="0" borderId="34" xfId="34" applyFont="1" applyBorder="1" applyAlignment="1" applyProtection="1">
      <alignment horizontal="distributed"/>
      <protection locked="0"/>
    </xf>
    <xf numFmtId="176" fontId="20" fillId="0" borderId="35" xfId="34" applyNumberFormat="1" applyFont="1" applyBorder="1" applyProtection="1">
      <protection locked="0"/>
    </xf>
    <xf numFmtId="179" fontId="13" fillId="22" borderId="36" xfId="34" applyNumberFormat="1" applyFont="1" applyFill="1" applyBorder="1" applyAlignment="1" applyProtection="1">
      <alignment horizontal="center"/>
      <protection locked="0"/>
    </xf>
    <xf numFmtId="0" fontId="21" fillId="22" borderId="23" xfId="0" applyFont="1" applyFill="1" applyBorder="1" applyAlignment="1">
      <alignment horizontal="center"/>
    </xf>
    <xf numFmtId="177" fontId="21" fillId="22" borderId="37" xfId="34" applyNumberFormat="1" applyFont="1" applyFill="1" applyBorder="1" applyAlignment="1" applyProtection="1">
      <alignment horizontal="center"/>
      <protection locked="0"/>
    </xf>
    <xf numFmtId="0" fontId="21" fillId="22" borderId="38" xfId="0" applyFont="1" applyFill="1" applyBorder="1" applyAlignment="1">
      <alignment horizontal="center"/>
    </xf>
    <xf numFmtId="176" fontId="21" fillId="22" borderId="13" xfId="0" applyNumberFormat="1" applyFont="1" applyFill="1" applyBorder="1" applyAlignment="1">
      <alignment horizontal="center"/>
    </xf>
    <xf numFmtId="176" fontId="21" fillId="22" borderId="39" xfId="0" applyNumberFormat="1" applyFont="1" applyFill="1" applyBorder="1" applyAlignment="1">
      <alignment horizontal="center"/>
    </xf>
    <xf numFmtId="0" fontId="21" fillId="22" borderId="11" xfId="0" applyFont="1" applyFill="1" applyBorder="1" applyAlignment="1">
      <alignment horizontal="center"/>
    </xf>
    <xf numFmtId="177" fontId="21" fillId="22" borderId="0" xfId="34" applyNumberFormat="1" applyFont="1" applyFill="1" applyBorder="1" applyAlignment="1" applyProtection="1">
      <alignment horizontal="center"/>
      <protection locked="0"/>
    </xf>
    <xf numFmtId="176" fontId="20" fillId="22" borderId="27" xfId="34" applyNumberFormat="1" applyFont="1" applyFill="1" applyBorder="1" applyProtection="1">
      <protection locked="0"/>
    </xf>
    <xf numFmtId="38" fontId="23" fillId="23" borderId="40" xfId="34" applyFont="1" applyFill="1" applyBorder="1" applyAlignment="1">
      <alignment horizontal="center"/>
    </xf>
    <xf numFmtId="176" fontId="21" fillId="23" borderId="41" xfId="34" applyNumberFormat="1" applyFont="1" applyFill="1" applyBorder="1"/>
    <xf numFmtId="38" fontId="27" fillId="23" borderId="40" xfId="34" applyFont="1" applyFill="1" applyBorder="1" applyAlignment="1">
      <alignment horizontal="center"/>
    </xf>
    <xf numFmtId="38" fontId="27" fillId="23" borderId="29" xfId="34" applyFont="1" applyFill="1" applyBorder="1" applyAlignment="1">
      <alignment horizontal="center"/>
    </xf>
    <xf numFmtId="176" fontId="21" fillId="23" borderId="12" xfId="34" applyNumberFormat="1" applyFont="1" applyFill="1" applyBorder="1"/>
    <xf numFmtId="38" fontId="23" fillId="24" borderId="28" xfId="34" applyFont="1" applyFill="1" applyBorder="1" applyAlignment="1">
      <alignment horizontal="center"/>
    </xf>
    <xf numFmtId="176" fontId="21" fillId="24" borderId="18" xfId="34" applyNumberFormat="1" applyFont="1" applyFill="1" applyBorder="1"/>
    <xf numFmtId="38" fontId="23" fillId="24" borderId="40" xfId="34" applyFont="1" applyFill="1" applyBorder="1" applyAlignment="1">
      <alignment horizontal="center"/>
    </xf>
    <xf numFmtId="9" fontId="21" fillId="24" borderId="41" xfId="28" applyFont="1" applyFill="1" applyBorder="1"/>
    <xf numFmtId="176" fontId="21" fillId="24" borderId="41" xfId="34" applyNumberFormat="1" applyFont="1" applyFill="1" applyBorder="1"/>
    <xf numFmtId="38" fontId="22" fillId="0" borderId="28" xfId="34" applyFont="1" applyFill="1" applyBorder="1" applyAlignment="1">
      <alignment horizontal="center"/>
    </xf>
    <xf numFmtId="38" fontId="22" fillId="0" borderId="29" xfId="34" applyFont="1" applyFill="1" applyBorder="1" applyAlignment="1">
      <alignment horizontal="center"/>
    </xf>
    <xf numFmtId="0" fontId="21" fillId="0" borderId="152" xfId="0" applyFont="1" applyBorder="1" applyAlignment="1">
      <alignment horizontal="center"/>
    </xf>
    <xf numFmtId="38" fontId="23" fillId="25" borderId="29" xfId="34" applyFont="1" applyFill="1" applyBorder="1" applyAlignment="1">
      <alignment horizontal="center"/>
    </xf>
    <xf numFmtId="176" fontId="21" fillId="25" borderId="12" xfId="34" applyNumberFormat="1" applyFont="1" applyFill="1" applyBorder="1"/>
    <xf numFmtId="38" fontId="23" fillId="0" borderId="29" xfId="34" applyFont="1" applyFill="1" applyBorder="1" applyAlignment="1">
      <alignment horizontal="center"/>
    </xf>
    <xf numFmtId="176" fontId="21" fillId="0" borderId="12" xfId="34" applyNumberFormat="1" applyFont="1" applyFill="1" applyBorder="1"/>
    <xf numFmtId="176" fontId="21" fillId="0" borderId="153" xfId="0" applyNumberFormat="1" applyFont="1" applyBorder="1" applyAlignment="1">
      <alignment horizontal="center"/>
    </xf>
    <xf numFmtId="179" fontId="13" fillId="0" borderId="154" xfId="34" applyNumberFormat="1" applyFont="1" applyBorder="1" applyAlignment="1" applyProtection="1">
      <alignment horizontal="center"/>
      <protection locked="0"/>
    </xf>
    <xf numFmtId="176" fontId="21" fillId="22" borderId="42" xfId="0" applyNumberFormat="1" applyFont="1" applyFill="1" applyBorder="1" applyAlignment="1">
      <alignment horizontal="center"/>
    </xf>
    <xf numFmtId="176" fontId="20" fillId="22" borderId="43" xfId="34" applyNumberFormat="1" applyFont="1" applyFill="1" applyBorder="1" applyProtection="1">
      <protection locked="0"/>
    </xf>
    <xf numFmtId="0" fontId="21" fillId="22" borderId="13" xfId="0" applyFont="1" applyFill="1" applyBorder="1" applyAlignment="1">
      <alignment horizontal="center"/>
    </xf>
    <xf numFmtId="176" fontId="20" fillId="0" borderId="16" xfId="28" applyNumberFormat="1" applyFont="1" applyBorder="1" applyProtection="1">
      <protection locked="0"/>
    </xf>
    <xf numFmtId="176" fontId="20" fillId="0" borderId="21" xfId="28" applyNumberFormat="1" applyFont="1" applyBorder="1" applyProtection="1">
      <protection locked="0"/>
    </xf>
    <xf numFmtId="176" fontId="20" fillId="0" borderId="15" xfId="28" applyNumberFormat="1" applyFont="1" applyBorder="1" applyAlignment="1" applyProtection="1">
      <alignment horizontal="right"/>
      <protection locked="0"/>
    </xf>
    <xf numFmtId="176" fontId="20" fillId="0" borderId="44" xfId="34" applyNumberFormat="1" applyFont="1" applyBorder="1" applyProtection="1"/>
    <xf numFmtId="176" fontId="20" fillId="0" borderId="45" xfId="34" applyNumberFormat="1" applyFont="1" applyBorder="1" applyProtection="1"/>
    <xf numFmtId="176" fontId="20" fillId="0" borderId="46" xfId="34" applyNumberFormat="1" applyFont="1" applyBorder="1" applyProtection="1"/>
    <xf numFmtId="9" fontId="21" fillId="24" borderId="47" xfId="28" applyFont="1" applyFill="1" applyBorder="1" applyProtection="1"/>
    <xf numFmtId="176" fontId="21" fillId="23" borderId="47" xfId="34" applyNumberFormat="1" applyFont="1" applyFill="1" applyBorder="1" applyProtection="1"/>
    <xf numFmtId="176" fontId="21" fillId="24" borderId="47" xfId="34" applyNumberFormat="1" applyFont="1" applyFill="1" applyBorder="1" applyProtection="1"/>
    <xf numFmtId="176" fontId="20" fillId="0" borderId="26" xfId="34" applyNumberFormat="1" applyFont="1" applyBorder="1" applyProtection="1"/>
    <xf numFmtId="176" fontId="28" fillId="23" borderId="47" xfId="34" applyNumberFormat="1" applyFont="1" applyFill="1" applyBorder="1" applyProtection="1"/>
    <xf numFmtId="176" fontId="20" fillId="0" borderId="14" xfId="34" applyNumberFormat="1" applyFont="1" applyBorder="1" applyProtection="1"/>
    <xf numFmtId="176" fontId="28" fillId="25" borderId="14" xfId="34" applyNumberFormat="1" applyFont="1" applyFill="1" applyBorder="1" applyProtection="1"/>
    <xf numFmtId="176" fontId="21" fillId="0" borderId="14" xfId="34" applyNumberFormat="1" applyFont="1" applyFill="1" applyBorder="1" applyProtection="1"/>
    <xf numFmtId="176" fontId="28" fillId="23" borderId="14" xfId="34" applyNumberFormat="1" applyFont="1" applyFill="1" applyBorder="1" applyProtection="1"/>
    <xf numFmtId="176" fontId="20" fillId="0" borderId="44" xfId="28" applyNumberFormat="1" applyFont="1" applyBorder="1" applyProtection="1"/>
    <xf numFmtId="176" fontId="20" fillId="0" borderId="45" xfId="28" applyNumberFormat="1" applyFont="1" applyBorder="1" applyProtection="1"/>
    <xf numFmtId="176" fontId="20" fillId="0" borderId="48" xfId="28" applyNumberFormat="1" applyFont="1" applyBorder="1" applyProtection="1"/>
    <xf numFmtId="176" fontId="22" fillId="0" borderId="0" xfId="28" applyNumberFormat="1" applyFont="1" applyBorder="1" applyProtection="1"/>
    <xf numFmtId="176" fontId="21" fillId="0" borderId="49" xfId="0" applyNumberFormat="1" applyFont="1" applyBorder="1" applyAlignment="1">
      <alignment horizontal="center"/>
    </xf>
    <xf numFmtId="176" fontId="20" fillId="0" borderId="50" xfId="28" applyNumberFormat="1" applyFont="1" applyBorder="1" applyProtection="1"/>
    <xf numFmtId="176" fontId="20" fillId="0" borderId="51" xfId="28" applyNumberFormat="1" applyFont="1" applyBorder="1" applyProtection="1"/>
    <xf numFmtId="176" fontId="20" fillId="0" borderId="51" xfId="34" applyNumberFormat="1" applyFont="1" applyBorder="1" applyProtection="1"/>
    <xf numFmtId="176" fontId="20" fillId="0" borderId="52" xfId="34" applyNumberFormat="1" applyFont="1" applyBorder="1" applyProtection="1"/>
    <xf numFmtId="9" fontId="21" fillId="24" borderId="53" xfId="28" applyFont="1" applyFill="1" applyBorder="1" applyProtection="1"/>
    <xf numFmtId="176" fontId="20" fillId="0" borderId="50" xfId="34" applyNumberFormat="1" applyFont="1" applyBorder="1" applyProtection="1"/>
    <xf numFmtId="176" fontId="21" fillId="24" borderId="35" xfId="34" applyNumberFormat="1" applyFont="1" applyFill="1" applyBorder="1" applyProtection="1"/>
    <xf numFmtId="176" fontId="21" fillId="23" borderId="53" xfId="34" applyNumberFormat="1" applyFont="1" applyFill="1" applyBorder="1" applyProtection="1"/>
    <xf numFmtId="176" fontId="21" fillId="24" borderId="53" xfId="34" applyNumberFormat="1" applyFont="1" applyFill="1" applyBorder="1" applyProtection="1"/>
    <xf numFmtId="176" fontId="20" fillId="0" borderId="35" xfId="34" applyNumberFormat="1" applyFont="1" applyBorder="1" applyProtection="1"/>
    <xf numFmtId="176" fontId="20" fillId="0" borderId="49" xfId="34" applyNumberFormat="1" applyFont="1" applyBorder="1" applyProtection="1"/>
    <xf numFmtId="176" fontId="21" fillId="25" borderId="49" xfId="34" applyNumberFormat="1" applyFont="1" applyFill="1" applyBorder="1" applyProtection="1"/>
    <xf numFmtId="176" fontId="21" fillId="0" borderId="49" xfId="34" applyNumberFormat="1" applyFont="1" applyFill="1" applyBorder="1" applyProtection="1"/>
    <xf numFmtId="176" fontId="21" fillId="23" borderId="49" xfId="34" applyNumberFormat="1" applyFont="1" applyFill="1" applyBorder="1" applyProtection="1"/>
    <xf numFmtId="176" fontId="20" fillId="0" borderId="50" xfId="28" applyNumberFormat="1" applyFont="1" applyBorder="1" applyAlignment="1" applyProtection="1">
      <alignment horizontal="right"/>
    </xf>
    <xf numFmtId="176" fontId="20" fillId="0" borderId="54" xfId="28" applyNumberFormat="1" applyFont="1" applyBorder="1" applyProtection="1"/>
    <xf numFmtId="0" fontId="22" fillId="0" borderId="0" xfId="0" applyFont="1"/>
    <xf numFmtId="0" fontId="21" fillId="22" borderId="55" xfId="0" applyFont="1" applyFill="1" applyBorder="1" applyAlignment="1">
      <alignment horizontal="center"/>
    </xf>
    <xf numFmtId="176" fontId="21" fillId="22" borderId="56" xfId="0" applyNumberFormat="1" applyFont="1" applyFill="1" applyBorder="1" applyAlignment="1">
      <alignment horizontal="center"/>
    </xf>
    <xf numFmtId="0" fontId="21" fillId="0" borderId="38" xfId="0" applyFont="1" applyBorder="1" applyAlignment="1">
      <alignment horizontal="center"/>
    </xf>
    <xf numFmtId="176" fontId="21" fillId="0" borderId="56" xfId="0" applyNumberFormat="1" applyFont="1" applyBorder="1" applyAlignment="1">
      <alignment horizontal="center"/>
    </xf>
    <xf numFmtId="176" fontId="20" fillId="22" borderId="57" xfId="34" applyNumberFormat="1" applyFont="1" applyFill="1" applyBorder="1" applyProtection="1"/>
    <xf numFmtId="176" fontId="20" fillId="22" borderId="58" xfId="34" applyNumberFormat="1" applyFont="1" applyFill="1" applyBorder="1" applyProtection="1"/>
    <xf numFmtId="176" fontId="20" fillId="0" borderId="59" xfId="34" applyNumberFormat="1" applyFont="1" applyBorder="1" applyProtection="1"/>
    <xf numFmtId="176" fontId="20" fillId="0" borderId="58" xfId="34" applyNumberFormat="1" applyFont="1" applyBorder="1" applyProtection="1"/>
    <xf numFmtId="176" fontId="20" fillId="22" borderId="60" xfId="34" applyNumberFormat="1" applyFont="1" applyFill="1" applyBorder="1" applyProtection="1"/>
    <xf numFmtId="176" fontId="20" fillId="22" borderId="61" xfId="34" applyNumberFormat="1" applyFont="1" applyFill="1" applyBorder="1" applyProtection="1"/>
    <xf numFmtId="176" fontId="20" fillId="0" borderId="62" xfId="34" applyNumberFormat="1" applyFont="1" applyBorder="1" applyProtection="1"/>
    <xf numFmtId="176" fontId="20" fillId="0" borderId="61" xfId="34" applyNumberFormat="1" applyFont="1" applyBorder="1" applyProtection="1"/>
    <xf numFmtId="176" fontId="20" fillId="22" borderId="63" xfId="34" applyNumberFormat="1" applyFont="1" applyFill="1" applyBorder="1" applyProtection="1"/>
    <xf numFmtId="176" fontId="20" fillId="22" borderId="64" xfId="34" applyNumberFormat="1" applyFont="1" applyFill="1" applyBorder="1" applyProtection="1"/>
    <xf numFmtId="176" fontId="20" fillId="0" borderId="65" xfId="34" applyNumberFormat="1" applyFont="1" applyBorder="1" applyProtection="1"/>
    <xf numFmtId="176" fontId="20" fillId="0" borderId="64" xfId="34" applyNumberFormat="1" applyFont="1" applyBorder="1" applyProtection="1"/>
    <xf numFmtId="9" fontId="21" fillId="24" borderId="66" xfId="28" applyFont="1" applyFill="1" applyBorder="1" applyProtection="1"/>
    <xf numFmtId="9" fontId="21" fillId="24" borderId="67" xfId="28" applyFont="1" applyFill="1" applyBorder="1" applyProtection="1"/>
    <xf numFmtId="9" fontId="21" fillId="24" borderId="68" xfId="28" applyFont="1" applyFill="1" applyBorder="1" applyProtection="1"/>
    <xf numFmtId="176" fontId="21" fillId="24" borderId="36" xfId="34" applyNumberFormat="1" applyFont="1" applyFill="1" applyBorder="1" applyProtection="1"/>
    <xf numFmtId="176" fontId="21" fillId="24" borderId="27" xfId="34" applyNumberFormat="1" applyFont="1" applyFill="1" applyBorder="1" applyProtection="1"/>
    <xf numFmtId="176" fontId="21" fillId="24" borderId="20" xfId="34" applyNumberFormat="1" applyFont="1" applyFill="1" applyBorder="1" applyProtection="1"/>
    <xf numFmtId="176" fontId="21" fillId="23" borderId="66" xfId="34" applyNumberFormat="1" applyFont="1" applyFill="1" applyBorder="1" applyProtection="1"/>
    <xf numFmtId="176" fontId="21" fillId="23" borderId="67" xfId="34" applyNumberFormat="1" applyFont="1" applyFill="1" applyBorder="1" applyProtection="1"/>
    <xf numFmtId="176" fontId="21" fillId="23" borderId="68" xfId="34" applyNumberFormat="1" applyFont="1" applyFill="1" applyBorder="1" applyProtection="1"/>
    <xf numFmtId="176" fontId="21" fillId="24" borderId="66" xfId="34" applyNumberFormat="1" applyFont="1" applyFill="1" applyBorder="1" applyProtection="1"/>
    <xf numFmtId="176" fontId="21" fillId="24" borderId="67" xfId="34" applyNumberFormat="1" applyFont="1" applyFill="1" applyBorder="1" applyProtection="1"/>
    <xf numFmtId="176" fontId="21" fillId="24" borderId="68" xfId="34" applyNumberFormat="1" applyFont="1" applyFill="1" applyBorder="1" applyProtection="1"/>
    <xf numFmtId="176" fontId="20" fillId="22" borderId="36" xfId="34" applyNumberFormat="1" applyFont="1" applyFill="1" applyBorder="1" applyProtection="1"/>
    <xf numFmtId="176" fontId="20" fillId="22" borderId="27" xfId="34" applyNumberFormat="1" applyFont="1" applyFill="1" applyBorder="1" applyProtection="1"/>
    <xf numFmtId="176" fontId="20" fillId="0" borderId="20" xfId="34" applyNumberFormat="1" applyFont="1" applyBorder="1" applyProtection="1"/>
    <xf numFmtId="176" fontId="20" fillId="0" borderId="27" xfId="34" applyNumberFormat="1" applyFont="1" applyBorder="1" applyProtection="1"/>
    <xf numFmtId="176" fontId="28" fillId="23" borderId="68" xfId="34" applyNumberFormat="1" applyFont="1" applyFill="1" applyBorder="1" applyProtection="1"/>
    <xf numFmtId="176" fontId="20" fillId="22" borderId="39" xfId="34" applyNumberFormat="1" applyFont="1" applyFill="1" applyBorder="1" applyProtection="1"/>
    <xf numFmtId="176" fontId="20" fillId="22" borderId="56" xfId="34" applyNumberFormat="1" applyFont="1" applyFill="1" applyBorder="1" applyProtection="1"/>
    <xf numFmtId="176" fontId="20" fillId="0" borderId="13" xfId="34" applyNumberFormat="1" applyFont="1" applyBorder="1" applyProtection="1"/>
    <xf numFmtId="176" fontId="20" fillId="0" borderId="56" xfId="34" applyNumberFormat="1" applyFont="1" applyBorder="1" applyProtection="1"/>
    <xf numFmtId="176" fontId="21" fillId="25" borderId="56" xfId="34" applyNumberFormat="1" applyFont="1" applyFill="1" applyBorder="1" applyProtection="1"/>
    <xf numFmtId="176" fontId="28" fillId="25" borderId="13" xfId="34" applyNumberFormat="1" applyFont="1" applyFill="1" applyBorder="1" applyProtection="1"/>
    <xf numFmtId="176" fontId="21" fillId="0" borderId="39" xfId="34" applyNumberFormat="1" applyFont="1" applyFill="1" applyBorder="1" applyProtection="1"/>
    <xf numFmtId="176" fontId="21" fillId="0" borderId="56" xfId="34" applyNumberFormat="1" applyFont="1" applyFill="1" applyBorder="1" applyProtection="1"/>
    <xf numFmtId="176" fontId="21" fillId="0" borderId="13" xfId="34" applyNumberFormat="1" applyFont="1" applyFill="1" applyBorder="1" applyProtection="1"/>
    <xf numFmtId="176" fontId="21" fillId="23" borderId="56" xfId="34" applyNumberFormat="1" applyFont="1" applyFill="1" applyBorder="1" applyProtection="1"/>
    <xf numFmtId="176" fontId="28" fillId="23" borderId="13" xfId="34" applyNumberFormat="1" applyFont="1" applyFill="1" applyBorder="1" applyProtection="1"/>
    <xf numFmtId="176" fontId="20" fillId="22" borderId="57" xfId="28" applyNumberFormat="1" applyFont="1" applyFill="1" applyBorder="1" applyProtection="1"/>
    <xf numFmtId="176" fontId="20" fillId="22" borderId="58" xfId="28" applyNumberFormat="1" applyFont="1" applyFill="1" applyBorder="1" applyAlignment="1" applyProtection="1">
      <alignment horizontal="right"/>
    </xf>
    <xf numFmtId="176" fontId="20" fillId="0" borderId="59" xfId="28" applyNumberFormat="1" applyFont="1" applyBorder="1" applyProtection="1"/>
    <xf numFmtId="176" fontId="20" fillId="22" borderId="60" xfId="28" applyNumberFormat="1" applyFont="1" applyFill="1" applyBorder="1" applyProtection="1"/>
    <xf numFmtId="176" fontId="20" fillId="22" borderId="61" xfId="28" applyNumberFormat="1" applyFont="1" applyFill="1" applyBorder="1" applyProtection="1"/>
    <xf numFmtId="176" fontId="20" fillId="0" borderId="62" xfId="28" applyNumberFormat="1" applyFont="1" applyBorder="1" applyProtection="1"/>
    <xf numFmtId="176" fontId="20" fillId="0" borderId="61" xfId="28" applyNumberFormat="1" applyFont="1" applyBorder="1" applyProtection="1"/>
    <xf numFmtId="176" fontId="20" fillId="22" borderId="69" xfId="28" applyNumberFormat="1" applyFont="1" applyFill="1" applyBorder="1" applyProtection="1"/>
    <xf numFmtId="176" fontId="20" fillId="22" borderId="70" xfId="28" applyNumberFormat="1" applyFont="1" applyFill="1" applyBorder="1" applyProtection="1"/>
    <xf numFmtId="176" fontId="20" fillId="0" borderId="71" xfId="28" applyNumberFormat="1" applyFont="1" applyBorder="1" applyProtection="1"/>
    <xf numFmtId="176" fontId="20" fillId="0" borderId="70" xfId="28" applyNumberFormat="1" applyFont="1" applyBorder="1" applyProtection="1"/>
    <xf numFmtId="176" fontId="20" fillId="0" borderId="15" xfId="28" applyNumberFormat="1" applyFont="1" applyBorder="1" applyProtection="1"/>
    <xf numFmtId="176" fontId="20" fillId="0" borderId="16" xfId="28" applyNumberFormat="1" applyFont="1" applyBorder="1" applyProtection="1"/>
    <xf numFmtId="176" fontId="20" fillId="0" borderId="16" xfId="34" applyNumberFormat="1" applyFont="1" applyBorder="1" applyProtection="1"/>
    <xf numFmtId="176" fontId="20" fillId="0" borderId="17" xfId="34" applyNumberFormat="1" applyFont="1" applyBorder="1" applyProtection="1"/>
    <xf numFmtId="9" fontId="21" fillId="24" borderId="41" xfId="28" applyFont="1" applyFill="1" applyBorder="1" applyProtection="1"/>
    <xf numFmtId="176" fontId="20" fillId="0" borderId="15" xfId="34" applyNumberFormat="1" applyFont="1" applyBorder="1" applyProtection="1"/>
    <xf numFmtId="176" fontId="21" fillId="24" borderId="18" xfId="34" applyNumberFormat="1" applyFont="1" applyFill="1" applyBorder="1" applyProtection="1"/>
    <xf numFmtId="176" fontId="21" fillId="23" borderId="41" xfId="34" applyNumberFormat="1" applyFont="1" applyFill="1" applyBorder="1" applyProtection="1"/>
    <xf numFmtId="176" fontId="21" fillId="24" borderId="41" xfId="34" applyNumberFormat="1" applyFont="1" applyFill="1" applyBorder="1" applyProtection="1"/>
    <xf numFmtId="176" fontId="20" fillId="0" borderId="18" xfId="34" applyNumberFormat="1" applyFont="1" applyBorder="1" applyProtection="1"/>
    <xf numFmtId="176" fontId="20" fillId="0" borderId="12" xfId="34" applyNumberFormat="1" applyFont="1" applyBorder="1" applyProtection="1"/>
    <xf numFmtId="176" fontId="21" fillId="25" borderId="12" xfId="34" applyNumberFormat="1" applyFont="1" applyFill="1" applyBorder="1" applyProtection="1"/>
    <xf numFmtId="176" fontId="21" fillId="0" borderId="12" xfId="34" applyNumberFormat="1" applyFont="1" applyFill="1" applyBorder="1" applyProtection="1"/>
    <xf numFmtId="176" fontId="21" fillId="23" borderId="12" xfId="34" applyNumberFormat="1" applyFont="1" applyFill="1" applyBorder="1" applyProtection="1"/>
    <xf numFmtId="176" fontId="20" fillId="0" borderId="15" xfId="28" applyNumberFormat="1" applyFont="1" applyBorder="1" applyAlignment="1" applyProtection="1">
      <alignment horizontal="right"/>
    </xf>
    <xf numFmtId="176" fontId="20" fillId="0" borderId="21" xfId="28" applyNumberFormat="1" applyFont="1" applyBorder="1" applyProtection="1"/>
    <xf numFmtId="176" fontId="28" fillId="23" borderId="67" xfId="34" applyNumberFormat="1" applyFont="1" applyFill="1" applyBorder="1" applyProtection="1"/>
    <xf numFmtId="176" fontId="28" fillId="25" borderId="56" xfId="34" applyNumberFormat="1" applyFont="1" applyFill="1" applyBorder="1" applyProtection="1"/>
    <xf numFmtId="176" fontId="28" fillId="23" borderId="56" xfId="34" applyNumberFormat="1" applyFont="1" applyFill="1" applyBorder="1" applyProtection="1"/>
    <xf numFmtId="176" fontId="20" fillId="22" borderId="72" xfId="34" applyNumberFormat="1" applyFont="1" applyFill="1" applyBorder="1" applyProtection="1"/>
    <xf numFmtId="176" fontId="20" fillId="22" borderId="73" xfId="34" applyNumberFormat="1" applyFont="1" applyFill="1" applyBorder="1" applyProtection="1"/>
    <xf numFmtId="176" fontId="20" fillId="22" borderId="74" xfId="34" applyNumberFormat="1" applyFont="1" applyFill="1" applyBorder="1" applyProtection="1"/>
    <xf numFmtId="9" fontId="21" fillId="24" borderId="42" xfId="28" applyFont="1" applyFill="1" applyBorder="1" applyProtection="1"/>
    <xf numFmtId="176" fontId="21" fillId="24" borderId="43" xfId="34" applyNumberFormat="1" applyFont="1" applyFill="1" applyBorder="1" applyProtection="1"/>
    <xf numFmtId="176" fontId="21" fillId="23" borderId="42" xfId="34" applyNumberFormat="1" applyFont="1" applyFill="1" applyBorder="1" applyProtection="1"/>
    <xf numFmtId="176" fontId="21" fillId="24" borderId="42" xfId="34" applyNumberFormat="1" applyFont="1" applyFill="1" applyBorder="1" applyProtection="1"/>
    <xf numFmtId="176" fontId="20" fillId="22" borderId="43" xfId="34" applyNumberFormat="1" applyFont="1" applyFill="1" applyBorder="1" applyProtection="1"/>
    <xf numFmtId="176" fontId="20" fillId="22" borderId="75" xfId="34" applyNumberFormat="1" applyFont="1" applyFill="1" applyBorder="1" applyProtection="1"/>
    <xf numFmtId="176" fontId="21" fillId="25" borderId="75" xfId="34" applyNumberFormat="1" applyFont="1" applyFill="1" applyBorder="1" applyProtection="1"/>
    <xf numFmtId="176" fontId="21" fillId="0" borderId="75" xfId="34" applyNumberFormat="1" applyFont="1" applyFill="1" applyBorder="1" applyProtection="1"/>
    <xf numFmtId="176" fontId="21" fillId="23" borderId="75" xfId="34" applyNumberFormat="1" applyFont="1" applyFill="1" applyBorder="1" applyProtection="1"/>
    <xf numFmtId="176" fontId="20" fillId="22" borderId="72" xfId="28" applyNumberFormat="1" applyFont="1" applyFill="1" applyBorder="1" applyAlignment="1" applyProtection="1">
      <alignment horizontal="right"/>
    </xf>
    <xf numFmtId="176" fontId="20" fillId="22" borderId="73" xfId="28" applyNumberFormat="1" applyFont="1" applyFill="1" applyBorder="1" applyProtection="1"/>
    <xf numFmtId="176" fontId="20" fillId="22" borderId="76" xfId="28" applyNumberFormat="1" applyFont="1" applyFill="1" applyBorder="1" applyProtection="1"/>
    <xf numFmtId="176" fontId="20" fillId="0" borderId="155" xfId="34" applyNumberFormat="1" applyFont="1" applyBorder="1" applyProtection="1"/>
    <xf numFmtId="176" fontId="20" fillId="0" borderId="156" xfId="34" applyNumberFormat="1" applyFont="1" applyBorder="1" applyProtection="1"/>
    <xf numFmtId="176" fontId="20" fillId="0" borderId="157" xfId="34" applyNumberFormat="1" applyFont="1" applyBorder="1" applyProtection="1"/>
    <xf numFmtId="9" fontId="21" fillId="24" borderId="153" xfId="28" applyFont="1" applyFill="1" applyBorder="1" applyProtection="1"/>
    <xf numFmtId="176" fontId="21" fillId="24" borderId="154" xfId="34" applyNumberFormat="1" applyFont="1" applyFill="1" applyBorder="1" applyProtection="1"/>
    <xf numFmtId="176" fontId="21" fillId="23" borderId="153" xfId="34" applyNumberFormat="1" applyFont="1" applyFill="1" applyBorder="1" applyProtection="1"/>
    <xf numFmtId="176" fontId="21" fillId="24" borderId="153" xfId="34" applyNumberFormat="1" applyFont="1" applyFill="1" applyBorder="1" applyProtection="1"/>
    <xf numFmtId="176" fontId="20" fillId="0" borderId="154" xfId="34" applyNumberFormat="1" applyFont="1" applyBorder="1" applyProtection="1"/>
    <xf numFmtId="176" fontId="28" fillId="23" borderId="153" xfId="34" applyNumberFormat="1" applyFont="1" applyFill="1" applyBorder="1" applyProtection="1"/>
    <xf numFmtId="176" fontId="20" fillId="0" borderId="158" xfId="34" applyNumberFormat="1" applyFont="1" applyBorder="1" applyProtection="1"/>
    <xf numFmtId="176" fontId="28" fillId="25" borderId="158" xfId="34" applyNumberFormat="1" applyFont="1" applyFill="1" applyBorder="1" applyProtection="1"/>
    <xf numFmtId="176" fontId="21" fillId="0" borderId="158" xfId="34" applyNumberFormat="1" applyFont="1" applyFill="1" applyBorder="1" applyProtection="1"/>
    <xf numFmtId="176" fontId="28" fillId="23" borderId="158" xfId="34" applyNumberFormat="1" applyFont="1" applyFill="1" applyBorder="1" applyProtection="1"/>
    <xf numFmtId="176" fontId="20" fillId="0" borderId="155" xfId="28" applyNumberFormat="1" applyFont="1" applyBorder="1" applyProtection="1"/>
    <xf numFmtId="176" fontId="20" fillId="0" borderId="156" xfId="28" applyNumberFormat="1" applyFont="1" applyBorder="1" applyProtection="1"/>
    <xf numFmtId="176" fontId="21" fillId="25" borderId="39" xfId="34" applyNumberFormat="1" applyFont="1" applyFill="1" applyBorder="1" applyProtection="1"/>
    <xf numFmtId="176" fontId="21" fillId="23" borderId="39" xfId="34" applyNumberFormat="1" applyFont="1" applyFill="1" applyBorder="1" applyProtection="1"/>
    <xf numFmtId="176" fontId="22" fillId="22" borderId="0" xfId="28" applyNumberFormat="1" applyFont="1" applyFill="1" applyBorder="1" applyProtection="1"/>
    <xf numFmtId="176" fontId="20" fillId="22" borderId="20" xfId="34" applyNumberFormat="1" applyFont="1" applyFill="1" applyBorder="1" applyProtection="1"/>
    <xf numFmtId="0" fontId="21" fillId="0" borderId="159" xfId="0" applyFont="1" applyBorder="1" applyAlignment="1">
      <alignment horizontal="center"/>
    </xf>
    <xf numFmtId="176" fontId="21" fillId="0" borderId="160" xfId="0" applyNumberFormat="1" applyFont="1" applyBorder="1" applyAlignment="1">
      <alignment horizontal="center"/>
    </xf>
    <xf numFmtId="176" fontId="20" fillId="0" borderId="161" xfId="34" applyNumberFormat="1" applyFont="1" applyBorder="1" applyProtection="1"/>
    <xf numFmtId="176" fontId="20" fillId="0" borderId="162" xfId="34" applyNumberFormat="1" applyFont="1" applyBorder="1" applyProtection="1"/>
    <xf numFmtId="176" fontId="20" fillId="0" borderId="163" xfId="34" applyNumberFormat="1" applyFont="1" applyBorder="1" applyProtection="1"/>
    <xf numFmtId="9" fontId="21" fillId="24" borderId="160" xfId="28" applyFont="1" applyFill="1" applyBorder="1" applyProtection="1"/>
    <xf numFmtId="176" fontId="21" fillId="24" borderId="164" xfId="34" applyNumberFormat="1" applyFont="1" applyFill="1" applyBorder="1" applyProtection="1"/>
    <xf numFmtId="176" fontId="21" fillId="23" borderId="160" xfId="34" applyNumberFormat="1" applyFont="1" applyFill="1" applyBorder="1" applyProtection="1"/>
    <xf numFmtId="176" fontId="21" fillId="24" borderId="160" xfId="34" applyNumberFormat="1" applyFont="1" applyFill="1" applyBorder="1" applyProtection="1"/>
    <xf numFmtId="176" fontId="20" fillId="0" borderId="164" xfId="34" applyNumberFormat="1" applyFont="1" applyBorder="1" applyProtection="1"/>
    <xf numFmtId="176" fontId="28" fillId="23" borderId="160" xfId="34" applyNumberFormat="1" applyFont="1" applyFill="1" applyBorder="1" applyProtection="1"/>
    <xf numFmtId="176" fontId="20" fillId="0" borderId="165" xfId="34" applyNumberFormat="1" applyFont="1" applyBorder="1" applyProtection="1"/>
    <xf numFmtId="176" fontId="28" fillId="25" borderId="165" xfId="34" applyNumberFormat="1" applyFont="1" applyFill="1" applyBorder="1" applyProtection="1"/>
    <xf numFmtId="176" fontId="21" fillId="0" borderId="165" xfId="34" applyNumberFormat="1" applyFont="1" applyFill="1" applyBorder="1" applyProtection="1"/>
    <xf numFmtId="176" fontId="28" fillId="23" borderId="165" xfId="34" applyNumberFormat="1" applyFont="1" applyFill="1" applyBorder="1" applyProtection="1"/>
    <xf numFmtId="177" fontId="21" fillId="0" borderId="166" xfId="34" applyNumberFormat="1" applyFont="1" applyBorder="1" applyAlignment="1" applyProtection="1">
      <alignment horizontal="center"/>
      <protection locked="0"/>
    </xf>
    <xf numFmtId="179" fontId="13" fillId="0" borderId="164" xfId="34" applyNumberFormat="1" applyFont="1" applyBorder="1" applyAlignment="1" applyProtection="1">
      <alignment horizontal="center"/>
      <protection locked="0"/>
    </xf>
    <xf numFmtId="176" fontId="20" fillId="0" borderId="161" xfId="28" applyNumberFormat="1" applyFont="1" applyBorder="1" applyProtection="1"/>
    <xf numFmtId="176" fontId="20" fillId="0" borderId="162" xfId="28" applyNumberFormat="1" applyFont="1" applyBorder="1" applyProtection="1"/>
    <xf numFmtId="176" fontId="20" fillId="0" borderId="167" xfId="28" applyNumberFormat="1" applyFont="1" applyBorder="1" applyProtection="1">
      <protection locked="0"/>
    </xf>
    <xf numFmtId="176" fontId="20" fillId="0" borderId="168" xfId="28" applyNumberFormat="1" applyFont="1" applyBorder="1" applyProtection="1"/>
    <xf numFmtId="176" fontId="20" fillId="0" borderId="167" xfId="28" applyNumberFormat="1" applyFont="1" applyBorder="1"/>
    <xf numFmtId="176" fontId="20" fillId="0" borderId="167" xfId="28" applyNumberFormat="1" applyFont="1" applyBorder="1" applyProtection="1"/>
    <xf numFmtId="176" fontId="20" fillId="0" borderId="169" xfId="28" applyNumberFormat="1" applyFont="1" applyBorder="1" applyProtection="1"/>
    <xf numFmtId="179" fontId="13" fillId="0" borderId="18" xfId="34" applyNumberFormat="1" applyFont="1" applyBorder="1" applyAlignment="1" applyProtection="1">
      <alignment horizontal="center"/>
      <protection locked="0"/>
    </xf>
    <xf numFmtId="177" fontId="21" fillId="0" borderId="170" xfId="34" applyNumberFormat="1" applyFont="1" applyBorder="1" applyAlignment="1" applyProtection="1">
      <alignment horizontal="center"/>
      <protection locked="0"/>
    </xf>
    <xf numFmtId="177" fontId="38" fillId="22" borderId="77" xfId="34" applyNumberFormat="1" applyFont="1" applyFill="1" applyBorder="1" applyAlignment="1" applyProtection="1">
      <alignment horizontal="center"/>
      <protection locked="0"/>
    </xf>
    <xf numFmtId="177" fontId="38" fillId="0" borderId="77" xfId="34" applyNumberFormat="1" applyFont="1" applyBorder="1" applyAlignment="1" applyProtection="1">
      <alignment horizontal="center"/>
      <protection locked="0"/>
    </xf>
    <xf numFmtId="177" fontId="38" fillId="0" borderId="20" xfId="34" applyNumberFormat="1" applyFont="1" applyBorder="1" applyAlignment="1" applyProtection="1">
      <alignment horizontal="center"/>
      <protection locked="0"/>
    </xf>
    <xf numFmtId="177" fontId="38" fillId="22" borderId="20" xfId="34" applyNumberFormat="1" applyFont="1" applyFill="1" applyBorder="1" applyAlignment="1" applyProtection="1">
      <alignment horizontal="center"/>
      <protection locked="0"/>
    </xf>
    <xf numFmtId="177" fontId="38" fillId="22" borderId="0" xfId="34" applyNumberFormat="1" applyFont="1" applyFill="1" applyBorder="1" applyAlignment="1" applyProtection="1">
      <alignment horizontal="center"/>
      <protection locked="0"/>
    </xf>
    <xf numFmtId="38" fontId="22" fillId="0" borderId="78" xfId="34" applyFont="1" applyBorder="1" applyAlignment="1">
      <alignment horizontal="distributed"/>
    </xf>
    <xf numFmtId="38" fontId="22" fillId="0" borderId="33" xfId="34" applyFont="1" applyBorder="1" applyAlignment="1">
      <alignment horizontal="distributed"/>
    </xf>
    <xf numFmtId="38" fontId="23" fillId="0" borderId="33" xfId="34" applyFont="1" applyBorder="1" applyAlignment="1">
      <alignment horizontal="distributed"/>
    </xf>
    <xf numFmtId="38" fontId="23" fillId="0" borderId="79" xfId="34" applyFont="1" applyBorder="1" applyAlignment="1">
      <alignment horizontal="distributed"/>
    </xf>
    <xf numFmtId="177" fontId="39" fillId="0" borderId="20" xfId="34" applyNumberFormat="1" applyFont="1" applyBorder="1" applyAlignment="1" applyProtection="1">
      <alignment horizontal="center"/>
      <protection locked="0"/>
    </xf>
    <xf numFmtId="176" fontId="20" fillId="0" borderId="59" xfId="34" applyNumberFormat="1" applyFont="1" applyFill="1" applyBorder="1" applyProtection="1"/>
    <xf numFmtId="176" fontId="20" fillId="0" borderId="62" xfId="34" applyNumberFormat="1" applyFont="1" applyFill="1" applyBorder="1" applyProtection="1"/>
    <xf numFmtId="176" fontId="20" fillId="0" borderId="65" xfId="34" applyNumberFormat="1" applyFont="1" applyFill="1" applyBorder="1" applyProtection="1"/>
    <xf numFmtId="176" fontId="20" fillId="0" borderId="20" xfId="34" applyNumberFormat="1" applyFont="1" applyFill="1" applyBorder="1" applyProtection="1"/>
    <xf numFmtId="176" fontId="20" fillId="0" borderId="13" xfId="34" applyNumberFormat="1" applyFont="1" applyFill="1" applyBorder="1" applyProtection="1"/>
    <xf numFmtId="177" fontId="21" fillId="0" borderId="19" xfId="34" applyNumberFormat="1" applyFont="1" applyFill="1" applyBorder="1" applyAlignment="1" applyProtection="1">
      <alignment horizontal="center"/>
      <protection locked="0"/>
    </xf>
    <xf numFmtId="179" fontId="13" fillId="0" borderId="20" xfId="34" applyNumberFormat="1" applyFont="1" applyFill="1" applyBorder="1" applyAlignment="1" applyProtection="1">
      <alignment horizontal="center"/>
      <protection locked="0"/>
    </xf>
    <xf numFmtId="176" fontId="20" fillId="0" borderId="59" xfId="28" applyNumberFormat="1" applyFont="1" applyFill="1" applyBorder="1" applyProtection="1"/>
    <xf numFmtId="176" fontId="20" fillId="0" borderId="62" xfId="28" applyNumberFormat="1" applyFont="1" applyFill="1" applyBorder="1" applyProtection="1"/>
    <xf numFmtId="176" fontId="20" fillId="0" borderId="71" xfId="28" applyNumberFormat="1" applyFont="1" applyFill="1" applyBorder="1" applyProtection="1"/>
    <xf numFmtId="0" fontId="7" fillId="0" borderId="0" xfId="0" applyFont="1"/>
    <xf numFmtId="0" fontId="20" fillId="0" borderId="22" xfId="0" applyFont="1" applyBorder="1" applyAlignment="1">
      <alignment horizontal="distributed"/>
    </xf>
    <xf numFmtId="0" fontId="20" fillId="0" borderId="80" xfId="0" applyFont="1" applyBorder="1" applyAlignment="1">
      <alignment horizontal="distributed"/>
    </xf>
    <xf numFmtId="180" fontId="20" fillId="0" borderId="81" xfId="0" applyNumberFormat="1" applyFont="1" applyBorder="1"/>
    <xf numFmtId="180" fontId="20" fillId="0" borderId="82" xfId="0" applyNumberFormat="1" applyFont="1" applyBorder="1"/>
    <xf numFmtId="180" fontId="20" fillId="0" borderId="19" xfId="0" applyNumberFormat="1" applyFont="1" applyBorder="1"/>
    <xf numFmtId="180" fontId="20" fillId="0" borderId="20" xfId="0" applyNumberFormat="1" applyFont="1" applyBorder="1"/>
    <xf numFmtId="0" fontId="20" fillId="0" borderId="83" xfId="0" applyFont="1" applyBorder="1" applyAlignment="1">
      <alignment horizontal="distributed"/>
    </xf>
    <xf numFmtId="180" fontId="20" fillId="0" borderId="84" xfId="0" applyNumberFormat="1" applyFont="1" applyBorder="1"/>
    <xf numFmtId="180" fontId="20" fillId="0" borderId="85" xfId="0" applyNumberFormat="1" applyFont="1" applyBorder="1"/>
    <xf numFmtId="0" fontId="21" fillId="26" borderId="38" xfId="0" applyFont="1" applyFill="1" applyBorder="1" applyAlignment="1">
      <alignment horizontal="center"/>
    </xf>
    <xf numFmtId="176" fontId="21" fillId="26" borderId="13" xfId="0" applyNumberFormat="1" applyFont="1" applyFill="1" applyBorder="1" applyAlignment="1">
      <alignment horizontal="center"/>
    </xf>
    <xf numFmtId="0" fontId="21" fillId="26" borderId="13" xfId="0" applyFont="1" applyFill="1" applyBorder="1" applyAlignment="1">
      <alignment horizontal="center"/>
    </xf>
    <xf numFmtId="176" fontId="21" fillId="26" borderId="56" xfId="0" applyNumberFormat="1" applyFont="1" applyFill="1" applyBorder="1" applyAlignment="1">
      <alignment horizontal="center"/>
    </xf>
    <xf numFmtId="176" fontId="20" fillId="26" borderId="59" xfId="34" applyNumberFormat="1" applyFont="1" applyFill="1" applyBorder="1" applyProtection="1"/>
    <xf numFmtId="176" fontId="20" fillId="26" borderId="58" xfId="34" applyNumberFormat="1" applyFont="1" applyFill="1" applyBorder="1" applyProtection="1"/>
    <xf numFmtId="176" fontId="20" fillId="26" borderId="62" xfId="34" applyNumberFormat="1" applyFont="1" applyFill="1" applyBorder="1" applyProtection="1"/>
    <xf numFmtId="176" fontId="20" fillId="26" borderId="61" xfId="34" applyNumberFormat="1" applyFont="1" applyFill="1" applyBorder="1" applyProtection="1"/>
    <xf numFmtId="176" fontId="20" fillId="26" borderId="65" xfId="34" applyNumberFormat="1" applyFont="1" applyFill="1" applyBorder="1" applyProtection="1"/>
    <xf numFmtId="176" fontId="20" fillId="26" borderId="64" xfId="34" applyNumberFormat="1" applyFont="1" applyFill="1" applyBorder="1" applyProtection="1"/>
    <xf numFmtId="176" fontId="20" fillId="26" borderId="20" xfId="34" applyNumberFormat="1" applyFont="1" applyFill="1" applyBorder="1" applyProtection="1"/>
    <xf numFmtId="176" fontId="20" fillId="26" borderId="27" xfId="34" applyNumberFormat="1" applyFont="1" applyFill="1" applyBorder="1" applyProtection="1"/>
    <xf numFmtId="176" fontId="20" fillId="26" borderId="13" xfId="34" applyNumberFormat="1" applyFont="1" applyFill="1" applyBorder="1" applyProtection="1"/>
    <xf numFmtId="176" fontId="20" fillId="26" borderId="56" xfId="34" applyNumberFormat="1" applyFont="1" applyFill="1" applyBorder="1" applyProtection="1"/>
    <xf numFmtId="176" fontId="21" fillId="26" borderId="56" xfId="34" applyNumberFormat="1" applyFont="1" applyFill="1" applyBorder="1" applyProtection="1"/>
    <xf numFmtId="176" fontId="21" fillId="26" borderId="13" xfId="34" applyNumberFormat="1" applyFont="1" applyFill="1" applyBorder="1" applyProtection="1"/>
    <xf numFmtId="177" fontId="21" fillId="26" borderId="19" xfId="34" applyNumberFormat="1" applyFont="1" applyFill="1" applyBorder="1" applyAlignment="1" applyProtection="1">
      <alignment horizontal="center"/>
      <protection locked="0"/>
    </xf>
    <xf numFmtId="179" fontId="13" fillId="26" borderId="20" xfId="34" applyNumberFormat="1" applyFont="1" applyFill="1" applyBorder="1" applyAlignment="1" applyProtection="1">
      <alignment horizontal="center"/>
      <protection locked="0"/>
    </xf>
    <xf numFmtId="177" fontId="40" fillId="26" borderId="20" xfId="34" applyNumberFormat="1" applyFont="1" applyFill="1" applyBorder="1" applyAlignment="1" applyProtection="1">
      <alignment horizontal="center"/>
      <protection locked="0"/>
    </xf>
    <xf numFmtId="176" fontId="20" fillId="26" borderId="27" xfId="34" applyNumberFormat="1" applyFont="1" applyFill="1" applyBorder="1" applyProtection="1">
      <protection locked="0"/>
    </xf>
    <xf numFmtId="176" fontId="20" fillId="26" borderId="59" xfId="28" applyNumberFormat="1" applyFont="1" applyFill="1" applyBorder="1" applyProtection="1"/>
    <xf numFmtId="176" fontId="20" fillId="26" borderId="62" xfId="28" applyNumberFormat="1" applyFont="1" applyFill="1" applyBorder="1" applyProtection="1"/>
    <xf numFmtId="176" fontId="20" fillId="26" borderId="61" xfId="28" applyNumberFormat="1" applyFont="1" applyFill="1" applyBorder="1" applyProtection="1"/>
    <xf numFmtId="176" fontId="20" fillId="26" borderId="71" xfId="28" applyNumberFormat="1" applyFont="1" applyFill="1" applyBorder="1" applyProtection="1"/>
    <xf numFmtId="176" fontId="20" fillId="26" borderId="70" xfId="28" applyNumberFormat="1" applyFont="1" applyFill="1" applyBorder="1" applyProtection="1"/>
    <xf numFmtId="176" fontId="28" fillId="25" borderId="68" xfId="34" applyNumberFormat="1" applyFont="1" applyFill="1" applyBorder="1" applyProtection="1"/>
    <xf numFmtId="176" fontId="21" fillId="25" borderId="67" xfId="34" applyNumberFormat="1" applyFont="1" applyFill="1" applyBorder="1" applyProtection="1"/>
    <xf numFmtId="176" fontId="21" fillId="25" borderId="68" xfId="34" applyNumberFormat="1" applyFont="1" applyFill="1" applyBorder="1" applyProtection="1"/>
    <xf numFmtId="176" fontId="20" fillId="0" borderId="58" xfId="0" applyNumberFormat="1" applyFont="1" applyBorder="1" applyAlignment="1">
      <alignment horizontal="right"/>
    </xf>
    <xf numFmtId="176" fontId="20" fillId="0" borderId="15" xfId="0" applyNumberFormat="1" applyFont="1" applyBorder="1" applyAlignment="1">
      <alignment horizontal="right"/>
    </xf>
    <xf numFmtId="176" fontId="20" fillId="0" borderId="15" xfId="0" applyNumberFormat="1" applyFont="1" applyBorder="1" applyAlignment="1" applyProtection="1">
      <alignment horizontal="right"/>
      <protection locked="0"/>
    </xf>
    <xf numFmtId="176" fontId="22" fillId="0" borderId="0" xfId="0" applyNumberFormat="1" applyFont="1"/>
    <xf numFmtId="176" fontId="20" fillId="26" borderId="58" xfId="0" applyNumberFormat="1" applyFont="1" applyFill="1" applyBorder="1" applyAlignment="1">
      <alignment horizontal="right"/>
    </xf>
    <xf numFmtId="176" fontId="13" fillId="0" borderId="20" xfId="34" applyNumberFormat="1" applyFont="1" applyBorder="1" applyAlignment="1" applyProtection="1">
      <alignment horizontal="center"/>
      <protection locked="0"/>
    </xf>
    <xf numFmtId="176" fontId="21" fillId="22" borderId="86" xfId="0" applyNumberFormat="1" applyFont="1" applyFill="1" applyBorder="1" applyAlignment="1">
      <alignment horizontal="center"/>
    </xf>
    <xf numFmtId="176" fontId="20" fillId="22" borderId="87" xfId="34" applyNumberFormat="1" applyFont="1" applyFill="1" applyBorder="1" applyProtection="1"/>
    <xf numFmtId="176" fontId="20" fillId="22" borderId="88" xfId="34" applyNumberFormat="1" applyFont="1" applyFill="1" applyBorder="1" applyProtection="1"/>
    <xf numFmtId="176" fontId="20" fillId="22" borderId="89" xfId="34" applyNumberFormat="1" applyFont="1" applyFill="1" applyBorder="1" applyProtection="1"/>
    <xf numFmtId="9" fontId="21" fillId="24" borderId="86" xfId="28" applyFont="1" applyFill="1" applyBorder="1" applyProtection="1"/>
    <xf numFmtId="176" fontId="21" fillId="24" borderId="77" xfId="34" applyNumberFormat="1" applyFont="1" applyFill="1" applyBorder="1" applyProtection="1"/>
    <xf numFmtId="176" fontId="21" fillId="23" borderId="86" xfId="34" applyNumberFormat="1" applyFont="1" applyFill="1" applyBorder="1" applyProtection="1"/>
    <xf numFmtId="176" fontId="21" fillId="24" borderId="86" xfId="34" applyNumberFormat="1" applyFont="1" applyFill="1" applyBorder="1" applyProtection="1"/>
    <xf numFmtId="176" fontId="20" fillId="22" borderId="77" xfId="34" applyNumberFormat="1" applyFont="1" applyFill="1" applyBorder="1" applyProtection="1"/>
    <xf numFmtId="176" fontId="28" fillId="23" borderId="86" xfId="34" applyNumberFormat="1" applyFont="1" applyFill="1" applyBorder="1" applyProtection="1"/>
    <xf numFmtId="176" fontId="20" fillId="22" borderId="23" xfId="34" applyNumberFormat="1" applyFont="1" applyFill="1" applyBorder="1" applyProtection="1"/>
    <xf numFmtId="176" fontId="28" fillId="25" borderId="23" xfId="34" applyNumberFormat="1" applyFont="1" applyFill="1" applyBorder="1" applyProtection="1"/>
    <xf numFmtId="176" fontId="21" fillId="0" borderId="23" xfId="34" applyNumberFormat="1" applyFont="1" applyFill="1" applyBorder="1" applyProtection="1"/>
    <xf numFmtId="176" fontId="28" fillId="23" borderId="23" xfId="34" applyNumberFormat="1" applyFont="1" applyFill="1" applyBorder="1" applyProtection="1"/>
    <xf numFmtId="179" fontId="13" fillId="22" borderId="77" xfId="34" applyNumberFormat="1" applyFont="1" applyFill="1" applyBorder="1" applyAlignment="1" applyProtection="1">
      <alignment horizontal="center"/>
      <protection locked="0"/>
    </xf>
    <xf numFmtId="176" fontId="20" fillId="22" borderId="87" xfId="28" applyNumberFormat="1" applyFont="1" applyFill="1" applyBorder="1" applyProtection="1"/>
    <xf numFmtId="176" fontId="20" fillId="22" borderId="88" xfId="28" applyNumberFormat="1" applyFont="1" applyFill="1" applyBorder="1" applyProtection="1"/>
    <xf numFmtId="176" fontId="20" fillId="22" borderId="90" xfId="28" applyNumberFormat="1" applyFont="1" applyFill="1" applyBorder="1" applyProtection="1"/>
    <xf numFmtId="176" fontId="21" fillId="24" borderId="14" xfId="34" applyNumberFormat="1" applyFont="1" applyFill="1" applyBorder="1" applyProtection="1"/>
    <xf numFmtId="176" fontId="21" fillId="24" borderId="42" xfId="34" applyNumberFormat="1" applyFont="1" applyFill="1" applyBorder="1"/>
    <xf numFmtId="176" fontId="21" fillId="22" borderId="67" xfId="0" applyNumberFormat="1" applyFont="1" applyFill="1" applyBorder="1" applyAlignment="1">
      <alignment horizontal="center"/>
    </xf>
    <xf numFmtId="179" fontId="13" fillId="22" borderId="27" xfId="34" applyNumberFormat="1" applyFont="1" applyFill="1" applyBorder="1" applyAlignment="1" applyProtection="1">
      <alignment horizontal="center"/>
      <protection locked="0"/>
    </xf>
    <xf numFmtId="176" fontId="20" fillId="22" borderId="58" xfId="28" applyNumberFormat="1" applyFont="1" applyFill="1" applyBorder="1" applyProtection="1"/>
    <xf numFmtId="176" fontId="21" fillId="0" borderId="171" xfId="0" applyNumberFormat="1" applyFont="1" applyBorder="1" applyAlignment="1">
      <alignment horizontal="center"/>
    </xf>
    <xf numFmtId="176" fontId="20" fillId="0" borderId="91" xfId="34" applyNumberFormat="1" applyFont="1" applyFill="1" applyBorder="1" applyProtection="1"/>
    <xf numFmtId="176" fontId="20" fillId="22" borderId="92" xfId="34" applyNumberFormat="1" applyFont="1" applyFill="1" applyBorder="1" applyProtection="1"/>
    <xf numFmtId="176" fontId="20" fillId="0" borderId="93" xfId="34" applyNumberFormat="1" applyFont="1" applyBorder="1"/>
    <xf numFmtId="176" fontId="20" fillId="0" borderId="91" xfId="34" applyNumberFormat="1" applyFont="1" applyBorder="1" applyProtection="1"/>
    <xf numFmtId="176" fontId="20" fillId="0" borderId="93" xfId="34" applyNumberFormat="1" applyFont="1" applyBorder="1" applyProtection="1"/>
    <xf numFmtId="176" fontId="20" fillId="0" borderId="172" xfId="34" applyNumberFormat="1" applyFont="1" applyBorder="1" applyProtection="1"/>
    <xf numFmtId="176" fontId="20" fillId="0" borderId="173" xfId="34" applyNumberFormat="1" applyFont="1" applyBorder="1" applyProtection="1"/>
    <xf numFmtId="176" fontId="20" fillId="22" borderId="94" xfId="34" applyNumberFormat="1" applyFont="1" applyFill="1" applyBorder="1" applyProtection="1"/>
    <xf numFmtId="176" fontId="20" fillId="22" borderId="95" xfId="34" applyNumberFormat="1" applyFont="1" applyFill="1" applyBorder="1" applyProtection="1"/>
    <xf numFmtId="176" fontId="20" fillId="0" borderId="96" xfId="34" applyNumberFormat="1" applyFont="1" applyBorder="1" applyProtection="1"/>
    <xf numFmtId="176" fontId="20" fillId="0" borderId="97" xfId="34" applyNumberFormat="1" applyFont="1" applyBorder="1" applyProtection="1"/>
    <xf numFmtId="176" fontId="20" fillId="22" borderId="98" xfId="34" applyNumberFormat="1" applyFont="1" applyFill="1" applyBorder="1" applyProtection="1"/>
    <xf numFmtId="176" fontId="20" fillId="26" borderId="91" xfId="34" applyNumberFormat="1" applyFont="1" applyFill="1" applyBorder="1" applyProtection="1"/>
    <xf numFmtId="176" fontId="20" fillId="26" borderId="95" xfId="34" applyNumberFormat="1" applyFont="1" applyFill="1" applyBorder="1" applyProtection="1"/>
    <xf numFmtId="176" fontId="20" fillId="0" borderId="95" xfId="34" applyNumberFormat="1" applyFont="1" applyBorder="1" applyProtection="1"/>
    <xf numFmtId="182" fontId="20" fillId="0" borderId="99" xfId="34" applyNumberFormat="1" applyFont="1" applyBorder="1" applyProtection="1">
      <protection locked="0"/>
    </xf>
    <xf numFmtId="182" fontId="20" fillId="0" borderId="100" xfId="34" applyNumberFormat="1" applyFont="1" applyBorder="1" applyProtection="1">
      <protection locked="0"/>
    </xf>
    <xf numFmtId="182" fontId="20" fillId="0" borderId="101" xfId="34" applyNumberFormat="1" applyFont="1" applyBorder="1" applyProtection="1">
      <protection locked="0"/>
    </xf>
    <xf numFmtId="182" fontId="41" fillId="0" borderId="87" xfId="0" applyNumberFormat="1" applyFont="1" applyBorder="1"/>
    <xf numFmtId="182" fontId="41" fillId="0" borderId="88" xfId="0" applyNumberFormat="1" applyFont="1" applyBorder="1"/>
    <xf numFmtId="182" fontId="41" fillId="0" borderId="88" xfId="34" applyNumberFormat="1" applyFont="1" applyBorder="1" applyProtection="1"/>
    <xf numFmtId="182" fontId="41" fillId="0" borderId="89" xfId="34" applyNumberFormat="1" applyFont="1" applyBorder="1" applyProtection="1"/>
    <xf numFmtId="182" fontId="22" fillId="24" borderId="102" xfId="34" applyNumberFormat="1" applyFont="1" applyFill="1" applyBorder="1"/>
    <xf numFmtId="182" fontId="39" fillId="24" borderId="86" xfId="34" applyNumberFormat="1" applyFont="1" applyFill="1" applyBorder="1" applyProtection="1"/>
    <xf numFmtId="182" fontId="41" fillId="0" borderId="87" xfId="34" applyNumberFormat="1" applyFont="1" applyBorder="1" applyProtection="1"/>
    <xf numFmtId="182" fontId="42" fillId="0" borderId="87" xfId="34" applyNumberFormat="1" applyFont="1" applyBorder="1" applyProtection="1"/>
    <xf numFmtId="182" fontId="42" fillId="0" borderId="88" xfId="34" applyNumberFormat="1" applyFont="1" applyBorder="1" applyProtection="1"/>
    <xf numFmtId="182" fontId="42" fillId="0" borderId="89" xfId="34" applyNumberFormat="1" applyFont="1" applyBorder="1" applyProtection="1"/>
    <xf numFmtId="182" fontId="42" fillId="0" borderId="87" xfId="34" applyNumberFormat="1" applyFont="1" applyFill="1" applyBorder="1" applyProtection="1"/>
    <xf numFmtId="182" fontId="20" fillId="0" borderId="103" xfId="34" applyNumberFormat="1" applyFont="1" applyBorder="1" applyProtection="1">
      <protection locked="0"/>
    </xf>
    <xf numFmtId="182" fontId="42" fillId="0" borderId="98" xfId="34" applyNumberFormat="1" applyFont="1" applyBorder="1" applyProtection="1"/>
    <xf numFmtId="182" fontId="42" fillId="0" borderId="77" xfId="34" applyNumberFormat="1" applyFont="1" applyBorder="1" applyProtection="1"/>
    <xf numFmtId="182" fontId="20" fillId="0" borderId="22" xfId="34" applyNumberFormat="1" applyFont="1" applyBorder="1" applyProtection="1">
      <protection locked="0"/>
    </xf>
    <xf numFmtId="182" fontId="20" fillId="0" borderId="10" xfId="34" applyNumberFormat="1" applyFont="1" applyBorder="1" applyProtection="1">
      <protection locked="0"/>
    </xf>
    <xf numFmtId="182" fontId="41" fillId="0" borderId="77" xfId="34" applyNumberFormat="1" applyFont="1" applyBorder="1" applyProtection="1"/>
    <xf numFmtId="182" fontId="41" fillId="0" borderId="23" xfId="34" applyNumberFormat="1" applyFont="1" applyBorder="1" applyProtection="1"/>
    <xf numFmtId="182" fontId="21" fillId="25" borderId="10" xfId="34" applyNumberFormat="1" applyFont="1" applyFill="1" applyBorder="1"/>
    <xf numFmtId="182" fontId="21" fillId="0" borderId="10" xfId="34" applyNumberFormat="1" applyFont="1" applyFill="1" applyBorder="1" applyProtection="1">
      <protection locked="0"/>
    </xf>
    <xf numFmtId="182" fontId="21" fillId="23" borderId="104" xfId="34" applyNumberFormat="1" applyFont="1" applyFill="1" applyBorder="1"/>
    <xf numFmtId="182" fontId="21" fillId="23" borderId="102" xfId="34" applyNumberFormat="1" applyFont="1" applyFill="1" applyBorder="1"/>
    <xf numFmtId="182" fontId="43" fillId="23" borderId="86" xfId="34" applyNumberFormat="1" applyFont="1" applyFill="1" applyBorder="1" applyProtection="1"/>
    <xf numFmtId="182" fontId="43" fillId="25" borderId="23" xfId="34" applyNumberFormat="1" applyFont="1" applyFill="1" applyBorder="1" applyProtection="1"/>
    <xf numFmtId="182" fontId="38" fillId="0" borderId="23" xfId="34" applyNumberFormat="1" applyFont="1" applyFill="1" applyBorder="1" applyProtection="1"/>
    <xf numFmtId="182" fontId="20" fillId="0" borderId="99" xfId="34" applyNumberFormat="1" applyFont="1" applyBorder="1" applyAlignment="1" applyProtection="1">
      <alignment horizontal="right"/>
      <protection locked="0"/>
    </xf>
    <xf numFmtId="182" fontId="20" fillId="0" borderId="105" xfId="34" applyNumberFormat="1" applyFont="1" applyBorder="1" applyProtection="1">
      <protection locked="0"/>
    </xf>
    <xf numFmtId="182" fontId="41" fillId="0" borderId="90" xfId="34" applyNumberFormat="1" applyFont="1" applyBorder="1" applyProtection="1"/>
    <xf numFmtId="182" fontId="22" fillId="0" borderId="0" xfId="0" applyNumberFormat="1" applyFont="1"/>
    <xf numFmtId="182" fontId="39" fillId="0" borderId="0" xfId="0" applyNumberFormat="1" applyFont="1"/>
    <xf numFmtId="182" fontId="21" fillId="24" borderId="22" xfId="34" applyNumberFormat="1" applyFont="1" applyFill="1" applyBorder="1" applyProtection="1"/>
    <xf numFmtId="182" fontId="38" fillId="24" borderId="77" xfId="34" applyNumberFormat="1" applyFont="1" applyFill="1" applyBorder="1" applyProtection="1"/>
    <xf numFmtId="183" fontId="21" fillId="0" borderId="22" xfId="34" applyNumberFormat="1" applyFont="1" applyFill="1" applyBorder="1" applyProtection="1">
      <protection locked="0"/>
    </xf>
    <xf numFmtId="182" fontId="20" fillId="0" borderId="106" xfId="34" applyNumberFormat="1" applyFont="1" applyBorder="1" applyProtection="1">
      <protection locked="0"/>
    </xf>
    <xf numFmtId="182" fontId="20" fillId="0" borderId="107" xfId="34" applyNumberFormat="1" applyFont="1" applyBorder="1" applyProtection="1">
      <protection locked="0"/>
    </xf>
    <xf numFmtId="182" fontId="20" fillId="0" borderId="108" xfId="34" applyNumberFormat="1" applyFont="1" applyBorder="1" applyProtection="1">
      <protection locked="0"/>
    </xf>
    <xf numFmtId="182" fontId="21" fillId="24" borderId="109" xfId="34" applyNumberFormat="1" applyFont="1" applyFill="1" applyBorder="1"/>
    <xf numFmtId="182" fontId="21" fillId="24" borderId="25" xfId="34" applyNumberFormat="1" applyFont="1" applyFill="1" applyBorder="1" applyProtection="1"/>
    <xf numFmtId="182" fontId="21" fillId="23" borderId="109" xfId="34" applyNumberFormat="1" applyFont="1" applyFill="1" applyBorder="1"/>
    <xf numFmtId="182" fontId="20" fillId="0" borderId="110" xfId="34" applyNumberFormat="1" applyFont="1" applyBorder="1" applyProtection="1">
      <protection locked="0"/>
    </xf>
    <xf numFmtId="182" fontId="20" fillId="0" borderId="25" xfId="34" applyNumberFormat="1" applyFont="1" applyBorder="1" applyProtection="1">
      <protection locked="0"/>
    </xf>
    <xf numFmtId="182" fontId="20" fillId="0" borderId="24" xfId="34" applyNumberFormat="1" applyFont="1" applyBorder="1" applyProtection="1">
      <protection locked="0"/>
    </xf>
    <xf numFmtId="182" fontId="21" fillId="25" borderId="24" xfId="34" applyNumberFormat="1" applyFont="1" applyFill="1" applyBorder="1"/>
    <xf numFmtId="182" fontId="21" fillId="0" borderId="24" xfId="34" applyNumberFormat="1" applyFont="1" applyFill="1" applyBorder="1" applyProtection="1">
      <protection locked="0"/>
    </xf>
    <xf numFmtId="182" fontId="21" fillId="23" borderId="111" xfId="34" applyNumberFormat="1" applyFont="1" applyFill="1" applyBorder="1"/>
    <xf numFmtId="182" fontId="20" fillId="0" borderId="106" xfId="34" applyNumberFormat="1" applyFont="1" applyBorder="1" applyAlignment="1" applyProtection="1">
      <alignment horizontal="right"/>
      <protection locked="0"/>
    </xf>
    <xf numFmtId="182" fontId="20" fillId="0" borderId="112" xfId="34" applyNumberFormat="1" applyFont="1" applyBorder="1" applyProtection="1">
      <protection locked="0"/>
    </xf>
    <xf numFmtId="182" fontId="40" fillId="24" borderId="86" xfId="34" applyNumberFormat="1" applyFont="1" applyFill="1" applyBorder="1" applyProtection="1"/>
    <xf numFmtId="182" fontId="20" fillId="0" borderId="174" xfId="34" applyNumberFormat="1" applyFont="1" applyBorder="1" applyProtection="1">
      <protection locked="0"/>
    </xf>
    <xf numFmtId="182" fontId="20" fillId="0" borderId="175" xfId="34" applyNumberFormat="1" applyFont="1" applyBorder="1" applyProtection="1">
      <protection locked="0"/>
    </xf>
    <xf numFmtId="182" fontId="20" fillId="0" borderId="176" xfId="34" applyNumberFormat="1" applyFont="1" applyBorder="1" applyProtection="1">
      <protection locked="0"/>
    </xf>
    <xf numFmtId="182" fontId="21" fillId="24" borderId="177" xfId="34" applyNumberFormat="1" applyFont="1" applyFill="1" applyBorder="1"/>
    <xf numFmtId="182" fontId="41" fillId="0" borderId="59" xfId="0" applyNumberFormat="1" applyFont="1" applyBorder="1"/>
    <xf numFmtId="182" fontId="41" fillId="0" borderId="62" xfId="0" applyNumberFormat="1" applyFont="1" applyBorder="1"/>
    <xf numFmtId="182" fontId="41" fillId="0" borderId="62" xfId="34" applyNumberFormat="1" applyFont="1" applyBorder="1" applyProtection="1"/>
    <xf numFmtId="182" fontId="41" fillId="0" borderId="65" xfId="34" applyNumberFormat="1" applyFont="1" applyBorder="1" applyProtection="1"/>
    <xf numFmtId="182" fontId="39" fillId="24" borderId="68" xfId="34" applyNumberFormat="1" applyFont="1" applyFill="1" applyBorder="1" applyProtection="1"/>
    <xf numFmtId="182" fontId="21" fillId="24" borderId="166" xfId="34" applyNumberFormat="1" applyFont="1" applyFill="1" applyBorder="1" applyProtection="1"/>
    <xf numFmtId="182" fontId="21" fillId="23" borderId="177" xfId="34" applyNumberFormat="1" applyFont="1" applyFill="1" applyBorder="1"/>
    <xf numFmtId="182" fontId="20" fillId="0" borderId="178" xfId="34" applyNumberFormat="1" applyFont="1" applyBorder="1" applyProtection="1">
      <protection locked="0"/>
    </xf>
    <xf numFmtId="182" fontId="20" fillId="0" borderId="166" xfId="34" applyNumberFormat="1" applyFont="1" applyBorder="1" applyProtection="1">
      <protection locked="0"/>
    </xf>
    <xf numFmtId="182" fontId="20" fillId="0" borderId="159" xfId="34" applyNumberFormat="1" applyFont="1" applyBorder="1" applyProtection="1">
      <protection locked="0"/>
    </xf>
    <xf numFmtId="182" fontId="21" fillId="25" borderId="159" xfId="34" applyNumberFormat="1" applyFont="1" applyFill="1" applyBorder="1"/>
    <xf numFmtId="182" fontId="21" fillId="0" borderId="159" xfId="34" applyNumberFormat="1" applyFont="1" applyFill="1" applyBorder="1" applyProtection="1">
      <protection locked="0"/>
    </xf>
    <xf numFmtId="182" fontId="21" fillId="23" borderId="179" xfId="34" applyNumberFormat="1" applyFont="1" applyFill="1" applyBorder="1"/>
    <xf numFmtId="182" fontId="20" fillId="0" borderId="174" xfId="34" applyNumberFormat="1" applyFont="1" applyBorder="1" applyAlignment="1" applyProtection="1">
      <alignment horizontal="right"/>
      <protection locked="0"/>
    </xf>
    <xf numFmtId="182" fontId="20" fillId="0" borderId="180" xfId="34" applyNumberFormat="1" applyFont="1" applyBorder="1" applyProtection="1">
      <protection locked="0"/>
    </xf>
    <xf numFmtId="182" fontId="41" fillId="0" borderId="59" xfId="34" applyNumberFormat="1" applyFont="1" applyBorder="1" applyProtection="1"/>
    <xf numFmtId="182" fontId="41" fillId="0" borderId="181" xfId="34" applyNumberFormat="1" applyFont="1" applyBorder="1" applyProtection="1"/>
    <xf numFmtId="182" fontId="38" fillId="24" borderId="20" xfId="34" applyNumberFormat="1" applyFont="1" applyFill="1" applyBorder="1" applyProtection="1"/>
    <xf numFmtId="182" fontId="43" fillId="23" borderId="68" xfId="34" applyNumberFormat="1" applyFont="1" applyFill="1" applyBorder="1" applyProtection="1"/>
    <xf numFmtId="182" fontId="42" fillId="0" borderId="59" xfId="34" applyNumberFormat="1" applyFont="1" applyBorder="1" applyProtection="1"/>
    <xf numFmtId="182" fontId="42" fillId="0" borderId="62" xfId="34" applyNumberFormat="1" applyFont="1" applyBorder="1" applyProtection="1"/>
    <xf numFmtId="182" fontId="42" fillId="0" borderId="65" xfId="34" applyNumberFormat="1" applyFont="1" applyBorder="1" applyProtection="1"/>
    <xf numFmtId="182" fontId="40" fillId="24" borderId="68" xfId="34" applyNumberFormat="1" applyFont="1" applyFill="1" applyBorder="1" applyProtection="1"/>
    <xf numFmtId="182" fontId="42" fillId="0" borderId="59" xfId="34" applyNumberFormat="1" applyFont="1" applyFill="1" applyBorder="1" applyProtection="1"/>
    <xf numFmtId="182" fontId="42" fillId="0" borderId="91" xfId="34" applyNumberFormat="1" applyFont="1" applyBorder="1" applyProtection="1"/>
    <xf numFmtId="182" fontId="42" fillId="0" borderId="20" xfId="34" applyNumberFormat="1" applyFont="1" applyBorder="1" applyProtection="1"/>
    <xf numFmtId="182" fontId="41" fillId="0" borderId="20" xfId="34" applyNumberFormat="1" applyFont="1" applyBorder="1" applyProtection="1"/>
    <xf numFmtId="182" fontId="41" fillId="0" borderId="13" xfId="34" applyNumberFormat="1" applyFont="1" applyBorder="1" applyProtection="1"/>
    <xf numFmtId="182" fontId="43" fillId="25" borderId="13" xfId="34" applyNumberFormat="1" applyFont="1" applyFill="1" applyBorder="1" applyProtection="1"/>
    <xf numFmtId="182" fontId="38" fillId="0" borderId="13" xfId="34" applyNumberFormat="1" applyFont="1" applyFill="1" applyBorder="1" applyProtection="1"/>
    <xf numFmtId="182" fontId="20" fillId="0" borderId="182" xfId="34" applyNumberFormat="1" applyFont="1" applyBorder="1" applyProtection="1">
      <protection locked="0"/>
    </xf>
    <xf numFmtId="182" fontId="20" fillId="0" borderId="183" xfId="34" applyNumberFormat="1" applyFont="1" applyBorder="1" applyProtection="1">
      <protection locked="0"/>
    </xf>
    <xf numFmtId="182" fontId="20" fillId="0" borderId="184" xfId="34" applyNumberFormat="1" applyFont="1" applyBorder="1" applyProtection="1">
      <protection locked="0"/>
    </xf>
    <xf numFmtId="182" fontId="21" fillId="24" borderId="185" xfId="34" applyNumberFormat="1" applyFont="1" applyFill="1" applyBorder="1"/>
    <xf numFmtId="182" fontId="21" fillId="24" borderId="186" xfId="34" applyNumberFormat="1" applyFont="1" applyFill="1" applyBorder="1"/>
    <xf numFmtId="182" fontId="21" fillId="23" borderId="185" xfId="34" applyNumberFormat="1" applyFont="1" applyFill="1" applyBorder="1"/>
    <xf numFmtId="182" fontId="21" fillId="24" borderId="187" xfId="34" applyNumberFormat="1" applyFont="1" applyFill="1" applyBorder="1"/>
    <xf numFmtId="182" fontId="21" fillId="23" borderId="187" xfId="34" applyNumberFormat="1" applyFont="1" applyFill="1" applyBorder="1"/>
    <xf numFmtId="182" fontId="20" fillId="0" borderId="188" xfId="34" applyNumberFormat="1" applyFont="1" applyBorder="1" applyProtection="1">
      <protection locked="0"/>
    </xf>
    <xf numFmtId="182" fontId="20" fillId="0" borderId="189" xfId="34" applyNumberFormat="1" applyFont="1" applyBorder="1" applyProtection="1">
      <protection locked="0"/>
    </xf>
    <xf numFmtId="182" fontId="20" fillId="0" borderId="190" xfId="34" applyNumberFormat="1" applyFont="1" applyBorder="1" applyProtection="1">
      <protection locked="0"/>
    </xf>
    <xf numFmtId="182" fontId="20" fillId="0" borderId="191" xfId="34" applyNumberFormat="1" applyFont="1" applyBorder="1" applyProtection="1">
      <protection locked="0"/>
    </xf>
    <xf numFmtId="182" fontId="20" fillId="0" borderId="170" xfId="34" applyNumberFormat="1" applyFont="1" applyBorder="1" applyProtection="1">
      <protection locked="0"/>
    </xf>
    <xf numFmtId="182" fontId="20" fillId="0" borderId="192" xfId="34" applyNumberFormat="1" applyFont="1" applyBorder="1" applyProtection="1">
      <protection locked="0"/>
    </xf>
    <xf numFmtId="182" fontId="21" fillId="25" borderId="192" xfId="34" applyNumberFormat="1" applyFont="1" applyFill="1" applyBorder="1"/>
    <xf numFmtId="182" fontId="21" fillId="0" borderId="192" xfId="34" applyNumberFormat="1" applyFont="1" applyFill="1" applyBorder="1" applyProtection="1">
      <protection locked="0"/>
    </xf>
    <xf numFmtId="182" fontId="20" fillId="0" borderId="188" xfId="34" applyNumberFormat="1" applyFont="1" applyBorder="1" applyAlignment="1" applyProtection="1">
      <alignment horizontal="right"/>
      <protection locked="0"/>
    </xf>
    <xf numFmtId="182" fontId="20" fillId="0" borderId="193" xfId="34" applyNumberFormat="1" applyFont="1" applyBorder="1" applyProtection="1">
      <protection locked="0"/>
    </xf>
    <xf numFmtId="182" fontId="42" fillId="0" borderId="62" xfId="34" applyNumberFormat="1" applyFont="1" applyFill="1" applyBorder="1" applyProtection="1"/>
    <xf numFmtId="182" fontId="20" fillId="0" borderId="113" xfId="34" applyNumberFormat="1" applyFont="1" applyBorder="1" applyProtection="1"/>
    <xf numFmtId="182" fontId="20" fillId="0" borderId="114" xfId="34" applyNumberFormat="1" applyFont="1" applyBorder="1" applyProtection="1"/>
    <xf numFmtId="182" fontId="20" fillId="0" borderId="115" xfId="34" applyNumberFormat="1" applyFont="1" applyBorder="1" applyProtection="1"/>
    <xf numFmtId="182" fontId="21" fillId="24" borderId="116" xfId="34" applyNumberFormat="1" applyFont="1" applyFill="1" applyBorder="1" applyProtection="1"/>
    <xf numFmtId="182" fontId="20" fillId="22" borderId="113" xfId="34" applyNumberFormat="1" applyFont="1" applyFill="1" applyBorder="1" applyProtection="1"/>
    <xf numFmtId="182" fontId="20" fillId="22" borderId="114" xfId="34" applyNumberFormat="1" applyFont="1" applyFill="1" applyBorder="1" applyProtection="1"/>
    <xf numFmtId="182" fontId="20" fillId="22" borderId="115" xfId="34" applyNumberFormat="1" applyFont="1" applyFill="1" applyBorder="1" applyProtection="1"/>
    <xf numFmtId="182" fontId="41" fillId="22" borderId="59" xfId="0" applyNumberFormat="1" applyFont="1" applyFill="1" applyBorder="1"/>
    <xf numFmtId="182" fontId="41" fillId="22" borderId="62" xfId="0" applyNumberFormat="1" applyFont="1" applyFill="1" applyBorder="1"/>
    <xf numFmtId="182" fontId="41" fillId="22" borderId="62" xfId="34" applyNumberFormat="1" applyFont="1" applyFill="1" applyBorder="1" applyProtection="1"/>
    <xf numFmtId="182" fontId="41" fillId="22" borderId="65" xfId="34" applyNumberFormat="1" applyFont="1" applyFill="1" applyBorder="1" applyProtection="1"/>
    <xf numFmtId="182" fontId="21" fillId="24" borderId="102" xfId="34" applyNumberFormat="1" applyFont="1" applyFill="1" applyBorder="1"/>
    <xf numFmtId="182" fontId="20" fillId="0" borderId="113" xfId="34" applyNumberFormat="1" applyFont="1" applyBorder="1" applyProtection="1">
      <protection locked="0"/>
    </xf>
    <xf numFmtId="182" fontId="20" fillId="0" borderId="114" xfId="34" applyNumberFormat="1" applyFont="1" applyBorder="1" applyProtection="1">
      <protection locked="0"/>
    </xf>
    <xf numFmtId="182" fontId="20" fillId="0" borderId="115" xfId="34" applyNumberFormat="1" applyFont="1" applyBorder="1" applyProtection="1">
      <protection locked="0"/>
    </xf>
    <xf numFmtId="182" fontId="21" fillId="24" borderId="116" xfId="34" applyNumberFormat="1" applyFont="1" applyFill="1" applyBorder="1"/>
    <xf numFmtId="182" fontId="38" fillId="24" borderId="68" xfId="34" applyNumberFormat="1" applyFont="1" applyFill="1" applyBorder="1" applyProtection="1"/>
    <xf numFmtId="182" fontId="20" fillId="22" borderId="117" xfId="0" applyNumberFormat="1" applyFont="1" applyFill="1" applyBorder="1"/>
    <xf numFmtId="182" fontId="20" fillId="22" borderId="118" xfId="0" applyNumberFormat="1" applyFont="1" applyFill="1" applyBorder="1"/>
    <xf numFmtId="182" fontId="20" fillId="22" borderId="118" xfId="34" applyNumberFormat="1" applyFont="1" applyFill="1" applyBorder="1" applyProtection="1"/>
    <xf numFmtId="182" fontId="20" fillId="22" borderId="119" xfId="34" applyNumberFormat="1" applyFont="1" applyFill="1" applyBorder="1" applyProtection="1"/>
    <xf numFmtId="182" fontId="22" fillId="24" borderId="120" xfId="34" applyNumberFormat="1" applyFont="1" applyFill="1" applyBorder="1" applyProtection="1"/>
    <xf numFmtId="182" fontId="41" fillId="22" borderId="113" xfId="34" applyNumberFormat="1" applyFont="1" applyFill="1" applyBorder="1" applyProtection="1"/>
    <xf numFmtId="182" fontId="41" fillId="22" borderId="114" xfId="34" applyNumberFormat="1" applyFont="1" applyFill="1" applyBorder="1" applyProtection="1"/>
    <xf numFmtId="182" fontId="41" fillId="22" borderId="115" xfId="34" applyNumberFormat="1" applyFont="1" applyFill="1" applyBorder="1" applyProtection="1"/>
    <xf numFmtId="182" fontId="38" fillId="24" borderId="116" xfId="34" applyNumberFormat="1" applyFont="1" applyFill="1" applyBorder="1" applyProtection="1"/>
    <xf numFmtId="182" fontId="20" fillId="26" borderId="121" xfId="0" applyNumberFormat="1" applyFont="1" applyFill="1" applyBorder="1"/>
    <xf numFmtId="182" fontId="20" fillId="26" borderId="122" xfId="0" applyNumberFormat="1" applyFont="1" applyFill="1" applyBorder="1"/>
    <xf numFmtId="182" fontId="20" fillId="26" borderId="122" xfId="34" applyNumberFormat="1" applyFont="1" applyFill="1" applyBorder="1" applyProtection="1"/>
    <xf numFmtId="182" fontId="20" fillId="26" borderId="123" xfId="34" applyNumberFormat="1" applyFont="1" applyFill="1" applyBorder="1" applyProtection="1"/>
    <xf numFmtId="182" fontId="22" fillId="24" borderId="124" xfId="34" applyNumberFormat="1" applyFont="1" applyFill="1" applyBorder="1" applyProtection="1"/>
    <xf numFmtId="182" fontId="42" fillId="26" borderId="59" xfId="34" applyNumberFormat="1" applyFont="1" applyFill="1" applyBorder="1" applyProtection="1"/>
    <xf numFmtId="182" fontId="42" fillId="26" borderId="62" xfId="34" applyNumberFormat="1" applyFont="1" applyFill="1" applyBorder="1" applyProtection="1"/>
    <xf numFmtId="182" fontId="42" fillId="26" borderId="65" xfId="34" applyNumberFormat="1" applyFont="1" applyFill="1" applyBorder="1" applyProtection="1"/>
    <xf numFmtId="182" fontId="21" fillId="24" borderId="0" xfId="34" applyNumberFormat="1" applyFont="1" applyFill="1" applyBorder="1" applyProtection="1"/>
    <xf numFmtId="182" fontId="21" fillId="23" borderId="116" xfId="34" applyNumberFormat="1" applyFont="1" applyFill="1" applyBorder="1" applyProtection="1"/>
    <xf numFmtId="182" fontId="20" fillId="0" borderId="125" xfId="34" applyNumberFormat="1" applyFont="1" applyBorder="1" applyProtection="1"/>
    <xf numFmtId="182" fontId="20" fillId="0" borderId="0" xfId="34" applyNumberFormat="1" applyFont="1" applyBorder="1" applyProtection="1"/>
    <xf numFmtId="182" fontId="20" fillId="0" borderId="11" xfId="34" applyNumberFormat="1" applyFont="1" applyBorder="1" applyProtection="1"/>
    <xf numFmtId="182" fontId="21" fillId="25" borderId="11" xfId="34" applyNumberFormat="1" applyFont="1" applyFill="1" applyBorder="1" applyProtection="1"/>
    <xf numFmtId="182" fontId="21" fillId="0" borderId="11" xfId="34" applyNumberFormat="1" applyFont="1" applyFill="1" applyBorder="1" applyProtection="1"/>
    <xf numFmtId="182" fontId="21" fillId="23" borderId="126" xfId="34" applyNumberFormat="1" applyFont="1" applyFill="1" applyBorder="1" applyProtection="1"/>
    <xf numFmtId="182" fontId="20" fillId="0" borderId="113" xfId="34" applyNumberFormat="1" applyFont="1" applyBorder="1" applyAlignment="1" applyProtection="1">
      <alignment horizontal="right"/>
    </xf>
    <xf numFmtId="182" fontId="20" fillId="0" borderId="194" xfId="34" applyNumberFormat="1" applyFont="1" applyBorder="1" applyProtection="1"/>
    <xf numFmtId="182" fontId="22" fillId="0" borderId="0" xfId="34" applyNumberFormat="1" applyFont="1" applyBorder="1" applyProtection="1"/>
    <xf numFmtId="182" fontId="20" fillId="22" borderId="113" xfId="34" applyNumberFormat="1" applyFont="1" applyFill="1" applyBorder="1" applyAlignment="1" applyProtection="1">
      <alignment horizontal="right"/>
    </xf>
    <xf numFmtId="182" fontId="20" fillId="22" borderId="127" xfId="34" applyNumberFormat="1" applyFont="1" applyFill="1" applyBorder="1" applyProtection="1"/>
    <xf numFmtId="182" fontId="41" fillId="22" borderId="59" xfId="34" applyNumberFormat="1" applyFont="1" applyFill="1" applyBorder="1" applyProtection="1"/>
    <xf numFmtId="182" fontId="41" fillId="22" borderId="71" xfId="34" applyNumberFormat="1" applyFont="1" applyFill="1" applyBorder="1" applyProtection="1"/>
    <xf numFmtId="182" fontId="41" fillId="0" borderId="59" xfId="34" applyNumberFormat="1" applyFont="1" applyBorder="1" applyAlignment="1" applyProtection="1">
      <alignment horizontal="right"/>
    </xf>
    <xf numFmtId="182" fontId="41" fillId="0" borderId="71" xfId="34" applyNumberFormat="1" applyFont="1" applyBorder="1" applyProtection="1"/>
    <xf numFmtId="182" fontId="20" fillId="22" borderId="117" xfId="34" applyNumberFormat="1" applyFont="1" applyFill="1" applyBorder="1" applyProtection="1"/>
    <xf numFmtId="182" fontId="20" fillId="22" borderId="128" xfId="34" applyNumberFormat="1" applyFont="1" applyFill="1" applyBorder="1" applyProtection="1"/>
    <xf numFmtId="182" fontId="41" fillId="22" borderId="113" xfId="34" applyNumberFormat="1" applyFont="1" applyFill="1" applyBorder="1" applyAlignment="1" applyProtection="1">
      <alignment horizontal="right"/>
    </xf>
    <xf numFmtId="182" fontId="41" fillId="22" borderId="127" xfId="34" applyNumberFormat="1" applyFont="1" applyFill="1" applyBorder="1" applyProtection="1"/>
    <xf numFmtId="182" fontId="39" fillId="0" borderId="0" xfId="34" applyNumberFormat="1" applyFont="1" applyBorder="1" applyProtection="1"/>
    <xf numFmtId="182" fontId="20" fillId="26" borderId="121" xfId="34" applyNumberFormat="1" applyFont="1" applyFill="1" applyBorder="1" applyProtection="1"/>
    <xf numFmtId="182" fontId="20" fillId="26" borderId="129" xfId="34" applyNumberFormat="1" applyFont="1" applyFill="1" applyBorder="1" applyProtection="1"/>
    <xf numFmtId="182" fontId="42" fillId="26" borderId="59" xfId="34" applyNumberFormat="1" applyFont="1" applyFill="1" applyBorder="1" applyAlignment="1" applyProtection="1">
      <alignment horizontal="right"/>
    </xf>
    <xf numFmtId="182" fontId="42" fillId="26" borderId="71" xfId="34" applyNumberFormat="1" applyFont="1" applyFill="1" applyBorder="1" applyProtection="1"/>
    <xf numFmtId="182" fontId="40" fillId="0" borderId="0" xfId="0" applyNumberFormat="1" applyFont="1"/>
    <xf numFmtId="182" fontId="40" fillId="24" borderId="20" xfId="34" applyNumberFormat="1" applyFont="1" applyFill="1" applyBorder="1" applyProtection="1"/>
    <xf numFmtId="182" fontId="40" fillId="25" borderId="68" xfId="34" applyNumberFormat="1" applyFont="1" applyFill="1" applyBorder="1" applyProtection="1"/>
    <xf numFmtId="182" fontId="42" fillId="26" borderId="91" xfId="34" applyNumberFormat="1" applyFont="1" applyFill="1" applyBorder="1" applyProtection="1"/>
    <xf numFmtId="182" fontId="42" fillId="26" borderId="20" xfId="34" applyNumberFormat="1" applyFont="1" applyFill="1" applyBorder="1" applyProtection="1"/>
    <xf numFmtId="182" fontId="42" fillId="26" borderId="13" xfId="34" applyNumberFormat="1" applyFont="1" applyFill="1" applyBorder="1" applyProtection="1"/>
    <xf numFmtId="182" fontId="40" fillId="25" borderId="13" xfId="34" applyNumberFormat="1" applyFont="1" applyFill="1" applyBorder="1" applyProtection="1"/>
    <xf numFmtId="182" fontId="40" fillId="26" borderId="13" xfId="34" applyNumberFormat="1" applyFont="1" applyFill="1" applyBorder="1" applyProtection="1"/>
    <xf numFmtId="182" fontId="40" fillId="25" borderId="130" xfId="34" applyNumberFormat="1" applyFont="1" applyFill="1" applyBorder="1" applyProtection="1"/>
    <xf numFmtId="182" fontId="21" fillId="24" borderId="19" xfId="34" applyNumberFormat="1" applyFont="1" applyFill="1" applyBorder="1" applyProtection="1"/>
    <xf numFmtId="182" fontId="23" fillId="25" borderId="124" xfId="34" applyNumberFormat="1" applyFont="1" applyFill="1" applyBorder="1" applyProtection="1"/>
    <xf numFmtId="182" fontId="24" fillId="26" borderId="121" xfId="34" applyNumberFormat="1" applyFont="1" applyFill="1" applyBorder="1" applyProtection="1"/>
    <xf numFmtId="182" fontId="24" fillId="26" borderId="122" xfId="34" applyNumberFormat="1" applyFont="1" applyFill="1" applyBorder="1" applyProtection="1"/>
    <xf numFmtId="182" fontId="24" fillId="26" borderId="123" xfId="34" applyNumberFormat="1" applyFont="1" applyFill="1" applyBorder="1" applyProtection="1"/>
    <xf numFmtId="182" fontId="25" fillId="24" borderId="124" xfId="34" applyNumberFormat="1" applyFont="1" applyFill="1" applyBorder="1" applyProtection="1"/>
    <xf numFmtId="182" fontId="24" fillId="26" borderId="131" xfId="34" applyNumberFormat="1" applyFont="1" applyFill="1" applyBorder="1" applyProtection="1"/>
    <xf numFmtId="182" fontId="24" fillId="26" borderId="19" xfId="34" applyNumberFormat="1" applyFont="1" applyFill="1" applyBorder="1" applyProtection="1"/>
    <xf numFmtId="182" fontId="20" fillId="26" borderId="19" xfId="34" applyNumberFormat="1" applyFont="1" applyFill="1" applyBorder="1" applyProtection="1"/>
    <xf numFmtId="182" fontId="20" fillId="26" borderId="38" xfId="34" applyNumberFormat="1" applyFont="1" applyFill="1" applyBorder="1" applyProtection="1"/>
    <xf numFmtId="182" fontId="23" fillId="25" borderId="38" xfId="34" applyNumberFormat="1" applyFont="1" applyFill="1" applyBorder="1" applyProtection="1"/>
    <xf numFmtId="182" fontId="21" fillId="26" borderId="38" xfId="34" applyNumberFormat="1" applyFont="1" applyFill="1" applyBorder="1" applyProtection="1"/>
    <xf numFmtId="182" fontId="38" fillId="24" borderId="0" xfId="34" applyNumberFormat="1" applyFont="1" applyFill="1" applyBorder="1" applyProtection="1"/>
    <xf numFmtId="182" fontId="38" fillId="23" borderId="116" xfId="34" applyNumberFormat="1" applyFont="1" applyFill="1" applyBorder="1" applyProtection="1"/>
    <xf numFmtId="182" fontId="41" fillId="22" borderId="125" xfId="34" applyNumberFormat="1" applyFont="1" applyFill="1" applyBorder="1" applyProtection="1"/>
    <xf numFmtId="182" fontId="41" fillId="22" borderId="0" xfId="34" applyNumberFormat="1" applyFont="1" applyFill="1" applyBorder="1" applyProtection="1"/>
    <xf numFmtId="182" fontId="41" fillId="22" borderId="11" xfId="34" applyNumberFormat="1" applyFont="1" applyFill="1" applyBorder="1" applyProtection="1"/>
    <xf numFmtId="182" fontId="38" fillId="25" borderId="11" xfId="34" applyNumberFormat="1" applyFont="1" applyFill="1" applyBorder="1" applyProtection="1"/>
    <xf numFmtId="182" fontId="38" fillId="0" borderId="11" xfId="34" applyNumberFormat="1" applyFont="1" applyFill="1" applyBorder="1" applyProtection="1"/>
    <xf numFmtId="182" fontId="38" fillId="23" borderId="126" xfId="34" applyNumberFormat="1" applyFont="1" applyFill="1" applyBorder="1" applyProtection="1"/>
    <xf numFmtId="182" fontId="21" fillId="24" borderId="37" xfId="34" applyNumberFormat="1" applyFont="1" applyFill="1" applyBorder="1" applyProtection="1"/>
    <xf numFmtId="182" fontId="23" fillId="23" borderId="120" xfId="34" applyNumberFormat="1" applyFont="1" applyFill="1" applyBorder="1" applyProtection="1"/>
    <xf numFmtId="182" fontId="24" fillId="22" borderId="117" xfId="34" applyNumberFormat="1" applyFont="1" applyFill="1" applyBorder="1" applyProtection="1"/>
    <xf numFmtId="182" fontId="24" fillId="22" borderId="118" xfId="34" applyNumberFormat="1" applyFont="1" applyFill="1" applyBorder="1" applyProtection="1"/>
    <xf numFmtId="182" fontId="24" fillId="22" borderId="119" xfId="34" applyNumberFormat="1" applyFont="1" applyFill="1" applyBorder="1" applyProtection="1"/>
    <xf numFmtId="182" fontId="25" fillId="24" borderId="120" xfId="34" applyNumberFormat="1" applyFont="1" applyFill="1" applyBorder="1" applyProtection="1"/>
    <xf numFmtId="182" fontId="24" fillId="22" borderId="132" xfId="34" applyNumberFormat="1" applyFont="1" applyFill="1" applyBorder="1" applyProtection="1"/>
    <xf numFmtId="182" fontId="24" fillId="22" borderId="37" xfId="34" applyNumberFormat="1" applyFont="1" applyFill="1" applyBorder="1" applyProtection="1"/>
    <xf numFmtId="182" fontId="20" fillId="22" borderId="37" xfId="34" applyNumberFormat="1" applyFont="1" applyFill="1" applyBorder="1" applyProtection="1"/>
    <xf numFmtId="182" fontId="20" fillId="22" borderId="55" xfId="34" applyNumberFormat="1" applyFont="1" applyFill="1" applyBorder="1" applyProtection="1"/>
    <xf numFmtId="182" fontId="23" fillId="25" borderId="55" xfId="34" applyNumberFormat="1" applyFont="1" applyFill="1" applyBorder="1" applyProtection="1"/>
    <xf numFmtId="182" fontId="21" fillId="0" borderId="55" xfId="34" applyNumberFormat="1" applyFont="1" applyFill="1" applyBorder="1" applyProtection="1"/>
    <xf numFmtId="182" fontId="38" fillId="23" borderId="68" xfId="34" applyNumberFormat="1" applyFont="1" applyFill="1" applyBorder="1" applyProtection="1"/>
    <xf numFmtId="182" fontId="41" fillId="0" borderId="91" xfId="34" applyNumberFormat="1" applyFont="1" applyBorder="1" applyProtection="1"/>
    <xf numFmtId="182" fontId="38" fillId="25" borderId="13" xfId="34" applyNumberFormat="1" applyFont="1" applyFill="1" applyBorder="1" applyProtection="1"/>
    <xf numFmtId="182" fontId="38" fillId="23" borderId="130" xfId="34" applyNumberFormat="1" applyFont="1" applyFill="1" applyBorder="1" applyProtection="1"/>
    <xf numFmtId="182" fontId="21" fillId="24" borderId="111" xfId="34" applyNumberFormat="1" applyFont="1" applyFill="1" applyBorder="1"/>
    <xf numFmtId="182" fontId="21" fillId="0" borderId="24" xfId="34" applyNumberFormat="1" applyFont="1" applyFill="1" applyBorder="1"/>
    <xf numFmtId="182" fontId="38" fillId="24" borderId="11" xfId="34" applyNumberFormat="1" applyFont="1" applyFill="1" applyBorder="1" applyProtection="1"/>
    <xf numFmtId="182" fontId="42" fillId="22" borderId="59" xfId="34" applyNumberFormat="1" applyFont="1" applyFill="1" applyBorder="1" applyProtection="1"/>
    <xf numFmtId="182" fontId="42" fillId="22" borderId="62" xfId="34" applyNumberFormat="1" applyFont="1" applyFill="1" applyBorder="1" applyProtection="1"/>
    <xf numFmtId="182" fontId="42" fillId="22" borderId="65" xfId="34" applyNumberFormat="1" applyFont="1" applyFill="1" applyBorder="1" applyProtection="1"/>
    <xf numFmtId="182" fontId="42" fillId="22" borderId="91" xfId="34" applyNumberFormat="1" applyFont="1" applyFill="1" applyBorder="1" applyProtection="1"/>
    <xf numFmtId="182" fontId="42" fillId="22" borderId="20" xfId="34" applyNumberFormat="1" applyFont="1" applyFill="1" applyBorder="1" applyProtection="1"/>
    <xf numFmtId="182" fontId="41" fillId="22" borderId="20" xfId="34" applyNumberFormat="1" applyFont="1" applyFill="1" applyBorder="1" applyProtection="1"/>
    <xf numFmtId="182" fontId="41" fillId="22" borderId="13" xfId="34" applyNumberFormat="1" applyFont="1" applyFill="1" applyBorder="1" applyProtection="1"/>
    <xf numFmtId="182" fontId="20" fillId="22" borderId="125" xfId="34" applyNumberFormat="1" applyFont="1" applyFill="1" applyBorder="1" applyProtection="1"/>
    <xf numFmtId="182" fontId="20" fillId="22" borderId="0" xfId="34" applyNumberFormat="1" applyFont="1" applyFill="1" applyBorder="1" applyProtection="1"/>
    <xf numFmtId="182" fontId="20" fillId="22" borderId="11" xfId="34" applyNumberFormat="1" applyFont="1" applyFill="1" applyBorder="1" applyProtection="1"/>
    <xf numFmtId="182" fontId="20" fillId="0" borderId="121" xfId="0" applyNumberFormat="1" applyFont="1" applyBorder="1"/>
    <xf numFmtId="182" fontId="20" fillId="0" borderId="122" xfId="0" applyNumberFormat="1" applyFont="1" applyBorder="1"/>
    <xf numFmtId="182" fontId="20" fillId="0" borderId="122" xfId="34" applyNumberFormat="1" applyFont="1" applyBorder="1" applyProtection="1"/>
    <xf numFmtId="182" fontId="20" fillId="0" borderId="123" xfId="34" applyNumberFormat="1" applyFont="1" applyBorder="1" applyProtection="1"/>
    <xf numFmtId="182" fontId="44" fillId="0" borderId="59" xfId="34" applyNumberFormat="1" applyFont="1" applyBorder="1" applyProtection="1"/>
    <xf numFmtId="182" fontId="44" fillId="0" borderId="62" xfId="34" applyNumberFormat="1" applyFont="1" applyBorder="1" applyProtection="1"/>
    <xf numFmtId="182" fontId="44" fillId="0" borderId="65" xfId="34" applyNumberFormat="1" applyFont="1" applyBorder="1" applyProtection="1"/>
    <xf numFmtId="182" fontId="20" fillId="0" borderId="121" xfId="34" applyNumberFormat="1" applyFont="1" applyFill="1" applyBorder="1" applyProtection="1"/>
    <xf numFmtId="182" fontId="20" fillId="0" borderId="123" xfId="34" applyNumberFormat="1" applyFont="1" applyFill="1" applyBorder="1" applyProtection="1"/>
    <xf numFmtId="182" fontId="23" fillId="23" borderId="124" xfId="34" applyNumberFormat="1" applyFont="1" applyFill="1" applyBorder="1" applyProtection="1"/>
    <xf numFmtId="182" fontId="24" fillId="0" borderId="121" xfId="34" applyNumberFormat="1" applyFont="1" applyBorder="1" applyProtection="1"/>
    <xf numFmtId="182" fontId="24" fillId="0" borderId="122" xfId="34" applyNumberFormat="1" applyFont="1" applyBorder="1" applyProtection="1"/>
    <xf numFmtId="182" fontId="24" fillId="0" borderId="123" xfId="34" applyNumberFormat="1" applyFont="1" applyBorder="1" applyProtection="1"/>
    <xf numFmtId="182" fontId="24" fillId="0" borderId="121" xfId="34" applyNumberFormat="1" applyFont="1" applyFill="1" applyBorder="1" applyProtection="1"/>
    <xf numFmtId="182" fontId="24" fillId="0" borderId="131" xfId="34" applyNumberFormat="1" applyFont="1" applyBorder="1" applyProtection="1"/>
    <xf numFmtId="182" fontId="24" fillId="0" borderId="19" xfId="34" applyNumberFormat="1" applyFont="1" applyBorder="1" applyProtection="1"/>
    <xf numFmtId="182" fontId="20" fillId="0" borderId="19" xfId="34" applyNumberFormat="1" applyFont="1" applyBorder="1" applyProtection="1"/>
    <xf numFmtId="182" fontId="20" fillId="0" borderId="38" xfId="34" applyNumberFormat="1" applyFont="1" applyBorder="1" applyProtection="1"/>
    <xf numFmtId="182" fontId="21" fillId="0" borderId="38" xfId="34" applyNumberFormat="1" applyFont="1" applyFill="1" applyBorder="1" applyProtection="1"/>
    <xf numFmtId="182" fontId="20" fillId="0" borderId="121" xfId="34" applyNumberFormat="1" applyFont="1" applyBorder="1" applyProtection="1"/>
    <xf numFmtId="182" fontId="20" fillId="0" borderId="129" xfId="34" applyNumberFormat="1" applyFont="1" applyBorder="1" applyProtection="1"/>
    <xf numFmtId="182" fontId="44" fillId="0" borderId="59" xfId="34" applyNumberFormat="1" applyFont="1" applyBorder="1" applyAlignment="1" applyProtection="1">
      <alignment horizontal="right"/>
    </xf>
    <xf numFmtId="182" fontId="44" fillId="0" borderId="71" xfId="34" applyNumberFormat="1" applyFont="1" applyBorder="1" applyProtection="1"/>
    <xf numFmtId="182" fontId="39" fillId="24" borderId="20" xfId="34" applyNumberFormat="1" applyFont="1" applyFill="1" applyBorder="1" applyProtection="1"/>
    <xf numFmtId="182" fontId="39" fillId="23" borderId="68" xfId="34" applyNumberFormat="1" applyFont="1" applyFill="1" applyBorder="1" applyProtection="1"/>
    <xf numFmtId="182" fontId="44" fillId="0" borderId="91" xfId="34" applyNumberFormat="1" applyFont="1" applyBorder="1" applyProtection="1"/>
    <xf numFmtId="182" fontId="44" fillId="0" borderId="20" xfId="34" applyNumberFormat="1" applyFont="1" applyBorder="1" applyProtection="1"/>
    <xf numFmtId="182" fontId="44" fillId="0" borderId="13" xfId="34" applyNumberFormat="1" applyFont="1" applyBorder="1" applyProtection="1"/>
    <xf numFmtId="182" fontId="39" fillId="25" borderId="13" xfId="34" applyNumberFormat="1" applyFont="1" applyFill="1" applyBorder="1" applyProtection="1"/>
    <xf numFmtId="182" fontId="39" fillId="0" borderId="13" xfId="34" applyNumberFormat="1" applyFont="1" applyFill="1" applyBorder="1" applyProtection="1"/>
    <xf numFmtId="182" fontId="39" fillId="23" borderId="130" xfId="34" applyNumberFormat="1" applyFont="1" applyFill="1" applyBorder="1" applyProtection="1"/>
    <xf numFmtId="182" fontId="20" fillId="0" borderId="0" xfId="0" applyNumberFormat="1" applyFont="1"/>
    <xf numFmtId="183" fontId="22" fillId="0" borderId="28" xfId="34" applyNumberFormat="1" applyFont="1" applyFill="1" applyBorder="1" applyAlignment="1">
      <alignment horizontal="center"/>
    </xf>
    <xf numFmtId="183" fontId="21" fillId="0" borderId="19" xfId="34" applyNumberFormat="1" applyFont="1" applyFill="1" applyBorder="1" applyProtection="1">
      <protection locked="0"/>
    </xf>
    <xf numFmtId="183" fontId="21" fillId="0" borderId="20" xfId="28" applyNumberFormat="1" applyFont="1" applyFill="1" applyBorder="1" applyProtection="1"/>
    <xf numFmtId="183" fontId="38" fillId="0" borderId="77" xfId="34" applyNumberFormat="1" applyFont="1" applyFill="1" applyBorder="1" applyProtection="1"/>
    <xf numFmtId="183" fontId="21" fillId="0" borderId="36" xfId="28" applyNumberFormat="1" applyFont="1" applyFill="1" applyBorder="1" applyProtection="1"/>
    <xf numFmtId="183" fontId="21" fillId="0" borderId="18" xfId="28" applyNumberFormat="1" applyFont="1" applyFill="1" applyBorder="1"/>
    <xf numFmtId="183" fontId="21" fillId="0" borderId="25" xfId="34" applyNumberFormat="1" applyFont="1" applyFill="1" applyBorder="1" applyProtection="1">
      <protection locked="0"/>
    </xf>
    <xf numFmtId="183" fontId="21" fillId="0" borderId="166" xfId="34" applyNumberFormat="1" applyFont="1" applyFill="1" applyBorder="1" applyProtection="1">
      <protection locked="0"/>
    </xf>
    <xf numFmtId="183" fontId="38" fillId="0" borderId="20" xfId="34" applyNumberFormat="1" applyFont="1" applyFill="1" applyBorder="1" applyProtection="1"/>
    <xf numFmtId="183" fontId="21" fillId="0" borderId="154" xfId="28" applyNumberFormat="1" applyFont="1" applyFill="1" applyBorder="1" applyProtection="1"/>
    <xf numFmtId="183" fontId="21" fillId="0" borderId="186" xfId="34" applyNumberFormat="1" applyFont="1" applyFill="1" applyBorder="1" applyProtection="1">
      <protection locked="0"/>
    </xf>
    <xf numFmtId="183" fontId="21" fillId="0" borderId="0" xfId="34" applyNumberFormat="1" applyFont="1" applyFill="1" applyBorder="1" applyProtection="1"/>
    <xf numFmtId="183" fontId="21" fillId="0" borderId="18" xfId="28" applyNumberFormat="1" applyFont="1" applyFill="1" applyBorder="1" applyProtection="1"/>
    <xf numFmtId="183" fontId="21" fillId="0" borderId="164" xfId="28" applyNumberFormat="1" applyFont="1" applyFill="1" applyBorder="1" applyProtection="1"/>
    <xf numFmtId="183" fontId="21" fillId="0" borderId="43" xfId="28" applyNumberFormat="1" applyFont="1" applyFill="1" applyBorder="1" applyProtection="1"/>
    <xf numFmtId="183" fontId="21" fillId="0" borderId="27" xfId="28" applyNumberFormat="1" applyFont="1" applyFill="1" applyBorder="1" applyProtection="1"/>
    <xf numFmtId="183" fontId="21" fillId="0" borderId="26" xfId="28" applyNumberFormat="1" applyFont="1" applyFill="1" applyBorder="1" applyProtection="1"/>
    <xf numFmtId="183" fontId="21" fillId="0" borderId="0" xfId="34" applyNumberFormat="1" applyFont="1" applyFill="1" applyBorder="1" applyProtection="1">
      <protection locked="0"/>
    </xf>
    <xf numFmtId="183" fontId="21" fillId="0" borderId="35" xfId="28" applyNumberFormat="1" applyFont="1" applyFill="1" applyBorder="1" applyProtection="1"/>
    <xf numFmtId="183" fontId="21" fillId="0" borderId="37" xfId="34" applyNumberFormat="1" applyFont="1" applyFill="1" applyBorder="1" applyProtection="1"/>
    <xf numFmtId="183" fontId="21" fillId="0" borderId="77" xfId="28" applyNumberFormat="1" applyFont="1" applyFill="1" applyBorder="1" applyProtection="1"/>
    <xf numFmtId="183" fontId="38" fillId="0" borderId="0" xfId="34" applyNumberFormat="1" applyFont="1" applyFill="1" applyBorder="1" applyProtection="1"/>
    <xf numFmtId="183" fontId="21" fillId="26" borderId="19" xfId="34" applyNumberFormat="1" applyFont="1" applyFill="1" applyBorder="1" applyProtection="1"/>
    <xf numFmtId="183" fontId="21" fillId="26" borderId="20" xfId="28" applyNumberFormat="1" applyFont="1" applyFill="1" applyBorder="1" applyProtection="1"/>
    <xf numFmtId="183" fontId="40" fillId="26" borderId="20" xfId="34" applyNumberFormat="1" applyFont="1" applyFill="1" applyBorder="1" applyProtection="1"/>
    <xf numFmtId="183" fontId="21" fillId="26" borderId="27" xfId="28" applyNumberFormat="1" applyFont="1" applyFill="1" applyBorder="1" applyProtection="1"/>
    <xf numFmtId="183" fontId="21" fillId="0" borderId="19" xfId="34" applyNumberFormat="1" applyFont="1" applyFill="1" applyBorder="1" applyProtection="1"/>
    <xf numFmtId="183" fontId="39" fillId="0" borderId="20" xfId="34" applyNumberFormat="1" applyFont="1" applyFill="1" applyBorder="1" applyProtection="1"/>
    <xf numFmtId="183" fontId="7" fillId="0" borderId="0" xfId="34" applyNumberFormat="1" applyFont="1"/>
    <xf numFmtId="183" fontId="0" fillId="0" borderId="0" xfId="0" applyNumberFormat="1"/>
    <xf numFmtId="183" fontId="22" fillId="0" borderId="29" xfId="34" applyNumberFormat="1" applyFont="1" applyFill="1" applyBorder="1" applyAlignment="1">
      <alignment horizontal="center"/>
    </xf>
    <xf numFmtId="183" fontId="21" fillId="0" borderId="38" xfId="34" applyNumberFormat="1" applyFont="1" applyFill="1" applyBorder="1" applyProtection="1">
      <protection locked="0"/>
    </xf>
    <xf numFmtId="183" fontId="21" fillId="0" borderId="13" xfId="28" applyNumberFormat="1" applyFont="1" applyFill="1" applyBorder="1" applyProtection="1"/>
    <xf numFmtId="183" fontId="38" fillId="0" borderId="23" xfId="34" applyNumberFormat="1" applyFont="1" applyFill="1" applyBorder="1" applyProtection="1"/>
    <xf numFmtId="183" fontId="21" fillId="0" borderId="39" xfId="28" applyNumberFormat="1" applyFont="1" applyFill="1" applyBorder="1" applyProtection="1"/>
    <xf numFmtId="183" fontId="21" fillId="0" borderId="10" xfId="34" applyNumberFormat="1" applyFont="1" applyFill="1" applyBorder="1" applyProtection="1">
      <protection locked="0"/>
    </xf>
    <xf numFmtId="183" fontId="21" fillId="0" borderId="12" xfId="28" applyNumberFormat="1" applyFont="1" applyFill="1" applyBorder="1"/>
    <xf numFmtId="183" fontId="21" fillId="0" borderId="24" xfId="34" applyNumberFormat="1" applyFont="1" applyFill="1" applyBorder="1" applyProtection="1">
      <protection locked="0"/>
    </xf>
    <xf numFmtId="183" fontId="21" fillId="0" borderId="159" xfId="34" applyNumberFormat="1" applyFont="1" applyFill="1" applyBorder="1" applyProtection="1">
      <protection locked="0"/>
    </xf>
    <xf numFmtId="183" fontId="38" fillId="0" borderId="13" xfId="34" applyNumberFormat="1" applyFont="1" applyFill="1" applyBorder="1" applyProtection="1"/>
    <xf numFmtId="183" fontId="21" fillId="0" borderId="158" xfId="28" applyNumberFormat="1" applyFont="1" applyFill="1" applyBorder="1" applyProtection="1"/>
    <xf numFmtId="183" fontId="21" fillId="0" borderId="152" xfId="34" applyNumberFormat="1" applyFont="1" applyFill="1" applyBorder="1" applyProtection="1">
      <protection locked="0"/>
    </xf>
    <xf numFmtId="183" fontId="21" fillId="0" borderId="11" xfId="34" applyNumberFormat="1" applyFont="1" applyFill="1" applyBorder="1" applyProtection="1"/>
    <xf numFmtId="183" fontId="21" fillId="0" borderId="12" xfId="28" applyNumberFormat="1" applyFont="1" applyFill="1" applyBorder="1" applyProtection="1"/>
    <xf numFmtId="183" fontId="21" fillId="0" borderId="165" xfId="28" applyNumberFormat="1" applyFont="1" applyFill="1" applyBorder="1" applyProtection="1"/>
    <xf numFmtId="183" fontId="21" fillId="0" borderId="75" xfId="28" applyNumberFormat="1" applyFont="1" applyFill="1" applyBorder="1" applyProtection="1"/>
    <xf numFmtId="183" fontId="21" fillId="0" borderId="56" xfId="28" applyNumberFormat="1" applyFont="1" applyFill="1" applyBorder="1" applyProtection="1"/>
    <xf numFmtId="183" fontId="21" fillId="0" borderId="14" xfId="28" applyNumberFormat="1" applyFont="1" applyFill="1" applyBorder="1" applyProtection="1"/>
    <xf numFmtId="183" fontId="21" fillId="0" borderId="11" xfId="34" applyNumberFormat="1" applyFont="1" applyFill="1" applyBorder="1" applyProtection="1">
      <protection locked="0"/>
    </xf>
    <xf numFmtId="183" fontId="21" fillId="0" borderId="49" xfId="28" applyNumberFormat="1" applyFont="1" applyFill="1" applyBorder="1" applyProtection="1"/>
    <xf numFmtId="183" fontId="21" fillId="0" borderId="55" xfId="34" applyNumberFormat="1" applyFont="1" applyFill="1" applyBorder="1" applyProtection="1"/>
    <xf numFmtId="183" fontId="21" fillId="0" borderId="23" xfId="28" applyNumberFormat="1" applyFont="1" applyFill="1" applyBorder="1" applyProtection="1"/>
    <xf numFmtId="183" fontId="38" fillId="0" borderId="11" xfId="34" applyNumberFormat="1" applyFont="1" applyFill="1" applyBorder="1" applyProtection="1"/>
    <xf numFmtId="183" fontId="21" fillId="26" borderId="38" xfId="34" applyNumberFormat="1" applyFont="1" applyFill="1" applyBorder="1" applyProtection="1"/>
    <xf numFmtId="183" fontId="21" fillId="26" borderId="13" xfId="28" applyNumberFormat="1" applyFont="1" applyFill="1" applyBorder="1" applyProtection="1"/>
    <xf numFmtId="183" fontId="40" fillId="26" borderId="13" xfId="34" applyNumberFormat="1" applyFont="1" applyFill="1" applyBorder="1" applyProtection="1"/>
    <xf numFmtId="183" fontId="21" fillId="26" borderId="56" xfId="28" applyNumberFormat="1" applyFont="1" applyFill="1" applyBorder="1" applyProtection="1"/>
    <xf numFmtId="183" fontId="21" fillId="0" borderId="38" xfId="34" applyNumberFormat="1" applyFont="1" applyFill="1" applyBorder="1" applyProtection="1"/>
    <xf numFmtId="183" fontId="39" fillId="0" borderId="13" xfId="34" applyNumberFormat="1" applyFont="1" applyFill="1" applyBorder="1" applyProtection="1"/>
    <xf numFmtId="183" fontId="20" fillId="0" borderId="80" xfId="0" applyNumberFormat="1" applyFont="1" applyBorder="1" applyAlignment="1">
      <alignment horizontal="distributed"/>
    </xf>
    <xf numFmtId="183" fontId="20" fillId="0" borderId="81" xfId="0" applyNumberFormat="1" applyFont="1" applyBorder="1"/>
    <xf numFmtId="183" fontId="20" fillId="0" borderId="82" xfId="0" applyNumberFormat="1" applyFont="1" applyBorder="1"/>
    <xf numFmtId="183" fontId="20" fillId="0" borderId="80" xfId="0" applyNumberFormat="1" applyFont="1" applyBorder="1" applyAlignment="1">
      <alignment horizontal="center"/>
    </xf>
    <xf numFmtId="183" fontId="20" fillId="0" borderId="133" xfId="0" applyNumberFormat="1" applyFont="1" applyBorder="1" applyAlignment="1">
      <alignment horizontal="center"/>
    </xf>
    <xf numFmtId="183" fontId="20" fillId="0" borderId="82" xfId="0" applyNumberFormat="1" applyFont="1" applyBorder="1" applyAlignment="1">
      <alignment horizontal="right"/>
    </xf>
    <xf numFmtId="183" fontId="20" fillId="0" borderId="134" xfId="0" applyNumberFormat="1" applyFont="1" applyBorder="1" applyAlignment="1">
      <alignment horizontal="right"/>
    </xf>
    <xf numFmtId="183" fontId="20" fillId="0" borderId="80" xfId="34" applyNumberFormat="1" applyFont="1" applyBorder="1" applyAlignment="1" applyProtection="1">
      <alignment horizontal="center"/>
    </xf>
    <xf numFmtId="183" fontId="20" fillId="0" borderId="133" xfId="34" applyNumberFormat="1" applyFont="1" applyBorder="1" applyAlignment="1" applyProtection="1">
      <alignment horizontal="center"/>
    </xf>
    <xf numFmtId="183" fontId="20" fillId="0" borderId="82" xfId="0" applyNumberFormat="1" applyFont="1" applyBorder="1" applyAlignment="1">
      <alignment horizontal="center"/>
    </xf>
    <xf numFmtId="183" fontId="20" fillId="0" borderId="134" xfId="0" applyNumberFormat="1" applyFont="1" applyBorder="1" applyAlignment="1">
      <alignment horizontal="center"/>
    </xf>
    <xf numFmtId="183" fontId="20" fillId="0" borderId="82" xfId="34" applyNumberFormat="1" applyFont="1" applyBorder="1" applyAlignment="1" applyProtection="1">
      <alignment horizontal="center"/>
    </xf>
    <xf numFmtId="183" fontId="20" fillId="0" borderId="134" xfId="34" applyNumberFormat="1" applyFont="1" applyBorder="1" applyAlignment="1" applyProtection="1">
      <alignment horizontal="center"/>
    </xf>
    <xf numFmtId="183" fontId="20" fillId="0" borderId="133" xfId="28" applyNumberFormat="1" applyFont="1" applyBorder="1" applyAlignment="1" applyProtection="1"/>
    <xf numFmtId="183" fontId="20" fillId="0" borderId="134" xfId="28" applyNumberFormat="1" applyFont="1" applyBorder="1" applyAlignment="1"/>
    <xf numFmtId="183" fontId="7" fillId="0" borderId="0" xfId="0" applyNumberFormat="1" applyFont="1"/>
    <xf numFmtId="183" fontId="20" fillId="0" borderId="22" xfId="0" applyNumberFormat="1" applyFont="1" applyBorder="1" applyAlignment="1">
      <alignment horizontal="distributed"/>
    </xf>
    <xf numFmtId="183" fontId="20" fillId="0" borderId="19" xfId="0" applyNumberFormat="1" applyFont="1" applyBorder="1"/>
    <xf numFmtId="183" fontId="20" fillId="0" borderId="20" xfId="0" applyNumberFormat="1" applyFont="1" applyBorder="1"/>
    <xf numFmtId="183" fontId="20" fillId="0" borderId="22" xfId="0" applyNumberFormat="1" applyFont="1" applyBorder="1" applyAlignment="1">
      <alignment horizontal="center"/>
    </xf>
    <xf numFmtId="183" fontId="20" fillId="0" borderId="37" xfId="0" applyNumberFormat="1" applyFont="1" applyBorder="1" applyAlignment="1">
      <alignment horizontal="center"/>
    </xf>
    <xf numFmtId="183" fontId="20" fillId="0" borderId="20" xfId="0" applyNumberFormat="1" applyFont="1" applyBorder="1" applyAlignment="1">
      <alignment horizontal="right"/>
    </xf>
    <xf numFmtId="183" fontId="20" fillId="0" borderId="135" xfId="0" applyNumberFormat="1" applyFont="1" applyBorder="1" applyAlignment="1">
      <alignment horizontal="right"/>
    </xf>
    <xf numFmtId="183" fontId="20" fillId="0" borderId="20" xfId="0" applyNumberFormat="1" applyFont="1" applyBorder="1" applyAlignment="1">
      <alignment horizontal="center"/>
    </xf>
    <xf numFmtId="183" fontId="20" fillId="0" borderId="135" xfId="0" applyNumberFormat="1" applyFont="1" applyBorder="1" applyAlignment="1">
      <alignment horizontal="center"/>
    </xf>
    <xf numFmtId="183" fontId="20" fillId="0" borderId="37" xfId="28" applyNumberFormat="1" applyFont="1" applyBorder="1" applyAlignment="1"/>
    <xf numFmtId="183" fontId="20" fillId="0" borderId="135" xfId="28" applyNumberFormat="1" applyFont="1" applyBorder="1" applyAlignment="1"/>
    <xf numFmtId="183" fontId="20" fillId="0" borderId="83" xfId="0" applyNumberFormat="1" applyFont="1" applyBorder="1" applyAlignment="1">
      <alignment horizontal="distributed"/>
    </xf>
    <xf numFmtId="183" fontId="20" fillId="0" borderId="84" xfId="0" applyNumberFormat="1" applyFont="1" applyBorder="1"/>
    <xf numFmtId="183" fontId="20" fillId="0" borderId="85" xfId="0" applyNumberFormat="1" applyFont="1" applyBorder="1"/>
    <xf numFmtId="183" fontId="20" fillId="0" borderId="83" xfId="0" applyNumberFormat="1" applyFont="1" applyBorder="1" applyAlignment="1">
      <alignment horizontal="center"/>
    </xf>
    <xf numFmtId="183" fontId="20" fillId="0" borderId="136" xfId="0" applyNumberFormat="1" applyFont="1" applyBorder="1" applyAlignment="1">
      <alignment horizontal="center"/>
    </xf>
    <xf numFmtId="183" fontId="20" fillId="0" borderId="85" xfId="0" applyNumberFormat="1" applyFont="1" applyBorder="1" applyAlignment="1">
      <alignment horizontal="right"/>
    </xf>
    <xf numFmtId="183" fontId="20" fillId="0" borderId="137" xfId="0" applyNumberFormat="1" applyFont="1" applyBorder="1" applyAlignment="1">
      <alignment horizontal="right"/>
    </xf>
    <xf numFmtId="183" fontId="20" fillId="0" borderId="85" xfId="0" applyNumberFormat="1" applyFont="1" applyBorder="1" applyAlignment="1">
      <alignment horizontal="center"/>
    </xf>
    <xf numFmtId="183" fontId="20" fillId="0" borderId="137" xfId="0" applyNumberFormat="1" applyFont="1" applyBorder="1" applyAlignment="1">
      <alignment horizontal="center"/>
    </xf>
    <xf numFmtId="183" fontId="20" fillId="0" borderId="136" xfId="28" applyNumberFormat="1" applyFont="1" applyBorder="1" applyAlignment="1"/>
    <xf numFmtId="183" fontId="20" fillId="0" borderId="137" xfId="28" applyNumberFormat="1" applyFont="1" applyBorder="1" applyAlignment="1"/>
    <xf numFmtId="182" fontId="24" fillId="0" borderId="121" xfId="0" applyNumberFormat="1" applyFont="1" applyBorder="1" applyProtection="1">
      <protection locked="0"/>
    </xf>
    <xf numFmtId="182" fontId="24" fillId="0" borderId="122" xfId="34" applyNumberFormat="1" applyFont="1" applyFill="1" applyBorder="1" applyProtection="1">
      <protection locked="0"/>
    </xf>
    <xf numFmtId="182" fontId="24" fillId="0" borderId="123" xfId="34" applyNumberFormat="1" applyFont="1" applyFill="1" applyBorder="1" applyProtection="1">
      <protection locked="0"/>
    </xf>
    <xf numFmtId="182" fontId="20" fillId="0" borderId="121" xfId="34" applyNumberFormat="1" applyFont="1" applyFill="1" applyBorder="1" applyProtection="1">
      <protection locked="0"/>
    </xf>
    <xf numFmtId="182" fontId="20" fillId="0" borderId="122" xfId="34" applyNumberFormat="1" applyFont="1" applyFill="1" applyBorder="1" applyProtection="1">
      <protection locked="0"/>
    </xf>
    <xf numFmtId="182" fontId="20" fillId="0" borderId="129" xfId="34" applyNumberFormat="1" applyFont="1" applyFill="1" applyBorder="1" applyProtection="1">
      <protection locked="0"/>
    </xf>
    <xf numFmtId="182" fontId="25" fillId="24" borderId="124" xfId="34" applyNumberFormat="1" applyFont="1" applyFill="1" applyBorder="1"/>
    <xf numFmtId="182" fontId="23" fillId="23" borderId="124" xfId="34" applyNumberFormat="1" applyFont="1" applyFill="1" applyBorder="1"/>
    <xf numFmtId="182" fontId="24" fillId="0" borderId="121" xfId="34" applyNumberFormat="1" applyFont="1" applyFill="1" applyBorder="1" applyProtection="1">
      <protection locked="0"/>
    </xf>
    <xf numFmtId="182" fontId="24" fillId="0" borderId="131" xfId="34" applyNumberFormat="1" applyFont="1" applyFill="1" applyBorder="1" applyProtection="1">
      <protection locked="0"/>
    </xf>
    <xf numFmtId="182" fontId="24" fillId="22" borderId="19" xfId="34" applyNumberFormat="1" applyFont="1" applyFill="1" applyBorder="1" applyProtection="1">
      <protection locked="0"/>
    </xf>
    <xf numFmtId="182" fontId="27" fillId="23" borderId="124" xfId="34" applyNumberFormat="1" applyFont="1" applyFill="1" applyBorder="1"/>
    <xf numFmtId="182" fontId="20" fillId="0" borderId="19" xfId="34" applyNumberFormat="1" applyFont="1" applyFill="1" applyBorder="1" applyProtection="1">
      <protection locked="0"/>
    </xf>
    <xf numFmtId="182" fontId="20" fillId="0" borderId="38" xfId="34" applyNumberFormat="1" applyFont="1" applyFill="1" applyBorder="1" applyProtection="1">
      <protection locked="0"/>
    </xf>
    <xf numFmtId="182" fontId="27" fillId="25" borderId="38" xfId="34" applyNumberFormat="1" applyFont="1" applyFill="1" applyBorder="1"/>
    <xf numFmtId="182" fontId="21" fillId="0" borderId="38" xfId="34" applyNumberFormat="1" applyFont="1" applyFill="1" applyBorder="1" applyProtection="1">
      <protection locked="0"/>
    </xf>
    <xf numFmtId="182" fontId="27" fillId="23" borderId="38" xfId="34" applyNumberFormat="1" applyFont="1" applyFill="1" applyBorder="1"/>
    <xf numFmtId="182" fontId="20" fillId="0" borderId="122" xfId="0" applyNumberFormat="1" applyFont="1" applyBorder="1" applyProtection="1">
      <protection locked="0"/>
    </xf>
    <xf numFmtId="182" fontId="20" fillId="0" borderId="123" xfId="34" applyNumberFormat="1" applyFont="1" applyFill="1" applyBorder="1" applyProtection="1">
      <protection locked="0"/>
    </xf>
    <xf numFmtId="182" fontId="20" fillId="0" borderId="121" xfId="0" applyNumberFormat="1" applyFont="1" applyBorder="1" applyProtection="1">
      <protection locked="0"/>
    </xf>
    <xf numFmtId="182" fontId="22" fillId="24" borderId="124" xfId="34" applyNumberFormat="1" applyFont="1" applyFill="1" applyBorder="1"/>
    <xf numFmtId="182" fontId="41" fillId="22" borderId="88" xfId="34" applyNumberFormat="1" applyFont="1" applyFill="1" applyBorder="1" applyProtection="1"/>
    <xf numFmtId="182" fontId="41" fillId="22" borderId="89" xfId="34" applyNumberFormat="1" applyFont="1" applyFill="1" applyBorder="1" applyProtection="1"/>
    <xf numFmtId="182" fontId="41" fillId="22" borderId="87" xfId="34" applyNumberFormat="1" applyFont="1" applyFill="1" applyBorder="1" applyProtection="1"/>
    <xf numFmtId="182" fontId="41" fillId="22" borderId="88" xfId="0" applyNumberFormat="1" applyFont="1" applyFill="1" applyBorder="1"/>
    <xf numFmtId="182" fontId="42" fillId="22" borderId="87" xfId="34" applyNumberFormat="1" applyFont="1" applyFill="1" applyBorder="1" applyProtection="1"/>
    <xf numFmtId="182" fontId="42" fillId="22" borderId="88" xfId="34" applyNumberFormat="1" applyFont="1" applyFill="1" applyBorder="1" applyProtection="1"/>
    <xf numFmtId="182" fontId="42" fillId="22" borderId="89" xfId="34" applyNumberFormat="1" applyFont="1" applyFill="1" applyBorder="1" applyProtection="1"/>
    <xf numFmtId="182" fontId="40" fillId="24" borderId="77" xfId="34" applyNumberFormat="1" applyFont="1" applyFill="1" applyBorder="1" applyProtection="1"/>
    <xf numFmtId="182" fontId="42" fillId="22" borderId="98" xfId="34" applyNumberFormat="1" applyFont="1" applyFill="1" applyBorder="1" applyProtection="1"/>
    <xf numFmtId="182" fontId="42" fillId="22" borderId="77" xfId="34" applyNumberFormat="1" applyFont="1" applyFill="1" applyBorder="1" applyProtection="1"/>
    <xf numFmtId="182" fontId="41" fillId="22" borderId="77" xfId="34" applyNumberFormat="1" applyFont="1" applyFill="1" applyBorder="1" applyProtection="1"/>
    <xf numFmtId="182" fontId="41" fillId="22" borderId="23" xfId="34" applyNumberFormat="1" applyFont="1" applyFill="1" applyBorder="1" applyProtection="1"/>
    <xf numFmtId="182" fontId="41" fillId="22" borderId="90" xfId="34" applyNumberFormat="1" applyFont="1" applyFill="1" applyBorder="1" applyProtection="1"/>
    <xf numFmtId="182" fontId="45" fillId="22" borderId="0" xfId="0" applyNumberFormat="1" applyFont="1" applyFill="1"/>
    <xf numFmtId="182" fontId="22" fillId="22" borderId="0" xfId="0" applyNumberFormat="1" applyFont="1" applyFill="1"/>
    <xf numFmtId="183" fontId="20" fillId="0" borderId="22" xfId="0" applyNumberFormat="1" applyFont="1" applyBorder="1"/>
    <xf numFmtId="183" fontId="20" fillId="0" borderId="83" xfId="0" applyNumberFormat="1" applyFont="1" applyBorder="1"/>
    <xf numFmtId="183" fontId="20" fillId="0" borderId="80" xfId="0" applyNumberFormat="1" applyFont="1" applyBorder="1"/>
    <xf numFmtId="183" fontId="20" fillId="0" borderId="133" xfId="0" applyNumberFormat="1" applyFont="1" applyBorder="1"/>
    <xf numFmtId="183" fontId="20" fillId="0" borderId="37" xfId="0" applyNumberFormat="1" applyFont="1" applyBorder="1"/>
    <xf numFmtId="183" fontId="20" fillId="0" borderId="136" xfId="0" applyNumberFormat="1" applyFont="1" applyBorder="1"/>
    <xf numFmtId="182" fontId="20" fillId="0" borderId="138" xfId="34" applyNumberFormat="1" applyFont="1" applyBorder="1" applyProtection="1">
      <protection locked="0"/>
    </xf>
    <xf numFmtId="182" fontId="20" fillId="0" borderId="139" xfId="34" applyNumberFormat="1" applyFont="1" applyBorder="1" applyProtection="1">
      <protection locked="0"/>
    </xf>
    <xf numFmtId="182" fontId="20" fillId="0" borderId="140" xfId="34" applyNumberFormat="1" applyFont="1" applyBorder="1" applyProtection="1">
      <protection locked="0"/>
    </xf>
    <xf numFmtId="182" fontId="21" fillId="24" borderId="104" xfId="34" applyNumberFormat="1" applyFont="1" applyFill="1" applyBorder="1"/>
    <xf numFmtId="183" fontId="21" fillId="0" borderId="141" xfId="34" applyNumberFormat="1" applyFont="1" applyFill="1" applyBorder="1" applyProtection="1">
      <protection locked="0"/>
    </xf>
    <xf numFmtId="183" fontId="21" fillId="0" borderId="142" xfId="34" applyNumberFormat="1" applyFont="1" applyFill="1" applyBorder="1" applyProtection="1">
      <protection locked="0"/>
    </xf>
    <xf numFmtId="182" fontId="21" fillId="24" borderId="141" xfId="34" applyNumberFormat="1" applyFont="1" applyFill="1" applyBorder="1" applyProtection="1"/>
    <xf numFmtId="182" fontId="20" fillId="0" borderId="143" xfId="34" applyNumberFormat="1" applyFont="1" applyBorder="1" applyProtection="1">
      <protection locked="0"/>
    </xf>
    <xf numFmtId="182" fontId="20" fillId="0" borderId="141" xfId="34" applyNumberFormat="1" applyFont="1" applyBorder="1" applyProtection="1">
      <protection locked="0"/>
    </xf>
    <xf numFmtId="182" fontId="20" fillId="0" borderId="142" xfId="34" applyNumberFormat="1" applyFont="1" applyBorder="1" applyProtection="1">
      <protection locked="0"/>
    </xf>
    <xf numFmtId="182" fontId="21" fillId="25" borderId="142" xfId="34" applyNumberFormat="1" applyFont="1" applyFill="1" applyBorder="1"/>
    <xf numFmtId="182" fontId="21" fillId="0" borderId="142" xfId="34" applyNumberFormat="1" applyFont="1" applyFill="1" applyBorder="1" applyProtection="1">
      <protection locked="0"/>
    </xf>
    <xf numFmtId="177" fontId="21" fillId="0" borderId="141" xfId="34" applyNumberFormat="1" applyFont="1" applyBorder="1" applyAlignment="1" applyProtection="1">
      <alignment horizontal="center"/>
      <protection locked="0"/>
    </xf>
    <xf numFmtId="182" fontId="20" fillId="0" borderId="138" xfId="34" applyNumberFormat="1" applyFont="1" applyBorder="1" applyAlignment="1" applyProtection="1">
      <alignment horizontal="right"/>
      <protection locked="0"/>
    </xf>
    <xf numFmtId="182" fontId="20" fillId="0" borderId="144" xfId="34" applyNumberFormat="1" applyFont="1" applyBorder="1" applyProtection="1">
      <protection locked="0"/>
    </xf>
    <xf numFmtId="0" fontId="21" fillId="18" borderId="146" xfId="0" applyFont="1" applyFill="1" applyBorder="1" applyAlignment="1">
      <alignment horizontal="center" vertical="center" wrapText="1"/>
    </xf>
    <xf numFmtId="0" fontId="0" fillId="18" borderId="147" xfId="0" applyFill="1" applyBorder="1" applyAlignment="1">
      <alignment horizontal="center" vertical="center" wrapText="1"/>
    </xf>
    <xf numFmtId="0" fontId="0" fillId="18" borderId="148" xfId="0" applyFill="1" applyBorder="1" applyAlignment="1">
      <alignment horizontal="center" vertical="center" wrapText="1"/>
    </xf>
    <xf numFmtId="0" fontId="0" fillId="18" borderId="102" xfId="0" applyFill="1" applyBorder="1" applyAlignment="1">
      <alignment horizontal="center" vertical="center" wrapText="1"/>
    </xf>
    <xf numFmtId="0" fontId="0" fillId="18" borderId="116" xfId="0" applyFill="1" applyBorder="1" applyAlignment="1">
      <alignment horizontal="center" vertical="center" wrapText="1"/>
    </xf>
    <xf numFmtId="0" fontId="0" fillId="18" borderId="149" xfId="0" applyFill="1" applyBorder="1" applyAlignment="1">
      <alignment horizontal="center" vertical="center" wrapText="1"/>
    </xf>
    <xf numFmtId="181" fontId="21" fillId="0" borderId="38" xfId="0" applyNumberFormat="1" applyFont="1" applyBorder="1" applyAlignment="1">
      <alignment horizontal="center"/>
    </xf>
    <xf numFmtId="181" fontId="21" fillId="0" borderId="13" xfId="0" applyNumberFormat="1" applyFont="1" applyBorder="1" applyAlignment="1">
      <alignment horizontal="center"/>
    </xf>
    <xf numFmtId="178" fontId="21" fillId="0" borderId="23" xfId="0" applyNumberFormat="1" applyFont="1" applyBorder="1" applyAlignment="1">
      <alignment horizontal="center"/>
    </xf>
    <xf numFmtId="178" fontId="21" fillId="0" borderId="39" xfId="0" applyNumberFormat="1" applyFont="1" applyBorder="1" applyAlignment="1">
      <alignment horizontal="center"/>
    </xf>
    <xf numFmtId="183" fontId="20" fillId="0" borderId="83" xfId="0" applyNumberFormat="1" applyFont="1" applyBorder="1" applyAlignment="1">
      <alignment horizontal="center"/>
    </xf>
    <xf numFmtId="183" fontId="20" fillId="0" borderId="136" xfId="0" applyNumberFormat="1" applyFont="1" applyBorder="1" applyAlignment="1">
      <alignment horizontal="center"/>
    </xf>
    <xf numFmtId="183" fontId="20" fillId="0" borderId="22" xfId="0" applyNumberFormat="1" applyFont="1" applyBorder="1" applyAlignment="1">
      <alignment horizontal="center"/>
    </xf>
    <xf numFmtId="183" fontId="20" fillId="0" borderId="37" xfId="0" applyNumberFormat="1" applyFont="1" applyBorder="1" applyAlignment="1">
      <alignment horizontal="center"/>
    </xf>
    <xf numFmtId="183" fontId="20" fillId="0" borderId="80" xfId="0" applyNumberFormat="1" applyFont="1" applyBorder="1" applyAlignment="1">
      <alignment horizontal="center"/>
    </xf>
    <xf numFmtId="183" fontId="20" fillId="0" borderId="133" xfId="0" applyNumberFormat="1" applyFont="1" applyBorder="1" applyAlignment="1">
      <alignment horizontal="center"/>
    </xf>
    <xf numFmtId="181" fontId="21" fillId="22" borderId="55" xfId="0" applyNumberFormat="1" applyFont="1" applyFill="1" applyBorder="1" applyAlignment="1">
      <alignment horizontal="center"/>
    </xf>
    <xf numFmtId="181" fontId="21" fillId="22" borderId="13" xfId="0" applyNumberFormat="1" applyFont="1" applyFill="1" applyBorder="1" applyAlignment="1">
      <alignment horizontal="center"/>
    </xf>
    <xf numFmtId="181" fontId="21" fillId="26" borderId="38" xfId="0" applyNumberFormat="1" applyFont="1" applyFill="1" applyBorder="1" applyAlignment="1">
      <alignment horizontal="center"/>
    </xf>
    <xf numFmtId="181" fontId="21" fillId="26" borderId="13" xfId="0" applyNumberFormat="1" applyFont="1" applyFill="1" applyBorder="1" applyAlignment="1">
      <alignment horizontal="center"/>
    </xf>
    <xf numFmtId="181" fontId="21" fillId="22" borderId="38" xfId="0" applyNumberFormat="1" applyFont="1" applyFill="1" applyBorder="1" applyAlignment="1">
      <alignment horizontal="center"/>
    </xf>
    <xf numFmtId="178" fontId="21" fillId="22" borderId="23" xfId="0" applyNumberFormat="1" applyFont="1" applyFill="1" applyBorder="1" applyAlignment="1">
      <alignment horizontal="center"/>
    </xf>
    <xf numFmtId="178" fontId="21" fillId="22" borderId="39" xfId="0" applyNumberFormat="1" applyFont="1" applyFill="1" applyBorder="1" applyAlignment="1">
      <alignment horizontal="center"/>
    </xf>
    <xf numFmtId="178" fontId="21" fillId="0" borderId="13" xfId="0" applyNumberFormat="1" applyFont="1" applyBorder="1" applyAlignment="1">
      <alignment horizontal="center"/>
    </xf>
    <xf numFmtId="178" fontId="21" fillId="0" borderId="200" xfId="0" applyNumberFormat="1" applyFont="1" applyBorder="1" applyAlignment="1">
      <alignment horizontal="center"/>
    </xf>
    <xf numFmtId="0" fontId="21" fillId="20" borderId="102" xfId="0" applyFont="1" applyFill="1" applyBorder="1" applyAlignment="1">
      <alignment horizontal="center"/>
    </xf>
    <xf numFmtId="0" fontId="21" fillId="20" borderId="116" xfId="0" applyFont="1" applyFill="1" applyBorder="1" applyAlignment="1">
      <alignment horizontal="center"/>
    </xf>
    <xf numFmtId="0" fontId="21" fillId="21" borderId="109" xfId="0" applyFont="1" applyFill="1" applyBorder="1" applyAlignment="1">
      <alignment horizontal="center"/>
    </xf>
    <xf numFmtId="0" fontId="21" fillId="21" borderId="116" xfId="0" applyFont="1" applyFill="1" applyBorder="1" applyAlignment="1">
      <alignment horizontal="center"/>
    </xf>
    <xf numFmtId="0" fontId="21" fillId="18" borderId="177" xfId="0" applyFont="1" applyFill="1" applyBorder="1" applyAlignment="1">
      <alignment horizontal="center"/>
    </xf>
    <xf numFmtId="0" fontId="21" fillId="18" borderId="116" xfId="0" applyFont="1" applyFill="1" applyBorder="1" applyAlignment="1">
      <alignment horizontal="center"/>
    </xf>
    <xf numFmtId="0" fontId="21" fillId="18" borderId="195" xfId="0" applyFont="1" applyFill="1" applyBorder="1" applyAlignment="1">
      <alignment horizontal="center"/>
    </xf>
    <xf numFmtId="178" fontId="21" fillId="0" borderId="86" xfId="0" applyNumberFormat="1" applyFont="1" applyBorder="1" applyAlignment="1">
      <alignment horizontal="center"/>
    </xf>
    <xf numFmtId="178" fontId="21" fillId="0" borderId="47" xfId="0" applyNumberFormat="1" applyFont="1" applyBorder="1" applyAlignment="1">
      <alignment horizontal="center"/>
    </xf>
    <xf numFmtId="178" fontId="21" fillId="0" borderId="197" xfId="0" applyNumberFormat="1" applyFont="1" applyBorder="1" applyAlignment="1">
      <alignment horizontal="center"/>
    </xf>
    <xf numFmtId="181" fontId="21" fillId="0" borderId="151" xfId="0" applyNumberFormat="1" applyFont="1" applyBorder="1" applyAlignment="1">
      <alignment horizontal="center"/>
    </xf>
    <xf numFmtId="181" fontId="21" fillId="0" borderId="198" xfId="0" applyNumberFormat="1" applyFont="1" applyBorder="1" applyAlignment="1">
      <alignment horizontal="center"/>
    </xf>
    <xf numFmtId="181" fontId="21" fillId="0" borderId="199" xfId="0" applyNumberFormat="1" applyFont="1" applyBorder="1" applyAlignment="1">
      <alignment horizontal="center"/>
    </xf>
    <xf numFmtId="181" fontId="21" fillId="0" borderId="55" xfId="0" applyNumberFormat="1" applyFont="1" applyBorder="1" applyAlignment="1">
      <alignment horizontal="center"/>
    </xf>
    <xf numFmtId="0" fontId="21" fillId="0" borderId="145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8" fontId="21" fillId="26" borderId="23" xfId="0" applyNumberFormat="1" applyFont="1" applyFill="1" applyBorder="1" applyAlignment="1">
      <alignment horizontal="center"/>
    </xf>
    <xf numFmtId="178" fontId="21" fillId="26" borderId="39" xfId="0" applyNumberFormat="1" applyFont="1" applyFill="1" applyBorder="1" applyAlignment="1">
      <alignment horizontal="center"/>
    </xf>
    <xf numFmtId="178" fontId="21" fillId="22" borderId="13" xfId="0" applyNumberFormat="1" applyFont="1" applyFill="1" applyBorder="1" applyAlignment="1">
      <alignment horizontal="center"/>
    </xf>
    <xf numFmtId="0" fontId="21" fillId="19" borderId="109" xfId="0" applyFont="1" applyFill="1" applyBorder="1" applyAlignment="1">
      <alignment horizontal="center"/>
    </xf>
    <xf numFmtId="0" fontId="21" fillId="19" borderId="116" xfId="0" applyFont="1" applyFill="1" applyBorder="1" applyAlignment="1">
      <alignment horizontal="center"/>
    </xf>
    <xf numFmtId="0" fontId="21" fillId="19" borderId="150" xfId="0" applyFont="1" applyFill="1" applyBorder="1" applyAlignment="1">
      <alignment horizontal="center"/>
    </xf>
    <xf numFmtId="0" fontId="21" fillId="19" borderId="146" xfId="0" applyFont="1" applyFill="1" applyBorder="1" applyAlignment="1">
      <alignment horizontal="center"/>
    </xf>
    <xf numFmtId="0" fontId="21" fillId="19" borderId="147" xfId="0" applyFont="1" applyFill="1" applyBorder="1" applyAlignment="1">
      <alignment horizontal="center"/>
    </xf>
    <xf numFmtId="0" fontId="21" fillId="19" borderId="148" xfId="0" applyFont="1" applyFill="1" applyBorder="1" applyAlignment="1">
      <alignment horizontal="center"/>
    </xf>
    <xf numFmtId="178" fontId="21" fillId="0" borderId="14" xfId="0" applyNumberFormat="1" applyFont="1" applyBorder="1" applyAlignment="1">
      <alignment horizontal="center"/>
    </xf>
    <xf numFmtId="0" fontId="21" fillId="19" borderId="149" xfId="0" applyFont="1" applyFill="1" applyBorder="1" applyAlignment="1">
      <alignment horizontal="center"/>
    </xf>
    <xf numFmtId="0" fontId="21" fillId="20" borderId="146" xfId="0" applyFont="1" applyFill="1" applyBorder="1" applyAlignment="1">
      <alignment horizontal="center"/>
    </xf>
    <xf numFmtId="0" fontId="21" fillId="20" borderId="147" xfId="0" applyFont="1" applyFill="1" applyBorder="1" applyAlignment="1">
      <alignment horizontal="center"/>
    </xf>
    <xf numFmtId="0" fontId="21" fillId="20" borderId="148" xfId="0" applyFont="1" applyFill="1" applyBorder="1" applyAlignment="1">
      <alignment horizontal="center"/>
    </xf>
    <xf numFmtId="181" fontId="21" fillId="22" borderId="23" xfId="0" applyNumberFormat="1" applyFont="1" applyFill="1" applyBorder="1" applyAlignment="1">
      <alignment horizontal="center"/>
    </xf>
    <xf numFmtId="0" fontId="21" fillId="20" borderId="120" xfId="0" applyFont="1" applyFill="1" applyBorder="1" applyAlignment="1">
      <alignment horizontal="center"/>
    </xf>
    <xf numFmtId="0" fontId="21" fillId="20" borderId="86" xfId="0" applyFont="1" applyFill="1" applyBorder="1" applyAlignment="1">
      <alignment horizontal="center"/>
    </xf>
    <xf numFmtId="0" fontId="21" fillId="20" borderId="66" xfId="0" applyFont="1" applyFill="1" applyBorder="1" applyAlignment="1">
      <alignment horizontal="center"/>
    </xf>
    <xf numFmtId="0" fontId="21" fillId="19" borderId="102" xfId="0" applyFont="1" applyFill="1" applyBorder="1" applyAlignment="1">
      <alignment horizontal="center"/>
    </xf>
    <xf numFmtId="0" fontId="21" fillId="18" borderId="185" xfId="0" applyFont="1" applyFill="1" applyBorder="1" applyAlignment="1">
      <alignment horizontal="center"/>
    </xf>
    <xf numFmtId="0" fontId="21" fillId="18" borderId="196" xfId="0" applyFont="1" applyFill="1" applyBorder="1" applyAlignment="1">
      <alignment horizontal="center"/>
    </xf>
    <xf numFmtId="178" fontId="21" fillId="0" borderId="171" xfId="0" applyNumberFormat="1" applyFont="1" applyBorder="1" applyAlignment="1">
      <alignment horizontal="center"/>
    </xf>
    <xf numFmtId="0" fontId="21" fillId="20" borderId="201" xfId="0" applyFont="1" applyFill="1" applyBorder="1" applyAlignment="1">
      <alignment horizontal="center"/>
    </xf>
    <xf numFmtId="180" fontId="20" fillId="0" borderId="80" xfId="0" applyNumberFormat="1" applyFont="1" applyBorder="1" applyAlignment="1">
      <alignment horizontal="center"/>
    </xf>
    <xf numFmtId="180" fontId="20" fillId="0" borderId="133" xfId="0" applyNumberFormat="1" applyFont="1" applyBorder="1" applyAlignment="1">
      <alignment horizontal="center"/>
    </xf>
    <xf numFmtId="180" fontId="20" fillId="0" borderId="22" xfId="0" applyNumberFormat="1" applyFont="1" applyBorder="1" applyAlignment="1">
      <alignment horizontal="center"/>
    </xf>
    <xf numFmtId="180" fontId="20" fillId="0" borderId="37" xfId="0" applyNumberFormat="1" applyFont="1" applyBorder="1" applyAlignment="1">
      <alignment horizontal="center"/>
    </xf>
    <xf numFmtId="180" fontId="20" fillId="0" borderId="83" xfId="0" applyNumberFormat="1" applyFont="1" applyBorder="1" applyAlignment="1">
      <alignment horizontal="center"/>
    </xf>
    <xf numFmtId="180" fontId="20" fillId="0" borderId="136" xfId="0" applyNumberFormat="1" applyFont="1" applyBorder="1" applyAlignment="1">
      <alignment horizontal="center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パーセント" xfId="28" builtinId="5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26\&#32076;&#29702;&#35506;\&#26376;&#27425;BS&#12539;PL\&#31532;&#65304;&#65304;&#26399;\88.&#65302;&#26376;&#65328;&#65324;&#2603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26\&#32076;&#29702;&#35506;\&#26376;&#27425;BS&#12539;PL\&#31532;&#65304;&#65304;&#26399;\88.&#65303;&#26376;&#65328;&#65324;&#260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26\&#32076;&#29702;&#35506;\&#26376;&#27425;BS&#12539;PL\&#31532;&#65304;&#65304;&#26399;\88.&#65304;&#26376;&#65328;&#65324;&#260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26\&#32076;&#29702;&#35506;\&#26376;&#27425;BS&#12539;PL\&#31532;&#65304;&#65304;&#26399;\88.&#65305;&#26376;&#65328;&#65324;&#2603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26\&#32076;&#29702;&#35506;\&#26376;&#27425;BS&#12539;PL\&#31532;&#65304;&#65304;&#26399;\88.10&#26376;&#65328;&#65324;&#2603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26\&#32076;&#29702;&#35506;\&#26376;&#27425;BS&#12539;PL\&#31532;&#65304;&#65304;&#26399;\88.11&#26376;&#65328;&#65324;&#26032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26\&#32076;&#29702;&#35506;\&#26376;&#27425;BS&#12539;PL\&#31532;&#65304;&#65304;&#26399;\88.12&#26376;&#65328;&#65324;&#26032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26\&#32076;&#29702;&#35506;\&#26376;&#27425;BS&#12539;PL\&#31532;&#65304;&#65304;&#26399;\88.&#65297;&#26376;&#65328;&#65324;&#26032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26\&#32076;&#29702;&#35506;\&#26376;&#27425;BS&#12539;PL\&#31532;&#65304;&#65304;&#26399;\88.&#65298;&#26376;&#65328;&#65324;&#26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社合計"/>
      <sheetName val="本部"/>
      <sheetName val="本社合計"/>
      <sheetName val="本社営業"/>
      <sheetName val="東大阪"/>
      <sheetName val="南港事務"/>
      <sheetName val="南港工場"/>
      <sheetName val="南港合計"/>
      <sheetName val="東京事務"/>
      <sheetName val="東京工場"/>
      <sheetName val="東京合計"/>
      <sheetName val="社内金利"/>
    </sheetNames>
    <sheetDataSet>
      <sheetData sheetId="0">
        <row r="5">
          <cell r="N5">
            <v>655350010</v>
          </cell>
        </row>
        <row r="6">
          <cell r="N6">
            <v>80023208</v>
          </cell>
        </row>
        <row r="7">
          <cell r="N7">
            <v>14310081</v>
          </cell>
        </row>
        <row r="8">
          <cell r="N8">
            <v>3799887</v>
          </cell>
        </row>
        <row r="9">
          <cell r="N9">
            <v>213624607</v>
          </cell>
        </row>
        <row r="11">
          <cell r="N11">
            <v>4336706</v>
          </cell>
        </row>
        <row r="12">
          <cell r="N12">
            <v>3535788</v>
          </cell>
        </row>
        <row r="13">
          <cell r="N13">
            <v>10538573</v>
          </cell>
        </row>
        <row r="14">
          <cell r="N14">
            <v>1816376496</v>
          </cell>
        </row>
        <row r="15">
          <cell r="N15">
            <v>867747663</v>
          </cell>
        </row>
        <row r="16">
          <cell r="N16">
            <v>1864108715</v>
          </cell>
        </row>
        <row r="19">
          <cell r="N19">
            <v>36878679</v>
          </cell>
        </row>
        <row r="20">
          <cell r="N20">
            <v>1081228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899087</v>
          </cell>
        </row>
        <row r="24">
          <cell r="N24">
            <v>1127978</v>
          </cell>
        </row>
        <row r="25">
          <cell r="N25">
            <v>240981</v>
          </cell>
        </row>
        <row r="26">
          <cell r="N26">
            <v>377291</v>
          </cell>
        </row>
        <row r="27">
          <cell r="N27">
            <v>600000</v>
          </cell>
        </row>
        <row r="28">
          <cell r="N28">
            <v>367814</v>
          </cell>
        </row>
        <row r="29">
          <cell r="N29">
            <v>896717</v>
          </cell>
        </row>
        <row r="30">
          <cell r="N30">
            <v>1323813</v>
          </cell>
        </row>
        <row r="31">
          <cell r="N31">
            <v>1486264</v>
          </cell>
        </row>
        <row r="32">
          <cell r="N32">
            <v>2887731</v>
          </cell>
        </row>
        <row r="33">
          <cell r="N33">
            <v>1613174</v>
          </cell>
        </row>
        <row r="34">
          <cell r="N34">
            <v>496966</v>
          </cell>
        </row>
        <row r="35">
          <cell r="N35">
            <v>217865</v>
          </cell>
        </row>
        <row r="36">
          <cell r="N36">
            <v>240058</v>
          </cell>
        </row>
        <row r="37">
          <cell r="N37">
            <v>0</v>
          </cell>
        </row>
        <row r="38">
          <cell r="N38">
            <v>83588</v>
          </cell>
        </row>
        <row r="39">
          <cell r="N39">
            <v>4445</v>
          </cell>
        </row>
        <row r="40">
          <cell r="N40">
            <v>28958</v>
          </cell>
        </row>
        <row r="41">
          <cell r="N41">
            <v>335073</v>
          </cell>
        </row>
        <row r="42">
          <cell r="N42">
            <v>0</v>
          </cell>
        </row>
        <row r="43">
          <cell r="N43">
            <v>12762673</v>
          </cell>
        </row>
        <row r="44">
          <cell r="N44">
            <v>1280000</v>
          </cell>
        </row>
        <row r="45">
          <cell r="N45">
            <v>0</v>
          </cell>
        </row>
        <row r="46">
          <cell r="N46">
            <v>30000</v>
          </cell>
        </row>
        <row r="49">
          <cell r="N49">
            <v>1178102</v>
          </cell>
        </row>
        <row r="50">
          <cell r="N50">
            <v>0</v>
          </cell>
        </row>
        <row r="51">
          <cell r="N51">
            <v>1910000</v>
          </cell>
        </row>
        <row r="52">
          <cell r="N52">
            <v>0</v>
          </cell>
        </row>
        <row r="53">
          <cell r="N53">
            <v>8952836</v>
          </cell>
        </row>
        <row r="55">
          <cell r="N55">
            <v>649639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500000</v>
          </cell>
        </row>
        <row r="61">
          <cell r="N61">
            <v>9223</v>
          </cell>
        </row>
        <row r="63">
          <cell r="N63">
            <v>0</v>
          </cell>
        </row>
        <row r="65">
          <cell r="N65">
            <v>0</v>
          </cell>
        </row>
        <row r="66">
          <cell r="N66">
            <v>0</v>
          </cell>
        </row>
        <row r="68">
          <cell r="N68">
            <v>78</v>
          </cell>
        </row>
        <row r="70">
          <cell r="N70">
            <v>0</v>
          </cell>
        </row>
        <row r="71">
          <cell r="N71">
            <v>7095000</v>
          </cell>
        </row>
        <row r="72">
          <cell r="N72">
            <v>1495000</v>
          </cell>
        </row>
        <row r="73">
          <cell r="N73">
            <v>26778</v>
          </cell>
        </row>
        <row r="74">
          <cell r="N74">
            <v>0</v>
          </cell>
        </row>
        <row r="75">
          <cell r="N75">
            <v>672000</v>
          </cell>
        </row>
      </sheetData>
      <sheetData sheetId="1">
        <row r="19">
          <cell r="L19">
            <v>5756800</v>
          </cell>
        </row>
        <row r="20">
          <cell r="L20">
            <v>56110</v>
          </cell>
        </row>
        <row r="21">
          <cell r="L21"/>
        </row>
        <row r="22">
          <cell r="L22"/>
        </row>
        <row r="23">
          <cell r="L23">
            <v>535788</v>
          </cell>
        </row>
        <row r="24">
          <cell r="L24">
            <v>45000</v>
          </cell>
        </row>
        <row r="25">
          <cell r="L25">
            <v>129379</v>
          </cell>
        </row>
        <row r="26">
          <cell r="L26">
            <v>328701</v>
          </cell>
        </row>
        <row r="27">
          <cell r="L27"/>
        </row>
        <row r="28">
          <cell r="L28">
            <v>377326</v>
          </cell>
        </row>
        <row r="29">
          <cell r="L29"/>
        </row>
        <row r="30">
          <cell r="L30">
            <v>12910</v>
          </cell>
        </row>
        <row r="31">
          <cell r="L31">
            <v>189304</v>
          </cell>
        </row>
        <row r="32">
          <cell r="L32">
            <v>453880</v>
          </cell>
        </row>
        <row r="33">
          <cell r="L33">
            <v>197626</v>
          </cell>
        </row>
        <row r="34">
          <cell r="L34"/>
        </row>
        <row r="35">
          <cell r="L35">
            <v>221520</v>
          </cell>
        </row>
        <row r="36">
          <cell r="L36">
            <v>47881</v>
          </cell>
        </row>
        <row r="37">
          <cell r="L37"/>
        </row>
        <row r="38">
          <cell r="L38"/>
        </row>
        <row r="39">
          <cell r="L39">
            <v>4445</v>
          </cell>
        </row>
        <row r="40">
          <cell r="L40"/>
        </row>
        <row r="41">
          <cell r="L41">
            <v>33800</v>
          </cell>
        </row>
        <row r="42">
          <cell r="L42"/>
        </row>
        <row r="43">
          <cell r="L43"/>
        </row>
        <row r="44">
          <cell r="L44">
            <v>-165000</v>
          </cell>
        </row>
        <row r="45">
          <cell r="L45"/>
        </row>
        <row r="46">
          <cell r="L46">
            <v>30000</v>
          </cell>
        </row>
        <row r="49">
          <cell r="L49">
            <v>1441751</v>
          </cell>
        </row>
        <row r="50">
          <cell r="L50"/>
        </row>
        <row r="51">
          <cell r="L51">
            <v>1063000</v>
          </cell>
        </row>
        <row r="52">
          <cell r="L52"/>
        </row>
        <row r="53">
          <cell r="L53"/>
        </row>
        <row r="55">
          <cell r="L55">
            <v>635280</v>
          </cell>
        </row>
        <row r="56">
          <cell r="L56"/>
        </row>
        <row r="57">
          <cell r="L57"/>
        </row>
        <row r="58">
          <cell r="L58"/>
        </row>
        <row r="59">
          <cell r="L59"/>
        </row>
        <row r="60">
          <cell r="L60">
            <v>500000</v>
          </cell>
        </row>
        <row r="61">
          <cell r="L61"/>
        </row>
        <row r="63">
          <cell r="L63">
            <v>-6885999</v>
          </cell>
        </row>
        <row r="65">
          <cell r="L65"/>
        </row>
        <row r="66">
          <cell r="L66"/>
        </row>
        <row r="68">
          <cell r="L68">
            <v>6</v>
          </cell>
        </row>
        <row r="70">
          <cell r="L70"/>
        </row>
        <row r="71">
          <cell r="L71">
            <v>850000</v>
          </cell>
        </row>
        <row r="72">
          <cell r="L72">
            <v>115000</v>
          </cell>
        </row>
        <row r="73">
          <cell r="L73"/>
        </row>
        <row r="74">
          <cell r="L74"/>
        </row>
      </sheetData>
      <sheetData sheetId="2"/>
      <sheetData sheetId="3">
        <row r="5">
          <cell r="L5">
            <v>433671542</v>
          </cell>
        </row>
        <row r="6">
          <cell r="L6">
            <v>34430373</v>
          </cell>
        </row>
        <row r="7">
          <cell r="L7">
            <v>2985710</v>
          </cell>
        </row>
        <row r="8">
          <cell r="L8">
            <v>736070</v>
          </cell>
        </row>
        <row r="9">
          <cell r="L9">
            <v>62928838</v>
          </cell>
        </row>
        <row r="11">
          <cell r="L11">
            <v>2471715</v>
          </cell>
        </row>
        <row r="13">
          <cell r="L13">
            <v>6865951</v>
          </cell>
        </row>
        <row r="14">
          <cell r="L14">
            <v>1205973702</v>
          </cell>
        </row>
        <row r="15">
          <cell r="L15">
            <v>470134699</v>
          </cell>
        </row>
        <row r="16">
          <cell r="L16">
            <v>1212643896</v>
          </cell>
        </row>
        <row r="19">
          <cell r="L19">
            <v>10130507</v>
          </cell>
        </row>
        <row r="20">
          <cell r="L20">
            <v>264862</v>
          </cell>
        </row>
        <row r="21">
          <cell r="L21"/>
        </row>
        <row r="22">
          <cell r="L22"/>
        </row>
        <row r="23">
          <cell r="L23">
            <v>101166</v>
          </cell>
        </row>
        <row r="24">
          <cell r="L24">
            <v>853650</v>
          </cell>
        </row>
        <row r="25">
          <cell r="L25">
            <v>86370</v>
          </cell>
        </row>
        <row r="26">
          <cell r="L26">
            <v>680</v>
          </cell>
        </row>
        <row r="27">
          <cell r="L27"/>
        </row>
        <row r="28">
          <cell r="L28">
            <v>104894</v>
          </cell>
        </row>
        <row r="29">
          <cell r="L29">
            <v>22000</v>
          </cell>
        </row>
        <row r="30">
          <cell r="L30">
            <v>25821</v>
          </cell>
        </row>
        <row r="31">
          <cell r="L31">
            <v>715946</v>
          </cell>
        </row>
        <row r="32">
          <cell r="L32">
            <v>903148</v>
          </cell>
        </row>
        <row r="33">
          <cell r="L33">
            <v>55000</v>
          </cell>
        </row>
        <row r="34">
          <cell r="L34">
            <v>277676</v>
          </cell>
        </row>
        <row r="35">
          <cell r="L35"/>
        </row>
        <row r="36">
          <cell r="L36">
            <v>25206</v>
          </cell>
        </row>
        <row r="37">
          <cell r="L37"/>
        </row>
        <row r="38">
          <cell r="L38">
            <v>35025</v>
          </cell>
        </row>
        <row r="39">
          <cell r="L39"/>
        </row>
        <row r="40">
          <cell r="L40">
            <v>19547</v>
          </cell>
        </row>
        <row r="41">
          <cell r="L41">
            <v>67000</v>
          </cell>
        </row>
        <row r="42">
          <cell r="L42">
            <v>510000</v>
          </cell>
        </row>
        <row r="43">
          <cell r="L43">
            <v>9330033</v>
          </cell>
        </row>
        <row r="44">
          <cell r="L44">
            <v>475000</v>
          </cell>
        </row>
        <row r="45">
          <cell r="L45"/>
        </row>
        <row r="46">
          <cell r="L46"/>
        </row>
        <row r="49">
          <cell r="L49"/>
        </row>
        <row r="50">
          <cell r="L50">
            <v>0</v>
          </cell>
        </row>
        <row r="51">
          <cell r="L51"/>
        </row>
        <row r="52">
          <cell r="L52">
            <v>0</v>
          </cell>
        </row>
        <row r="53">
          <cell r="L53">
            <v>33831115</v>
          </cell>
        </row>
        <row r="55">
          <cell r="L55">
            <v>177708</v>
          </cell>
        </row>
        <row r="56">
          <cell r="L56"/>
        </row>
        <row r="57">
          <cell r="L57"/>
        </row>
        <row r="58">
          <cell r="L58"/>
        </row>
        <row r="59">
          <cell r="L59"/>
        </row>
        <row r="60">
          <cell r="L60"/>
        </row>
        <row r="61">
          <cell r="L61">
            <v>44784</v>
          </cell>
        </row>
        <row r="63">
          <cell r="L63">
            <v>3387911</v>
          </cell>
        </row>
        <row r="65">
          <cell r="L65">
            <v>0</v>
          </cell>
        </row>
        <row r="66">
          <cell r="L66">
            <v>0</v>
          </cell>
        </row>
        <row r="68">
          <cell r="L68">
            <v>19</v>
          </cell>
        </row>
        <row r="70">
          <cell r="L70"/>
        </row>
        <row r="71">
          <cell r="L71">
            <v>2050000</v>
          </cell>
        </row>
        <row r="72">
          <cell r="L72">
            <v>55000</v>
          </cell>
        </row>
        <row r="73">
          <cell r="L73"/>
        </row>
        <row r="74">
          <cell r="L74"/>
        </row>
        <row r="75">
          <cell r="L75">
            <v>672000</v>
          </cell>
        </row>
      </sheetData>
      <sheetData sheetId="4">
        <row r="5">
          <cell r="L5">
            <v>512935</v>
          </cell>
        </row>
        <row r="6">
          <cell r="L6"/>
        </row>
        <row r="7">
          <cell r="L7"/>
        </row>
        <row r="8">
          <cell r="L8"/>
        </row>
        <row r="9">
          <cell r="L9">
            <v>8364925</v>
          </cell>
        </row>
        <row r="11">
          <cell r="L11">
            <v>17050</v>
          </cell>
        </row>
        <row r="15">
          <cell r="L15">
            <v>495885</v>
          </cell>
        </row>
        <row r="19">
          <cell r="L19">
            <v>3780080</v>
          </cell>
        </row>
        <row r="20">
          <cell r="L20">
            <v>163642</v>
          </cell>
        </row>
        <row r="21">
          <cell r="L21"/>
        </row>
        <row r="22">
          <cell r="L22"/>
        </row>
        <row r="23">
          <cell r="L23">
            <v>63391</v>
          </cell>
        </row>
        <row r="24">
          <cell r="L24">
            <v>96410</v>
          </cell>
        </row>
        <row r="25">
          <cell r="L25">
            <v>10180</v>
          </cell>
        </row>
        <row r="26">
          <cell r="L26">
            <v>7170</v>
          </cell>
        </row>
        <row r="27">
          <cell r="L27">
            <v>14400</v>
          </cell>
        </row>
        <row r="28">
          <cell r="L28">
            <v>4120</v>
          </cell>
        </row>
        <row r="29">
          <cell r="L29">
            <v>268490</v>
          </cell>
        </row>
        <row r="30">
          <cell r="L30">
            <v>433946</v>
          </cell>
        </row>
        <row r="31">
          <cell r="L31">
            <v>112818</v>
          </cell>
        </row>
        <row r="32">
          <cell r="L32">
            <v>159200</v>
          </cell>
        </row>
        <row r="33">
          <cell r="L33">
            <v>440000</v>
          </cell>
        </row>
        <row r="34">
          <cell r="L34"/>
        </row>
        <row r="35">
          <cell r="L35"/>
        </row>
        <row r="36">
          <cell r="L36">
            <v>24911</v>
          </cell>
        </row>
        <row r="37">
          <cell r="L37">
            <v>37692</v>
          </cell>
        </row>
        <row r="38">
          <cell r="L38"/>
        </row>
        <row r="39">
          <cell r="L39"/>
        </row>
        <row r="40">
          <cell r="L40"/>
        </row>
        <row r="41">
          <cell r="L41">
            <v>10000</v>
          </cell>
        </row>
        <row r="42">
          <cell r="L42"/>
        </row>
        <row r="43">
          <cell r="L43">
            <v>-510100</v>
          </cell>
        </row>
        <row r="44">
          <cell r="L44">
            <v>375000</v>
          </cell>
        </row>
        <row r="45">
          <cell r="L45"/>
        </row>
        <row r="46">
          <cell r="L46"/>
        </row>
        <row r="49">
          <cell r="L49"/>
        </row>
        <row r="50">
          <cell r="L50"/>
        </row>
        <row r="51">
          <cell r="L51">
            <v>850000</v>
          </cell>
        </row>
        <row r="52">
          <cell r="L52"/>
        </row>
        <row r="53">
          <cell r="L53">
            <v>50000</v>
          </cell>
        </row>
        <row r="55">
          <cell r="L55"/>
        </row>
        <row r="56">
          <cell r="L56"/>
        </row>
        <row r="57">
          <cell r="L57"/>
        </row>
        <row r="58">
          <cell r="L58"/>
        </row>
        <row r="59">
          <cell r="L59"/>
        </row>
        <row r="60">
          <cell r="L60"/>
        </row>
        <row r="61">
          <cell r="L61"/>
        </row>
        <row r="63">
          <cell r="L63">
            <v>426932</v>
          </cell>
        </row>
        <row r="65">
          <cell r="L65"/>
        </row>
        <row r="66">
          <cell r="L66"/>
        </row>
        <row r="68">
          <cell r="L68">
            <v>15</v>
          </cell>
        </row>
        <row r="70">
          <cell r="L70"/>
        </row>
        <row r="71">
          <cell r="L71">
            <v>750000</v>
          </cell>
        </row>
        <row r="72">
          <cell r="L72">
            <v>440000</v>
          </cell>
        </row>
        <row r="73">
          <cell r="L73"/>
        </row>
        <row r="74">
          <cell r="L74"/>
        </row>
      </sheetData>
      <sheetData sheetId="5">
        <row r="19">
          <cell r="L19">
            <v>2788493</v>
          </cell>
        </row>
        <row r="20">
          <cell r="L20">
            <v>88532</v>
          </cell>
        </row>
        <row r="21">
          <cell r="L21"/>
        </row>
        <row r="22">
          <cell r="L22"/>
        </row>
        <row r="23">
          <cell r="L23">
            <v>52641</v>
          </cell>
        </row>
        <row r="24">
          <cell r="L24"/>
        </row>
        <row r="25">
          <cell r="L25">
            <v>10180</v>
          </cell>
        </row>
        <row r="26">
          <cell r="L26">
            <v>5520</v>
          </cell>
        </row>
        <row r="27">
          <cell r="L27"/>
        </row>
        <row r="28">
          <cell r="L28">
            <v>4108</v>
          </cell>
        </row>
        <row r="29">
          <cell r="L29"/>
        </row>
        <row r="30">
          <cell r="L30">
            <v>21731</v>
          </cell>
        </row>
        <row r="31">
          <cell r="L31">
            <v>130777</v>
          </cell>
        </row>
        <row r="32">
          <cell r="L32">
            <v>150707</v>
          </cell>
        </row>
        <row r="33">
          <cell r="L33">
            <v>20000</v>
          </cell>
        </row>
        <row r="34">
          <cell r="L34"/>
        </row>
        <row r="35">
          <cell r="L35"/>
        </row>
        <row r="36">
          <cell r="L36">
            <v>35021</v>
          </cell>
        </row>
        <row r="37">
          <cell r="L37"/>
        </row>
        <row r="38">
          <cell r="L38"/>
        </row>
        <row r="39">
          <cell r="L39"/>
        </row>
        <row r="40">
          <cell r="L40"/>
        </row>
        <row r="41">
          <cell r="L41"/>
        </row>
        <row r="42">
          <cell r="L42"/>
        </row>
        <row r="43">
          <cell r="L43"/>
        </row>
        <row r="44">
          <cell r="L44">
            <v>80000</v>
          </cell>
        </row>
        <row r="45">
          <cell r="L45"/>
        </row>
        <row r="46">
          <cell r="L46"/>
        </row>
        <row r="49">
          <cell r="L49"/>
        </row>
        <row r="50">
          <cell r="L50"/>
        </row>
        <row r="51">
          <cell r="L51"/>
        </row>
        <row r="52">
          <cell r="L52"/>
        </row>
        <row r="53">
          <cell r="L53"/>
        </row>
        <row r="55">
          <cell r="L55">
            <v>0</v>
          </cell>
        </row>
        <row r="56">
          <cell r="L56"/>
        </row>
        <row r="57">
          <cell r="L57"/>
        </row>
        <row r="58">
          <cell r="L58"/>
        </row>
        <row r="59">
          <cell r="L59"/>
        </row>
        <row r="60">
          <cell r="L60"/>
        </row>
        <row r="61">
          <cell r="L61">
            <v>0</v>
          </cell>
        </row>
        <row r="63">
          <cell r="L63">
            <v>192808</v>
          </cell>
        </row>
        <row r="65">
          <cell r="L65"/>
        </row>
        <row r="66">
          <cell r="L66"/>
        </row>
        <row r="68">
          <cell r="L68">
            <v>6</v>
          </cell>
        </row>
        <row r="70">
          <cell r="L70"/>
        </row>
        <row r="71">
          <cell r="L71">
            <v>520000</v>
          </cell>
        </row>
        <row r="72">
          <cell r="L72">
            <v>20000</v>
          </cell>
        </row>
        <row r="73">
          <cell r="L73"/>
        </row>
        <row r="74">
          <cell r="L74"/>
        </row>
      </sheetData>
      <sheetData sheetId="6">
        <row r="5">
          <cell r="L5">
            <v>3687510</v>
          </cell>
        </row>
        <row r="6">
          <cell r="L6"/>
        </row>
        <row r="7">
          <cell r="L7">
            <v>14694120</v>
          </cell>
        </row>
        <row r="8">
          <cell r="L8">
            <v>4480912</v>
          </cell>
        </row>
        <row r="9">
          <cell r="L9">
            <v>5359929</v>
          </cell>
        </row>
        <row r="11">
          <cell r="L11">
            <v>93030</v>
          </cell>
        </row>
        <row r="12">
          <cell r="L12">
            <v>3976641</v>
          </cell>
        </row>
        <row r="15">
          <cell r="L15">
            <v>2141339</v>
          </cell>
        </row>
        <row r="19">
          <cell r="L19">
            <v>6988011</v>
          </cell>
        </row>
        <row r="20">
          <cell r="L20">
            <v>241330</v>
          </cell>
        </row>
        <row r="21">
          <cell r="L21"/>
        </row>
        <row r="22">
          <cell r="L22"/>
        </row>
        <row r="23">
          <cell r="L23">
            <v>73890</v>
          </cell>
        </row>
        <row r="24">
          <cell r="L24">
            <v>28600</v>
          </cell>
        </row>
        <row r="25">
          <cell r="L25"/>
        </row>
        <row r="26">
          <cell r="L26"/>
        </row>
        <row r="27">
          <cell r="L27">
            <v>55610</v>
          </cell>
        </row>
        <row r="28">
          <cell r="L28"/>
        </row>
        <row r="29">
          <cell r="L29">
            <v>809706</v>
          </cell>
        </row>
        <row r="30">
          <cell r="L30">
            <v>586335</v>
          </cell>
        </row>
        <row r="31">
          <cell r="L31">
            <v>265719</v>
          </cell>
        </row>
        <row r="32">
          <cell r="L32">
            <v>133550</v>
          </cell>
        </row>
        <row r="33">
          <cell r="L33">
            <v>525000</v>
          </cell>
        </row>
        <row r="34">
          <cell r="L34"/>
        </row>
        <row r="35">
          <cell r="L35"/>
        </row>
        <row r="36">
          <cell r="L36">
            <v>9888</v>
          </cell>
        </row>
        <row r="37">
          <cell r="L37"/>
        </row>
        <row r="38">
          <cell r="L38"/>
        </row>
        <row r="39">
          <cell r="L39"/>
        </row>
        <row r="40">
          <cell r="L40"/>
        </row>
        <row r="41">
          <cell r="L41"/>
        </row>
        <row r="42">
          <cell r="L42"/>
        </row>
        <row r="43">
          <cell r="L43">
            <v>1233535</v>
          </cell>
        </row>
        <row r="44">
          <cell r="L44">
            <v>360000</v>
          </cell>
        </row>
        <row r="45">
          <cell r="L45"/>
        </row>
        <row r="46">
          <cell r="L46"/>
        </row>
        <row r="49">
          <cell r="L49"/>
        </row>
        <row r="50">
          <cell r="L50"/>
        </row>
        <row r="51">
          <cell r="L51">
            <v>100000</v>
          </cell>
        </row>
        <row r="52">
          <cell r="L52"/>
        </row>
        <row r="53">
          <cell r="L53">
            <v>19</v>
          </cell>
        </row>
        <row r="55">
          <cell r="L55"/>
        </row>
        <row r="56">
          <cell r="L56"/>
        </row>
        <row r="57">
          <cell r="L57"/>
        </row>
        <row r="58">
          <cell r="L58"/>
        </row>
        <row r="59">
          <cell r="L59"/>
        </row>
        <row r="60">
          <cell r="L60"/>
        </row>
        <row r="61">
          <cell r="L61">
            <v>1</v>
          </cell>
        </row>
        <row r="63">
          <cell r="L63">
            <v>1005356</v>
          </cell>
        </row>
        <row r="65">
          <cell r="L65"/>
        </row>
        <row r="66">
          <cell r="L66"/>
        </row>
        <row r="68">
          <cell r="L68">
            <v>17</v>
          </cell>
        </row>
        <row r="70">
          <cell r="L70"/>
        </row>
        <row r="71">
          <cell r="L71">
            <v>1550000</v>
          </cell>
        </row>
        <row r="72">
          <cell r="L72">
            <v>525000</v>
          </cell>
        </row>
        <row r="73">
          <cell r="L73"/>
        </row>
        <row r="74">
          <cell r="L74"/>
        </row>
      </sheetData>
      <sheetData sheetId="7"/>
      <sheetData sheetId="8">
        <row r="5">
          <cell r="L5">
            <v>157743585</v>
          </cell>
        </row>
        <row r="6">
          <cell r="L6"/>
        </row>
        <row r="7">
          <cell r="L7">
            <v>114496</v>
          </cell>
        </row>
        <row r="8">
          <cell r="L8">
            <v>6000</v>
          </cell>
        </row>
        <row r="9">
          <cell r="L9">
            <v>88437110</v>
          </cell>
        </row>
        <row r="11">
          <cell r="L11">
            <v>1004923</v>
          </cell>
        </row>
        <row r="13">
          <cell r="L13">
            <v>4129816</v>
          </cell>
        </row>
        <row r="14">
          <cell r="L14">
            <v>804499700</v>
          </cell>
        </row>
        <row r="15">
          <cell r="L15">
            <v>199249578</v>
          </cell>
        </row>
        <row r="16">
          <cell r="L16">
            <v>778809293</v>
          </cell>
        </row>
        <row r="19">
          <cell r="L19">
            <v>4513900</v>
          </cell>
        </row>
        <row r="20">
          <cell r="L20">
            <v>124954</v>
          </cell>
        </row>
        <row r="21">
          <cell r="L21"/>
        </row>
        <row r="22">
          <cell r="L22"/>
        </row>
        <row r="23">
          <cell r="L23">
            <v>54263</v>
          </cell>
        </row>
        <row r="24">
          <cell r="L24">
            <v>143500</v>
          </cell>
        </row>
        <row r="25">
          <cell r="L25">
            <v>18542</v>
          </cell>
        </row>
        <row r="26">
          <cell r="L26">
            <v>7170</v>
          </cell>
        </row>
        <row r="27">
          <cell r="L27"/>
        </row>
        <row r="28">
          <cell r="L28"/>
        </row>
        <row r="29">
          <cell r="L29"/>
        </row>
        <row r="30">
          <cell r="L30">
            <v>45961</v>
          </cell>
        </row>
        <row r="31">
          <cell r="L31">
            <v>336941</v>
          </cell>
        </row>
        <row r="32">
          <cell r="L32">
            <v>70000</v>
          </cell>
        </row>
        <row r="33">
          <cell r="L33">
            <v>55000</v>
          </cell>
        </row>
        <row r="34">
          <cell r="L34">
            <v>460664</v>
          </cell>
        </row>
        <row r="35">
          <cell r="L35"/>
        </row>
        <row r="36">
          <cell r="L36">
            <v>32981</v>
          </cell>
        </row>
        <row r="37">
          <cell r="L37"/>
        </row>
        <row r="38">
          <cell r="L38">
            <v>28697</v>
          </cell>
        </row>
        <row r="39">
          <cell r="L39"/>
        </row>
        <row r="40">
          <cell r="L40"/>
        </row>
        <row r="41">
          <cell r="L41">
            <v>143000</v>
          </cell>
        </row>
        <row r="42">
          <cell r="L42"/>
        </row>
        <row r="43">
          <cell r="L43">
            <v>3011525</v>
          </cell>
        </row>
        <row r="44">
          <cell r="L44">
            <v>55000</v>
          </cell>
        </row>
        <row r="45">
          <cell r="L45"/>
        </row>
        <row r="46">
          <cell r="L46"/>
        </row>
        <row r="49">
          <cell r="L49"/>
        </row>
        <row r="50">
          <cell r="L50"/>
        </row>
        <row r="51">
          <cell r="L51"/>
        </row>
        <row r="52">
          <cell r="L52"/>
        </row>
        <row r="53">
          <cell r="L53">
            <v>7</v>
          </cell>
        </row>
        <row r="55">
          <cell r="L55"/>
        </row>
        <row r="56">
          <cell r="L56"/>
        </row>
        <row r="57">
          <cell r="L57"/>
        </row>
        <row r="58">
          <cell r="L58"/>
        </row>
        <row r="59">
          <cell r="L59"/>
        </row>
        <row r="60">
          <cell r="L60"/>
        </row>
        <row r="61">
          <cell r="L61">
            <v>28</v>
          </cell>
        </row>
        <row r="63">
          <cell r="L63">
            <v>1356542</v>
          </cell>
        </row>
        <row r="65">
          <cell r="L65"/>
        </row>
        <row r="66">
          <cell r="L66"/>
        </row>
        <row r="68">
          <cell r="L68">
            <v>8</v>
          </cell>
        </row>
        <row r="70">
          <cell r="L70"/>
        </row>
        <row r="71">
          <cell r="L71">
            <v>750000</v>
          </cell>
        </row>
        <row r="72">
          <cell r="L72">
            <v>55000</v>
          </cell>
        </row>
        <row r="73">
          <cell r="L73">
            <v>229861</v>
          </cell>
        </row>
      </sheetData>
      <sheetData sheetId="9">
        <row r="5">
          <cell r="L5"/>
        </row>
        <row r="6">
          <cell r="L6"/>
        </row>
        <row r="7">
          <cell r="L7"/>
        </row>
        <row r="8">
          <cell r="L8"/>
        </row>
        <row r="9">
          <cell r="L9">
            <v>9810035</v>
          </cell>
        </row>
        <row r="15">
          <cell r="L15"/>
        </row>
        <row r="19">
          <cell r="L19">
            <v>4592338</v>
          </cell>
        </row>
        <row r="20">
          <cell r="L20">
            <v>111642</v>
          </cell>
        </row>
        <row r="21">
          <cell r="L21"/>
        </row>
        <row r="22">
          <cell r="L22"/>
        </row>
        <row r="23">
          <cell r="L23">
            <v>53739</v>
          </cell>
        </row>
        <row r="24">
          <cell r="L24"/>
        </row>
        <row r="25">
          <cell r="L25">
            <v>8300</v>
          </cell>
        </row>
        <row r="26">
          <cell r="L26">
            <v>13000</v>
          </cell>
        </row>
        <row r="27">
          <cell r="L27">
            <v>45900</v>
          </cell>
        </row>
        <row r="28">
          <cell r="L28"/>
        </row>
        <row r="29">
          <cell r="L29">
            <v>228538</v>
          </cell>
        </row>
        <row r="30">
          <cell r="L30">
            <v>199518</v>
          </cell>
        </row>
        <row r="31">
          <cell r="L31">
            <v>174855</v>
          </cell>
        </row>
        <row r="32">
          <cell r="L32">
            <v>37150</v>
          </cell>
        </row>
        <row r="33">
          <cell r="L33">
            <v>325000</v>
          </cell>
        </row>
        <row r="34">
          <cell r="L34"/>
        </row>
        <row r="35">
          <cell r="L35"/>
        </row>
        <row r="36">
          <cell r="L36">
            <v>3003</v>
          </cell>
        </row>
        <row r="37">
          <cell r="L37">
            <v>7600</v>
          </cell>
        </row>
        <row r="38">
          <cell r="L38">
            <v>3380</v>
          </cell>
        </row>
        <row r="39">
          <cell r="L39"/>
        </row>
        <row r="40">
          <cell r="L40"/>
        </row>
        <row r="41">
          <cell r="L41"/>
        </row>
        <row r="42">
          <cell r="L42"/>
        </row>
        <row r="43">
          <cell r="L43"/>
        </row>
        <row r="44">
          <cell r="L44">
            <v>275000</v>
          </cell>
        </row>
        <row r="45">
          <cell r="L45"/>
        </row>
        <row r="46">
          <cell r="L46"/>
        </row>
        <row r="49">
          <cell r="L49"/>
        </row>
        <row r="50">
          <cell r="L50"/>
        </row>
        <row r="51">
          <cell r="L51"/>
        </row>
        <row r="52">
          <cell r="L52"/>
        </row>
        <row r="53">
          <cell r="L53"/>
        </row>
        <row r="55">
          <cell r="L55"/>
        </row>
        <row r="56">
          <cell r="L56"/>
        </row>
        <row r="57">
          <cell r="L57"/>
        </row>
        <row r="58">
          <cell r="L58"/>
        </row>
        <row r="59">
          <cell r="L59"/>
        </row>
        <row r="60">
          <cell r="L60"/>
        </row>
        <row r="61">
          <cell r="L61"/>
        </row>
        <row r="63">
          <cell r="L63">
            <v>516450</v>
          </cell>
        </row>
        <row r="65">
          <cell r="L65"/>
        </row>
        <row r="66">
          <cell r="L66"/>
        </row>
        <row r="68">
          <cell r="L68">
            <v>12</v>
          </cell>
        </row>
        <row r="70">
          <cell r="L70"/>
        </row>
        <row r="71">
          <cell r="L71">
            <v>920000</v>
          </cell>
        </row>
        <row r="72">
          <cell r="L72">
            <v>325000</v>
          </cell>
        </row>
        <row r="73">
          <cell r="L73"/>
        </row>
        <row r="74">
          <cell r="L74"/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社合計"/>
      <sheetName val="本部"/>
      <sheetName val="本社合計"/>
      <sheetName val="本社営業"/>
      <sheetName val="東大阪"/>
      <sheetName val="南港事務"/>
      <sheetName val="南港工場"/>
      <sheetName val="南港合計"/>
      <sheetName val="東京事務"/>
      <sheetName val="東京工場"/>
      <sheetName val="東京合計"/>
      <sheetName val="社内金利"/>
    </sheetNames>
    <sheetDataSet>
      <sheetData sheetId="0">
        <row r="5">
          <cell r="G5">
            <v>690388950</v>
          </cell>
          <cell r="N5">
            <v>1345738960</v>
          </cell>
        </row>
        <row r="6">
          <cell r="G6">
            <v>24215359</v>
          </cell>
          <cell r="N6">
            <v>104238567</v>
          </cell>
        </row>
        <row r="7">
          <cell r="G7">
            <v>17230567</v>
          </cell>
          <cell r="N7">
            <v>31540648</v>
          </cell>
        </row>
        <row r="8">
          <cell r="G8">
            <v>5828020</v>
          </cell>
          <cell r="N8">
            <v>9627907</v>
          </cell>
        </row>
        <row r="9">
          <cell r="G9">
            <v>195340719</v>
          </cell>
          <cell r="N9">
            <v>408965326</v>
          </cell>
        </row>
        <row r="11">
          <cell r="G11">
            <v>3844692</v>
          </cell>
          <cell r="N11">
            <v>8181398</v>
          </cell>
        </row>
        <row r="12">
          <cell r="G12">
            <v>4081128</v>
          </cell>
          <cell r="N12">
            <v>7616916</v>
          </cell>
        </row>
        <row r="13">
          <cell r="G13">
            <v>10777595</v>
          </cell>
        </row>
        <row r="14">
          <cell r="G14">
            <v>1864108715</v>
          </cell>
          <cell r="N14">
            <v>1816376496</v>
          </cell>
        </row>
        <row r="15">
          <cell r="G15">
            <v>821388398</v>
          </cell>
          <cell r="N15">
            <v>1689136061</v>
          </cell>
        </row>
        <row r="16">
          <cell r="G16">
            <v>1899825427</v>
          </cell>
          <cell r="N16">
            <v>1899825427</v>
          </cell>
        </row>
        <row r="19">
          <cell r="G19">
            <v>34949373</v>
          </cell>
          <cell r="N19">
            <v>71828052</v>
          </cell>
        </row>
        <row r="20">
          <cell r="G20">
            <v>1081228</v>
          </cell>
          <cell r="N20">
            <v>2162456</v>
          </cell>
        </row>
        <row r="21">
          <cell r="G21">
            <v>2035207</v>
          </cell>
          <cell r="N21">
            <v>2035207</v>
          </cell>
        </row>
        <row r="22">
          <cell r="G22">
            <v>9150224</v>
          </cell>
          <cell r="N22">
            <v>9150224</v>
          </cell>
        </row>
        <row r="23">
          <cell r="G23">
            <v>1361752</v>
          </cell>
          <cell r="N23">
            <v>2260839</v>
          </cell>
        </row>
        <row r="24">
          <cell r="G24">
            <v>455978</v>
          </cell>
          <cell r="N24">
            <v>1583956</v>
          </cell>
        </row>
        <row r="25">
          <cell r="G25">
            <v>269181</v>
          </cell>
          <cell r="N25">
            <v>510162</v>
          </cell>
        </row>
        <row r="26">
          <cell r="G26">
            <v>390281</v>
          </cell>
          <cell r="N26">
            <v>767572</v>
          </cell>
        </row>
        <row r="27">
          <cell r="G27">
            <v>577384</v>
          </cell>
          <cell r="N27">
            <v>1177384</v>
          </cell>
        </row>
        <row r="28">
          <cell r="G28">
            <v>733256</v>
          </cell>
          <cell r="N28">
            <v>1101070</v>
          </cell>
        </row>
        <row r="29">
          <cell r="G29">
            <v>4765840</v>
          </cell>
          <cell r="N29">
            <v>5662557</v>
          </cell>
        </row>
        <row r="30">
          <cell r="G30">
            <v>1458895</v>
          </cell>
          <cell r="N30">
            <v>2782708</v>
          </cell>
        </row>
        <row r="31">
          <cell r="G31">
            <v>1713525</v>
          </cell>
          <cell r="N31">
            <v>3199789</v>
          </cell>
        </row>
        <row r="32">
          <cell r="G32">
            <v>2562709</v>
          </cell>
          <cell r="N32">
            <v>5450440</v>
          </cell>
        </row>
        <row r="33">
          <cell r="G33">
            <v>3556675</v>
          </cell>
          <cell r="N33">
            <v>5169849</v>
          </cell>
        </row>
        <row r="34">
          <cell r="G34">
            <v>1797346</v>
          </cell>
          <cell r="N34">
            <v>2294312</v>
          </cell>
        </row>
        <row r="35">
          <cell r="G35">
            <v>270815</v>
          </cell>
          <cell r="N35">
            <v>488680</v>
          </cell>
        </row>
        <row r="36">
          <cell r="G36">
            <v>245402</v>
          </cell>
          <cell r="N36">
            <v>485460</v>
          </cell>
        </row>
        <row r="37">
          <cell r="G37">
            <v>579405</v>
          </cell>
          <cell r="N37">
            <v>579405</v>
          </cell>
        </row>
        <row r="38">
          <cell r="G38">
            <v>342399</v>
          </cell>
          <cell r="N38">
            <v>425987</v>
          </cell>
        </row>
        <row r="39">
          <cell r="G39">
            <v>81962</v>
          </cell>
          <cell r="N39">
            <v>86407</v>
          </cell>
        </row>
        <row r="40">
          <cell r="G40">
            <v>34089</v>
          </cell>
          <cell r="N40">
            <v>63047</v>
          </cell>
        </row>
        <row r="41">
          <cell r="G41">
            <v>697958</v>
          </cell>
          <cell r="N41">
            <v>1033031</v>
          </cell>
        </row>
        <row r="42">
          <cell r="G42">
            <v>850000</v>
          </cell>
          <cell r="N42">
            <v>850000</v>
          </cell>
        </row>
        <row r="43">
          <cell r="G43">
            <v>22587316</v>
          </cell>
          <cell r="N43">
            <v>35349989</v>
          </cell>
        </row>
        <row r="44">
          <cell r="G44">
            <v>1280000</v>
          </cell>
          <cell r="N44">
            <v>2560000</v>
          </cell>
        </row>
        <row r="45">
          <cell r="G45">
            <v>0</v>
          </cell>
          <cell r="N45">
            <v>0</v>
          </cell>
        </row>
        <row r="46">
          <cell r="G46">
            <v>10000</v>
          </cell>
          <cell r="N46">
            <v>40000</v>
          </cell>
        </row>
        <row r="49">
          <cell r="G49">
            <v>936832</v>
          </cell>
          <cell r="N49">
            <v>2114934</v>
          </cell>
        </row>
        <row r="50">
          <cell r="G50">
            <v>1065084</v>
          </cell>
          <cell r="N50">
            <v>1065084</v>
          </cell>
        </row>
        <row r="51">
          <cell r="G51">
            <v>1910000</v>
          </cell>
          <cell r="N51">
            <v>3820000</v>
          </cell>
        </row>
        <row r="52">
          <cell r="G52">
            <v>0</v>
          </cell>
          <cell r="N52">
            <v>0</v>
          </cell>
        </row>
        <row r="53">
          <cell r="G53">
            <v>8832426</v>
          </cell>
          <cell r="N53">
            <v>17785262</v>
          </cell>
        </row>
        <row r="55">
          <cell r="G55">
            <v>713706</v>
          </cell>
          <cell r="N55">
            <v>1363345</v>
          </cell>
        </row>
        <row r="56">
          <cell r="G56">
            <v>0</v>
          </cell>
          <cell r="N56">
            <v>0</v>
          </cell>
        </row>
        <row r="57">
          <cell r="G57">
            <v>0</v>
          </cell>
          <cell r="N57">
            <v>0</v>
          </cell>
        </row>
        <row r="58">
          <cell r="G58">
            <v>402213</v>
          </cell>
          <cell r="N58">
            <v>402213</v>
          </cell>
        </row>
        <row r="59">
          <cell r="G59">
            <v>0</v>
          </cell>
          <cell r="N59">
            <v>0</v>
          </cell>
        </row>
        <row r="60">
          <cell r="G60">
            <v>500000</v>
          </cell>
          <cell r="N60">
            <v>1000000</v>
          </cell>
        </row>
        <row r="61">
          <cell r="G61">
            <v>529774</v>
          </cell>
          <cell r="N61">
            <v>538997</v>
          </cell>
        </row>
        <row r="63">
          <cell r="G63">
            <v>0</v>
          </cell>
          <cell r="N63">
            <v>0</v>
          </cell>
        </row>
        <row r="65">
          <cell r="G65">
            <v>0</v>
          </cell>
          <cell r="N65">
            <v>0</v>
          </cell>
        </row>
        <row r="66">
          <cell r="G66">
            <v>0</v>
          </cell>
          <cell r="N66">
            <v>0</v>
          </cell>
        </row>
        <row r="68">
          <cell r="G68">
            <v>79</v>
          </cell>
          <cell r="N68">
            <v>79</v>
          </cell>
        </row>
        <row r="70">
          <cell r="G70">
            <v>5155835</v>
          </cell>
          <cell r="N70">
            <v>5155835</v>
          </cell>
        </row>
        <row r="71">
          <cell r="G71">
            <v>5077000</v>
          </cell>
          <cell r="N71">
            <v>12172000</v>
          </cell>
        </row>
        <row r="72">
          <cell r="G72">
            <v>1495000</v>
          </cell>
          <cell r="N72">
            <v>2990000</v>
          </cell>
        </row>
        <row r="73">
          <cell r="G73">
            <v>587191</v>
          </cell>
          <cell r="N73">
            <v>613969</v>
          </cell>
        </row>
        <row r="74">
          <cell r="G74">
            <v>1949000</v>
          </cell>
          <cell r="N74">
            <v>1949000</v>
          </cell>
        </row>
        <row r="75">
          <cell r="G75">
            <v>0</v>
          </cell>
          <cell r="N75">
            <v>672000</v>
          </cell>
        </row>
      </sheetData>
      <sheetData sheetId="1">
        <row r="19">
          <cell r="I19">
            <v>5756800</v>
          </cell>
          <cell r="L19">
            <v>11513600</v>
          </cell>
        </row>
        <row r="20">
          <cell r="I20">
            <v>56110</v>
          </cell>
          <cell r="L20">
            <v>112220</v>
          </cell>
        </row>
        <row r="21">
          <cell r="I21"/>
          <cell r="L21">
            <v>0</v>
          </cell>
        </row>
        <row r="22">
          <cell r="I22">
            <v>408499</v>
          </cell>
          <cell r="L22">
            <v>408499</v>
          </cell>
        </row>
        <row r="23">
          <cell r="I23">
            <v>536704</v>
          </cell>
          <cell r="L23">
            <v>1072492</v>
          </cell>
        </row>
        <row r="24">
          <cell r="I24">
            <v>45000</v>
          </cell>
          <cell r="L24">
            <v>90000</v>
          </cell>
        </row>
        <row r="25">
          <cell r="I25">
            <v>129379</v>
          </cell>
          <cell r="L25">
            <v>258758</v>
          </cell>
        </row>
        <row r="26">
          <cell r="I26">
            <v>328701</v>
          </cell>
          <cell r="L26">
            <v>657402</v>
          </cell>
        </row>
        <row r="27">
          <cell r="I27"/>
          <cell r="L27">
            <v>0</v>
          </cell>
        </row>
        <row r="28">
          <cell r="I28">
            <v>643140</v>
          </cell>
          <cell r="L28">
            <v>1020466</v>
          </cell>
        </row>
        <row r="29">
          <cell r="I29"/>
          <cell r="L29">
            <v>0</v>
          </cell>
        </row>
        <row r="30">
          <cell r="I30">
            <v>20561</v>
          </cell>
          <cell r="L30">
            <v>33471</v>
          </cell>
        </row>
        <row r="31">
          <cell r="I31">
            <v>133829</v>
          </cell>
          <cell r="L31">
            <v>323133</v>
          </cell>
        </row>
        <row r="32">
          <cell r="I32">
            <v>694260</v>
          </cell>
          <cell r="L32">
            <v>1148140</v>
          </cell>
        </row>
        <row r="33">
          <cell r="I33">
            <v>171959</v>
          </cell>
          <cell r="L33">
            <v>369585</v>
          </cell>
        </row>
        <row r="34">
          <cell r="I34">
            <v>443300</v>
          </cell>
          <cell r="L34">
            <v>443300</v>
          </cell>
        </row>
        <row r="35">
          <cell r="I35">
            <v>-687400</v>
          </cell>
          <cell r="L35">
            <v>-465880</v>
          </cell>
        </row>
        <row r="36">
          <cell r="I36">
            <v>96230</v>
          </cell>
          <cell r="L36">
            <v>144111</v>
          </cell>
        </row>
        <row r="37">
          <cell r="I37"/>
          <cell r="L37">
            <v>0</v>
          </cell>
        </row>
        <row r="38">
          <cell r="I38">
            <v>20633</v>
          </cell>
          <cell r="L38">
            <v>20633</v>
          </cell>
        </row>
        <row r="39">
          <cell r="I39">
            <v>26625</v>
          </cell>
          <cell r="L39">
            <v>31070</v>
          </cell>
        </row>
        <row r="40">
          <cell r="I40"/>
          <cell r="L40">
            <v>0</v>
          </cell>
        </row>
        <row r="41">
          <cell r="I41">
            <v>310000</v>
          </cell>
          <cell r="L41">
            <v>343800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-165000</v>
          </cell>
          <cell r="L44">
            <v>-330000</v>
          </cell>
        </row>
        <row r="45">
          <cell r="I45"/>
          <cell r="L45">
            <v>0</v>
          </cell>
        </row>
        <row r="46">
          <cell r="I46">
            <v>10000</v>
          </cell>
          <cell r="L46">
            <v>40000</v>
          </cell>
        </row>
        <row r="49">
          <cell r="I49">
            <v>1184326</v>
          </cell>
          <cell r="L49">
            <v>2626077</v>
          </cell>
        </row>
        <row r="50">
          <cell r="I50"/>
          <cell r="L50">
            <v>0</v>
          </cell>
        </row>
        <row r="51">
          <cell r="I51">
            <v>1063000</v>
          </cell>
          <cell r="L51">
            <v>2126000</v>
          </cell>
        </row>
        <row r="52">
          <cell r="I52"/>
          <cell r="L52">
            <v>0</v>
          </cell>
        </row>
        <row r="53">
          <cell r="I53">
            <v>1129500</v>
          </cell>
          <cell r="L53">
            <v>1129500</v>
          </cell>
        </row>
        <row r="55">
          <cell r="I55">
            <v>585597</v>
          </cell>
          <cell r="L55">
            <v>1220877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>
            <v>500000</v>
          </cell>
          <cell r="L60">
            <v>1000000</v>
          </cell>
        </row>
        <row r="61">
          <cell r="I61">
            <v>7001</v>
          </cell>
          <cell r="L61">
            <v>7001</v>
          </cell>
        </row>
        <row r="63">
          <cell r="I63">
            <v>-6695102</v>
          </cell>
          <cell r="L63">
            <v>-13581101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  <cell r="L68">
            <v>6</v>
          </cell>
        </row>
        <row r="70">
          <cell r="I70">
            <v>252290</v>
          </cell>
          <cell r="L70">
            <v>252290</v>
          </cell>
        </row>
        <row r="71">
          <cell r="I71">
            <v>850000</v>
          </cell>
          <cell r="L71">
            <v>1700000</v>
          </cell>
        </row>
        <row r="72">
          <cell r="I72">
            <v>115000</v>
          </cell>
          <cell r="L72">
            <v>230000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2"/>
      <sheetData sheetId="3">
        <row r="5">
          <cell r="I5">
            <v>436730147</v>
          </cell>
          <cell r="L5">
            <v>870401689</v>
          </cell>
        </row>
        <row r="6">
          <cell r="I6">
            <v>44666319</v>
          </cell>
          <cell r="L6">
            <v>79096692</v>
          </cell>
        </row>
        <row r="7">
          <cell r="I7">
            <v>1489357</v>
          </cell>
          <cell r="L7">
            <v>4475067</v>
          </cell>
        </row>
        <row r="8">
          <cell r="I8">
            <v>738300</v>
          </cell>
          <cell r="L8">
            <v>1474370</v>
          </cell>
        </row>
        <row r="9">
          <cell r="I9">
            <v>36624612</v>
          </cell>
          <cell r="L9">
            <v>99553450</v>
          </cell>
        </row>
        <row r="11">
          <cell r="I11">
            <v>2430735</v>
          </cell>
          <cell r="L11">
            <v>4902450</v>
          </cell>
        </row>
        <row r="12">
          <cell r="N12">
            <v>0</v>
          </cell>
        </row>
        <row r="13">
          <cell r="I13">
            <v>6710886</v>
          </cell>
        </row>
        <row r="14">
          <cell r="I14">
            <v>1212643896</v>
          </cell>
          <cell r="L14">
            <v>1205973702</v>
          </cell>
        </row>
        <row r="15">
          <cell r="I15">
            <v>420297650</v>
          </cell>
          <cell r="L15">
            <v>890432349</v>
          </cell>
        </row>
        <row r="16">
          <cell r="I16">
            <v>1186732279</v>
          </cell>
          <cell r="L16">
            <v>1186732279</v>
          </cell>
        </row>
        <row r="19">
          <cell r="I19">
            <v>10316328</v>
          </cell>
          <cell r="L19">
            <v>20446835</v>
          </cell>
        </row>
        <row r="20">
          <cell r="I20">
            <v>259440</v>
          </cell>
          <cell r="L20">
            <v>524302</v>
          </cell>
        </row>
        <row r="21">
          <cell r="I21"/>
          <cell r="L21">
            <v>0</v>
          </cell>
        </row>
        <row r="22">
          <cell r="I22">
            <v>2163512</v>
          </cell>
          <cell r="L22">
            <v>2163512</v>
          </cell>
        </row>
        <row r="23">
          <cell r="I23">
            <v>496643</v>
          </cell>
          <cell r="L23">
            <v>597809</v>
          </cell>
        </row>
        <row r="24">
          <cell r="I24">
            <v>181650</v>
          </cell>
          <cell r="L24">
            <v>1035300</v>
          </cell>
        </row>
        <row r="25">
          <cell r="I25">
            <v>86370</v>
          </cell>
          <cell r="L25">
            <v>172740</v>
          </cell>
        </row>
        <row r="26">
          <cell r="I26">
            <v>680</v>
          </cell>
          <cell r="L26">
            <v>1360</v>
          </cell>
        </row>
        <row r="27">
          <cell r="I27"/>
          <cell r="L27">
            <v>0</v>
          </cell>
        </row>
        <row r="28">
          <cell r="I28">
            <v>102131</v>
          </cell>
          <cell r="L28">
            <v>207025</v>
          </cell>
        </row>
        <row r="29">
          <cell r="I29">
            <v>52220</v>
          </cell>
          <cell r="L29">
            <v>74220</v>
          </cell>
        </row>
        <row r="30">
          <cell r="I30">
            <v>41122</v>
          </cell>
          <cell r="L30">
            <v>66943</v>
          </cell>
        </row>
        <row r="31">
          <cell r="I31">
            <v>943788</v>
          </cell>
          <cell r="L31">
            <v>1659734</v>
          </cell>
        </row>
        <row r="32">
          <cell r="I32">
            <v>1522945</v>
          </cell>
          <cell r="L32">
            <v>2426093</v>
          </cell>
        </row>
        <row r="33">
          <cell r="I33">
            <v>55000</v>
          </cell>
          <cell r="L33">
            <v>110000</v>
          </cell>
        </row>
        <row r="34">
          <cell r="I34">
            <v>762695</v>
          </cell>
          <cell r="L34">
            <v>1040371</v>
          </cell>
        </row>
        <row r="35">
          <cell r="I35"/>
          <cell r="L35">
            <v>0</v>
          </cell>
        </row>
        <row r="36">
          <cell r="I36">
            <v>43120</v>
          </cell>
          <cell r="L36">
            <v>68326</v>
          </cell>
        </row>
        <row r="37">
          <cell r="I37">
            <v>100000</v>
          </cell>
          <cell r="L37">
            <v>100000</v>
          </cell>
        </row>
        <row r="38">
          <cell r="I38">
            <v>155014</v>
          </cell>
          <cell r="L38">
            <v>190039</v>
          </cell>
        </row>
        <row r="39">
          <cell r="I39"/>
          <cell r="L39">
            <v>0</v>
          </cell>
        </row>
        <row r="40">
          <cell r="I40">
            <v>17807</v>
          </cell>
          <cell r="L40">
            <v>37354</v>
          </cell>
        </row>
        <row r="41">
          <cell r="I41">
            <v>30000</v>
          </cell>
          <cell r="L41">
            <v>97000</v>
          </cell>
        </row>
        <row r="42">
          <cell r="I42"/>
          <cell r="L42">
            <v>510000</v>
          </cell>
        </row>
        <row r="43">
          <cell r="I43">
            <v>14172692</v>
          </cell>
          <cell r="L43">
            <v>23502725</v>
          </cell>
        </row>
        <row r="44">
          <cell r="I44">
            <v>475000</v>
          </cell>
          <cell r="L44">
            <v>950000</v>
          </cell>
        </row>
        <row r="45">
          <cell r="I45"/>
          <cell r="L45">
            <v>0</v>
          </cell>
        </row>
        <row r="46">
          <cell r="I46">
            <v>11000</v>
          </cell>
          <cell r="L46">
            <v>11000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8005286</v>
          </cell>
          <cell r="L53">
            <v>41836401</v>
          </cell>
        </row>
        <row r="55">
          <cell r="I55">
            <v>179875</v>
          </cell>
          <cell r="L55">
            <v>357583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21</v>
          </cell>
          <cell r="L61">
            <v>44805</v>
          </cell>
        </row>
        <row r="63">
          <cell r="I63">
            <v>3347551</v>
          </cell>
          <cell r="L63">
            <v>6735462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19</v>
          </cell>
          <cell r="L68">
            <v>19</v>
          </cell>
        </row>
        <row r="70">
          <cell r="I70">
            <v>1022369</v>
          </cell>
          <cell r="L70">
            <v>1022369</v>
          </cell>
        </row>
        <row r="71">
          <cell r="I71">
            <v>2050000</v>
          </cell>
          <cell r="L71">
            <v>4100000</v>
          </cell>
        </row>
        <row r="72">
          <cell r="I72">
            <v>55000</v>
          </cell>
          <cell r="L72">
            <v>110000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I75"/>
          <cell r="L75">
            <v>672000</v>
          </cell>
        </row>
      </sheetData>
      <sheetData sheetId="4">
        <row r="5">
          <cell r="I5">
            <v>486450</v>
          </cell>
          <cell r="L5">
            <v>999385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8893919</v>
          </cell>
          <cell r="L9">
            <v>17258844</v>
          </cell>
        </row>
        <row r="11">
          <cell r="I11">
            <v>35091</v>
          </cell>
          <cell r="L11">
            <v>52141</v>
          </cell>
        </row>
        <row r="12">
          <cell r="L12">
            <v>0</v>
          </cell>
        </row>
        <row r="14">
          <cell r="L14">
            <v>0</v>
          </cell>
        </row>
        <row r="15">
          <cell r="I15">
            <v>563411</v>
          </cell>
          <cell r="L15">
            <v>1059296</v>
          </cell>
        </row>
        <row r="16">
          <cell r="L16">
            <v>0</v>
          </cell>
        </row>
        <row r="19">
          <cell r="I19">
            <v>2055720</v>
          </cell>
          <cell r="L19">
            <v>5835800</v>
          </cell>
        </row>
        <row r="20">
          <cell r="I20">
            <v>163642</v>
          </cell>
          <cell r="L20">
            <v>327284</v>
          </cell>
        </row>
        <row r="21">
          <cell r="I21"/>
          <cell r="L21">
            <v>0</v>
          </cell>
        </row>
        <row r="22">
          <cell r="I22">
            <v>1664959</v>
          </cell>
          <cell r="L22">
            <v>1664959</v>
          </cell>
        </row>
        <row r="23">
          <cell r="I23">
            <v>127268</v>
          </cell>
          <cell r="L23">
            <v>190659</v>
          </cell>
        </row>
        <row r="24">
          <cell r="I24">
            <v>96410</v>
          </cell>
          <cell r="L24">
            <v>192820</v>
          </cell>
        </row>
        <row r="25">
          <cell r="I25">
            <v>10180</v>
          </cell>
          <cell r="L25">
            <v>20360</v>
          </cell>
        </row>
        <row r="26">
          <cell r="I26">
            <v>7170</v>
          </cell>
          <cell r="L26">
            <v>14340</v>
          </cell>
        </row>
        <row r="27">
          <cell r="I27">
            <v>160500</v>
          </cell>
          <cell r="L27">
            <v>174900</v>
          </cell>
        </row>
        <row r="28">
          <cell r="I28">
            <v>11362</v>
          </cell>
          <cell r="L28">
            <v>15482</v>
          </cell>
        </row>
        <row r="29">
          <cell r="I29">
            <v>208706</v>
          </cell>
          <cell r="L29">
            <v>477196</v>
          </cell>
        </row>
        <row r="30">
          <cell r="I30">
            <v>432868</v>
          </cell>
          <cell r="L30">
            <v>866814</v>
          </cell>
        </row>
        <row r="31">
          <cell r="I31">
            <v>113728</v>
          </cell>
          <cell r="L31">
            <v>226546</v>
          </cell>
        </row>
        <row r="32">
          <cell r="I32">
            <v>257900</v>
          </cell>
          <cell r="L32">
            <v>417100</v>
          </cell>
        </row>
        <row r="33">
          <cell r="I33">
            <v>1679000</v>
          </cell>
          <cell r="L33">
            <v>2119000</v>
          </cell>
        </row>
        <row r="34">
          <cell r="I34"/>
          <cell r="L34">
            <v>0</v>
          </cell>
        </row>
        <row r="35">
          <cell r="I35"/>
          <cell r="L35">
            <v>0</v>
          </cell>
        </row>
        <row r="36">
          <cell r="I36">
            <v>25125</v>
          </cell>
          <cell r="L36">
            <v>50036</v>
          </cell>
        </row>
        <row r="37">
          <cell r="I37">
            <v>33526</v>
          </cell>
          <cell r="L37">
            <v>71218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10000</v>
          </cell>
        </row>
        <row r="42">
          <cell r="I42"/>
          <cell r="L42">
            <v>0</v>
          </cell>
        </row>
        <row r="43">
          <cell r="I43">
            <v>-497050</v>
          </cell>
          <cell r="L43">
            <v>-1007150</v>
          </cell>
        </row>
        <row r="44">
          <cell r="I44">
            <v>375000</v>
          </cell>
          <cell r="L44">
            <v>750000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850000</v>
          </cell>
          <cell r="L51">
            <v>1700000</v>
          </cell>
        </row>
        <row r="52">
          <cell r="I52"/>
          <cell r="L52">
            <v>0</v>
          </cell>
        </row>
        <row r="53">
          <cell r="I53">
            <v>50000</v>
          </cell>
          <cell r="L53">
            <v>100000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314670</v>
          </cell>
          <cell r="L63">
            <v>741602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15</v>
          </cell>
        </row>
        <row r="70">
          <cell r="I70">
            <v>1000069</v>
          </cell>
          <cell r="L70">
            <v>1000069</v>
          </cell>
        </row>
        <row r="71">
          <cell r="I71">
            <v>-1047000</v>
          </cell>
          <cell r="L71">
            <v>-297000</v>
          </cell>
        </row>
        <row r="72">
          <cell r="I72">
            <v>440000</v>
          </cell>
          <cell r="L72">
            <v>880000</v>
          </cell>
        </row>
        <row r="73">
          <cell r="I73"/>
          <cell r="L73">
            <v>0</v>
          </cell>
        </row>
        <row r="74">
          <cell r="I74">
            <v>1189000</v>
          </cell>
          <cell r="L74">
            <v>1189000</v>
          </cell>
        </row>
        <row r="75">
          <cell r="L75">
            <v>0</v>
          </cell>
        </row>
      </sheetData>
      <sheetData sheetId="5"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0</v>
          </cell>
        </row>
        <row r="9">
          <cell r="L9">
            <v>0</v>
          </cell>
        </row>
        <row r="11">
          <cell r="L11">
            <v>0</v>
          </cell>
        </row>
        <row r="12">
          <cell r="N12">
            <v>0</v>
          </cell>
        </row>
        <row r="14">
          <cell r="L14">
            <v>0</v>
          </cell>
        </row>
        <row r="15">
          <cell r="L15">
            <v>0</v>
          </cell>
        </row>
        <row r="16">
          <cell r="L16">
            <v>0</v>
          </cell>
        </row>
        <row r="19">
          <cell r="I19">
            <v>2794249</v>
          </cell>
          <cell r="L19">
            <v>5582742</v>
          </cell>
        </row>
        <row r="20">
          <cell r="I20">
            <v>88532</v>
          </cell>
          <cell r="L20">
            <v>177064</v>
          </cell>
        </row>
        <row r="21">
          <cell r="I21"/>
          <cell r="L21">
            <v>0</v>
          </cell>
        </row>
        <row r="22">
          <cell r="I22">
            <v>985479</v>
          </cell>
          <cell r="L22">
            <v>985479</v>
          </cell>
        </row>
        <row r="23">
          <cell r="I23">
            <v>122382</v>
          </cell>
          <cell r="L23">
            <v>175023</v>
          </cell>
        </row>
        <row r="24">
          <cell r="I24"/>
          <cell r="L24">
            <v>0</v>
          </cell>
        </row>
        <row r="25">
          <cell r="I25">
            <v>19840</v>
          </cell>
          <cell r="L25">
            <v>30020</v>
          </cell>
        </row>
        <row r="26">
          <cell r="I26">
            <v>5520</v>
          </cell>
          <cell r="L26">
            <v>11040</v>
          </cell>
        </row>
        <row r="27">
          <cell r="I27"/>
          <cell r="L27">
            <v>0</v>
          </cell>
        </row>
        <row r="28">
          <cell r="I28">
            <v>42210</v>
          </cell>
          <cell r="L28">
            <v>46318</v>
          </cell>
        </row>
        <row r="29">
          <cell r="I29"/>
          <cell r="L29">
            <v>0</v>
          </cell>
        </row>
        <row r="30">
          <cell r="I30">
            <v>24724</v>
          </cell>
          <cell r="L30">
            <v>46455</v>
          </cell>
        </row>
        <row r="31">
          <cell r="I31">
            <v>132169</v>
          </cell>
          <cell r="L31">
            <v>262946</v>
          </cell>
        </row>
        <row r="32">
          <cell r="I32"/>
          <cell r="L32">
            <v>150707</v>
          </cell>
        </row>
        <row r="33">
          <cell r="I33">
            <v>20000</v>
          </cell>
          <cell r="L33">
            <v>40000</v>
          </cell>
        </row>
        <row r="34">
          <cell r="I34">
            <v>51900</v>
          </cell>
          <cell r="L34">
            <v>51900</v>
          </cell>
        </row>
        <row r="35">
          <cell r="I35"/>
          <cell r="L35">
            <v>0</v>
          </cell>
        </row>
        <row r="36">
          <cell r="I36">
            <v>31224</v>
          </cell>
          <cell r="L36">
            <v>66245</v>
          </cell>
        </row>
        <row r="37">
          <cell r="I37"/>
          <cell r="L37">
            <v>0</v>
          </cell>
        </row>
        <row r="38">
          <cell r="I38">
            <v>7920</v>
          </cell>
          <cell r="L38">
            <v>7920</v>
          </cell>
        </row>
        <row r="39">
          <cell r="I39"/>
          <cell r="L39">
            <v>0</v>
          </cell>
        </row>
        <row r="40">
          <cell r="I40">
            <v>9600</v>
          </cell>
          <cell r="L40">
            <v>9600</v>
          </cell>
        </row>
        <row r="41">
          <cell r="I41">
            <v>395958</v>
          </cell>
          <cell r="L41">
            <v>395958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80000</v>
          </cell>
          <cell r="L44">
            <v>160000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200853</v>
          </cell>
          <cell r="L63">
            <v>393661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</row>
        <row r="70">
          <cell r="I70">
            <v>618994</v>
          </cell>
          <cell r="L70">
            <v>618994</v>
          </cell>
        </row>
        <row r="71">
          <cell r="I71">
            <v>520000</v>
          </cell>
          <cell r="L71">
            <v>1040000</v>
          </cell>
        </row>
        <row r="72">
          <cell r="I72">
            <v>20000</v>
          </cell>
          <cell r="L72">
            <v>40000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6">
        <row r="5">
          <cell r="I5">
            <v>3474164</v>
          </cell>
          <cell r="L5">
            <v>7161674</v>
          </cell>
        </row>
        <row r="6">
          <cell r="I6"/>
          <cell r="L6">
            <v>0</v>
          </cell>
        </row>
        <row r="7">
          <cell r="I7">
            <v>14579426</v>
          </cell>
          <cell r="L7">
            <v>29273546</v>
          </cell>
        </row>
        <row r="8">
          <cell r="I8">
            <v>4453640</v>
          </cell>
          <cell r="L8">
            <v>8934552</v>
          </cell>
        </row>
        <row r="9">
          <cell r="I9">
            <v>5309250</v>
          </cell>
          <cell r="L9">
            <v>10669179</v>
          </cell>
        </row>
        <row r="11">
          <cell r="I11">
            <v>84804</v>
          </cell>
          <cell r="L11">
            <v>177834</v>
          </cell>
        </row>
        <row r="12">
          <cell r="I12">
            <v>3888320</v>
          </cell>
          <cell r="L12">
            <v>7864961</v>
          </cell>
        </row>
        <row r="14">
          <cell r="L14">
            <v>0</v>
          </cell>
        </row>
        <row r="15">
          <cell r="I15">
            <v>1830609</v>
          </cell>
          <cell r="L15">
            <v>3971948</v>
          </cell>
        </row>
        <row r="16">
          <cell r="L16">
            <v>0</v>
          </cell>
        </row>
        <row r="19">
          <cell r="I19">
            <v>7132633</v>
          </cell>
          <cell r="L19">
            <v>14120644</v>
          </cell>
        </row>
        <row r="20">
          <cell r="I20">
            <v>241330</v>
          </cell>
          <cell r="L20">
            <v>482660</v>
          </cell>
        </row>
        <row r="21">
          <cell r="I21"/>
          <cell r="L21">
            <v>0</v>
          </cell>
        </row>
        <row r="22">
          <cell r="I22">
            <v>2331084</v>
          </cell>
          <cell r="L22">
            <v>2331084</v>
          </cell>
        </row>
        <row r="23">
          <cell r="I23">
            <v>89155</v>
          </cell>
          <cell r="L23">
            <v>163045</v>
          </cell>
        </row>
        <row r="24">
          <cell r="I24">
            <v>28600</v>
          </cell>
          <cell r="L24">
            <v>57200</v>
          </cell>
        </row>
        <row r="25">
          <cell r="I25"/>
          <cell r="L25">
            <v>0</v>
          </cell>
        </row>
        <row r="26">
          <cell r="I26"/>
          <cell r="L26">
            <v>0</v>
          </cell>
        </row>
        <row r="27">
          <cell r="I27">
            <v>1641940</v>
          </cell>
          <cell r="L27">
            <v>1697550</v>
          </cell>
        </row>
        <row r="28">
          <cell r="I28"/>
          <cell r="L28">
            <v>0</v>
          </cell>
        </row>
        <row r="29">
          <cell r="I29">
            <v>3848491</v>
          </cell>
          <cell r="L29">
            <v>4658197</v>
          </cell>
        </row>
        <row r="30">
          <cell r="I30">
            <v>556570</v>
          </cell>
          <cell r="L30">
            <v>1142905</v>
          </cell>
        </row>
        <row r="31">
          <cell r="I31">
            <v>265719</v>
          </cell>
          <cell r="L31">
            <v>531438</v>
          </cell>
        </row>
        <row r="32">
          <cell r="I32">
            <v>129800</v>
          </cell>
          <cell r="L32">
            <v>263350</v>
          </cell>
        </row>
        <row r="33">
          <cell r="I33">
            <v>525000</v>
          </cell>
          <cell r="L33">
            <v>1050000</v>
          </cell>
        </row>
        <row r="34">
          <cell r="I34"/>
          <cell r="L34">
            <v>0</v>
          </cell>
        </row>
        <row r="35">
          <cell r="I35"/>
          <cell r="L35">
            <v>0</v>
          </cell>
        </row>
        <row r="36">
          <cell r="I36">
            <v>9888</v>
          </cell>
          <cell r="L36">
            <v>19776</v>
          </cell>
        </row>
        <row r="37">
          <cell r="I37"/>
          <cell r="L37">
            <v>0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>
            <v>1713389</v>
          </cell>
          <cell r="L43">
            <v>2946924</v>
          </cell>
        </row>
        <row r="44">
          <cell r="I44">
            <v>360000</v>
          </cell>
          <cell r="L44">
            <v>720000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100000</v>
          </cell>
          <cell r="L51">
            <v>200000</v>
          </cell>
        </row>
        <row r="52">
          <cell r="I52"/>
          <cell r="L52">
            <v>0</v>
          </cell>
        </row>
        <row r="53">
          <cell r="I53">
            <v>4</v>
          </cell>
          <cell r="L53">
            <v>23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1</v>
          </cell>
          <cell r="L61">
            <v>2</v>
          </cell>
        </row>
        <row r="63">
          <cell r="I63">
            <v>1004265</v>
          </cell>
          <cell r="L63">
            <v>2009621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17</v>
          </cell>
        </row>
        <row r="70">
          <cell r="I70">
            <v>1455768</v>
          </cell>
          <cell r="L70">
            <v>1455768</v>
          </cell>
        </row>
        <row r="71">
          <cell r="I71">
            <v>1550000</v>
          </cell>
          <cell r="L71">
            <v>3100000</v>
          </cell>
        </row>
        <row r="72">
          <cell r="I72">
            <v>525000</v>
          </cell>
          <cell r="L72">
            <v>1050000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7">
        <row r="10">
          <cell r="I10">
            <v>27816480</v>
          </cell>
        </row>
      </sheetData>
      <sheetData sheetId="8">
        <row r="5">
          <cell r="I5">
            <v>149072563</v>
          </cell>
          <cell r="L5">
            <v>306816148</v>
          </cell>
        </row>
        <row r="6">
          <cell r="I6"/>
          <cell r="L6">
            <v>0</v>
          </cell>
        </row>
        <row r="7">
          <cell r="I7">
            <v>217128</v>
          </cell>
          <cell r="L7">
            <v>331624</v>
          </cell>
        </row>
        <row r="8">
          <cell r="I8">
            <v>15180</v>
          </cell>
          <cell r="L8">
            <v>21180</v>
          </cell>
        </row>
        <row r="9">
          <cell r="I9">
            <v>93041752</v>
          </cell>
          <cell r="L9">
            <v>181478862</v>
          </cell>
        </row>
        <row r="11">
          <cell r="I11">
            <v>1015914</v>
          </cell>
          <cell r="L11">
            <v>2020837</v>
          </cell>
        </row>
        <row r="12">
          <cell r="L12">
            <v>0</v>
          </cell>
        </row>
        <row r="13">
          <cell r="I13">
            <v>4009738</v>
          </cell>
        </row>
        <row r="14">
          <cell r="I14">
            <v>778809293</v>
          </cell>
          <cell r="L14">
            <v>804499700</v>
          </cell>
        </row>
        <row r="15">
          <cell r="I15">
            <v>200040689</v>
          </cell>
          <cell r="L15">
            <v>399290267</v>
          </cell>
        </row>
        <row r="16">
          <cell r="I16">
            <v>755986627</v>
          </cell>
          <cell r="L16">
            <v>755986627</v>
          </cell>
        </row>
        <row r="19">
          <cell r="I19">
            <v>4513900</v>
          </cell>
          <cell r="L19">
            <v>9027800</v>
          </cell>
        </row>
        <row r="20">
          <cell r="I20">
            <v>124954</v>
          </cell>
          <cell r="L20">
            <v>249908</v>
          </cell>
        </row>
        <row r="21">
          <cell r="I21"/>
          <cell r="L21">
            <v>0</v>
          </cell>
        </row>
        <row r="22">
          <cell r="I22">
            <v>1064452</v>
          </cell>
          <cell r="L22">
            <v>1064452</v>
          </cell>
        </row>
        <row r="23">
          <cell r="I23">
            <v>104311</v>
          </cell>
          <cell r="L23">
            <v>158574</v>
          </cell>
        </row>
        <row r="24">
          <cell r="I24">
            <v>143500</v>
          </cell>
          <cell r="L24">
            <v>287000</v>
          </cell>
        </row>
        <row r="25">
          <cell r="I25">
            <v>37082</v>
          </cell>
          <cell r="L25">
            <v>55624</v>
          </cell>
        </row>
        <row r="26">
          <cell r="I26">
            <v>7170</v>
          </cell>
          <cell r="L26">
            <v>14340</v>
          </cell>
        </row>
        <row r="27">
          <cell r="I27"/>
          <cell r="L27">
            <v>0</v>
          </cell>
        </row>
        <row r="28">
          <cell r="I28">
            <v>14236</v>
          </cell>
          <cell r="L28">
            <v>14236</v>
          </cell>
        </row>
        <row r="29">
          <cell r="I29">
            <v>15800</v>
          </cell>
          <cell r="L29">
            <v>15800</v>
          </cell>
        </row>
        <row r="30">
          <cell r="I30">
            <v>61471</v>
          </cell>
          <cell r="L30">
            <v>107432</v>
          </cell>
        </row>
        <row r="31">
          <cell r="I31">
            <v>163874</v>
          </cell>
          <cell r="L31">
            <v>500815</v>
          </cell>
        </row>
        <row r="32">
          <cell r="I32">
            <v>87500</v>
          </cell>
          <cell r="L32">
            <v>157500</v>
          </cell>
        </row>
        <row r="33">
          <cell r="I33">
            <v>815000</v>
          </cell>
          <cell r="L33">
            <v>870000</v>
          </cell>
        </row>
        <row r="34">
          <cell r="I34">
            <v>616045</v>
          </cell>
          <cell r="L34">
            <v>1076709</v>
          </cell>
        </row>
        <row r="35">
          <cell r="I35"/>
          <cell r="L35">
            <v>0</v>
          </cell>
        </row>
        <row r="36">
          <cell r="I36">
            <v>14906</v>
          </cell>
          <cell r="L36">
            <v>47887</v>
          </cell>
        </row>
        <row r="37">
          <cell r="I37"/>
          <cell r="L37">
            <v>0</v>
          </cell>
        </row>
        <row r="38">
          <cell r="I38">
            <v>51099</v>
          </cell>
          <cell r="L38">
            <v>79796</v>
          </cell>
        </row>
        <row r="39">
          <cell r="I39">
            <v>71204</v>
          </cell>
          <cell r="L39">
            <v>71204</v>
          </cell>
        </row>
        <row r="40">
          <cell r="I40"/>
          <cell r="L40">
            <v>0</v>
          </cell>
        </row>
        <row r="41">
          <cell r="I41"/>
          <cell r="L41">
            <v>143000</v>
          </cell>
        </row>
        <row r="42">
          <cell r="I42"/>
          <cell r="L42">
            <v>0</v>
          </cell>
        </row>
        <row r="43">
          <cell r="I43">
            <v>6542539</v>
          </cell>
          <cell r="L43">
            <v>9554064</v>
          </cell>
        </row>
        <row r="44">
          <cell r="I44">
            <v>55000</v>
          </cell>
          <cell r="L44">
            <v>110000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307116</v>
          </cell>
          <cell r="L53">
            <v>307123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27</v>
          </cell>
          <cell r="L61">
            <v>55</v>
          </cell>
        </row>
        <row r="63">
          <cell r="I63">
            <v>1305545</v>
          </cell>
          <cell r="L63">
            <v>2662087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8</v>
          </cell>
        </row>
        <row r="70">
          <cell r="I70">
            <v>556906</v>
          </cell>
          <cell r="L70">
            <v>556906</v>
          </cell>
        </row>
        <row r="71">
          <cell r="I71">
            <v>750000</v>
          </cell>
          <cell r="L71">
            <v>1500000</v>
          </cell>
        </row>
        <row r="72">
          <cell r="I72">
            <v>55000</v>
          </cell>
          <cell r="L72">
            <v>110000</v>
          </cell>
        </row>
        <row r="73">
          <cell r="I73">
            <v>12860</v>
          </cell>
          <cell r="L73">
            <v>242721</v>
          </cell>
        </row>
        <row r="74">
          <cell r="I74">
            <v>760000</v>
          </cell>
          <cell r="L74">
            <v>760000</v>
          </cell>
        </row>
        <row r="75">
          <cell r="L75">
            <v>0</v>
          </cell>
        </row>
      </sheetData>
      <sheetData sheetId="9">
        <row r="5">
          <cell r="I5"/>
          <cell r="L5">
            <v>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10563686</v>
          </cell>
          <cell r="L9">
            <v>20373721</v>
          </cell>
        </row>
        <row r="11">
          <cell r="L11">
            <v>0</v>
          </cell>
        </row>
        <row r="12">
          <cell r="L12">
            <v>0</v>
          </cell>
        </row>
        <row r="14">
          <cell r="L14">
            <v>0</v>
          </cell>
        </row>
        <row r="15">
          <cell r="I15"/>
          <cell r="L15">
            <v>0</v>
          </cell>
        </row>
        <row r="16">
          <cell r="L16">
            <v>0</v>
          </cell>
        </row>
        <row r="19">
          <cell r="I19">
            <v>4490004</v>
          </cell>
          <cell r="L19">
            <v>9082342</v>
          </cell>
        </row>
        <row r="20">
          <cell r="I20">
            <v>111642</v>
          </cell>
          <cell r="L20">
            <v>223284</v>
          </cell>
        </row>
        <row r="21">
          <cell r="I21"/>
          <cell r="L21">
            <v>0</v>
          </cell>
        </row>
        <row r="22">
          <cell r="I22">
            <v>1459377</v>
          </cell>
          <cell r="L22">
            <v>1459377</v>
          </cell>
        </row>
        <row r="23">
          <cell r="I23">
            <v>92816</v>
          </cell>
          <cell r="L23">
            <v>146555</v>
          </cell>
        </row>
        <row r="24">
          <cell r="I24"/>
          <cell r="L24">
            <v>0</v>
          </cell>
        </row>
        <row r="25">
          <cell r="I25">
            <v>8300</v>
          </cell>
          <cell r="L25">
            <v>16600</v>
          </cell>
        </row>
        <row r="26">
          <cell r="I26">
            <v>25000</v>
          </cell>
          <cell r="L26">
            <v>38000</v>
          </cell>
        </row>
        <row r="27">
          <cell r="I27">
            <v>59960</v>
          </cell>
          <cell r="L27">
            <v>105860</v>
          </cell>
        </row>
        <row r="28">
          <cell r="I28">
            <v>15663</v>
          </cell>
          <cell r="L28">
            <v>15663</v>
          </cell>
        </row>
        <row r="29">
          <cell r="I29">
            <v>1528277</v>
          </cell>
          <cell r="L29">
            <v>1756815</v>
          </cell>
        </row>
        <row r="30">
          <cell r="I30">
            <v>269158</v>
          </cell>
          <cell r="L30">
            <v>468676</v>
          </cell>
        </row>
        <row r="31">
          <cell r="I31">
            <v>174855</v>
          </cell>
          <cell r="L31">
            <v>349710</v>
          </cell>
        </row>
        <row r="32">
          <cell r="I32">
            <v>74176</v>
          </cell>
          <cell r="L32">
            <v>111326</v>
          </cell>
        </row>
        <row r="33">
          <cell r="I33">
            <v>325000</v>
          </cell>
          <cell r="L33">
            <v>650000</v>
          </cell>
        </row>
        <row r="34">
          <cell r="I34"/>
          <cell r="L34">
            <v>0</v>
          </cell>
        </row>
        <row r="35">
          <cell r="I35"/>
          <cell r="L35">
            <v>0</v>
          </cell>
        </row>
        <row r="36">
          <cell r="I36">
            <v>3003</v>
          </cell>
          <cell r="L36">
            <v>6006</v>
          </cell>
        </row>
        <row r="37">
          <cell r="I37">
            <v>52997</v>
          </cell>
          <cell r="L37">
            <v>60597</v>
          </cell>
        </row>
        <row r="38">
          <cell r="I38"/>
          <cell r="L38">
            <v>3380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275000</v>
          </cell>
          <cell r="L44">
            <v>550000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522218</v>
          </cell>
          <cell r="L63">
            <v>1038668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12</v>
          </cell>
        </row>
        <row r="70">
          <cell r="I70">
            <v>896529</v>
          </cell>
          <cell r="L70">
            <v>896529</v>
          </cell>
        </row>
        <row r="71">
          <cell r="I71">
            <v>920000</v>
          </cell>
          <cell r="L71">
            <v>1840000</v>
          </cell>
        </row>
        <row r="72">
          <cell r="I72">
            <v>325000</v>
          </cell>
          <cell r="L72">
            <v>650000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10">
        <row r="10">
          <cell r="I10">
            <v>252910309</v>
          </cell>
        </row>
      </sheetData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社合計"/>
      <sheetName val="本部"/>
      <sheetName val="本社合計"/>
      <sheetName val="本社営業"/>
      <sheetName val="東大阪"/>
      <sheetName val="南港事務"/>
      <sheetName val="南港工場"/>
      <sheetName val="南港合計"/>
      <sheetName val="東京事務"/>
      <sheetName val="東京工場"/>
      <sheetName val="東京合計"/>
      <sheetName val="社内金利"/>
    </sheetNames>
    <sheetDataSet>
      <sheetData sheetId="0">
        <row r="5">
          <cell r="G5">
            <v>614676065</v>
          </cell>
          <cell r="N5">
            <v>1960415025</v>
          </cell>
        </row>
        <row r="6">
          <cell r="G6">
            <v>20314102</v>
          </cell>
          <cell r="N6">
            <v>124552669</v>
          </cell>
        </row>
        <row r="7">
          <cell r="G7">
            <v>13119933</v>
          </cell>
          <cell r="N7">
            <v>44660581</v>
          </cell>
        </row>
        <row r="8">
          <cell r="G8">
            <v>4851111</v>
          </cell>
          <cell r="N8">
            <v>14479018</v>
          </cell>
        </row>
        <row r="9">
          <cell r="G9">
            <v>142372310</v>
          </cell>
          <cell r="N9">
            <v>551337636</v>
          </cell>
        </row>
        <row r="11">
          <cell r="G11">
            <v>3348741</v>
          </cell>
          <cell r="N11">
            <v>11530139</v>
          </cell>
        </row>
        <row r="12">
          <cell r="G12">
            <v>3523928</v>
          </cell>
          <cell r="N12">
            <v>11140844</v>
          </cell>
        </row>
        <row r="13">
          <cell r="G13">
            <v>10332283</v>
          </cell>
        </row>
        <row r="14">
          <cell r="G14">
            <v>1899825427</v>
          </cell>
          <cell r="N14">
            <v>1816376496</v>
          </cell>
        </row>
        <row r="15">
          <cell r="G15">
            <v>582100611</v>
          </cell>
          <cell r="N15">
            <v>2271236672</v>
          </cell>
        </row>
        <row r="16">
          <cell r="G16">
            <v>1815075108</v>
          </cell>
          <cell r="N16">
            <v>1815075108</v>
          </cell>
        </row>
        <row r="19">
          <cell r="G19">
            <v>37541471</v>
          </cell>
          <cell r="N19">
            <v>109369523</v>
          </cell>
        </row>
        <row r="20">
          <cell r="G20">
            <v>1050628</v>
          </cell>
          <cell r="N20">
            <v>3213084</v>
          </cell>
        </row>
        <row r="21">
          <cell r="G21">
            <v>0</v>
          </cell>
          <cell r="N21">
            <v>2035207</v>
          </cell>
        </row>
        <row r="22">
          <cell r="G22">
            <v>10514824</v>
          </cell>
          <cell r="N22">
            <v>19665048</v>
          </cell>
        </row>
        <row r="23">
          <cell r="G23">
            <v>1410680</v>
          </cell>
          <cell r="N23">
            <v>3671519</v>
          </cell>
        </row>
        <row r="24">
          <cell r="G24">
            <v>571228</v>
          </cell>
          <cell r="N24">
            <v>2155184</v>
          </cell>
        </row>
        <row r="25">
          <cell r="G25">
            <v>240981</v>
          </cell>
          <cell r="N25">
            <v>751143</v>
          </cell>
        </row>
        <row r="26">
          <cell r="G26">
            <v>518801</v>
          </cell>
          <cell r="N26">
            <v>1286373</v>
          </cell>
        </row>
        <row r="27">
          <cell r="G27">
            <v>273300</v>
          </cell>
          <cell r="N27">
            <v>1450684</v>
          </cell>
        </row>
        <row r="28">
          <cell r="G28">
            <v>182731</v>
          </cell>
          <cell r="N28">
            <v>1283801</v>
          </cell>
        </row>
        <row r="29">
          <cell r="G29">
            <v>4915338</v>
          </cell>
          <cell r="N29">
            <v>10577895</v>
          </cell>
        </row>
        <row r="30">
          <cell r="G30">
            <v>1740167</v>
          </cell>
          <cell r="N30">
            <v>4522875</v>
          </cell>
        </row>
        <row r="31">
          <cell r="G31">
            <v>1510622</v>
          </cell>
          <cell r="N31">
            <v>4710411</v>
          </cell>
        </row>
        <row r="32">
          <cell r="G32">
            <v>2889325</v>
          </cell>
          <cell r="N32">
            <v>8339765</v>
          </cell>
        </row>
        <row r="33">
          <cell r="G33">
            <v>1929371</v>
          </cell>
          <cell r="N33">
            <v>7099220</v>
          </cell>
        </row>
        <row r="34">
          <cell r="G34">
            <v>871182</v>
          </cell>
          <cell r="N34">
            <v>3165494</v>
          </cell>
        </row>
        <row r="35">
          <cell r="G35">
            <v>-663193</v>
          </cell>
          <cell r="N35">
            <v>-174513</v>
          </cell>
        </row>
        <row r="36">
          <cell r="G36">
            <v>262695</v>
          </cell>
          <cell r="N36">
            <v>748155</v>
          </cell>
        </row>
        <row r="37">
          <cell r="G37">
            <v>860881</v>
          </cell>
          <cell r="N37">
            <v>1440286</v>
          </cell>
        </row>
        <row r="38">
          <cell r="G38">
            <v>501876</v>
          </cell>
          <cell r="N38">
            <v>927863</v>
          </cell>
        </row>
        <row r="39">
          <cell r="G39">
            <v>4445</v>
          </cell>
          <cell r="N39">
            <v>90852</v>
          </cell>
        </row>
        <row r="40">
          <cell r="G40">
            <v>28920</v>
          </cell>
          <cell r="N40">
            <v>91967</v>
          </cell>
        </row>
        <row r="41">
          <cell r="G41">
            <v>-22454</v>
          </cell>
          <cell r="N41">
            <v>1010577</v>
          </cell>
        </row>
        <row r="42">
          <cell r="G42">
            <v>1140576</v>
          </cell>
          <cell r="N42">
            <v>1990576</v>
          </cell>
        </row>
        <row r="43">
          <cell r="G43">
            <v>20608177</v>
          </cell>
          <cell r="N43">
            <v>55958166</v>
          </cell>
        </row>
        <row r="44">
          <cell r="G44">
            <v>1280000</v>
          </cell>
          <cell r="N44">
            <v>3840000</v>
          </cell>
        </row>
        <row r="45">
          <cell r="G45">
            <v>0</v>
          </cell>
          <cell r="N45">
            <v>0</v>
          </cell>
        </row>
        <row r="46">
          <cell r="G46">
            <v>16100</v>
          </cell>
          <cell r="N46">
            <v>56100</v>
          </cell>
        </row>
        <row r="49">
          <cell r="G49">
            <v>2586300</v>
          </cell>
          <cell r="N49">
            <v>4701234</v>
          </cell>
        </row>
        <row r="50">
          <cell r="G50">
            <v>0</v>
          </cell>
          <cell r="N50">
            <v>1065084</v>
          </cell>
        </row>
        <row r="51">
          <cell r="G51">
            <v>2013000</v>
          </cell>
          <cell r="N51">
            <v>5833000</v>
          </cell>
        </row>
        <row r="52">
          <cell r="G52">
            <v>0</v>
          </cell>
          <cell r="N52">
            <v>0</v>
          </cell>
        </row>
        <row r="53">
          <cell r="G53">
            <v>8114849</v>
          </cell>
          <cell r="N53">
            <v>25900111</v>
          </cell>
        </row>
        <row r="55">
          <cell r="G55">
            <v>792364</v>
          </cell>
          <cell r="N55">
            <v>2155709</v>
          </cell>
        </row>
        <row r="56">
          <cell r="G56">
            <v>0</v>
          </cell>
          <cell r="N56">
            <v>0</v>
          </cell>
        </row>
        <row r="57">
          <cell r="G57">
            <v>0</v>
          </cell>
          <cell r="N57">
            <v>0</v>
          </cell>
        </row>
        <row r="58">
          <cell r="G58">
            <v>0</v>
          </cell>
          <cell r="N58">
            <v>402213</v>
          </cell>
        </row>
        <row r="59">
          <cell r="G59">
            <v>0</v>
          </cell>
          <cell r="N59">
            <v>0</v>
          </cell>
        </row>
        <row r="60">
          <cell r="G60">
            <v>500000</v>
          </cell>
          <cell r="N60">
            <v>1500000</v>
          </cell>
        </row>
        <row r="61">
          <cell r="G61">
            <v>865755</v>
          </cell>
          <cell r="N61">
            <v>1404752</v>
          </cell>
        </row>
        <row r="63">
          <cell r="G63">
            <v>0</v>
          </cell>
          <cell r="N63">
            <v>0</v>
          </cell>
        </row>
        <row r="65">
          <cell r="G65">
            <v>0</v>
          </cell>
          <cell r="N65">
            <v>0</v>
          </cell>
        </row>
        <row r="66">
          <cell r="G66">
            <v>0</v>
          </cell>
          <cell r="N66">
            <v>0</v>
          </cell>
        </row>
        <row r="68">
          <cell r="G68">
            <v>79</v>
          </cell>
          <cell r="N68">
            <v>79</v>
          </cell>
        </row>
        <row r="70">
          <cell r="G70">
            <v>6437250</v>
          </cell>
          <cell r="N70">
            <v>11593085</v>
          </cell>
        </row>
        <row r="71">
          <cell r="G71">
            <v>7095000</v>
          </cell>
          <cell r="N71">
            <v>19267000</v>
          </cell>
        </row>
        <row r="72">
          <cell r="G72">
            <v>1495000</v>
          </cell>
          <cell r="N72">
            <v>4485000</v>
          </cell>
        </row>
        <row r="73">
          <cell r="G73">
            <v>15859</v>
          </cell>
          <cell r="N73">
            <v>629828</v>
          </cell>
        </row>
        <row r="74">
          <cell r="G74">
            <v>0</v>
          </cell>
          <cell r="N74">
            <v>1949000</v>
          </cell>
        </row>
        <row r="75">
          <cell r="G75">
            <v>0</v>
          </cell>
          <cell r="N75">
            <v>672000</v>
          </cell>
        </row>
      </sheetData>
      <sheetData sheetId="1">
        <row r="19">
          <cell r="I19">
            <v>5756800</v>
          </cell>
          <cell r="L19">
            <v>17270400</v>
          </cell>
        </row>
        <row r="20">
          <cell r="I20">
            <v>56110</v>
          </cell>
          <cell r="L20">
            <v>168330</v>
          </cell>
        </row>
        <row r="21">
          <cell r="I21"/>
          <cell r="L21">
            <v>0</v>
          </cell>
        </row>
        <row r="22">
          <cell r="I22">
            <v>976838</v>
          </cell>
          <cell r="L22">
            <v>1385337</v>
          </cell>
        </row>
        <row r="23">
          <cell r="I23">
            <v>538147</v>
          </cell>
          <cell r="L23">
            <v>1610639</v>
          </cell>
        </row>
        <row r="24">
          <cell r="I24">
            <v>45000</v>
          </cell>
          <cell r="L24">
            <v>135000</v>
          </cell>
        </row>
        <row r="25">
          <cell r="I25">
            <v>129379</v>
          </cell>
          <cell r="L25">
            <v>388137</v>
          </cell>
        </row>
        <row r="26">
          <cell r="I26">
            <v>348701</v>
          </cell>
          <cell r="L26">
            <v>1006103</v>
          </cell>
        </row>
        <row r="27">
          <cell r="I27"/>
          <cell r="L27">
            <v>0</v>
          </cell>
        </row>
        <row r="28">
          <cell r="I28">
            <v>133793</v>
          </cell>
          <cell r="L28">
            <v>1154259</v>
          </cell>
        </row>
        <row r="29">
          <cell r="I29"/>
          <cell r="L29">
            <v>0</v>
          </cell>
        </row>
        <row r="30">
          <cell r="I30">
            <v>23133</v>
          </cell>
          <cell r="L30">
            <v>56604</v>
          </cell>
        </row>
        <row r="31">
          <cell r="I31">
            <v>108502</v>
          </cell>
          <cell r="L31">
            <v>431635</v>
          </cell>
        </row>
        <row r="32">
          <cell r="I32">
            <v>1052480</v>
          </cell>
          <cell r="L32">
            <v>2200620</v>
          </cell>
        </row>
        <row r="33">
          <cell r="I33">
            <v>536339</v>
          </cell>
          <cell r="L33">
            <v>905924</v>
          </cell>
        </row>
        <row r="34">
          <cell r="I34">
            <v>100500</v>
          </cell>
          <cell r="L34">
            <v>543800</v>
          </cell>
        </row>
        <row r="35">
          <cell r="I35">
            <v>221520</v>
          </cell>
          <cell r="L35">
            <v>-244360</v>
          </cell>
        </row>
        <row r="36">
          <cell r="I36">
            <v>56392</v>
          </cell>
          <cell r="L36">
            <v>200503</v>
          </cell>
        </row>
        <row r="37">
          <cell r="I37"/>
          <cell r="L37">
            <v>0</v>
          </cell>
        </row>
        <row r="38">
          <cell r="I38">
            <v>12463</v>
          </cell>
          <cell r="L38">
            <v>33096</v>
          </cell>
        </row>
        <row r="39">
          <cell r="I39">
            <v>4445</v>
          </cell>
          <cell r="L39">
            <v>35515</v>
          </cell>
        </row>
        <row r="40">
          <cell r="I40"/>
          <cell r="L40">
            <v>0</v>
          </cell>
        </row>
        <row r="41">
          <cell r="I41">
            <v>2000</v>
          </cell>
          <cell r="L41">
            <v>345800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-165000</v>
          </cell>
          <cell r="L44">
            <v>-495000</v>
          </cell>
        </row>
        <row r="45">
          <cell r="I45"/>
          <cell r="L45">
            <v>0</v>
          </cell>
        </row>
        <row r="46">
          <cell r="I46">
            <v>10000</v>
          </cell>
          <cell r="L46">
            <v>50000</v>
          </cell>
        </row>
        <row r="49">
          <cell r="I49">
            <v>2916723</v>
          </cell>
          <cell r="L49">
            <v>5542800</v>
          </cell>
        </row>
        <row r="50">
          <cell r="I50"/>
          <cell r="L50">
            <v>0</v>
          </cell>
        </row>
        <row r="51">
          <cell r="I51">
            <v>1063000</v>
          </cell>
          <cell r="L51">
            <v>3189000</v>
          </cell>
        </row>
        <row r="52">
          <cell r="I52"/>
          <cell r="L52">
            <v>0</v>
          </cell>
        </row>
        <row r="53">
          <cell r="I53"/>
          <cell r="L53">
            <v>1129500</v>
          </cell>
        </row>
        <row r="55">
          <cell r="I55">
            <v>628574</v>
          </cell>
          <cell r="L55">
            <v>1849451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>
            <v>500000</v>
          </cell>
          <cell r="L60">
            <v>1500000</v>
          </cell>
        </row>
        <row r="61">
          <cell r="I61"/>
          <cell r="L61">
            <v>7001</v>
          </cell>
        </row>
        <row r="63">
          <cell r="I63">
            <v>-7096393</v>
          </cell>
          <cell r="L63">
            <v>-20677494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  <cell r="L68">
            <v>6</v>
          </cell>
        </row>
        <row r="70">
          <cell r="I70">
            <v>622532</v>
          </cell>
          <cell r="L70">
            <v>874822</v>
          </cell>
        </row>
        <row r="71">
          <cell r="I71">
            <v>850000</v>
          </cell>
          <cell r="L71">
            <v>2550000</v>
          </cell>
        </row>
        <row r="72">
          <cell r="I72">
            <v>115000</v>
          </cell>
          <cell r="L72">
            <v>345000</v>
          </cell>
        </row>
        <row r="73">
          <cell r="I73">
            <v>12000</v>
          </cell>
          <cell r="L73">
            <v>12000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2"/>
      <sheetData sheetId="3">
        <row r="5">
          <cell r="I5">
            <v>369676493</v>
          </cell>
          <cell r="L5">
            <v>1240078182</v>
          </cell>
        </row>
        <row r="6">
          <cell r="I6">
            <v>34388071</v>
          </cell>
          <cell r="L6">
            <v>113484763</v>
          </cell>
        </row>
        <row r="7">
          <cell r="I7">
            <v>1581414</v>
          </cell>
          <cell r="L7">
            <v>6056481</v>
          </cell>
        </row>
        <row r="8">
          <cell r="I8">
            <v>594000</v>
          </cell>
          <cell r="L8">
            <v>2068370</v>
          </cell>
        </row>
        <row r="9">
          <cell r="I9">
            <v>39567865</v>
          </cell>
          <cell r="L9">
            <v>139121315</v>
          </cell>
        </row>
        <row r="11">
          <cell r="I11">
            <v>2155633</v>
          </cell>
          <cell r="L11">
            <v>7058083</v>
          </cell>
        </row>
        <row r="12">
          <cell r="N12">
            <v>0</v>
          </cell>
        </row>
        <row r="13">
          <cell r="I13">
            <v>6452594</v>
          </cell>
        </row>
        <row r="14">
          <cell r="I14">
            <v>1186732279</v>
          </cell>
          <cell r="L14">
            <v>1205973702</v>
          </cell>
        </row>
        <row r="15">
          <cell r="I15">
            <v>347642189</v>
          </cell>
          <cell r="L15">
            <v>1238074538</v>
          </cell>
        </row>
        <row r="16">
          <cell r="I16">
            <v>1151284248</v>
          </cell>
          <cell r="L16">
            <v>1151284248</v>
          </cell>
        </row>
        <row r="19">
          <cell r="I19">
            <v>10204169</v>
          </cell>
          <cell r="L19">
            <v>30651004</v>
          </cell>
        </row>
        <row r="20">
          <cell r="I20">
            <v>-55036</v>
          </cell>
          <cell r="L20">
            <v>469266</v>
          </cell>
        </row>
        <row r="21">
          <cell r="I21"/>
          <cell r="L21">
            <v>0</v>
          </cell>
        </row>
        <row r="22">
          <cell r="I22">
            <v>2807660</v>
          </cell>
          <cell r="L22">
            <v>4971172</v>
          </cell>
        </row>
        <row r="23">
          <cell r="I23">
            <v>409168</v>
          </cell>
          <cell r="L23">
            <v>1006977</v>
          </cell>
        </row>
        <row r="24">
          <cell r="I24">
            <v>181650</v>
          </cell>
          <cell r="L24">
            <v>1216950</v>
          </cell>
        </row>
        <row r="25">
          <cell r="I25">
            <v>86370</v>
          </cell>
          <cell r="L25">
            <v>259110</v>
          </cell>
        </row>
        <row r="26">
          <cell r="I26">
            <v>680</v>
          </cell>
          <cell r="L26">
            <v>2040</v>
          </cell>
        </row>
        <row r="27">
          <cell r="I27"/>
          <cell r="L27">
            <v>0</v>
          </cell>
        </row>
        <row r="28">
          <cell r="I28">
            <v>102472</v>
          </cell>
          <cell r="L28">
            <v>309497</v>
          </cell>
        </row>
        <row r="29">
          <cell r="I29">
            <v>14920</v>
          </cell>
          <cell r="L29">
            <v>89140</v>
          </cell>
        </row>
        <row r="30">
          <cell r="I30">
            <v>46265</v>
          </cell>
          <cell r="L30">
            <v>113208</v>
          </cell>
        </row>
        <row r="31">
          <cell r="I31">
            <v>614689</v>
          </cell>
          <cell r="L31">
            <v>2274423</v>
          </cell>
        </row>
        <row r="32">
          <cell r="I32">
            <v>1345473</v>
          </cell>
          <cell r="L32">
            <v>3771566</v>
          </cell>
        </row>
        <row r="33">
          <cell r="I33">
            <v>55000</v>
          </cell>
          <cell r="L33">
            <v>165000</v>
          </cell>
        </row>
        <row r="34">
          <cell r="I34">
            <v>439552</v>
          </cell>
          <cell r="L34">
            <v>1479923</v>
          </cell>
        </row>
        <row r="35">
          <cell r="I35"/>
          <cell r="L35">
            <v>0</v>
          </cell>
        </row>
        <row r="36">
          <cell r="I36">
            <v>98258</v>
          </cell>
          <cell r="L36">
            <v>166584</v>
          </cell>
        </row>
        <row r="37">
          <cell r="I37"/>
          <cell r="L37">
            <v>100000</v>
          </cell>
        </row>
        <row r="38">
          <cell r="I38">
            <v>204710</v>
          </cell>
          <cell r="L38">
            <v>394749</v>
          </cell>
        </row>
        <row r="39">
          <cell r="I39"/>
          <cell r="L39">
            <v>0</v>
          </cell>
        </row>
        <row r="40">
          <cell r="I40">
            <v>27117</v>
          </cell>
          <cell r="L40">
            <v>64471</v>
          </cell>
        </row>
        <row r="41">
          <cell r="I41"/>
          <cell r="L41">
            <v>97000</v>
          </cell>
        </row>
        <row r="42">
          <cell r="I42">
            <v>10000</v>
          </cell>
          <cell r="L42">
            <v>520000</v>
          </cell>
        </row>
        <row r="43">
          <cell r="I43">
            <v>14524262</v>
          </cell>
          <cell r="L43">
            <v>38026987</v>
          </cell>
        </row>
        <row r="44">
          <cell r="I44">
            <v>475000</v>
          </cell>
          <cell r="L44">
            <v>1425000</v>
          </cell>
        </row>
        <row r="45">
          <cell r="I45"/>
          <cell r="L45">
            <v>0</v>
          </cell>
        </row>
        <row r="46">
          <cell r="I46"/>
          <cell r="L46">
            <v>11000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7688673</v>
          </cell>
          <cell r="L53">
            <v>49525074</v>
          </cell>
        </row>
        <row r="55">
          <cell r="I55">
            <v>323289</v>
          </cell>
          <cell r="L55">
            <v>680872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76390</v>
          </cell>
          <cell r="L61">
            <v>121195</v>
          </cell>
        </row>
        <row r="63">
          <cell r="I63">
            <v>3491426</v>
          </cell>
          <cell r="L63">
            <v>10226888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19</v>
          </cell>
          <cell r="L68">
            <v>19</v>
          </cell>
        </row>
        <row r="70">
          <cell r="I70">
            <v>1643027</v>
          </cell>
          <cell r="L70">
            <v>2665396</v>
          </cell>
        </row>
        <row r="71">
          <cell r="I71">
            <v>2050000</v>
          </cell>
          <cell r="L71">
            <v>6150000</v>
          </cell>
        </row>
        <row r="72">
          <cell r="I72">
            <v>55000</v>
          </cell>
          <cell r="L72">
            <v>165000</v>
          </cell>
        </row>
        <row r="73">
          <cell r="I73">
            <v>343050</v>
          </cell>
          <cell r="L73">
            <v>343050</v>
          </cell>
        </row>
        <row r="74">
          <cell r="I74"/>
          <cell r="L74">
            <v>0</v>
          </cell>
        </row>
        <row r="75">
          <cell r="I75"/>
          <cell r="L75">
            <v>672000</v>
          </cell>
        </row>
      </sheetData>
      <sheetData sheetId="4">
        <row r="5">
          <cell r="I5">
            <v>385650</v>
          </cell>
          <cell r="L5">
            <v>1385035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7148748</v>
          </cell>
          <cell r="L9">
            <v>24407592</v>
          </cell>
        </row>
        <row r="11">
          <cell r="I11">
            <v>32543</v>
          </cell>
          <cell r="L11">
            <v>84684</v>
          </cell>
        </row>
        <row r="12">
          <cell r="L12">
            <v>0</v>
          </cell>
        </row>
        <row r="14">
          <cell r="L14">
            <v>0</v>
          </cell>
        </row>
        <row r="15">
          <cell r="I15">
            <v>480943</v>
          </cell>
          <cell r="L15">
            <v>1540239</v>
          </cell>
        </row>
        <row r="16">
          <cell r="L16">
            <v>0</v>
          </cell>
        </row>
        <row r="19">
          <cell r="I19">
            <v>3636711</v>
          </cell>
          <cell r="L19">
            <v>9472511</v>
          </cell>
        </row>
        <row r="20">
          <cell r="I20">
            <v>163642</v>
          </cell>
          <cell r="L20">
            <v>490926</v>
          </cell>
        </row>
        <row r="21">
          <cell r="I21"/>
          <cell r="L21">
            <v>0</v>
          </cell>
        </row>
        <row r="22">
          <cell r="I22">
            <v>1619313</v>
          </cell>
          <cell r="L22">
            <v>3284272</v>
          </cell>
        </row>
        <row r="23">
          <cell r="I23">
            <v>94913</v>
          </cell>
          <cell r="L23">
            <v>285572</v>
          </cell>
        </row>
        <row r="24">
          <cell r="I24">
            <v>96410</v>
          </cell>
          <cell r="L24">
            <v>289230</v>
          </cell>
        </row>
        <row r="25">
          <cell r="I25">
            <v>10180</v>
          </cell>
          <cell r="L25">
            <v>30540</v>
          </cell>
        </row>
        <row r="26">
          <cell r="I26">
            <v>57273</v>
          </cell>
          <cell r="L26">
            <v>71613</v>
          </cell>
        </row>
        <row r="27">
          <cell r="I27"/>
          <cell r="L27">
            <v>174900</v>
          </cell>
        </row>
        <row r="28">
          <cell r="I28">
            <v>81229</v>
          </cell>
          <cell r="L28">
            <v>96711</v>
          </cell>
        </row>
        <row r="29">
          <cell r="I29">
            <v>420696</v>
          </cell>
          <cell r="L29">
            <v>897892</v>
          </cell>
        </row>
        <row r="30">
          <cell r="I30">
            <v>505648</v>
          </cell>
          <cell r="L30">
            <v>1372462</v>
          </cell>
        </row>
        <row r="31">
          <cell r="I31">
            <v>117474</v>
          </cell>
          <cell r="L31">
            <v>344020</v>
          </cell>
        </row>
        <row r="32">
          <cell r="I32">
            <v>50618</v>
          </cell>
          <cell r="L32">
            <v>467718</v>
          </cell>
        </row>
        <row r="33">
          <cell r="I33">
            <v>440000</v>
          </cell>
          <cell r="L33">
            <v>2559000</v>
          </cell>
        </row>
        <row r="34">
          <cell r="I34"/>
          <cell r="L34">
            <v>0</v>
          </cell>
        </row>
        <row r="35">
          <cell r="I35">
            <v>3300</v>
          </cell>
          <cell r="L35">
            <v>3300</v>
          </cell>
        </row>
        <row r="36">
          <cell r="I36">
            <v>24970</v>
          </cell>
          <cell r="L36">
            <v>75006</v>
          </cell>
        </row>
        <row r="37">
          <cell r="I37">
            <v>7919</v>
          </cell>
          <cell r="L37">
            <v>79137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10000</v>
          </cell>
        </row>
        <row r="42">
          <cell r="I42"/>
          <cell r="L42">
            <v>0</v>
          </cell>
        </row>
        <row r="43">
          <cell r="I43">
            <v>-478996</v>
          </cell>
          <cell r="L43">
            <v>-1486146</v>
          </cell>
        </row>
        <row r="44">
          <cell r="I44">
            <v>375000</v>
          </cell>
          <cell r="L44">
            <v>1125000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850000</v>
          </cell>
          <cell r="L51">
            <v>2550000</v>
          </cell>
        </row>
        <row r="52">
          <cell r="I52"/>
          <cell r="L52">
            <v>0</v>
          </cell>
        </row>
        <row r="53">
          <cell r="I53">
            <v>50000</v>
          </cell>
          <cell r="L53">
            <v>150000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432880</v>
          </cell>
          <cell r="L63">
            <v>1174482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15</v>
          </cell>
        </row>
        <row r="70">
          <cell r="I70">
            <v>954423</v>
          </cell>
          <cell r="L70">
            <v>1954492</v>
          </cell>
        </row>
        <row r="71">
          <cell r="I71">
            <v>750000</v>
          </cell>
          <cell r="L71">
            <v>453000</v>
          </cell>
        </row>
        <row r="72">
          <cell r="I72">
            <v>440000</v>
          </cell>
          <cell r="L72">
            <v>1320000</v>
          </cell>
        </row>
        <row r="73">
          <cell r="I73"/>
          <cell r="L73">
            <v>0</v>
          </cell>
        </row>
        <row r="74">
          <cell r="I74"/>
          <cell r="L74">
            <v>1189000</v>
          </cell>
        </row>
        <row r="75">
          <cell r="L75">
            <v>0</v>
          </cell>
        </row>
      </sheetData>
      <sheetData sheetId="5"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0</v>
          </cell>
        </row>
        <row r="9">
          <cell r="L9">
            <v>0</v>
          </cell>
        </row>
        <row r="11">
          <cell r="L11">
            <v>0</v>
          </cell>
        </row>
        <row r="12">
          <cell r="N12">
            <v>0</v>
          </cell>
        </row>
        <row r="14">
          <cell r="L14">
            <v>0</v>
          </cell>
        </row>
        <row r="15">
          <cell r="L15">
            <v>0</v>
          </cell>
        </row>
        <row r="16">
          <cell r="L16">
            <v>0</v>
          </cell>
        </row>
        <row r="19">
          <cell r="I19">
            <v>2781263</v>
          </cell>
          <cell r="L19">
            <v>8364005</v>
          </cell>
        </row>
        <row r="20">
          <cell r="I20">
            <v>88532</v>
          </cell>
          <cell r="L20">
            <v>265596</v>
          </cell>
        </row>
        <row r="21">
          <cell r="I21"/>
          <cell r="L21">
            <v>0</v>
          </cell>
        </row>
        <row r="22">
          <cell r="I22">
            <v>845103</v>
          </cell>
          <cell r="L22">
            <v>1830582</v>
          </cell>
        </row>
        <row r="23">
          <cell r="I23">
            <v>69630</v>
          </cell>
          <cell r="L23">
            <v>244653</v>
          </cell>
        </row>
        <row r="24">
          <cell r="I24"/>
          <cell r="L24">
            <v>0</v>
          </cell>
        </row>
        <row r="25">
          <cell r="I25">
            <v>10180</v>
          </cell>
          <cell r="L25">
            <v>40200</v>
          </cell>
        </row>
        <row r="26">
          <cell r="I26">
            <v>5520</v>
          </cell>
          <cell r="L26">
            <v>16560</v>
          </cell>
        </row>
        <row r="27">
          <cell r="I27"/>
          <cell r="L27">
            <v>0</v>
          </cell>
        </row>
        <row r="28">
          <cell r="I28">
            <v>25324</v>
          </cell>
          <cell r="L28">
            <v>71642</v>
          </cell>
        </row>
        <row r="29">
          <cell r="I29">
            <v>18979</v>
          </cell>
          <cell r="L29">
            <v>18979</v>
          </cell>
        </row>
        <row r="30">
          <cell r="I30">
            <v>25817</v>
          </cell>
          <cell r="L30">
            <v>72272</v>
          </cell>
        </row>
        <row r="31">
          <cell r="I31">
            <v>135159</v>
          </cell>
          <cell r="L31">
            <v>398105</v>
          </cell>
        </row>
        <row r="32">
          <cell r="I32"/>
          <cell r="L32">
            <v>150707</v>
          </cell>
        </row>
        <row r="33">
          <cell r="I33">
            <v>20000</v>
          </cell>
          <cell r="L33">
            <v>60000</v>
          </cell>
        </row>
        <row r="34">
          <cell r="I34">
            <v>24400</v>
          </cell>
          <cell r="L34">
            <v>76300</v>
          </cell>
        </row>
        <row r="35">
          <cell r="I35"/>
          <cell r="L35">
            <v>0</v>
          </cell>
        </row>
        <row r="36">
          <cell r="I36">
            <v>32351</v>
          </cell>
          <cell r="L36">
            <v>98596</v>
          </cell>
        </row>
        <row r="37">
          <cell r="I37"/>
          <cell r="L37">
            <v>0</v>
          </cell>
        </row>
        <row r="38">
          <cell r="I38">
            <v>15440</v>
          </cell>
          <cell r="L38">
            <v>23360</v>
          </cell>
        </row>
        <row r="39">
          <cell r="I39"/>
          <cell r="L39">
            <v>0</v>
          </cell>
        </row>
        <row r="40">
          <cell r="I40"/>
          <cell r="L40">
            <v>9600</v>
          </cell>
        </row>
        <row r="41">
          <cell r="I41"/>
          <cell r="L41">
            <v>395958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80000</v>
          </cell>
          <cell r="L44">
            <v>240000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205795</v>
          </cell>
          <cell r="L63">
            <v>599456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</row>
        <row r="70">
          <cell r="I70">
            <v>478618</v>
          </cell>
          <cell r="L70">
            <v>1097612</v>
          </cell>
        </row>
        <row r="71">
          <cell r="I71">
            <v>520000</v>
          </cell>
          <cell r="L71">
            <v>1560000</v>
          </cell>
        </row>
        <row r="72">
          <cell r="I72">
            <v>20000</v>
          </cell>
          <cell r="L72">
            <v>60000</v>
          </cell>
        </row>
        <row r="73">
          <cell r="I73">
            <v>24400</v>
          </cell>
          <cell r="L73">
            <v>24400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6">
        <row r="5">
          <cell r="I5">
            <v>2341310</v>
          </cell>
          <cell r="L5">
            <v>9502984</v>
          </cell>
        </row>
        <row r="6">
          <cell r="I6"/>
          <cell r="L6">
            <v>0</v>
          </cell>
        </row>
        <row r="7">
          <cell r="I7">
            <v>10926102</v>
          </cell>
          <cell r="L7">
            <v>40199648</v>
          </cell>
        </row>
        <row r="8">
          <cell r="I8">
            <v>3211016</v>
          </cell>
          <cell r="L8">
            <v>12145568</v>
          </cell>
        </row>
        <row r="9">
          <cell r="I9">
            <v>3766554</v>
          </cell>
          <cell r="L9">
            <v>14435733</v>
          </cell>
        </row>
        <row r="11">
          <cell r="I11">
            <v>60625</v>
          </cell>
          <cell r="L11">
            <v>238459</v>
          </cell>
        </row>
        <row r="12">
          <cell r="I12">
            <v>2896154</v>
          </cell>
          <cell r="L12">
            <v>10761115</v>
          </cell>
        </row>
        <row r="14">
          <cell r="L14">
            <v>0</v>
          </cell>
        </row>
        <row r="15">
          <cell r="I15">
            <v>1209000</v>
          </cell>
          <cell r="L15">
            <v>5180948</v>
          </cell>
        </row>
        <row r="16">
          <cell r="L16">
            <v>0</v>
          </cell>
        </row>
        <row r="19">
          <cell r="I19">
            <v>7051913</v>
          </cell>
          <cell r="L19">
            <v>21172557</v>
          </cell>
        </row>
        <row r="20">
          <cell r="I20">
            <v>241330</v>
          </cell>
          <cell r="L20">
            <v>723990</v>
          </cell>
        </row>
        <row r="21">
          <cell r="I21"/>
          <cell r="L21">
            <v>0</v>
          </cell>
        </row>
        <row r="22">
          <cell r="I22">
            <v>2259866</v>
          </cell>
          <cell r="L22">
            <v>4590950</v>
          </cell>
        </row>
        <row r="23">
          <cell r="I23">
            <v>107392</v>
          </cell>
          <cell r="L23">
            <v>270437</v>
          </cell>
        </row>
        <row r="24">
          <cell r="I24">
            <v>28600</v>
          </cell>
          <cell r="L24">
            <v>85800</v>
          </cell>
        </row>
        <row r="25">
          <cell r="I25"/>
          <cell r="L25">
            <v>0</v>
          </cell>
        </row>
        <row r="26">
          <cell r="I26">
            <v>78417</v>
          </cell>
          <cell r="L26">
            <v>78417</v>
          </cell>
        </row>
        <row r="27">
          <cell r="I27">
            <v>1505000</v>
          </cell>
          <cell r="L27">
            <v>3202550</v>
          </cell>
        </row>
        <row r="28">
          <cell r="I28"/>
          <cell r="L28">
            <v>0</v>
          </cell>
        </row>
        <row r="29">
          <cell r="I29">
            <v>3359061</v>
          </cell>
          <cell r="L29">
            <v>8017258</v>
          </cell>
        </row>
        <row r="30">
          <cell r="I30">
            <v>643321</v>
          </cell>
          <cell r="L30">
            <v>1786226</v>
          </cell>
        </row>
        <row r="31">
          <cell r="I31">
            <v>265719</v>
          </cell>
          <cell r="L31">
            <v>797157</v>
          </cell>
        </row>
        <row r="32">
          <cell r="I32">
            <v>221850</v>
          </cell>
          <cell r="L32">
            <v>485200</v>
          </cell>
        </row>
        <row r="33">
          <cell r="I33">
            <v>525000</v>
          </cell>
          <cell r="L33">
            <v>1575000</v>
          </cell>
        </row>
        <row r="34">
          <cell r="I34"/>
          <cell r="L34">
            <v>0</v>
          </cell>
        </row>
        <row r="35">
          <cell r="I35"/>
          <cell r="L35">
            <v>0</v>
          </cell>
        </row>
        <row r="36">
          <cell r="I36">
            <v>9888</v>
          </cell>
          <cell r="L36">
            <v>29664</v>
          </cell>
        </row>
        <row r="37">
          <cell r="I37"/>
          <cell r="L37">
            <v>0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>
            <v>1486284</v>
          </cell>
          <cell r="L43">
            <v>4433208</v>
          </cell>
        </row>
        <row r="44">
          <cell r="I44">
            <v>360000</v>
          </cell>
          <cell r="L44">
            <v>1080000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100000</v>
          </cell>
          <cell r="L51">
            <v>300000</v>
          </cell>
        </row>
        <row r="52">
          <cell r="I52"/>
          <cell r="L52">
            <v>0</v>
          </cell>
        </row>
        <row r="53">
          <cell r="I53">
            <v>27</v>
          </cell>
          <cell r="L53">
            <v>50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2</v>
          </cell>
        </row>
        <row r="63">
          <cell r="I63">
            <v>965109</v>
          </cell>
          <cell r="L63">
            <v>2974730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17</v>
          </cell>
        </row>
        <row r="70">
          <cell r="I70">
            <v>1384550</v>
          </cell>
          <cell r="L70">
            <v>2840318</v>
          </cell>
        </row>
        <row r="71">
          <cell r="I71">
            <v>1550000</v>
          </cell>
          <cell r="L71">
            <v>4650000</v>
          </cell>
        </row>
        <row r="72">
          <cell r="I72">
            <v>525000</v>
          </cell>
          <cell r="L72">
            <v>1575000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7">
        <row r="10">
          <cell r="I10">
            <v>20244982</v>
          </cell>
        </row>
      </sheetData>
      <sheetData sheetId="8">
        <row r="5">
          <cell r="I5">
            <v>145385939</v>
          </cell>
          <cell r="L5">
            <v>452202087</v>
          </cell>
        </row>
        <row r="6">
          <cell r="I6"/>
          <cell r="L6">
            <v>0</v>
          </cell>
        </row>
        <row r="7">
          <cell r="I7">
            <v>157808</v>
          </cell>
          <cell r="L7">
            <v>489432</v>
          </cell>
        </row>
        <row r="8">
          <cell r="I8">
            <v>23000</v>
          </cell>
          <cell r="L8">
            <v>44180</v>
          </cell>
        </row>
        <row r="9">
          <cell r="I9">
            <v>81450741</v>
          </cell>
          <cell r="L9">
            <v>262929603</v>
          </cell>
        </row>
        <row r="11">
          <cell r="I11">
            <v>929287</v>
          </cell>
          <cell r="L11">
            <v>2950124</v>
          </cell>
        </row>
        <row r="12">
          <cell r="L12">
            <v>0</v>
          </cell>
        </row>
        <row r="13">
          <cell r="I13">
            <v>3888491</v>
          </cell>
        </row>
        <row r="14">
          <cell r="I14">
            <v>755986627</v>
          </cell>
          <cell r="L14">
            <v>804499700</v>
          </cell>
        </row>
        <row r="15">
          <cell r="I15">
            <v>180312752</v>
          </cell>
          <cell r="L15">
            <v>579603019</v>
          </cell>
        </row>
        <row r="16">
          <cell r="I16">
            <v>730606458</v>
          </cell>
          <cell r="L16">
            <v>730606458</v>
          </cell>
        </row>
        <row r="19">
          <cell r="I19">
            <v>3796900</v>
          </cell>
          <cell r="L19">
            <v>12824700</v>
          </cell>
        </row>
        <row r="20">
          <cell r="I20">
            <v>94954</v>
          </cell>
          <cell r="L20">
            <v>344862</v>
          </cell>
        </row>
        <row r="21">
          <cell r="I21"/>
          <cell r="L21">
            <v>0</v>
          </cell>
        </row>
        <row r="22">
          <cell r="I22">
            <v>1263213</v>
          </cell>
          <cell r="L22">
            <v>2327665</v>
          </cell>
        </row>
        <row r="23">
          <cell r="I23">
            <v>65697</v>
          </cell>
          <cell r="L23">
            <v>224271</v>
          </cell>
        </row>
        <row r="24">
          <cell r="I24">
            <v>143500</v>
          </cell>
          <cell r="L24">
            <v>430500</v>
          </cell>
        </row>
        <row r="25">
          <cell r="I25">
            <v>18542</v>
          </cell>
          <cell r="L25">
            <v>74166</v>
          </cell>
        </row>
        <row r="26">
          <cell r="I26">
            <v>7170</v>
          </cell>
          <cell r="L26">
            <v>21510</v>
          </cell>
        </row>
        <row r="27">
          <cell r="I27"/>
          <cell r="L27">
            <v>0</v>
          </cell>
        </row>
        <row r="28">
          <cell r="I28">
            <v>21661</v>
          </cell>
          <cell r="L28">
            <v>35897</v>
          </cell>
        </row>
        <row r="29">
          <cell r="I29"/>
          <cell r="L29">
            <v>15800</v>
          </cell>
        </row>
        <row r="30">
          <cell r="I30">
            <v>53924</v>
          </cell>
          <cell r="L30">
            <v>161356</v>
          </cell>
        </row>
        <row r="31">
          <cell r="I31">
            <v>237816</v>
          </cell>
          <cell r="L31">
            <v>738631</v>
          </cell>
        </row>
        <row r="32">
          <cell r="I32">
            <v>84500</v>
          </cell>
          <cell r="L32">
            <v>242000</v>
          </cell>
        </row>
        <row r="33">
          <cell r="I33">
            <v>55449</v>
          </cell>
          <cell r="L33">
            <v>925449</v>
          </cell>
        </row>
        <row r="34">
          <cell r="I34">
            <v>445027</v>
          </cell>
          <cell r="L34">
            <v>1521736</v>
          </cell>
        </row>
        <row r="35">
          <cell r="I35"/>
          <cell r="L35">
            <v>0</v>
          </cell>
        </row>
        <row r="36">
          <cell r="I36">
            <v>34517</v>
          </cell>
          <cell r="L36">
            <v>82404</v>
          </cell>
        </row>
        <row r="37">
          <cell r="I37"/>
          <cell r="L37">
            <v>0</v>
          </cell>
        </row>
        <row r="38">
          <cell r="I38">
            <v>64873</v>
          </cell>
          <cell r="L38">
            <v>144669</v>
          </cell>
        </row>
        <row r="39">
          <cell r="I39"/>
          <cell r="L39">
            <v>71204</v>
          </cell>
        </row>
        <row r="40">
          <cell r="I40"/>
          <cell r="L40">
            <v>0</v>
          </cell>
        </row>
        <row r="41">
          <cell r="I41">
            <v>1000</v>
          </cell>
          <cell r="L41">
            <v>144000</v>
          </cell>
        </row>
        <row r="42">
          <cell r="I42"/>
          <cell r="L42">
            <v>0</v>
          </cell>
        </row>
        <row r="43">
          <cell r="I43">
            <v>5867944</v>
          </cell>
          <cell r="L43">
            <v>15422008</v>
          </cell>
        </row>
        <row r="44">
          <cell r="I44">
            <v>55000</v>
          </cell>
          <cell r="L44">
            <v>165000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>
            <v>2936</v>
          </cell>
          <cell r="L49">
            <v>2936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4</v>
          </cell>
          <cell r="L53">
            <v>307127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25</v>
          </cell>
          <cell r="L61">
            <v>80</v>
          </cell>
        </row>
        <row r="63">
          <cell r="I63">
            <v>1461857</v>
          </cell>
          <cell r="L63">
            <v>4123944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8</v>
          </cell>
        </row>
        <row r="70">
          <cell r="I70">
            <v>755667</v>
          </cell>
          <cell r="L70">
            <v>1312573</v>
          </cell>
        </row>
        <row r="71">
          <cell r="I71">
            <v>750000</v>
          </cell>
          <cell r="L71">
            <v>2250000</v>
          </cell>
        </row>
        <row r="72">
          <cell r="I72">
            <v>55000</v>
          </cell>
          <cell r="L72">
            <v>165000</v>
          </cell>
        </row>
        <row r="73">
          <cell r="I73"/>
          <cell r="L73">
            <v>242721</v>
          </cell>
        </row>
        <row r="74">
          <cell r="I74"/>
          <cell r="L74">
            <v>760000</v>
          </cell>
        </row>
        <row r="75">
          <cell r="L75">
            <v>0</v>
          </cell>
        </row>
      </sheetData>
      <sheetData sheetId="9">
        <row r="5">
          <cell r="I5"/>
          <cell r="L5">
            <v>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8809570</v>
          </cell>
          <cell r="L9">
            <v>29183291</v>
          </cell>
        </row>
        <row r="11">
          <cell r="L11">
            <v>0</v>
          </cell>
        </row>
        <row r="12">
          <cell r="L12">
            <v>0</v>
          </cell>
        </row>
        <row r="14">
          <cell r="L14"/>
        </row>
        <row r="15">
          <cell r="I15"/>
          <cell r="L15">
            <v>0</v>
          </cell>
        </row>
        <row r="16">
          <cell r="L16"/>
        </row>
        <row r="19">
          <cell r="I19">
            <v>4493215</v>
          </cell>
          <cell r="L19">
            <v>13575557</v>
          </cell>
        </row>
        <row r="20">
          <cell r="I20">
            <v>111642</v>
          </cell>
          <cell r="L20">
            <v>334926</v>
          </cell>
        </row>
        <row r="21">
          <cell r="I21"/>
          <cell r="L21">
            <v>0</v>
          </cell>
        </row>
        <row r="22">
          <cell r="I22">
            <v>1325850</v>
          </cell>
          <cell r="L22">
            <v>2785227</v>
          </cell>
        </row>
        <row r="23">
          <cell r="I23">
            <v>57730</v>
          </cell>
          <cell r="L23">
            <v>204285</v>
          </cell>
        </row>
        <row r="24">
          <cell r="I24"/>
          <cell r="L24">
            <v>0</v>
          </cell>
        </row>
        <row r="25">
          <cell r="I25">
            <v>8300</v>
          </cell>
          <cell r="L25">
            <v>24900</v>
          </cell>
        </row>
        <row r="26">
          <cell r="I26">
            <v>25000</v>
          </cell>
          <cell r="L26">
            <v>63000</v>
          </cell>
        </row>
        <row r="27">
          <cell r="I27">
            <v>208400</v>
          </cell>
          <cell r="L27">
            <v>314260</v>
          </cell>
        </row>
        <row r="28">
          <cell r="I28">
            <v>59534</v>
          </cell>
          <cell r="L28">
            <v>75197</v>
          </cell>
        </row>
        <row r="29">
          <cell r="I29">
            <v>463109</v>
          </cell>
          <cell r="L29">
            <v>2219924</v>
          </cell>
        </row>
        <row r="30">
          <cell r="I30">
            <v>331855</v>
          </cell>
          <cell r="L30">
            <v>800531</v>
          </cell>
        </row>
        <row r="31">
          <cell r="I31">
            <v>144291</v>
          </cell>
          <cell r="L31">
            <v>494001</v>
          </cell>
        </row>
        <row r="32">
          <cell r="I32">
            <v>92500</v>
          </cell>
          <cell r="L32">
            <v>203826</v>
          </cell>
        </row>
        <row r="33">
          <cell r="I33">
            <v>325000</v>
          </cell>
          <cell r="L33">
            <v>975000</v>
          </cell>
        </row>
        <row r="34">
          <cell r="I34"/>
          <cell r="L34">
            <v>0</v>
          </cell>
        </row>
        <row r="35">
          <cell r="I35"/>
          <cell r="L35">
            <v>0</v>
          </cell>
        </row>
        <row r="36">
          <cell r="I36">
            <v>3004</v>
          </cell>
          <cell r="L36">
            <v>9010</v>
          </cell>
        </row>
        <row r="37">
          <cell r="I37">
            <v>62684</v>
          </cell>
          <cell r="L37">
            <v>123281</v>
          </cell>
        </row>
        <row r="38">
          <cell r="I38">
            <v>3460</v>
          </cell>
          <cell r="L38">
            <v>6840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275000</v>
          </cell>
          <cell r="L44">
            <v>825000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249066</v>
          </cell>
          <cell r="L53">
            <v>249066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539326</v>
          </cell>
          <cell r="L63">
            <v>1577994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11</v>
          </cell>
        </row>
        <row r="70">
          <cell r="I70">
            <v>812166</v>
          </cell>
          <cell r="L70">
            <v>1708695</v>
          </cell>
        </row>
        <row r="71">
          <cell r="I71">
            <v>920000</v>
          </cell>
          <cell r="L71">
            <v>2760000</v>
          </cell>
        </row>
        <row r="72">
          <cell r="I72">
            <v>325000</v>
          </cell>
          <cell r="L72">
            <v>975000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10">
        <row r="10">
          <cell r="I10">
            <v>235827058</v>
          </cell>
        </row>
      </sheetData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社合計"/>
      <sheetName val="本部"/>
      <sheetName val="本社合計"/>
      <sheetName val="本社営業"/>
      <sheetName val="東大阪"/>
      <sheetName val="南港事務"/>
      <sheetName val="南港工場"/>
      <sheetName val="南港合計"/>
      <sheetName val="東京事務"/>
      <sheetName val="東京工場"/>
      <sheetName val="東京合計"/>
      <sheetName val="社内金利"/>
    </sheetNames>
    <sheetDataSet>
      <sheetData sheetId="0">
        <row r="5">
          <cell r="G5">
            <v>680032546</v>
          </cell>
          <cell r="N5">
            <v>2640447571</v>
          </cell>
        </row>
        <row r="6">
          <cell r="G6">
            <v>18346784</v>
          </cell>
          <cell r="N6">
            <v>142899453</v>
          </cell>
        </row>
        <row r="7">
          <cell r="G7">
            <v>17171586</v>
          </cell>
          <cell r="N7">
            <v>61832167</v>
          </cell>
        </row>
        <row r="8">
          <cell r="G8">
            <v>5955989</v>
          </cell>
          <cell r="N8">
            <v>20435007</v>
          </cell>
        </row>
        <row r="9">
          <cell r="G9">
            <v>201443646</v>
          </cell>
          <cell r="N9">
            <v>752781282</v>
          </cell>
        </row>
        <row r="11">
          <cell r="G11">
            <v>3868833</v>
          </cell>
          <cell r="N11">
            <v>15398972</v>
          </cell>
        </row>
        <row r="12">
          <cell r="G12">
            <v>4241377</v>
          </cell>
          <cell r="N12">
            <v>15382221</v>
          </cell>
        </row>
        <row r="13">
          <cell r="G13">
            <v>10818012</v>
          </cell>
        </row>
        <row r="14">
          <cell r="G14">
            <v>1815075108</v>
          </cell>
          <cell r="N14">
            <v>1816376496</v>
          </cell>
        </row>
        <row r="15">
          <cell r="G15">
            <v>852543640</v>
          </cell>
          <cell r="N15">
            <v>3123780312</v>
          </cell>
        </row>
        <row r="16">
          <cell r="G16">
            <v>1895067231</v>
          </cell>
          <cell r="N16">
            <v>1895067231</v>
          </cell>
        </row>
        <row r="19">
          <cell r="G19">
            <v>37873007</v>
          </cell>
          <cell r="N19">
            <v>147242530</v>
          </cell>
        </row>
        <row r="20">
          <cell r="G20">
            <v>1046228</v>
          </cell>
          <cell r="N20">
            <v>4259312</v>
          </cell>
        </row>
        <row r="21">
          <cell r="G21">
            <v>0</v>
          </cell>
          <cell r="N21">
            <v>2035207</v>
          </cell>
        </row>
        <row r="22">
          <cell r="G22">
            <v>4066144</v>
          </cell>
          <cell r="N22">
            <v>23731192</v>
          </cell>
        </row>
        <row r="23">
          <cell r="G23">
            <v>1338293</v>
          </cell>
          <cell r="N23">
            <v>5009812</v>
          </cell>
        </row>
        <row r="24">
          <cell r="G24">
            <v>466559</v>
          </cell>
          <cell r="N24">
            <v>2621743</v>
          </cell>
        </row>
        <row r="25">
          <cell r="G25">
            <v>260901</v>
          </cell>
          <cell r="N25">
            <v>1012044</v>
          </cell>
        </row>
        <row r="26">
          <cell r="G26">
            <v>390281</v>
          </cell>
          <cell r="N26">
            <v>1676654</v>
          </cell>
        </row>
        <row r="27">
          <cell r="G27">
            <v>7570681</v>
          </cell>
          <cell r="N27">
            <v>9021365</v>
          </cell>
        </row>
        <row r="28">
          <cell r="G28">
            <v>164621</v>
          </cell>
          <cell r="N28">
            <v>1448422</v>
          </cell>
        </row>
        <row r="29">
          <cell r="G29">
            <v>7249894</v>
          </cell>
          <cell r="N29">
            <v>17827789</v>
          </cell>
        </row>
        <row r="30">
          <cell r="G30">
            <v>1514373</v>
          </cell>
          <cell r="N30">
            <v>6037248</v>
          </cell>
        </row>
        <row r="31">
          <cell r="G31">
            <v>1717286</v>
          </cell>
          <cell r="N31">
            <v>6427697</v>
          </cell>
        </row>
        <row r="32">
          <cell r="G32">
            <v>2066196</v>
          </cell>
          <cell r="N32">
            <v>10405961</v>
          </cell>
        </row>
        <row r="33">
          <cell r="G33">
            <v>1551171</v>
          </cell>
          <cell r="N33">
            <v>8650391</v>
          </cell>
        </row>
        <row r="34">
          <cell r="G34">
            <v>464512</v>
          </cell>
          <cell r="N34">
            <v>3630006</v>
          </cell>
        </row>
        <row r="35">
          <cell r="G35">
            <v>6605248</v>
          </cell>
          <cell r="N35">
            <v>6430735</v>
          </cell>
        </row>
        <row r="36">
          <cell r="G36">
            <v>248794</v>
          </cell>
          <cell r="N36">
            <v>996949</v>
          </cell>
        </row>
        <row r="37">
          <cell r="G37">
            <v>817331</v>
          </cell>
          <cell r="N37">
            <v>2257617</v>
          </cell>
        </row>
        <row r="38">
          <cell r="G38">
            <v>268385</v>
          </cell>
          <cell r="N38">
            <v>1196248</v>
          </cell>
        </row>
        <row r="39">
          <cell r="G39">
            <v>69168</v>
          </cell>
          <cell r="N39">
            <v>160020</v>
          </cell>
        </row>
        <row r="40">
          <cell r="G40">
            <v>20768</v>
          </cell>
          <cell r="N40">
            <v>112735</v>
          </cell>
        </row>
        <row r="41">
          <cell r="G41">
            <v>156000</v>
          </cell>
          <cell r="N41">
            <v>1166577</v>
          </cell>
        </row>
        <row r="42">
          <cell r="G42">
            <v>25000</v>
          </cell>
          <cell r="N42">
            <v>2015576</v>
          </cell>
        </row>
        <row r="43">
          <cell r="G43">
            <v>21381430</v>
          </cell>
          <cell r="N43">
            <v>77339596</v>
          </cell>
        </row>
        <row r="44">
          <cell r="G44">
            <v>1280000</v>
          </cell>
          <cell r="N44">
            <v>5120000</v>
          </cell>
        </row>
        <row r="45">
          <cell r="G45">
            <v>0</v>
          </cell>
          <cell r="N45">
            <v>0</v>
          </cell>
        </row>
        <row r="46">
          <cell r="G46">
            <v>10000</v>
          </cell>
          <cell r="N46">
            <v>66100</v>
          </cell>
        </row>
        <row r="49">
          <cell r="G49">
            <v>723627</v>
          </cell>
          <cell r="N49">
            <v>5424861</v>
          </cell>
        </row>
        <row r="50">
          <cell r="G50">
            <v>0</v>
          </cell>
          <cell r="N50">
            <v>1065084</v>
          </cell>
        </row>
        <row r="51">
          <cell r="G51">
            <v>2013000</v>
          </cell>
          <cell r="N51">
            <v>7846000</v>
          </cell>
        </row>
        <row r="52">
          <cell r="G52">
            <v>0</v>
          </cell>
          <cell r="N52">
            <v>0</v>
          </cell>
        </row>
        <row r="53">
          <cell r="G53">
            <v>8038031</v>
          </cell>
          <cell r="N53">
            <v>33938142</v>
          </cell>
        </row>
        <row r="55">
          <cell r="G55">
            <v>989084</v>
          </cell>
          <cell r="N55">
            <v>3144793</v>
          </cell>
        </row>
        <row r="56">
          <cell r="G56">
            <v>0</v>
          </cell>
          <cell r="N56">
            <v>0</v>
          </cell>
        </row>
        <row r="57">
          <cell r="G57">
            <v>0</v>
          </cell>
          <cell r="N57">
            <v>0</v>
          </cell>
        </row>
        <row r="58">
          <cell r="G58">
            <v>0</v>
          </cell>
          <cell r="N58">
            <v>402213</v>
          </cell>
        </row>
        <row r="59">
          <cell r="G59">
            <v>0</v>
          </cell>
          <cell r="N59">
            <v>0</v>
          </cell>
        </row>
        <row r="60">
          <cell r="G60">
            <v>500000</v>
          </cell>
          <cell r="N60">
            <v>2000000</v>
          </cell>
        </row>
        <row r="61">
          <cell r="G61">
            <v>94508</v>
          </cell>
          <cell r="N61">
            <v>1499215</v>
          </cell>
        </row>
        <row r="63">
          <cell r="G63">
            <v>0</v>
          </cell>
          <cell r="N63">
            <v>0</v>
          </cell>
        </row>
        <row r="65">
          <cell r="G65">
            <v>0</v>
          </cell>
          <cell r="N65">
            <v>0</v>
          </cell>
        </row>
        <row r="66">
          <cell r="G66">
            <v>0</v>
          </cell>
          <cell r="N66">
            <v>0</v>
          </cell>
        </row>
        <row r="68">
          <cell r="G68">
            <v>79</v>
          </cell>
          <cell r="N68">
            <v>79</v>
          </cell>
        </row>
        <row r="70">
          <cell r="G70">
            <v>5667898</v>
          </cell>
          <cell r="N70">
            <v>17260983</v>
          </cell>
        </row>
        <row r="71">
          <cell r="G71">
            <v>7095000</v>
          </cell>
          <cell r="N71">
            <v>26362000</v>
          </cell>
        </row>
        <row r="72">
          <cell r="G72">
            <v>1495000</v>
          </cell>
          <cell r="N72">
            <v>5980000</v>
          </cell>
        </row>
        <row r="73">
          <cell r="G73">
            <v>0</v>
          </cell>
          <cell r="N73">
            <v>629828</v>
          </cell>
        </row>
        <row r="74">
          <cell r="G74">
            <v>0</v>
          </cell>
          <cell r="N74">
            <v>1949000</v>
          </cell>
        </row>
        <row r="75">
          <cell r="G75">
            <v>0</v>
          </cell>
          <cell r="N75">
            <v>672000</v>
          </cell>
        </row>
      </sheetData>
      <sheetData sheetId="1">
        <row r="19">
          <cell r="I19">
            <v>5756800</v>
          </cell>
          <cell r="L19">
            <v>23027200</v>
          </cell>
        </row>
        <row r="20">
          <cell r="I20">
            <v>56110</v>
          </cell>
          <cell r="L20">
            <v>224440</v>
          </cell>
        </row>
        <row r="21">
          <cell r="I21"/>
          <cell r="L21">
            <v>0</v>
          </cell>
        </row>
        <row r="22">
          <cell r="I22">
            <v>354305</v>
          </cell>
          <cell r="L22">
            <v>1739642</v>
          </cell>
        </row>
        <row r="23">
          <cell r="I23">
            <v>539138</v>
          </cell>
          <cell r="L23">
            <v>2149777</v>
          </cell>
        </row>
        <row r="24">
          <cell r="I24">
            <v>45000</v>
          </cell>
          <cell r="L24">
            <v>180000</v>
          </cell>
        </row>
        <row r="25">
          <cell r="I25">
            <v>129379</v>
          </cell>
          <cell r="L25">
            <v>517516</v>
          </cell>
        </row>
        <row r="26">
          <cell r="I26">
            <v>348701</v>
          </cell>
          <cell r="L26">
            <v>1354804</v>
          </cell>
        </row>
        <row r="27">
          <cell r="I27"/>
          <cell r="L27">
            <v>0</v>
          </cell>
        </row>
        <row r="28">
          <cell r="I28">
            <v>26593</v>
          </cell>
          <cell r="L28">
            <v>1180852</v>
          </cell>
        </row>
        <row r="29">
          <cell r="I29"/>
          <cell r="L29">
            <v>0</v>
          </cell>
        </row>
        <row r="30">
          <cell r="I30">
            <v>21781</v>
          </cell>
          <cell r="L30">
            <v>78385</v>
          </cell>
        </row>
        <row r="31">
          <cell r="I31">
            <v>150157</v>
          </cell>
          <cell r="L31">
            <v>581792</v>
          </cell>
        </row>
        <row r="32">
          <cell r="I32">
            <v>421630</v>
          </cell>
          <cell r="L32">
            <v>2622250</v>
          </cell>
        </row>
        <row r="33">
          <cell r="I33">
            <v>153891</v>
          </cell>
          <cell r="L33">
            <v>1059815</v>
          </cell>
        </row>
        <row r="34">
          <cell r="I34">
            <v>34900</v>
          </cell>
          <cell r="L34">
            <v>578700</v>
          </cell>
        </row>
        <row r="35">
          <cell r="I35">
            <v>5889418</v>
          </cell>
          <cell r="L35">
            <v>5645058</v>
          </cell>
        </row>
        <row r="36">
          <cell r="I36">
            <v>55151</v>
          </cell>
          <cell r="L36">
            <v>255654</v>
          </cell>
        </row>
        <row r="37">
          <cell r="I37"/>
          <cell r="L37">
            <v>0</v>
          </cell>
        </row>
        <row r="38">
          <cell r="I38"/>
          <cell r="L38">
            <v>33096</v>
          </cell>
        </row>
        <row r="39">
          <cell r="I39">
            <v>4445</v>
          </cell>
          <cell r="L39">
            <v>39960</v>
          </cell>
        </row>
        <row r="40">
          <cell r="I40"/>
          <cell r="L40">
            <v>0</v>
          </cell>
        </row>
        <row r="41">
          <cell r="I41">
            <v>91500</v>
          </cell>
          <cell r="L41">
            <v>437300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-165000</v>
          </cell>
          <cell r="L44">
            <v>-660000</v>
          </cell>
        </row>
        <row r="45">
          <cell r="I45"/>
          <cell r="L45">
            <v>0</v>
          </cell>
        </row>
        <row r="46">
          <cell r="I46">
            <v>10000</v>
          </cell>
          <cell r="L46">
            <v>60000</v>
          </cell>
        </row>
        <row r="49">
          <cell r="I49">
            <v>1568351</v>
          </cell>
          <cell r="L49">
            <v>7111151</v>
          </cell>
        </row>
        <row r="50">
          <cell r="I50"/>
          <cell r="L50">
            <v>0</v>
          </cell>
        </row>
        <row r="51">
          <cell r="I51">
            <v>1063000</v>
          </cell>
          <cell r="L51">
            <v>4252000</v>
          </cell>
        </row>
        <row r="52">
          <cell r="I52"/>
          <cell r="L52">
            <v>0</v>
          </cell>
        </row>
        <row r="53">
          <cell r="I53">
            <v>131312</v>
          </cell>
          <cell r="L53">
            <v>1260812</v>
          </cell>
        </row>
        <row r="55">
          <cell r="I55">
            <v>666121</v>
          </cell>
          <cell r="L55">
            <v>2515572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>
            <v>500000</v>
          </cell>
          <cell r="L60">
            <v>2000000</v>
          </cell>
        </row>
        <row r="61">
          <cell r="I61"/>
          <cell r="L61">
            <v>7001</v>
          </cell>
        </row>
        <row r="63">
          <cell r="I63">
            <v>-12327357</v>
          </cell>
          <cell r="L63">
            <v>-33004851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  <cell r="L68">
            <v>6</v>
          </cell>
        </row>
        <row r="70">
          <cell r="I70">
            <v>5667898</v>
          </cell>
          <cell r="L70">
            <v>6542720</v>
          </cell>
        </row>
        <row r="71">
          <cell r="I71">
            <v>850000</v>
          </cell>
          <cell r="L71">
            <v>3400000</v>
          </cell>
        </row>
        <row r="72">
          <cell r="I72">
            <v>115000</v>
          </cell>
          <cell r="L72">
            <v>460000</v>
          </cell>
        </row>
        <row r="73">
          <cell r="I73"/>
          <cell r="L73">
            <v>12000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2"/>
      <sheetData sheetId="3">
        <row r="5">
          <cell r="I5">
            <v>403239190</v>
          </cell>
          <cell r="L5">
            <v>1643317372</v>
          </cell>
        </row>
        <row r="6">
          <cell r="I6">
            <v>48140280</v>
          </cell>
          <cell r="L6">
            <v>161625043</v>
          </cell>
        </row>
        <row r="7">
          <cell r="I7"/>
          <cell r="L7">
            <v>6056481</v>
          </cell>
        </row>
        <row r="8">
          <cell r="I8">
            <v>3113496</v>
          </cell>
          <cell r="L8">
            <v>5181866</v>
          </cell>
        </row>
        <row r="9">
          <cell r="I9">
            <v>96817028</v>
          </cell>
          <cell r="L9">
            <v>235938343</v>
          </cell>
        </row>
        <row r="11">
          <cell r="I11">
            <v>2694898</v>
          </cell>
          <cell r="L11">
            <v>9752981</v>
          </cell>
        </row>
        <row r="12">
          <cell r="N12">
            <v>0</v>
          </cell>
        </row>
        <row r="13">
          <cell r="I13">
            <v>6433314</v>
          </cell>
        </row>
        <row r="14">
          <cell r="I14">
            <v>1151284248</v>
          </cell>
          <cell r="L14">
            <v>1205973702</v>
          </cell>
        </row>
        <row r="15">
          <cell r="I15">
            <v>484366533</v>
          </cell>
          <cell r="L15">
            <v>1722441071</v>
          </cell>
        </row>
        <row r="16">
          <cell r="I16">
            <v>1153455207</v>
          </cell>
          <cell r="L16">
            <v>1153455207</v>
          </cell>
        </row>
        <row r="19">
          <cell r="I19">
            <v>10308034</v>
          </cell>
          <cell r="L19">
            <v>40959038</v>
          </cell>
        </row>
        <row r="20">
          <cell r="I20">
            <v>259440</v>
          </cell>
          <cell r="L20">
            <v>728706</v>
          </cell>
        </row>
        <row r="21">
          <cell r="I21"/>
          <cell r="L21">
            <v>0</v>
          </cell>
        </row>
        <row r="22">
          <cell r="I22">
            <v>1157061</v>
          </cell>
          <cell r="L22">
            <v>6128233</v>
          </cell>
        </row>
        <row r="23">
          <cell r="I23">
            <v>418127</v>
          </cell>
          <cell r="L23">
            <v>1425104</v>
          </cell>
        </row>
        <row r="24">
          <cell r="I24">
            <v>181650</v>
          </cell>
          <cell r="L24">
            <v>1398600</v>
          </cell>
        </row>
        <row r="25">
          <cell r="I25">
            <v>97290</v>
          </cell>
          <cell r="L25">
            <v>356400</v>
          </cell>
        </row>
        <row r="26">
          <cell r="I26">
            <v>680</v>
          </cell>
          <cell r="L26">
            <v>2720</v>
          </cell>
        </row>
        <row r="27">
          <cell r="I27"/>
          <cell r="L27">
            <v>0</v>
          </cell>
        </row>
        <row r="28">
          <cell r="I28">
            <v>119949</v>
          </cell>
          <cell r="L28">
            <v>429446</v>
          </cell>
        </row>
        <row r="29">
          <cell r="I29">
            <v>1905</v>
          </cell>
          <cell r="L29">
            <v>91045</v>
          </cell>
        </row>
        <row r="30">
          <cell r="I30">
            <v>43563</v>
          </cell>
          <cell r="L30">
            <v>156771</v>
          </cell>
        </row>
        <row r="31">
          <cell r="I31">
            <v>1202735</v>
          </cell>
          <cell r="L31">
            <v>3477158</v>
          </cell>
        </row>
        <row r="32">
          <cell r="I32">
            <v>1046456</v>
          </cell>
          <cell r="L32">
            <v>4818022</v>
          </cell>
        </row>
        <row r="33">
          <cell r="I33">
            <v>55000</v>
          </cell>
          <cell r="L33">
            <v>220000</v>
          </cell>
        </row>
        <row r="34">
          <cell r="I34">
            <v>402457</v>
          </cell>
          <cell r="L34">
            <v>1882380</v>
          </cell>
        </row>
        <row r="35">
          <cell r="I35">
            <v>662205</v>
          </cell>
          <cell r="L35">
            <v>662205</v>
          </cell>
        </row>
        <row r="36">
          <cell r="I36">
            <v>65865</v>
          </cell>
          <cell r="L36">
            <v>232449</v>
          </cell>
        </row>
        <row r="37">
          <cell r="I37"/>
          <cell r="L37">
            <v>100000</v>
          </cell>
        </row>
        <row r="38">
          <cell r="I38">
            <v>243194</v>
          </cell>
          <cell r="L38">
            <v>637943</v>
          </cell>
        </row>
        <row r="39">
          <cell r="I39">
            <v>71204</v>
          </cell>
          <cell r="L39">
            <v>71204</v>
          </cell>
        </row>
        <row r="40">
          <cell r="I40">
            <v>28529</v>
          </cell>
          <cell r="L40">
            <v>93000</v>
          </cell>
        </row>
        <row r="41">
          <cell r="I41">
            <v>5000</v>
          </cell>
          <cell r="L41">
            <v>102000</v>
          </cell>
        </row>
        <row r="42">
          <cell r="I42"/>
          <cell r="L42">
            <v>520000</v>
          </cell>
        </row>
        <row r="43">
          <cell r="I43">
            <v>14476095</v>
          </cell>
          <cell r="L43">
            <v>52503082</v>
          </cell>
        </row>
        <row r="44">
          <cell r="I44">
            <v>475000</v>
          </cell>
          <cell r="L44">
            <v>1900000</v>
          </cell>
        </row>
        <row r="45">
          <cell r="I45"/>
          <cell r="L45">
            <v>0</v>
          </cell>
        </row>
        <row r="46">
          <cell r="I46">
            <v>5100</v>
          </cell>
          <cell r="L46">
            <v>16100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8553856</v>
          </cell>
          <cell r="L53">
            <v>58078930</v>
          </cell>
        </row>
        <row r="55">
          <cell r="I55">
            <v>200677</v>
          </cell>
          <cell r="L55">
            <v>881549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73835</v>
          </cell>
          <cell r="L61">
            <v>195030</v>
          </cell>
        </row>
        <row r="63">
          <cell r="I63">
            <v>5991096</v>
          </cell>
          <cell r="L63">
            <v>16217984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19</v>
          </cell>
          <cell r="L68">
            <v>19</v>
          </cell>
        </row>
        <row r="70">
          <cell r="I70"/>
          <cell r="L70">
            <v>2665396</v>
          </cell>
        </row>
        <row r="71">
          <cell r="I71">
            <v>2050000</v>
          </cell>
          <cell r="L71">
            <v>8200000</v>
          </cell>
        </row>
        <row r="72">
          <cell r="I72">
            <v>55000</v>
          </cell>
          <cell r="L72">
            <v>220000</v>
          </cell>
        </row>
        <row r="73">
          <cell r="I73"/>
          <cell r="L73">
            <v>343050</v>
          </cell>
        </row>
        <row r="74">
          <cell r="I74"/>
          <cell r="L74">
            <v>0</v>
          </cell>
        </row>
        <row r="75">
          <cell r="I75"/>
          <cell r="L75">
            <v>672000</v>
          </cell>
        </row>
      </sheetData>
      <sheetData sheetId="4">
        <row r="5">
          <cell r="I5">
            <v>418775</v>
          </cell>
          <cell r="L5">
            <v>1803810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9068152</v>
          </cell>
          <cell r="L9">
            <v>33475744</v>
          </cell>
        </row>
        <row r="11">
          <cell r="I11">
            <v>34502</v>
          </cell>
          <cell r="L11">
            <v>119186</v>
          </cell>
        </row>
        <row r="12">
          <cell r="L12">
            <v>0</v>
          </cell>
        </row>
        <row r="14">
          <cell r="L14">
            <v>0</v>
          </cell>
        </row>
        <row r="15">
          <cell r="I15">
            <v>496337</v>
          </cell>
          <cell r="L15">
            <v>2036576</v>
          </cell>
        </row>
        <row r="16">
          <cell r="L16">
            <v>0</v>
          </cell>
        </row>
        <row r="19">
          <cell r="I19">
            <v>3747249</v>
          </cell>
          <cell r="L19">
            <v>13219760</v>
          </cell>
        </row>
        <row r="20">
          <cell r="I20">
            <v>163642</v>
          </cell>
          <cell r="L20">
            <v>654568</v>
          </cell>
        </row>
        <row r="21">
          <cell r="I21"/>
          <cell r="L21">
            <v>0</v>
          </cell>
        </row>
        <row r="22">
          <cell r="I22">
            <v>664890</v>
          </cell>
          <cell r="L22">
            <v>3949162</v>
          </cell>
        </row>
        <row r="23">
          <cell r="I23">
            <v>82509</v>
          </cell>
          <cell r="L23">
            <v>368081</v>
          </cell>
        </row>
        <row r="24">
          <cell r="I24">
            <v>96410</v>
          </cell>
          <cell r="L24">
            <v>385640</v>
          </cell>
        </row>
        <row r="25">
          <cell r="I25">
            <v>10180</v>
          </cell>
          <cell r="L25">
            <v>40720</v>
          </cell>
        </row>
        <row r="26">
          <cell r="I26">
            <v>5520</v>
          </cell>
          <cell r="L26">
            <v>77133</v>
          </cell>
        </row>
        <row r="27">
          <cell r="I27">
            <v>195520</v>
          </cell>
          <cell r="L27">
            <v>370420</v>
          </cell>
        </row>
        <row r="28">
          <cell r="I28">
            <v>4838</v>
          </cell>
          <cell r="L28">
            <v>101549</v>
          </cell>
        </row>
        <row r="29">
          <cell r="I29">
            <v>480360</v>
          </cell>
          <cell r="L29">
            <v>1378252</v>
          </cell>
        </row>
        <row r="30">
          <cell r="I30">
            <v>449712</v>
          </cell>
          <cell r="L30">
            <v>1822174</v>
          </cell>
        </row>
        <row r="31">
          <cell r="I31">
            <v>113546</v>
          </cell>
          <cell r="L31">
            <v>457566</v>
          </cell>
        </row>
        <row r="32">
          <cell r="I32">
            <v>108200</v>
          </cell>
          <cell r="L32">
            <v>575918</v>
          </cell>
        </row>
        <row r="33">
          <cell r="I33">
            <v>440000</v>
          </cell>
          <cell r="L33">
            <v>2999000</v>
          </cell>
        </row>
        <row r="34">
          <cell r="I34"/>
          <cell r="L34">
            <v>0</v>
          </cell>
        </row>
        <row r="35">
          <cell r="I35"/>
          <cell r="L35">
            <v>3300</v>
          </cell>
        </row>
        <row r="36">
          <cell r="I36">
            <v>24952</v>
          </cell>
          <cell r="L36">
            <v>99958</v>
          </cell>
        </row>
        <row r="37">
          <cell r="I37">
            <v>5523</v>
          </cell>
          <cell r="L37">
            <v>84660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10000</v>
          </cell>
        </row>
        <row r="42">
          <cell r="I42"/>
          <cell r="L42">
            <v>0</v>
          </cell>
        </row>
        <row r="43">
          <cell r="I43">
            <v>-462364</v>
          </cell>
          <cell r="L43">
            <v>-1948510</v>
          </cell>
        </row>
        <row r="44">
          <cell r="I44">
            <v>375000</v>
          </cell>
          <cell r="L44">
            <v>1500000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850000</v>
          </cell>
          <cell r="L51">
            <v>3400000</v>
          </cell>
        </row>
        <row r="52">
          <cell r="I52"/>
          <cell r="L52">
            <v>0</v>
          </cell>
        </row>
        <row r="53">
          <cell r="I53">
            <v>50000</v>
          </cell>
          <cell r="L53">
            <v>200000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788951</v>
          </cell>
          <cell r="L63">
            <v>1963433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15</v>
          </cell>
        </row>
        <row r="70">
          <cell r="I70"/>
          <cell r="L70">
            <v>1954492</v>
          </cell>
        </row>
        <row r="71">
          <cell r="I71">
            <v>750000</v>
          </cell>
          <cell r="L71">
            <v>1203000</v>
          </cell>
        </row>
        <row r="72">
          <cell r="I72">
            <v>440000</v>
          </cell>
          <cell r="L72">
            <v>1760000</v>
          </cell>
        </row>
        <row r="73">
          <cell r="I73"/>
          <cell r="L73">
            <v>0</v>
          </cell>
        </row>
        <row r="74">
          <cell r="I74"/>
          <cell r="L74">
            <v>1189000</v>
          </cell>
        </row>
        <row r="75">
          <cell r="L75">
            <v>0</v>
          </cell>
        </row>
      </sheetData>
      <sheetData sheetId="5">
        <row r="5">
          <cell r="L5"/>
        </row>
        <row r="6">
          <cell r="L6"/>
        </row>
        <row r="7">
          <cell r="L7"/>
        </row>
        <row r="8">
          <cell r="L8"/>
        </row>
        <row r="9">
          <cell r="L9"/>
        </row>
        <row r="11">
          <cell r="L11">
            <v>0</v>
          </cell>
        </row>
        <row r="12">
          <cell r="N12">
            <v>0</v>
          </cell>
        </row>
        <row r="14">
          <cell r="L14"/>
        </row>
        <row r="15">
          <cell r="L15"/>
        </row>
        <row r="16">
          <cell r="L16"/>
        </row>
        <row r="19">
          <cell r="I19">
            <v>2782092</v>
          </cell>
          <cell r="L19">
            <v>11146097</v>
          </cell>
        </row>
        <row r="20">
          <cell r="I20">
            <v>88532</v>
          </cell>
          <cell r="L20">
            <v>354128</v>
          </cell>
        </row>
        <row r="21">
          <cell r="I21"/>
          <cell r="L21">
            <v>0</v>
          </cell>
        </row>
        <row r="22">
          <cell r="I22">
            <v>366485</v>
          </cell>
          <cell r="L22">
            <v>2197067</v>
          </cell>
        </row>
        <row r="23">
          <cell r="I23">
            <v>47544</v>
          </cell>
          <cell r="L23">
            <v>292197</v>
          </cell>
        </row>
        <row r="24">
          <cell r="I24"/>
          <cell r="L24">
            <v>0</v>
          </cell>
        </row>
        <row r="25">
          <cell r="I25">
            <v>24460</v>
          </cell>
          <cell r="L25">
            <v>64660</v>
          </cell>
        </row>
        <row r="26">
          <cell r="I26">
            <v>5520</v>
          </cell>
          <cell r="L26">
            <v>22080</v>
          </cell>
        </row>
        <row r="27">
          <cell r="I27"/>
          <cell r="L27">
            <v>0</v>
          </cell>
        </row>
        <row r="28">
          <cell r="I28">
            <v>6082</v>
          </cell>
          <cell r="L28">
            <v>77724</v>
          </cell>
        </row>
        <row r="29">
          <cell r="I29"/>
          <cell r="L29">
            <v>18979</v>
          </cell>
        </row>
        <row r="30">
          <cell r="I30">
            <v>20934</v>
          </cell>
          <cell r="L30">
            <v>93206</v>
          </cell>
        </row>
        <row r="31">
          <cell r="I31">
            <v>132914</v>
          </cell>
          <cell r="L31">
            <v>531019</v>
          </cell>
        </row>
        <row r="32">
          <cell r="I32">
            <v>53977</v>
          </cell>
          <cell r="L32">
            <v>204684</v>
          </cell>
        </row>
        <row r="33">
          <cell r="I33">
            <v>20000</v>
          </cell>
          <cell r="L33">
            <v>80000</v>
          </cell>
        </row>
        <row r="34">
          <cell r="I34"/>
          <cell r="L34">
            <v>76300</v>
          </cell>
        </row>
        <row r="35">
          <cell r="I35">
            <v>42516</v>
          </cell>
          <cell r="L35">
            <v>42516</v>
          </cell>
        </row>
        <row r="36">
          <cell r="I36">
            <v>33393</v>
          </cell>
          <cell r="L36">
            <v>131989</v>
          </cell>
        </row>
        <row r="37">
          <cell r="I37"/>
          <cell r="L37">
            <v>0</v>
          </cell>
        </row>
        <row r="38">
          <cell r="I38">
            <v>8134</v>
          </cell>
          <cell r="L38">
            <v>31494</v>
          </cell>
        </row>
        <row r="39">
          <cell r="I39"/>
          <cell r="L39">
            <v>0</v>
          </cell>
        </row>
        <row r="40">
          <cell r="I40"/>
          <cell r="L40">
            <v>9600</v>
          </cell>
        </row>
        <row r="41">
          <cell r="I41"/>
          <cell r="L41">
            <v>395958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80000</v>
          </cell>
          <cell r="L44">
            <v>320000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357493</v>
          </cell>
          <cell r="L63">
            <v>956949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</row>
        <row r="70">
          <cell r="I70"/>
          <cell r="L70">
            <v>1097612</v>
          </cell>
        </row>
        <row r="71">
          <cell r="I71">
            <v>520000</v>
          </cell>
          <cell r="L71">
            <v>2080000</v>
          </cell>
        </row>
        <row r="72">
          <cell r="I72">
            <v>20000</v>
          </cell>
          <cell r="L72">
            <v>80000</v>
          </cell>
        </row>
        <row r="73">
          <cell r="I73"/>
          <cell r="L73">
            <v>24400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6">
        <row r="5">
          <cell r="I5">
            <v>3807324</v>
          </cell>
          <cell r="L5">
            <v>13310308</v>
          </cell>
        </row>
        <row r="6">
          <cell r="I6"/>
          <cell r="L6">
            <v>0</v>
          </cell>
        </row>
        <row r="7">
          <cell r="I7">
            <v>14318343</v>
          </cell>
          <cell r="L7">
            <v>54517991</v>
          </cell>
        </row>
        <row r="8">
          <cell r="I8">
            <v>5011378</v>
          </cell>
          <cell r="L8">
            <v>17156946</v>
          </cell>
        </row>
        <row r="9">
          <cell r="I9">
            <v>5783563</v>
          </cell>
          <cell r="L9">
            <v>20219296</v>
          </cell>
        </row>
        <row r="11">
          <cell r="I11">
            <v>97666</v>
          </cell>
          <cell r="L11">
            <v>336125</v>
          </cell>
        </row>
        <row r="12">
          <cell r="I12">
            <v>3972602</v>
          </cell>
          <cell r="L12">
            <v>14733717</v>
          </cell>
        </row>
        <row r="14">
          <cell r="L14">
            <v>0</v>
          </cell>
        </row>
        <row r="15">
          <cell r="I15">
            <v>1713526</v>
          </cell>
          <cell r="L15">
            <v>6894474</v>
          </cell>
        </row>
        <row r="16">
          <cell r="L16">
            <v>0</v>
          </cell>
        </row>
        <row r="19">
          <cell r="I19">
            <v>7260684</v>
          </cell>
          <cell r="L19">
            <v>28433241</v>
          </cell>
        </row>
        <row r="20">
          <cell r="I20">
            <v>241330</v>
          </cell>
          <cell r="L20">
            <v>965320</v>
          </cell>
        </row>
        <row r="21">
          <cell r="I21"/>
          <cell r="L21">
            <v>0</v>
          </cell>
        </row>
        <row r="22">
          <cell r="I22">
            <v>875316</v>
          </cell>
          <cell r="L22">
            <v>5466266</v>
          </cell>
        </row>
        <row r="23">
          <cell r="I23">
            <v>108985</v>
          </cell>
          <cell r="L23">
            <v>379422</v>
          </cell>
        </row>
        <row r="24">
          <cell r="I24">
            <v>28600</v>
          </cell>
          <cell r="L24">
            <v>114400</v>
          </cell>
        </row>
        <row r="25">
          <cell r="I25"/>
          <cell r="L25">
            <v>0</v>
          </cell>
        </row>
        <row r="26">
          <cell r="I26"/>
          <cell r="L26">
            <v>78417</v>
          </cell>
        </row>
        <row r="27">
          <cell r="I27">
            <v>25723400</v>
          </cell>
          <cell r="L27">
            <v>28925950</v>
          </cell>
        </row>
        <row r="28">
          <cell r="I28"/>
          <cell r="L28">
            <v>0</v>
          </cell>
        </row>
        <row r="29">
          <cell r="I29">
            <v>3292184</v>
          </cell>
          <cell r="L29">
            <v>11309442</v>
          </cell>
        </row>
        <row r="30">
          <cell r="I30">
            <v>526920</v>
          </cell>
          <cell r="L30">
            <v>2313146</v>
          </cell>
        </row>
        <row r="31">
          <cell r="I31">
            <v>265719</v>
          </cell>
          <cell r="L31">
            <v>1062876</v>
          </cell>
        </row>
        <row r="32">
          <cell r="I32">
            <v>132100</v>
          </cell>
          <cell r="L32">
            <v>617300</v>
          </cell>
        </row>
        <row r="33">
          <cell r="I33">
            <v>525000</v>
          </cell>
          <cell r="L33">
            <v>2100000</v>
          </cell>
        </row>
        <row r="34">
          <cell r="I34"/>
          <cell r="L34">
            <v>0</v>
          </cell>
        </row>
        <row r="35">
          <cell r="I35"/>
          <cell r="L35">
            <v>0</v>
          </cell>
        </row>
        <row r="36">
          <cell r="I36">
            <v>9896</v>
          </cell>
          <cell r="L36">
            <v>39560</v>
          </cell>
        </row>
        <row r="37">
          <cell r="I37">
            <v>18496</v>
          </cell>
          <cell r="L37">
            <v>18496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>
            <v>2420654</v>
          </cell>
          <cell r="L43">
            <v>6853862</v>
          </cell>
        </row>
        <row r="44">
          <cell r="I44">
            <v>360000</v>
          </cell>
          <cell r="L44">
            <v>1440000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100000</v>
          </cell>
          <cell r="L51">
            <v>400000</v>
          </cell>
        </row>
        <row r="52">
          <cell r="I52"/>
          <cell r="L52">
            <v>0</v>
          </cell>
        </row>
        <row r="53">
          <cell r="I53">
            <v>18</v>
          </cell>
          <cell r="L53">
            <v>68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2</v>
          </cell>
        </row>
        <row r="63">
          <cell r="I63">
            <v>1873758</v>
          </cell>
          <cell r="L63">
            <v>4848488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17</v>
          </cell>
        </row>
        <row r="70">
          <cell r="I70"/>
          <cell r="L70">
            <v>2840318</v>
          </cell>
        </row>
        <row r="71">
          <cell r="I71">
            <v>1550000</v>
          </cell>
          <cell r="L71">
            <v>6200000</v>
          </cell>
        </row>
        <row r="72">
          <cell r="I72">
            <v>525000</v>
          </cell>
          <cell r="L72">
            <v>2100000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7">
        <row r="10">
          <cell r="I10">
            <v>28920608</v>
          </cell>
        </row>
      </sheetData>
      <sheetData sheetId="8">
        <row r="5">
          <cell r="I5">
            <v>175570089</v>
          </cell>
          <cell r="L5">
            <v>627772176</v>
          </cell>
        </row>
        <row r="6">
          <cell r="I6"/>
          <cell r="L6">
            <v>0</v>
          </cell>
        </row>
        <row r="7">
          <cell r="I7">
            <v>83488</v>
          </cell>
          <cell r="L7">
            <v>572920</v>
          </cell>
        </row>
        <row r="8">
          <cell r="I8">
            <v>9830</v>
          </cell>
          <cell r="L8">
            <v>54010</v>
          </cell>
        </row>
        <row r="9">
          <cell r="I9">
            <v>91194627</v>
          </cell>
          <cell r="L9">
            <v>354124230</v>
          </cell>
        </row>
        <row r="11">
          <cell r="I11">
            <v>1166365</v>
          </cell>
          <cell r="L11">
            <v>4116489</v>
          </cell>
        </row>
        <row r="12">
          <cell r="L12">
            <v>0</v>
          </cell>
        </row>
        <row r="13">
          <cell r="I13">
            <v>3792735</v>
          </cell>
        </row>
        <row r="14">
          <cell r="I14">
            <v>730606458</v>
          </cell>
          <cell r="L14">
            <v>804499700</v>
          </cell>
        </row>
        <row r="15">
          <cell r="I15">
            <v>239865776</v>
          </cell>
          <cell r="L15">
            <v>819468795</v>
          </cell>
        </row>
        <row r="16">
          <cell r="I16">
            <v>727931890</v>
          </cell>
          <cell r="L16">
            <v>727931890</v>
          </cell>
        </row>
        <row r="19">
          <cell r="I19">
            <v>3532514</v>
          </cell>
          <cell r="L19">
            <v>16357214</v>
          </cell>
        </row>
        <row r="20">
          <cell r="I20">
            <v>86532</v>
          </cell>
          <cell r="L20">
            <v>431394</v>
          </cell>
        </row>
        <row r="21">
          <cell r="I21"/>
          <cell r="L21">
            <v>0</v>
          </cell>
        </row>
        <row r="22">
          <cell r="I22">
            <v>455274</v>
          </cell>
          <cell r="L22">
            <v>2782939</v>
          </cell>
        </row>
        <row r="23">
          <cell r="I23">
            <v>65809</v>
          </cell>
          <cell r="L23">
            <v>290080</v>
          </cell>
        </row>
        <row r="24">
          <cell r="I24">
            <v>143500</v>
          </cell>
          <cell r="L24">
            <v>574000</v>
          </cell>
        </row>
        <row r="25">
          <cell r="I25">
            <v>27542</v>
          </cell>
          <cell r="L25">
            <v>101708</v>
          </cell>
        </row>
        <row r="26">
          <cell r="I26">
            <v>5520</v>
          </cell>
          <cell r="L26">
            <v>27030</v>
          </cell>
        </row>
        <row r="27">
          <cell r="I27"/>
          <cell r="L27">
            <v>0</v>
          </cell>
        </row>
        <row r="28">
          <cell r="I28">
            <v>32956</v>
          </cell>
          <cell r="L28">
            <v>68853</v>
          </cell>
        </row>
        <row r="29">
          <cell r="I29"/>
          <cell r="L29">
            <v>15800</v>
          </cell>
        </row>
        <row r="30">
          <cell r="I30">
            <v>55895</v>
          </cell>
          <cell r="L30">
            <v>217251</v>
          </cell>
        </row>
        <row r="31">
          <cell r="I31">
            <v>269480</v>
          </cell>
          <cell r="L31">
            <v>1008111</v>
          </cell>
        </row>
        <row r="32">
          <cell r="I32">
            <v>85300</v>
          </cell>
          <cell r="L32">
            <v>327300</v>
          </cell>
        </row>
        <row r="33">
          <cell r="I33">
            <v>55000</v>
          </cell>
          <cell r="L33">
            <v>980449</v>
          </cell>
        </row>
        <row r="34">
          <cell r="I34">
            <v>318387</v>
          </cell>
          <cell r="L34">
            <v>1840123</v>
          </cell>
        </row>
        <row r="35">
          <cell r="I35">
            <v>176352</v>
          </cell>
          <cell r="L35">
            <v>176352</v>
          </cell>
        </row>
        <row r="36">
          <cell r="I36">
            <v>24457</v>
          </cell>
          <cell r="L36">
            <v>106861</v>
          </cell>
        </row>
        <row r="37">
          <cell r="I37"/>
          <cell r="L37">
            <v>0</v>
          </cell>
        </row>
        <row r="38">
          <cell r="I38">
            <v>52857</v>
          </cell>
          <cell r="L38">
            <v>197526</v>
          </cell>
        </row>
        <row r="39">
          <cell r="I39"/>
          <cell r="L39">
            <v>71204</v>
          </cell>
        </row>
        <row r="40">
          <cell r="I40"/>
          <cell r="L40">
            <v>0</v>
          </cell>
        </row>
        <row r="41">
          <cell r="I41">
            <v>4000</v>
          </cell>
          <cell r="L41">
            <v>148000</v>
          </cell>
        </row>
        <row r="42">
          <cell r="I42"/>
          <cell r="L42">
            <v>0</v>
          </cell>
        </row>
        <row r="43">
          <cell r="I43">
            <v>7764653</v>
          </cell>
          <cell r="L43">
            <v>23186661</v>
          </cell>
        </row>
        <row r="44">
          <cell r="I44">
            <v>55000</v>
          </cell>
          <cell r="L44">
            <v>220000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2936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3</v>
          </cell>
          <cell r="L53">
            <v>307130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33</v>
          </cell>
          <cell r="L61">
            <v>113</v>
          </cell>
        </row>
        <row r="63">
          <cell r="I63">
            <v>2428489</v>
          </cell>
          <cell r="L63">
            <v>6552433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8</v>
          </cell>
        </row>
        <row r="70">
          <cell r="I70"/>
          <cell r="L70">
            <v>1312573</v>
          </cell>
        </row>
        <row r="71">
          <cell r="I71">
            <v>750000</v>
          </cell>
          <cell r="L71">
            <v>3000000</v>
          </cell>
        </row>
        <row r="72">
          <cell r="I72">
            <v>55000</v>
          </cell>
          <cell r="L72">
            <v>220000</v>
          </cell>
        </row>
        <row r="73">
          <cell r="I73"/>
          <cell r="L73">
            <v>242721</v>
          </cell>
        </row>
        <row r="74">
          <cell r="I74"/>
          <cell r="L74">
            <v>760000</v>
          </cell>
        </row>
        <row r="75">
          <cell r="L75">
            <v>0</v>
          </cell>
        </row>
      </sheetData>
      <sheetData sheetId="9">
        <row r="5">
          <cell r="I5"/>
          <cell r="L5">
            <v>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10927351</v>
          </cell>
          <cell r="L9">
            <v>40110642</v>
          </cell>
        </row>
        <row r="11">
          <cell r="L11">
            <v>0</v>
          </cell>
        </row>
        <row r="12">
          <cell r="L12"/>
        </row>
        <row r="14">
          <cell r="L14"/>
        </row>
        <row r="15">
          <cell r="I15"/>
          <cell r="L15">
            <v>0</v>
          </cell>
        </row>
        <row r="16">
          <cell r="L16"/>
        </row>
        <row r="19">
          <cell r="I19">
            <v>3968889</v>
          </cell>
          <cell r="L19">
            <v>17544446</v>
          </cell>
        </row>
        <row r="20">
          <cell r="I20">
            <v>106220</v>
          </cell>
          <cell r="L20">
            <v>441146</v>
          </cell>
        </row>
        <row r="21">
          <cell r="I21"/>
          <cell r="L21">
            <v>0</v>
          </cell>
        </row>
        <row r="22">
          <cell r="I22">
            <v>476088</v>
          </cell>
          <cell r="L22">
            <v>3261315</v>
          </cell>
        </row>
        <row r="23">
          <cell r="I23">
            <v>105610</v>
          </cell>
          <cell r="L23">
            <v>309895</v>
          </cell>
        </row>
        <row r="24">
          <cell r="I24"/>
          <cell r="L24">
            <v>0</v>
          </cell>
        </row>
        <row r="25">
          <cell r="I25">
            <v>8300</v>
          </cell>
          <cell r="L25">
            <v>33200</v>
          </cell>
        </row>
        <row r="26">
          <cell r="I26">
            <v>25000</v>
          </cell>
          <cell r="L26">
            <v>88000</v>
          </cell>
        </row>
        <row r="27">
          <cell r="I27">
            <v>350300</v>
          </cell>
          <cell r="L27">
            <v>664560</v>
          </cell>
        </row>
        <row r="28">
          <cell r="I28">
            <v>5599</v>
          </cell>
          <cell r="L28">
            <v>80796</v>
          </cell>
        </row>
        <row r="29">
          <cell r="I29">
            <v>528397</v>
          </cell>
          <cell r="L29">
            <v>2748321</v>
          </cell>
        </row>
        <row r="30">
          <cell r="I30">
            <v>254152</v>
          </cell>
          <cell r="L30">
            <v>1054683</v>
          </cell>
        </row>
        <row r="31">
          <cell r="I31">
            <v>118246</v>
          </cell>
          <cell r="L31">
            <v>612247</v>
          </cell>
        </row>
        <row r="32">
          <cell r="I32">
            <v>42500</v>
          </cell>
          <cell r="L32">
            <v>246326</v>
          </cell>
        </row>
        <row r="33">
          <cell r="I33">
            <v>325000</v>
          </cell>
          <cell r="L33">
            <v>1300000</v>
          </cell>
        </row>
        <row r="34">
          <cell r="I34"/>
          <cell r="L34">
            <v>0</v>
          </cell>
        </row>
        <row r="35">
          <cell r="I35"/>
          <cell r="L35">
            <v>0</v>
          </cell>
        </row>
        <row r="36">
          <cell r="I36">
            <v>3004</v>
          </cell>
          <cell r="L36">
            <v>12014</v>
          </cell>
        </row>
        <row r="37">
          <cell r="I37"/>
          <cell r="L37">
            <v>123281</v>
          </cell>
        </row>
        <row r="38">
          <cell r="I38"/>
          <cell r="L38">
            <v>6840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275000</v>
          </cell>
          <cell r="L44">
            <v>1100000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249066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887570</v>
          </cell>
          <cell r="L63">
            <v>2465564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12</v>
          </cell>
        </row>
        <row r="70">
          <cell r="I70"/>
          <cell r="L70">
            <v>1708695</v>
          </cell>
        </row>
        <row r="71">
          <cell r="I71">
            <v>920000</v>
          </cell>
          <cell r="L71">
            <v>3680000</v>
          </cell>
        </row>
        <row r="72">
          <cell r="I72">
            <v>325000</v>
          </cell>
          <cell r="L72">
            <v>1300000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10">
        <row r="10">
          <cell r="I10">
            <v>277785385</v>
          </cell>
        </row>
      </sheetData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社合計"/>
      <sheetName val="本部"/>
      <sheetName val="本社合計"/>
      <sheetName val="本社営業"/>
      <sheetName val="東大阪"/>
      <sheetName val="南港事務"/>
      <sheetName val="南港工場"/>
      <sheetName val="南港合計"/>
      <sheetName val="東京事務"/>
      <sheetName val="東京工場"/>
      <sheetName val="東京合計"/>
      <sheetName val="社内金利"/>
    </sheetNames>
    <sheetDataSet>
      <sheetData sheetId="0">
        <row r="5">
          <cell r="G5">
            <v>743692080</v>
          </cell>
          <cell r="N5">
            <v>3384139651</v>
          </cell>
        </row>
        <row r="6">
          <cell r="G6">
            <v>28753157</v>
          </cell>
          <cell r="N6">
            <v>171652610</v>
          </cell>
        </row>
        <row r="7">
          <cell r="G7">
            <v>20133845</v>
          </cell>
          <cell r="N7">
            <v>81966012</v>
          </cell>
        </row>
        <row r="8">
          <cell r="G8">
            <v>7323160</v>
          </cell>
          <cell r="N8">
            <v>27758167</v>
          </cell>
        </row>
        <row r="9">
          <cell r="G9">
            <v>219126632</v>
          </cell>
          <cell r="N9">
            <v>971907914</v>
          </cell>
        </row>
        <row r="11">
          <cell r="G11">
            <v>4176388</v>
          </cell>
          <cell r="N11">
            <v>19575360</v>
          </cell>
        </row>
        <row r="12">
          <cell r="G12">
            <v>4668076</v>
          </cell>
          <cell r="N12">
            <v>20050297</v>
          </cell>
        </row>
        <row r="13">
          <cell r="G13">
            <v>11085127</v>
          </cell>
        </row>
        <row r="14">
          <cell r="G14">
            <v>1895067231</v>
          </cell>
          <cell r="N14">
            <v>1816376496</v>
          </cell>
        </row>
        <row r="15">
          <cell r="G15">
            <v>886074946</v>
          </cell>
          <cell r="N15">
            <v>4009855258</v>
          </cell>
        </row>
        <row r="16">
          <cell r="G16">
            <v>1944937491</v>
          </cell>
          <cell r="N16">
            <v>1944937491</v>
          </cell>
        </row>
        <row r="19">
          <cell r="G19">
            <v>38487868</v>
          </cell>
          <cell r="N19">
            <v>185730398</v>
          </cell>
        </row>
        <row r="20">
          <cell r="G20">
            <v>1046228</v>
          </cell>
          <cell r="N20">
            <v>5305540</v>
          </cell>
        </row>
        <row r="21">
          <cell r="G21">
            <v>0</v>
          </cell>
          <cell r="N21">
            <v>2035207</v>
          </cell>
        </row>
        <row r="22">
          <cell r="G22">
            <v>4280882</v>
          </cell>
          <cell r="N22">
            <v>28012074</v>
          </cell>
        </row>
        <row r="23">
          <cell r="G23">
            <v>1519209</v>
          </cell>
          <cell r="N23">
            <v>6529021</v>
          </cell>
        </row>
        <row r="24">
          <cell r="G24">
            <v>436560</v>
          </cell>
          <cell r="N24">
            <v>3058303</v>
          </cell>
        </row>
        <row r="25">
          <cell r="G25">
            <v>246741</v>
          </cell>
          <cell r="N25">
            <v>1258785</v>
          </cell>
        </row>
        <row r="26">
          <cell r="G26">
            <v>390281</v>
          </cell>
          <cell r="N26">
            <v>2066935</v>
          </cell>
        </row>
        <row r="27">
          <cell r="G27">
            <v>1151000</v>
          </cell>
          <cell r="N27">
            <v>10172365</v>
          </cell>
        </row>
        <row r="28">
          <cell r="G28">
            <v>126691</v>
          </cell>
          <cell r="N28">
            <v>1575113</v>
          </cell>
        </row>
        <row r="29">
          <cell r="G29">
            <v>10373898</v>
          </cell>
          <cell r="N29">
            <v>28201687</v>
          </cell>
        </row>
        <row r="30">
          <cell r="G30">
            <v>1439866</v>
          </cell>
          <cell r="N30">
            <v>7477114</v>
          </cell>
        </row>
        <row r="31">
          <cell r="G31">
            <v>1851713</v>
          </cell>
          <cell r="N31">
            <v>8279410</v>
          </cell>
        </row>
        <row r="32">
          <cell r="G32">
            <v>1861873</v>
          </cell>
          <cell r="N32">
            <v>12267834</v>
          </cell>
        </row>
        <row r="33">
          <cell r="G33">
            <v>1587467</v>
          </cell>
          <cell r="N33">
            <v>10237858</v>
          </cell>
        </row>
        <row r="34">
          <cell r="G34">
            <v>1575286</v>
          </cell>
          <cell r="N34">
            <v>5205292</v>
          </cell>
        </row>
        <row r="35">
          <cell r="G35">
            <v>365435</v>
          </cell>
          <cell r="N35">
            <v>6796170</v>
          </cell>
        </row>
        <row r="36">
          <cell r="G36">
            <v>278574</v>
          </cell>
          <cell r="N36">
            <v>1275523</v>
          </cell>
        </row>
        <row r="37">
          <cell r="G37">
            <v>183478</v>
          </cell>
          <cell r="N37">
            <v>2441095</v>
          </cell>
        </row>
        <row r="38">
          <cell r="G38">
            <v>225250</v>
          </cell>
          <cell r="N38">
            <v>1421498</v>
          </cell>
        </row>
        <row r="39">
          <cell r="G39">
            <v>4445</v>
          </cell>
          <cell r="N39">
            <v>164465</v>
          </cell>
        </row>
        <row r="40">
          <cell r="G40">
            <v>44843</v>
          </cell>
          <cell r="N40">
            <v>157578</v>
          </cell>
        </row>
        <row r="41">
          <cell r="G41">
            <v>635958</v>
          </cell>
          <cell r="N41">
            <v>1802535</v>
          </cell>
        </row>
        <row r="42">
          <cell r="G42">
            <v>0</v>
          </cell>
          <cell r="N42">
            <v>2015576</v>
          </cell>
        </row>
        <row r="43">
          <cell r="G43">
            <v>24441607</v>
          </cell>
          <cell r="N43">
            <v>101781203</v>
          </cell>
        </row>
        <row r="44">
          <cell r="G44">
            <v>1280000</v>
          </cell>
          <cell r="N44">
            <v>6400000</v>
          </cell>
        </row>
        <row r="45">
          <cell r="G45">
            <v>0</v>
          </cell>
          <cell r="N45">
            <v>0</v>
          </cell>
        </row>
        <row r="46">
          <cell r="G46">
            <v>10213</v>
          </cell>
          <cell r="N46">
            <v>76313</v>
          </cell>
        </row>
        <row r="49">
          <cell r="G49">
            <v>707662</v>
          </cell>
          <cell r="N49">
            <v>6132523</v>
          </cell>
        </row>
        <row r="50">
          <cell r="G50">
            <v>0</v>
          </cell>
          <cell r="N50">
            <v>1065084</v>
          </cell>
        </row>
        <row r="51">
          <cell r="G51">
            <v>2013000</v>
          </cell>
          <cell r="N51">
            <v>9859000</v>
          </cell>
        </row>
        <row r="52">
          <cell r="G52">
            <v>0</v>
          </cell>
          <cell r="N52">
            <v>0</v>
          </cell>
        </row>
        <row r="53">
          <cell r="G53">
            <v>8031944</v>
          </cell>
          <cell r="N53">
            <v>41970086</v>
          </cell>
        </row>
        <row r="55">
          <cell r="G55">
            <v>972136</v>
          </cell>
          <cell r="N55">
            <v>4116929</v>
          </cell>
        </row>
        <row r="56">
          <cell r="G56">
            <v>0</v>
          </cell>
          <cell r="N56">
            <v>0</v>
          </cell>
        </row>
        <row r="57">
          <cell r="G57">
            <v>0</v>
          </cell>
          <cell r="N57">
            <v>0</v>
          </cell>
        </row>
        <row r="58">
          <cell r="G58">
            <v>0</v>
          </cell>
          <cell r="N58">
            <v>402213</v>
          </cell>
        </row>
        <row r="59">
          <cell r="G59">
            <v>0</v>
          </cell>
          <cell r="N59">
            <v>0</v>
          </cell>
        </row>
        <row r="60">
          <cell r="G60">
            <v>500000</v>
          </cell>
          <cell r="N60">
            <v>2500000</v>
          </cell>
        </row>
        <row r="61">
          <cell r="G61">
            <v>87</v>
          </cell>
          <cell r="N61">
            <v>1499302</v>
          </cell>
        </row>
        <row r="63">
          <cell r="G63">
            <v>0</v>
          </cell>
          <cell r="N63">
            <v>0</v>
          </cell>
        </row>
        <row r="65">
          <cell r="G65">
            <v>0</v>
          </cell>
          <cell r="N65">
            <v>0</v>
          </cell>
        </row>
        <row r="66">
          <cell r="G66">
            <v>0</v>
          </cell>
          <cell r="N66">
            <v>0</v>
          </cell>
        </row>
        <row r="68">
          <cell r="G68">
            <v>81</v>
          </cell>
          <cell r="N68">
            <v>81</v>
          </cell>
        </row>
        <row r="70">
          <cell r="G70">
            <v>0</v>
          </cell>
          <cell r="N70">
            <v>17260983</v>
          </cell>
        </row>
        <row r="71">
          <cell r="G71">
            <v>7095000</v>
          </cell>
          <cell r="N71">
            <v>33457000</v>
          </cell>
        </row>
        <row r="72">
          <cell r="G72">
            <v>1495000</v>
          </cell>
          <cell r="N72">
            <v>7475000</v>
          </cell>
        </row>
        <row r="73">
          <cell r="G73">
            <v>257200</v>
          </cell>
          <cell r="N73">
            <v>887028</v>
          </cell>
        </row>
        <row r="74">
          <cell r="G74">
            <v>0</v>
          </cell>
          <cell r="N74">
            <v>1949000</v>
          </cell>
        </row>
        <row r="75">
          <cell r="G75">
            <v>0</v>
          </cell>
          <cell r="N75">
            <v>672000</v>
          </cell>
        </row>
      </sheetData>
      <sheetData sheetId="1">
        <row r="19">
          <cell r="I19">
            <v>5756800</v>
          </cell>
          <cell r="L19">
            <v>28784000</v>
          </cell>
        </row>
        <row r="20">
          <cell r="I20">
            <v>56110</v>
          </cell>
          <cell r="L20">
            <v>280550</v>
          </cell>
        </row>
        <row r="21">
          <cell r="I21"/>
          <cell r="L21">
            <v>0</v>
          </cell>
        </row>
        <row r="22">
          <cell r="I22">
            <v>361534</v>
          </cell>
          <cell r="L22">
            <v>2101176</v>
          </cell>
        </row>
        <row r="23">
          <cell r="I23">
            <v>760041</v>
          </cell>
          <cell r="L23">
            <v>2909818</v>
          </cell>
        </row>
        <row r="24">
          <cell r="I24">
            <v>45000</v>
          </cell>
          <cell r="L24">
            <v>225000</v>
          </cell>
        </row>
        <row r="25">
          <cell r="I25">
            <v>129379</v>
          </cell>
          <cell r="L25">
            <v>646895</v>
          </cell>
        </row>
        <row r="26">
          <cell r="I26">
            <v>348701</v>
          </cell>
          <cell r="L26">
            <v>1703505</v>
          </cell>
        </row>
        <row r="27">
          <cell r="I27"/>
          <cell r="L27">
            <v>0</v>
          </cell>
        </row>
        <row r="28">
          <cell r="I28">
            <v>31329</v>
          </cell>
          <cell r="L28">
            <v>1212181</v>
          </cell>
        </row>
        <row r="29">
          <cell r="I29"/>
          <cell r="L29">
            <v>0</v>
          </cell>
        </row>
        <row r="30">
          <cell r="I30">
            <v>18554</v>
          </cell>
          <cell r="L30">
            <v>96939</v>
          </cell>
        </row>
        <row r="31">
          <cell r="I31">
            <v>239683</v>
          </cell>
          <cell r="L31">
            <v>821475</v>
          </cell>
        </row>
        <row r="32">
          <cell r="I32">
            <v>473910</v>
          </cell>
          <cell r="L32">
            <v>3096160</v>
          </cell>
        </row>
        <row r="33">
          <cell r="I33">
            <v>164917</v>
          </cell>
          <cell r="L33">
            <v>1224732</v>
          </cell>
        </row>
        <row r="34">
          <cell r="I34">
            <v>25000</v>
          </cell>
          <cell r="L34">
            <v>603700</v>
          </cell>
        </row>
        <row r="35">
          <cell r="I35">
            <v>230090</v>
          </cell>
          <cell r="L35">
            <v>5875148</v>
          </cell>
        </row>
        <row r="36">
          <cell r="I36">
            <v>56524</v>
          </cell>
          <cell r="L36">
            <v>312178</v>
          </cell>
        </row>
        <row r="37">
          <cell r="I37"/>
          <cell r="L37">
            <v>0</v>
          </cell>
        </row>
        <row r="38">
          <cell r="I38"/>
          <cell r="L38">
            <v>33096</v>
          </cell>
        </row>
        <row r="39">
          <cell r="I39">
            <v>4445</v>
          </cell>
          <cell r="L39">
            <v>44405</v>
          </cell>
        </row>
        <row r="40">
          <cell r="I40"/>
          <cell r="L40">
            <v>0</v>
          </cell>
        </row>
        <row r="41">
          <cell r="I41"/>
          <cell r="L41">
            <v>437300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-165000</v>
          </cell>
          <cell r="L44">
            <v>-825000</v>
          </cell>
        </row>
        <row r="45">
          <cell r="I45"/>
          <cell r="L45">
            <v>0</v>
          </cell>
        </row>
        <row r="46">
          <cell r="I46">
            <v>10000</v>
          </cell>
          <cell r="L46">
            <v>70000</v>
          </cell>
        </row>
        <row r="49">
          <cell r="I49">
            <v>942347</v>
          </cell>
          <cell r="L49">
            <v>8053498</v>
          </cell>
        </row>
        <row r="50">
          <cell r="I50"/>
          <cell r="L50">
            <v>0</v>
          </cell>
        </row>
        <row r="51">
          <cell r="I51">
            <v>1063000</v>
          </cell>
          <cell r="L51">
            <v>5315000</v>
          </cell>
        </row>
        <row r="52">
          <cell r="I52"/>
          <cell r="L52">
            <v>0</v>
          </cell>
        </row>
        <row r="53">
          <cell r="I53"/>
          <cell r="L53">
            <v>1260812</v>
          </cell>
        </row>
        <row r="55">
          <cell r="I55">
            <v>601804</v>
          </cell>
          <cell r="L55">
            <v>3117376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>
            <v>500000</v>
          </cell>
          <cell r="L60">
            <v>2500000</v>
          </cell>
        </row>
        <row r="61">
          <cell r="I61"/>
          <cell r="L61">
            <v>7001</v>
          </cell>
        </row>
        <row r="63">
          <cell r="I63">
            <v>-7643474</v>
          </cell>
          <cell r="L63">
            <v>-40648325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  <cell r="L68">
            <v>6</v>
          </cell>
        </row>
        <row r="70">
          <cell r="I70"/>
          <cell r="L70">
            <v>6542720</v>
          </cell>
        </row>
        <row r="71">
          <cell r="I71">
            <v>850000</v>
          </cell>
          <cell r="L71">
            <v>4250000</v>
          </cell>
        </row>
        <row r="72">
          <cell r="I72">
            <v>115000</v>
          </cell>
          <cell r="L72">
            <v>575000</v>
          </cell>
        </row>
        <row r="73">
          <cell r="I73"/>
          <cell r="L73">
            <v>12000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2"/>
      <sheetData sheetId="3">
        <row r="5">
          <cell r="I5">
            <v>463360376</v>
          </cell>
          <cell r="L5">
            <v>2106677748</v>
          </cell>
        </row>
        <row r="6">
          <cell r="I6">
            <v>42821378</v>
          </cell>
          <cell r="L6">
            <v>204446421</v>
          </cell>
        </row>
        <row r="7">
          <cell r="I7">
            <v>1888248</v>
          </cell>
          <cell r="L7">
            <v>7944729</v>
          </cell>
        </row>
        <row r="8">
          <cell r="I8">
            <v>843015</v>
          </cell>
          <cell r="L8">
            <v>6024881</v>
          </cell>
        </row>
        <row r="9">
          <cell r="I9">
            <v>71090031</v>
          </cell>
          <cell r="L9">
            <v>307028374</v>
          </cell>
        </row>
        <row r="11">
          <cell r="I11">
            <v>2849482</v>
          </cell>
          <cell r="L11">
            <v>12602463</v>
          </cell>
        </row>
        <row r="12">
          <cell r="N12">
            <v>0</v>
          </cell>
        </row>
        <row r="13">
          <cell r="I13">
            <v>6229118</v>
          </cell>
        </row>
        <row r="14">
          <cell r="I14">
            <v>1153455207</v>
          </cell>
          <cell r="L14">
            <v>1205973702</v>
          </cell>
        </row>
        <row r="15">
          <cell r="I15">
            <v>476882442</v>
          </cell>
          <cell r="L15">
            <v>2199323513</v>
          </cell>
        </row>
        <row r="16">
          <cell r="I16">
            <v>1124338483</v>
          </cell>
          <cell r="L16">
            <v>1124338483</v>
          </cell>
        </row>
        <row r="19">
          <cell r="I19">
            <v>10304391</v>
          </cell>
          <cell r="L19">
            <v>51263429</v>
          </cell>
        </row>
        <row r="20">
          <cell r="I20">
            <v>259440</v>
          </cell>
          <cell r="L20">
            <v>988146</v>
          </cell>
        </row>
        <row r="21">
          <cell r="I21"/>
          <cell r="L21">
            <v>0</v>
          </cell>
        </row>
        <row r="22">
          <cell r="I22">
            <v>1177272</v>
          </cell>
          <cell r="L22">
            <v>7305505</v>
          </cell>
        </row>
        <row r="23">
          <cell r="I23">
            <v>428441</v>
          </cell>
          <cell r="L23">
            <v>1853545</v>
          </cell>
        </row>
        <row r="24">
          <cell r="I24">
            <v>181650</v>
          </cell>
          <cell r="L24">
            <v>1580250</v>
          </cell>
        </row>
        <row r="25">
          <cell r="I25">
            <v>86370</v>
          </cell>
          <cell r="L25">
            <v>442770</v>
          </cell>
        </row>
        <row r="26">
          <cell r="I26">
            <v>680</v>
          </cell>
          <cell r="L26">
            <v>3400</v>
          </cell>
        </row>
        <row r="27">
          <cell r="I27"/>
          <cell r="L27">
            <v>0</v>
          </cell>
        </row>
        <row r="28">
          <cell r="I28">
            <v>103788</v>
          </cell>
          <cell r="L28">
            <v>533234</v>
          </cell>
        </row>
        <row r="29">
          <cell r="I29">
            <v>15250</v>
          </cell>
          <cell r="L29">
            <v>106295</v>
          </cell>
        </row>
        <row r="30">
          <cell r="I30">
            <v>37107</v>
          </cell>
          <cell r="L30">
            <v>193878</v>
          </cell>
        </row>
        <row r="31">
          <cell r="I31">
            <v>804434</v>
          </cell>
          <cell r="L31">
            <v>4281592</v>
          </cell>
        </row>
        <row r="32">
          <cell r="I32">
            <v>1636608</v>
          </cell>
          <cell r="L32">
            <v>6454630</v>
          </cell>
        </row>
        <row r="33">
          <cell r="I33">
            <v>69250</v>
          </cell>
          <cell r="L33">
            <v>289250</v>
          </cell>
        </row>
        <row r="34">
          <cell r="I34">
            <v>389201</v>
          </cell>
          <cell r="L34">
            <v>2271581</v>
          </cell>
        </row>
        <row r="35">
          <cell r="I35"/>
          <cell r="L35">
            <v>662205</v>
          </cell>
        </row>
        <row r="36">
          <cell r="I36">
            <v>172370</v>
          </cell>
          <cell r="L36">
            <v>404819</v>
          </cell>
        </row>
        <row r="37">
          <cell r="I37">
            <v>620678</v>
          </cell>
          <cell r="L37">
            <v>720678</v>
          </cell>
        </row>
        <row r="38">
          <cell r="I38">
            <v>171493</v>
          </cell>
          <cell r="L38">
            <v>809436</v>
          </cell>
        </row>
        <row r="39">
          <cell r="I39">
            <v>810</v>
          </cell>
          <cell r="L39">
            <v>72014</v>
          </cell>
        </row>
        <row r="40">
          <cell r="I40">
            <v>25279</v>
          </cell>
          <cell r="L40">
            <v>118279</v>
          </cell>
        </row>
        <row r="41">
          <cell r="I41">
            <v>40000</v>
          </cell>
          <cell r="L41">
            <v>142000</v>
          </cell>
        </row>
        <row r="42">
          <cell r="I42">
            <v>535603</v>
          </cell>
          <cell r="L42">
            <v>1055603</v>
          </cell>
        </row>
        <row r="43">
          <cell r="I43">
            <v>15736677</v>
          </cell>
          <cell r="L43">
            <v>68239759</v>
          </cell>
        </row>
        <row r="44">
          <cell r="I44">
            <v>475000</v>
          </cell>
          <cell r="L44">
            <v>2375000</v>
          </cell>
        </row>
        <row r="45">
          <cell r="I45"/>
          <cell r="L45">
            <v>0</v>
          </cell>
        </row>
        <row r="46">
          <cell r="I46">
            <v>7955</v>
          </cell>
          <cell r="L46">
            <v>24055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7908292</v>
          </cell>
          <cell r="L53">
            <v>65987222</v>
          </cell>
        </row>
        <row r="55">
          <cell r="I55">
            <v>308353</v>
          </cell>
          <cell r="L55">
            <v>1189902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7</v>
          </cell>
          <cell r="L61">
            <v>195037</v>
          </cell>
        </row>
        <row r="63">
          <cell r="I63">
            <v>3714727</v>
          </cell>
          <cell r="L63">
            <v>19932711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19</v>
          </cell>
          <cell r="L68">
            <v>19</v>
          </cell>
        </row>
        <row r="70">
          <cell r="I70"/>
          <cell r="L70">
            <v>2665396</v>
          </cell>
        </row>
        <row r="71">
          <cell r="I71">
            <v>2050000</v>
          </cell>
          <cell r="L71">
            <v>10250000</v>
          </cell>
        </row>
        <row r="72">
          <cell r="I72">
            <v>55000</v>
          </cell>
          <cell r="L72">
            <v>275000</v>
          </cell>
        </row>
        <row r="73">
          <cell r="I73">
            <v>103000</v>
          </cell>
          <cell r="L73">
            <v>446050</v>
          </cell>
        </row>
        <row r="74">
          <cell r="I74"/>
          <cell r="L74">
            <v>0</v>
          </cell>
        </row>
        <row r="75">
          <cell r="I75"/>
          <cell r="L75">
            <v>672000</v>
          </cell>
        </row>
      </sheetData>
      <sheetData sheetId="4">
        <row r="5">
          <cell r="I5">
            <v>505570</v>
          </cell>
          <cell r="L5">
            <v>2309380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10141568</v>
          </cell>
          <cell r="L9">
            <v>43617312</v>
          </cell>
        </row>
        <row r="11">
          <cell r="I11">
            <v>38710</v>
          </cell>
          <cell r="L11">
            <v>157896</v>
          </cell>
        </row>
        <row r="12">
          <cell r="L12">
            <v>0</v>
          </cell>
        </row>
        <row r="14">
          <cell r="L14"/>
        </row>
        <row r="15">
          <cell r="I15">
            <v>611780</v>
          </cell>
          <cell r="L15">
            <v>2648356</v>
          </cell>
        </row>
        <row r="16">
          <cell r="L16">
            <v>0</v>
          </cell>
        </row>
        <row r="19">
          <cell r="I19">
            <v>3933930</v>
          </cell>
          <cell r="L19">
            <v>17153690</v>
          </cell>
        </row>
        <row r="20">
          <cell r="I20">
            <v>163642</v>
          </cell>
          <cell r="L20">
            <v>818210</v>
          </cell>
        </row>
        <row r="21">
          <cell r="I21"/>
          <cell r="L21">
            <v>0</v>
          </cell>
        </row>
        <row r="22">
          <cell r="I22">
            <v>669138</v>
          </cell>
          <cell r="L22">
            <v>4618300</v>
          </cell>
        </row>
        <row r="23">
          <cell r="I23">
            <v>100790</v>
          </cell>
          <cell r="L23">
            <v>468871</v>
          </cell>
        </row>
        <row r="24">
          <cell r="I24">
            <v>96410</v>
          </cell>
          <cell r="L24">
            <v>482050</v>
          </cell>
        </row>
        <row r="25">
          <cell r="I25">
            <v>10180</v>
          </cell>
          <cell r="L25">
            <v>50900</v>
          </cell>
        </row>
        <row r="26">
          <cell r="I26">
            <v>5520</v>
          </cell>
          <cell r="L26">
            <v>82653</v>
          </cell>
        </row>
        <row r="27">
          <cell r="I27">
            <v>58300</v>
          </cell>
          <cell r="L27">
            <v>428720</v>
          </cell>
        </row>
        <row r="28">
          <cell r="I28">
            <v>5579</v>
          </cell>
          <cell r="L28">
            <v>107128</v>
          </cell>
        </row>
        <row r="29">
          <cell r="I29">
            <v>1533925</v>
          </cell>
          <cell r="L29">
            <v>2912177</v>
          </cell>
        </row>
        <row r="30">
          <cell r="I30">
            <v>336384</v>
          </cell>
          <cell r="L30">
            <v>2158558</v>
          </cell>
        </row>
        <row r="31">
          <cell r="I31">
            <v>113546</v>
          </cell>
          <cell r="L31">
            <v>571112</v>
          </cell>
        </row>
        <row r="32">
          <cell r="I32">
            <v>163700</v>
          </cell>
          <cell r="L32">
            <v>739618</v>
          </cell>
        </row>
        <row r="33">
          <cell r="I33">
            <v>440000</v>
          </cell>
          <cell r="L33">
            <v>3439000</v>
          </cell>
        </row>
        <row r="34">
          <cell r="I34"/>
          <cell r="L34">
            <v>0</v>
          </cell>
        </row>
        <row r="35">
          <cell r="I35">
            <v>56858</v>
          </cell>
          <cell r="L35">
            <v>60158</v>
          </cell>
        </row>
        <row r="36">
          <cell r="I36">
            <v>24564</v>
          </cell>
          <cell r="L36">
            <v>124522</v>
          </cell>
        </row>
        <row r="37">
          <cell r="I37">
            <v>23382</v>
          </cell>
          <cell r="L37">
            <v>108042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10000</v>
          </cell>
        </row>
        <row r="42">
          <cell r="I42"/>
          <cell r="L42">
            <v>0</v>
          </cell>
        </row>
        <row r="43">
          <cell r="I43">
            <v>-480833</v>
          </cell>
          <cell r="L43">
            <v>-2429343</v>
          </cell>
        </row>
        <row r="44">
          <cell r="I44">
            <v>375000</v>
          </cell>
          <cell r="L44">
            <v>1875000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850000</v>
          </cell>
          <cell r="L51">
            <v>4250000</v>
          </cell>
        </row>
        <row r="52">
          <cell r="I52"/>
          <cell r="L52">
            <v>0</v>
          </cell>
        </row>
        <row r="53">
          <cell r="I53">
            <v>50000</v>
          </cell>
          <cell r="L53">
            <v>250000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512113</v>
          </cell>
          <cell r="L63">
            <v>2475546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15</v>
          </cell>
        </row>
        <row r="70">
          <cell r="I70"/>
          <cell r="L70">
            <v>1954492</v>
          </cell>
        </row>
        <row r="71">
          <cell r="I71">
            <v>750000</v>
          </cell>
          <cell r="L71">
            <v>1953000</v>
          </cell>
        </row>
        <row r="72">
          <cell r="I72">
            <v>440000</v>
          </cell>
          <cell r="L72">
            <v>2200000</v>
          </cell>
        </row>
        <row r="73">
          <cell r="I73"/>
          <cell r="L73">
            <v>0</v>
          </cell>
        </row>
        <row r="74">
          <cell r="I74"/>
          <cell r="L74">
            <v>1189000</v>
          </cell>
        </row>
        <row r="75">
          <cell r="L75">
            <v>0</v>
          </cell>
        </row>
      </sheetData>
      <sheetData sheetId="5"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0</v>
          </cell>
        </row>
        <row r="9">
          <cell r="L9">
            <v>0</v>
          </cell>
        </row>
        <row r="11">
          <cell r="L11"/>
        </row>
        <row r="12">
          <cell r="N12"/>
        </row>
        <row r="14">
          <cell r="L14"/>
        </row>
        <row r="15">
          <cell r="L15">
            <v>0</v>
          </cell>
        </row>
        <row r="16">
          <cell r="L16">
            <v>0</v>
          </cell>
        </row>
        <row r="19">
          <cell r="I19">
            <v>2815979</v>
          </cell>
          <cell r="L19">
            <v>13962076</v>
          </cell>
        </row>
        <row r="20">
          <cell r="I20">
            <v>88532</v>
          </cell>
          <cell r="L20">
            <v>442660</v>
          </cell>
        </row>
        <row r="21">
          <cell r="I21"/>
          <cell r="L21">
            <v>0</v>
          </cell>
        </row>
        <row r="22">
          <cell r="I22">
            <v>370086</v>
          </cell>
          <cell r="L22">
            <v>2567153</v>
          </cell>
        </row>
        <row r="23">
          <cell r="I23">
            <v>64603</v>
          </cell>
          <cell r="L23">
            <v>356800</v>
          </cell>
        </row>
        <row r="24">
          <cell r="I24"/>
          <cell r="L24">
            <v>0</v>
          </cell>
        </row>
        <row r="25">
          <cell r="I25">
            <v>10180</v>
          </cell>
          <cell r="L25">
            <v>74840</v>
          </cell>
        </row>
        <row r="26">
          <cell r="I26">
            <v>5520</v>
          </cell>
          <cell r="L26">
            <v>27600</v>
          </cell>
        </row>
        <row r="27">
          <cell r="I27"/>
          <cell r="L27">
            <v>0</v>
          </cell>
        </row>
        <row r="28">
          <cell r="I28">
            <v>29251</v>
          </cell>
          <cell r="L28">
            <v>106975</v>
          </cell>
        </row>
        <row r="29">
          <cell r="I29"/>
          <cell r="L29">
            <v>18979</v>
          </cell>
        </row>
        <row r="30">
          <cell r="I30">
            <v>23589</v>
          </cell>
          <cell r="L30">
            <v>116795</v>
          </cell>
        </row>
        <row r="31">
          <cell r="I31">
            <v>133879</v>
          </cell>
          <cell r="L31">
            <v>664898</v>
          </cell>
        </row>
        <row r="32">
          <cell r="I32">
            <v>25200</v>
          </cell>
          <cell r="L32">
            <v>229884</v>
          </cell>
        </row>
        <row r="33">
          <cell r="I33">
            <v>20000</v>
          </cell>
          <cell r="L33">
            <v>100000</v>
          </cell>
        </row>
        <row r="34">
          <cell r="I34">
            <v>1667</v>
          </cell>
          <cell r="L34">
            <v>77967</v>
          </cell>
        </row>
        <row r="35">
          <cell r="I35"/>
          <cell r="L35">
            <v>42516</v>
          </cell>
        </row>
        <row r="36">
          <cell r="I36">
            <v>30060</v>
          </cell>
          <cell r="L36">
            <v>162049</v>
          </cell>
        </row>
        <row r="37">
          <cell r="I37"/>
          <cell r="L37">
            <v>0</v>
          </cell>
        </row>
        <row r="38">
          <cell r="I38">
            <v>7187</v>
          </cell>
          <cell r="L38">
            <v>38681</v>
          </cell>
        </row>
        <row r="39">
          <cell r="I39"/>
          <cell r="L39">
            <v>0</v>
          </cell>
        </row>
        <row r="40">
          <cell r="I40"/>
          <cell r="L40">
            <v>9600</v>
          </cell>
        </row>
        <row r="41">
          <cell r="I41">
            <v>455958</v>
          </cell>
          <cell r="L41">
            <v>851916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80000</v>
          </cell>
          <cell r="L44">
            <v>400000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221661</v>
          </cell>
          <cell r="L63">
            <v>1178610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</row>
        <row r="70">
          <cell r="I70"/>
          <cell r="L70">
            <v>1097612</v>
          </cell>
        </row>
        <row r="71">
          <cell r="I71">
            <v>520000</v>
          </cell>
          <cell r="L71">
            <v>2600000</v>
          </cell>
        </row>
        <row r="72">
          <cell r="I72">
            <v>20000</v>
          </cell>
          <cell r="L72">
            <v>100000</v>
          </cell>
        </row>
        <row r="73">
          <cell r="I73"/>
          <cell r="L73">
            <v>24400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6">
        <row r="5">
          <cell r="I5">
            <v>3733910</v>
          </cell>
          <cell r="L5">
            <v>17044218</v>
          </cell>
        </row>
        <row r="6">
          <cell r="I6"/>
          <cell r="L6">
            <v>0</v>
          </cell>
        </row>
        <row r="7">
          <cell r="I7">
            <v>17094442</v>
          </cell>
          <cell r="L7">
            <v>71612433</v>
          </cell>
        </row>
        <row r="8">
          <cell r="I8">
            <v>5053526</v>
          </cell>
          <cell r="L8">
            <v>22210472</v>
          </cell>
        </row>
        <row r="9">
          <cell r="I9">
            <v>5495552</v>
          </cell>
          <cell r="L9">
            <v>25714848</v>
          </cell>
        </row>
        <row r="11">
          <cell r="I11">
            <v>96420</v>
          </cell>
          <cell r="L11">
            <v>432545</v>
          </cell>
        </row>
        <row r="12">
          <cell r="I12">
            <v>4649880</v>
          </cell>
          <cell r="L12">
            <v>19383597</v>
          </cell>
        </row>
        <row r="14">
          <cell r="L14"/>
        </row>
        <row r="15">
          <cell r="I15">
            <v>2001195</v>
          </cell>
          <cell r="L15">
            <v>8895669</v>
          </cell>
        </row>
        <row r="16">
          <cell r="L16">
            <v>0</v>
          </cell>
        </row>
        <row r="19">
          <cell r="I19">
            <v>7126207</v>
          </cell>
          <cell r="L19">
            <v>35559448</v>
          </cell>
        </row>
        <row r="20">
          <cell r="I20">
            <v>241330</v>
          </cell>
          <cell r="L20">
            <v>1206650</v>
          </cell>
        </row>
        <row r="21">
          <cell r="I21"/>
          <cell r="L21">
            <v>0</v>
          </cell>
        </row>
        <row r="22">
          <cell r="I22">
            <v>887604</v>
          </cell>
          <cell r="L22">
            <v>6353870</v>
          </cell>
        </row>
        <row r="23">
          <cell r="I23">
            <v>72777</v>
          </cell>
          <cell r="L23">
            <v>452199</v>
          </cell>
        </row>
        <row r="24">
          <cell r="I24">
            <v>28600</v>
          </cell>
          <cell r="L24">
            <v>143000</v>
          </cell>
        </row>
        <row r="25">
          <cell r="I25"/>
          <cell r="L25">
            <v>0</v>
          </cell>
        </row>
        <row r="26">
          <cell r="I26"/>
          <cell r="L26">
            <v>78417</v>
          </cell>
        </row>
        <row r="27">
          <cell r="I27">
            <v>3628900</v>
          </cell>
          <cell r="L27">
            <v>32554850</v>
          </cell>
        </row>
        <row r="28">
          <cell r="I28"/>
          <cell r="L28">
            <v>0</v>
          </cell>
        </row>
        <row r="29">
          <cell r="I29">
            <v>3732645</v>
          </cell>
          <cell r="L29">
            <v>15042087</v>
          </cell>
        </row>
        <row r="30">
          <cell r="I30">
            <v>555482</v>
          </cell>
          <cell r="L30">
            <v>2868628</v>
          </cell>
        </row>
        <row r="31">
          <cell r="I31">
            <v>265719</v>
          </cell>
          <cell r="L31">
            <v>1328595</v>
          </cell>
        </row>
        <row r="32">
          <cell r="I32">
            <v>302992</v>
          </cell>
          <cell r="L32">
            <v>920292</v>
          </cell>
        </row>
        <row r="33">
          <cell r="I33">
            <v>525000</v>
          </cell>
          <cell r="L33">
            <v>2625000</v>
          </cell>
        </row>
        <row r="34">
          <cell r="I34"/>
          <cell r="L34">
            <v>0</v>
          </cell>
        </row>
        <row r="35">
          <cell r="I35">
            <v>55439</v>
          </cell>
          <cell r="L35">
            <v>55439</v>
          </cell>
        </row>
        <row r="36">
          <cell r="I36">
            <v>9896</v>
          </cell>
          <cell r="L36">
            <v>49456</v>
          </cell>
        </row>
        <row r="37">
          <cell r="I37">
            <v>4599</v>
          </cell>
          <cell r="L37">
            <v>23095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>
            <v>2452027</v>
          </cell>
          <cell r="L43">
            <v>9305889</v>
          </cell>
        </row>
        <row r="44">
          <cell r="I44">
            <v>360000</v>
          </cell>
          <cell r="L44">
            <v>1800000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100000</v>
          </cell>
          <cell r="L51">
            <v>500000</v>
          </cell>
        </row>
        <row r="52">
          <cell r="I52"/>
          <cell r="L52">
            <v>0</v>
          </cell>
        </row>
        <row r="53">
          <cell r="I53">
            <v>24</v>
          </cell>
          <cell r="L53">
            <v>92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2</v>
          </cell>
          <cell r="L61">
            <v>4</v>
          </cell>
        </row>
        <row r="63">
          <cell r="I63">
            <v>1154165</v>
          </cell>
          <cell r="L63">
            <v>6002653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17</v>
          </cell>
        </row>
        <row r="70">
          <cell r="I70"/>
          <cell r="L70">
            <v>2840318</v>
          </cell>
        </row>
        <row r="71">
          <cell r="I71">
            <v>1550000</v>
          </cell>
          <cell r="L71">
            <v>7750000</v>
          </cell>
        </row>
        <row r="72">
          <cell r="I72">
            <v>525000</v>
          </cell>
          <cell r="L72">
            <v>2625000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7">
        <row r="10">
          <cell r="I10">
            <v>31377430</v>
          </cell>
        </row>
      </sheetData>
      <sheetData sheetId="8">
        <row r="5">
          <cell r="I5">
            <v>172130791</v>
          </cell>
          <cell r="L5">
            <v>799902967</v>
          </cell>
        </row>
        <row r="6">
          <cell r="I6"/>
          <cell r="L6">
            <v>0</v>
          </cell>
        </row>
        <row r="7">
          <cell r="I7">
            <v>202760</v>
          </cell>
          <cell r="L7">
            <v>775680</v>
          </cell>
        </row>
        <row r="8">
          <cell r="I8">
            <v>15900</v>
          </cell>
          <cell r="L8">
            <v>69910</v>
          </cell>
        </row>
        <row r="9">
          <cell r="I9">
            <v>102278697</v>
          </cell>
          <cell r="L9">
            <v>456402927</v>
          </cell>
        </row>
        <row r="11">
          <cell r="I11">
            <v>1205420</v>
          </cell>
          <cell r="L11">
            <v>5321909</v>
          </cell>
        </row>
        <row r="12">
          <cell r="L12">
            <v>0</v>
          </cell>
        </row>
        <row r="13">
          <cell r="I13">
            <v>3655245</v>
          </cell>
        </row>
        <row r="14">
          <cell r="I14">
            <v>727931890</v>
          </cell>
          <cell r="L14">
            <v>804499700</v>
          </cell>
        </row>
        <row r="15">
          <cell r="I15">
            <v>221185081</v>
          </cell>
          <cell r="L15">
            <v>1040653876</v>
          </cell>
        </row>
        <row r="16">
          <cell r="I16">
            <v>697233631</v>
          </cell>
          <cell r="L16">
            <v>697233631</v>
          </cell>
        </row>
        <row r="19">
          <cell r="I19">
            <v>3771585</v>
          </cell>
          <cell r="L19">
            <v>20128799</v>
          </cell>
        </row>
        <row r="20">
          <cell r="I20">
            <v>86532</v>
          </cell>
          <cell r="L20">
            <v>517926</v>
          </cell>
        </row>
        <row r="21">
          <cell r="I21"/>
          <cell r="L21">
            <v>0</v>
          </cell>
        </row>
        <row r="22">
          <cell r="I22">
            <v>458706</v>
          </cell>
          <cell r="L22">
            <v>3241645</v>
          </cell>
        </row>
        <row r="23">
          <cell r="I23">
            <v>68156</v>
          </cell>
          <cell r="L23">
            <v>358236</v>
          </cell>
        </row>
        <row r="24">
          <cell r="I24">
            <v>383500</v>
          </cell>
          <cell r="L24">
            <v>957500</v>
          </cell>
        </row>
        <row r="25">
          <cell r="I25">
            <v>18542</v>
          </cell>
          <cell r="L25">
            <v>120250</v>
          </cell>
        </row>
        <row r="26">
          <cell r="I26">
            <v>5520</v>
          </cell>
          <cell r="L26">
            <v>32550</v>
          </cell>
        </row>
        <row r="27">
          <cell r="I27"/>
          <cell r="L27">
            <v>0</v>
          </cell>
        </row>
        <row r="28">
          <cell r="I28">
            <v>15005</v>
          </cell>
          <cell r="L28">
            <v>83858</v>
          </cell>
        </row>
        <row r="29">
          <cell r="I29">
            <v>11643</v>
          </cell>
          <cell r="L29">
            <v>27443</v>
          </cell>
        </row>
        <row r="30">
          <cell r="I30">
            <v>50012</v>
          </cell>
          <cell r="L30">
            <v>267263</v>
          </cell>
        </row>
        <row r="31">
          <cell r="I31">
            <v>317898</v>
          </cell>
          <cell r="L31">
            <v>1326009</v>
          </cell>
        </row>
        <row r="32">
          <cell r="I32">
            <v>84700</v>
          </cell>
          <cell r="L32">
            <v>412000</v>
          </cell>
        </row>
        <row r="33">
          <cell r="I33">
            <v>55000</v>
          </cell>
          <cell r="L33">
            <v>1035449</v>
          </cell>
        </row>
        <row r="34">
          <cell r="I34">
            <v>318582</v>
          </cell>
          <cell r="L34">
            <v>2158705</v>
          </cell>
        </row>
        <row r="35">
          <cell r="I35">
            <v>38500</v>
          </cell>
          <cell r="L35">
            <v>214852</v>
          </cell>
        </row>
        <row r="36">
          <cell r="I36">
            <v>47553</v>
          </cell>
          <cell r="L36">
            <v>154414</v>
          </cell>
        </row>
        <row r="37">
          <cell r="I37"/>
          <cell r="L37">
            <v>0</v>
          </cell>
        </row>
        <row r="38">
          <cell r="I38">
            <v>25327</v>
          </cell>
          <cell r="L38">
            <v>222853</v>
          </cell>
        </row>
        <row r="39">
          <cell r="I39"/>
          <cell r="L39">
            <v>71204</v>
          </cell>
        </row>
        <row r="40">
          <cell r="I40">
            <v>4419</v>
          </cell>
          <cell r="L40">
            <v>4419</v>
          </cell>
        </row>
        <row r="41">
          <cell r="I41">
            <v>90000</v>
          </cell>
          <cell r="L41">
            <v>238000</v>
          </cell>
        </row>
        <row r="42">
          <cell r="I42"/>
          <cell r="L42">
            <v>0</v>
          </cell>
        </row>
        <row r="43">
          <cell r="I43">
            <v>7367261</v>
          </cell>
          <cell r="L43">
            <v>30553922</v>
          </cell>
        </row>
        <row r="44">
          <cell r="I44">
            <v>55000</v>
          </cell>
          <cell r="L44">
            <v>275000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2936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13</v>
          </cell>
          <cell r="L53">
            <v>307143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36</v>
          </cell>
          <cell r="L61">
            <v>149</v>
          </cell>
        </row>
        <row r="63">
          <cell r="I63">
            <v>1459904</v>
          </cell>
          <cell r="L63">
            <v>8012337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8</v>
          </cell>
        </row>
        <row r="70">
          <cell r="I70"/>
          <cell r="L70">
            <v>1312573</v>
          </cell>
        </row>
        <row r="71">
          <cell r="I71">
            <v>750000</v>
          </cell>
          <cell r="L71">
            <v>3750000</v>
          </cell>
        </row>
        <row r="72">
          <cell r="I72">
            <v>55000</v>
          </cell>
          <cell r="L72">
            <v>275000</v>
          </cell>
        </row>
        <row r="73">
          <cell r="I73">
            <v>103200</v>
          </cell>
          <cell r="L73">
            <v>345921</v>
          </cell>
        </row>
        <row r="74">
          <cell r="I74"/>
          <cell r="L74">
            <v>760000</v>
          </cell>
        </row>
        <row r="75">
          <cell r="L75">
            <v>0</v>
          </cell>
        </row>
      </sheetData>
      <sheetData sheetId="9">
        <row r="5">
          <cell r="I5"/>
          <cell r="L5">
            <v>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11467053</v>
          </cell>
          <cell r="L9">
            <v>51577695</v>
          </cell>
        </row>
        <row r="11">
          <cell r="L11">
            <v>0</v>
          </cell>
        </row>
        <row r="12">
          <cell r="L12">
            <v>0</v>
          </cell>
        </row>
        <row r="14">
          <cell r="L14"/>
        </row>
        <row r="15">
          <cell r="I15"/>
          <cell r="L15">
            <v>0</v>
          </cell>
        </row>
        <row r="16">
          <cell r="L16"/>
        </row>
        <row r="19">
          <cell r="I19">
            <v>4519007</v>
          </cell>
          <cell r="L19">
            <v>22063453</v>
          </cell>
        </row>
        <row r="20">
          <cell r="I20">
            <v>121220</v>
          </cell>
          <cell r="L20">
            <v>562366</v>
          </cell>
        </row>
        <row r="21">
          <cell r="I21"/>
          <cell r="L21">
            <v>0</v>
          </cell>
        </row>
        <row r="22">
          <cell r="I22">
            <v>497412</v>
          </cell>
          <cell r="L22">
            <v>3758727</v>
          </cell>
        </row>
        <row r="23">
          <cell r="I23">
            <v>84325</v>
          </cell>
          <cell r="L23">
            <v>394220</v>
          </cell>
        </row>
        <row r="24">
          <cell r="I24"/>
          <cell r="L24">
            <v>0</v>
          </cell>
        </row>
        <row r="25">
          <cell r="I25">
            <v>8300</v>
          </cell>
          <cell r="L25">
            <v>41500</v>
          </cell>
        </row>
        <row r="26">
          <cell r="I26">
            <v>25000</v>
          </cell>
          <cell r="L26">
            <v>113000</v>
          </cell>
        </row>
        <row r="27">
          <cell r="I27">
            <v>376800</v>
          </cell>
          <cell r="L27">
            <v>1041360</v>
          </cell>
        </row>
        <row r="28">
          <cell r="I28">
            <v>32400</v>
          </cell>
          <cell r="L28">
            <v>113196</v>
          </cell>
        </row>
        <row r="29">
          <cell r="I29">
            <v>586943</v>
          </cell>
          <cell r="L29">
            <v>3335264</v>
          </cell>
        </row>
        <row r="30">
          <cell r="I30">
            <v>297052</v>
          </cell>
          <cell r="L30">
            <v>1351735</v>
          </cell>
        </row>
        <row r="31">
          <cell r="I31">
            <v>118246</v>
          </cell>
          <cell r="L31">
            <v>730493</v>
          </cell>
        </row>
        <row r="32">
          <cell r="I32">
            <v>42500</v>
          </cell>
          <cell r="L32">
            <v>288826</v>
          </cell>
        </row>
        <row r="33">
          <cell r="I33">
            <v>325000</v>
          </cell>
          <cell r="L33">
            <v>1625000</v>
          </cell>
        </row>
        <row r="34">
          <cell r="I34"/>
          <cell r="L34">
            <v>0</v>
          </cell>
        </row>
        <row r="35">
          <cell r="I35">
            <v>41853</v>
          </cell>
          <cell r="L35">
            <v>41853</v>
          </cell>
        </row>
        <row r="36">
          <cell r="I36">
            <v>3004</v>
          </cell>
          <cell r="L36">
            <v>15018</v>
          </cell>
        </row>
        <row r="37">
          <cell r="I37">
            <v>60995</v>
          </cell>
          <cell r="L37">
            <v>184276</v>
          </cell>
        </row>
        <row r="38">
          <cell r="I38">
            <v>22990</v>
          </cell>
          <cell r="L38">
            <v>29830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275000</v>
          </cell>
          <cell r="L44">
            <v>1375000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249066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580904</v>
          </cell>
          <cell r="L63">
            <v>3046468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11</v>
          </cell>
        </row>
        <row r="70">
          <cell r="I70"/>
          <cell r="L70">
            <v>1708695</v>
          </cell>
        </row>
        <row r="71">
          <cell r="I71">
            <v>920000</v>
          </cell>
          <cell r="L71">
            <v>4600000</v>
          </cell>
        </row>
        <row r="72">
          <cell r="I72">
            <v>325000</v>
          </cell>
          <cell r="L72">
            <v>1625000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10">
        <row r="10">
          <cell r="I10">
            <v>286095201</v>
          </cell>
        </row>
      </sheetData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社合計"/>
      <sheetName val="本部"/>
      <sheetName val="本社合計"/>
      <sheetName val="本社営業"/>
      <sheetName val="東大阪"/>
      <sheetName val="南港事務"/>
      <sheetName val="南港工場"/>
      <sheetName val="南港合計"/>
      <sheetName val="東京事務"/>
      <sheetName val="東京工場"/>
      <sheetName val="東京合計"/>
      <sheetName val="社内金利"/>
    </sheetNames>
    <sheetDataSet>
      <sheetData sheetId="0">
        <row r="5">
          <cell r="G5">
            <v>689044004</v>
          </cell>
          <cell r="N5">
            <v>4073183655</v>
          </cell>
        </row>
        <row r="6">
          <cell r="G6">
            <v>10549653</v>
          </cell>
          <cell r="N6">
            <v>182202263</v>
          </cell>
        </row>
        <row r="7">
          <cell r="G7">
            <v>15797801</v>
          </cell>
          <cell r="N7">
            <v>97763813</v>
          </cell>
        </row>
        <row r="8">
          <cell r="G8">
            <v>6678946</v>
          </cell>
          <cell r="N8">
            <v>34437113</v>
          </cell>
        </row>
        <row r="9">
          <cell r="G9">
            <v>234246447</v>
          </cell>
          <cell r="N9">
            <v>1206154361</v>
          </cell>
        </row>
        <row r="11">
          <cell r="G11">
            <v>3824267</v>
          </cell>
          <cell r="N11">
            <v>23399627</v>
          </cell>
        </row>
        <row r="12">
          <cell r="G12">
            <v>3660563</v>
          </cell>
          <cell r="N12">
            <v>23710860</v>
          </cell>
        </row>
        <row r="13">
          <cell r="G13">
            <v>11210155</v>
          </cell>
        </row>
        <row r="14">
          <cell r="G14">
            <v>1944937491</v>
          </cell>
          <cell r="N14">
            <v>1816376496</v>
          </cell>
        </row>
        <row r="15">
          <cell r="G15">
            <v>814139395</v>
          </cell>
          <cell r="N15">
            <v>4823994653</v>
          </cell>
        </row>
        <row r="16">
          <cell r="G16">
            <v>1956303000</v>
          </cell>
          <cell r="N16">
            <v>1956303000</v>
          </cell>
        </row>
        <row r="19">
          <cell r="G19">
            <v>38665657</v>
          </cell>
          <cell r="N19">
            <v>224396055</v>
          </cell>
        </row>
        <row r="20">
          <cell r="G20">
            <v>1046228</v>
          </cell>
          <cell r="N20">
            <v>6351768</v>
          </cell>
        </row>
        <row r="21">
          <cell r="G21">
            <v>0</v>
          </cell>
          <cell r="N21">
            <v>2035207</v>
          </cell>
        </row>
        <row r="22">
          <cell r="G22">
            <v>4342415</v>
          </cell>
          <cell r="N22">
            <v>32354489</v>
          </cell>
        </row>
        <row r="23">
          <cell r="G23">
            <v>1311459</v>
          </cell>
          <cell r="N23">
            <v>7840480</v>
          </cell>
        </row>
        <row r="24">
          <cell r="G24">
            <v>518260</v>
          </cell>
          <cell r="N24">
            <v>3576563</v>
          </cell>
        </row>
        <row r="25">
          <cell r="G25">
            <v>212181</v>
          </cell>
          <cell r="N25">
            <v>1470966</v>
          </cell>
        </row>
        <row r="26">
          <cell r="G26">
            <v>518801</v>
          </cell>
          <cell r="N26">
            <v>2585736</v>
          </cell>
        </row>
        <row r="27">
          <cell r="G27">
            <v>3577249</v>
          </cell>
          <cell r="N27">
            <v>13749614</v>
          </cell>
        </row>
        <row r="28">
          <cell r="G28">
            <v>325751</v>
          </cell>
          <cell r="N28">
            <v>1900864</v>
          </cell>
        </row>
        <row r="29">
          <cell r="G29">
            <v>7644135</v>
          </cell>
          <cell r="N29">
            <v>35845822</v>
          </cell>
        </row>
        <row r="30">
          <cell r="G30">
            <v>1400773</v>
          </cell>
          <cell r="N30">
            <v>8877887</v>
          </cell>
        </row>
        <row r="31">
          <cell r="G31">
            <v>1909781</v>
          </cell>
          <cell r="N31">
            <v>10189191</v>
          </cell>
        </row>
        <row r="32">
          <cell r="G32">
            <v>1797293</v>
          </cell>
          <cell r="N32">
            <v>14065127</v>
          </cell>
        </row>
        <row r="33">
          <cell r="G33">
            <v>1558672</v>
          </cell>
          <cell r="N33">
            <v>11796530</v>
          </cell>
        </row>
        <row r="34">
          <cell r="G34">
            <v>1247049</v>
          </cell>
          <cell r="N34">
            <v>6452341</v>
          </cell>
        </row>
        <row r="35">
          <cell r="G35">
            <v>221404</v>
          </cell>
          <cell r="N35">
            <v>7017574</v>
          </cell>
        </row>
        <row r="36">
          <cell r="G36">
            <v>292389</v>
          </cell>
          <cell r="N36">
            <v>1567912</v>
          </cell>
        </row>
        <row r="37">
          <cell r="G37">
            <v>196594</v>
          </cell>
          <cell r="N37">
            <v>2637689</v>
          </cell>
        </row>
        <row r="38">
          <cell r="G38">
            <v>226696</v>
          </cell>
          <cell r="N38">
            <v>1648194</v>
          </cell>
        </row>
        <row r="39">
          <cell r="G39">
            <v>48067</v>
          </cell>
          <cell r="N39">
            <v>212532</v>
          </cell>
        </row>
        <row r="40">
          <cell r="G40">
            <v>45686</v>
          </cell>
          <cell r="N40">
            <v>203264</v>
          </cell>
        </row>
        <row r="41">
          <cell r="G41">
            <v>3000</v>
          </cell>
          <cell r="N41">
            <v>1805535</v>
          </cell>
        </row>
        <row r="42">
          <cell r="G42">
            <v>100640</v>
          </cell>
          <cell r="N42">
            <v>2116216</v>
          </cell>
        </row>
        <row r="43">
          <cell r="G43">
            <v>25427010</v>
          </cell>
          <cell r="N43">
            <v>127208213</v>
          </cell>
        </row>
        <row r="44">
          <cell r="G44">
            <v>1280000</v>
          </cell>
          <cell r="N44">
            <v>7680000</v>
          </cell>
        </row>
        <row r="45">
          <cell r="G45">
            <v>0</v>
          </cell>
          <cell r="N45">
            <v>0</v>
          </cell>
        </row>
        <row r="46">
          <cell r="G46">
            <v>43000</v>
          </cell>
          <cell r="N46">
            <v>119313</v>
          </cell>
        </row>
        <row r="49">
          <cell r="G49">
            <v>621381</v>
          </cell>
          <cell r="N49">
            <v>6753904</v>
          </cell>
        </row>
        <row r="50">
          <cell r="G50">
            <v>0</v>
          </cell>
          <cell r="N50">
            <v>1065084</v>
          </cell>
        </row>
        <row r="51">
          <cell r="G51">
            <v>2013000</v>
          </cell>
          <cell r="N51">
            <v>11872000</v>
          </cell>
        </row>
        <row r="52">
          <cell r="G52">
            <v>0</v>
          </cell>
          <cell r="N52">
            <v>0</v>
          </cell>
        </row>
        <row r="53">
          <cell r="G53">
            <v>7924051</v>
          </cell>
          <cell r="N53">
            <v>49894137</v>
          </cell>
        </row>
        <row r="55">
          <cell r="G55">
            <v>917238</v>
          </cell>
          <cell r="N55">
            <v>5034167</v>
          </cell>
        </row>
        <row r="56">
          <cell r="G56">
            <v>0</v>
          </cell>
          <cell r="N56">
            <v>0</v>
          </cell>
        </row>
        <row r="57">
          <cell r="G57">
            <v>0</v>
          </cell>
          <cell r="N57">
            <v>0</v>
          </cell>
        </row>
        <row r="58">
          <cell r="G58">
            <v>0</v>
          </cell>
          <cell r="N58">
            <v>402213</v>
          </cell>
        </row>
        <row r="59">
          <cell r="G59">
            <v>0</v>
          </cell>
          <cell r="N59">
            <v>0</v>
          </cell>
        </row>
        <row r="60">
          <cell r="G60">
            <v>500000</v>
          </cell>
          <cell r="N60">
            <v>3000000</v>
          </cell>
        </row>
        <row r="61">
          <cell r="G61">
            <v>5829</v>
          </cell>
          <cell r="N61">
            <v>1505131</v>
          </cell>
        </row>
        <row r="63">
          <cell r="G63">
            <v>0</v>
          </cell>
          <cell r="N63">
            <v>0</v>
          </cell>
        </row>
        <row r="65">
          <cell r="G65">
            <v>0</v>
          </cell>
          <cell r="N65">
            <v>0</v>
          </cell>
        </row>
        <row r="66">
          <cell r="G66">
            <v>0</v>
          </cell>
          <cell r="N66">
            <v>0</v>
          </cell>
        </row>
        <row r="68">
          <cell r="G68">
            <v>81</v>
          </cell>
          <cell r="N68">
            <v>81</v>
          </cell>
        </row>
        <row r="70">
          <cell r="G70">
            <v>0</v>
          </cell>
          <cell r="N70">
            <v>17260983</v>
          </cell>
        </row>
        <row r="71">
          <cell r="G71">
            <v>7095000</v>
          </cell>
          <cell r="N71">
            <v>40552000</v>
          </cell>
        </row>
        <row r="72">
          <cell r="G72">
            <v>1495000</v>
          </cell>
          <cell r="N72">
            <v>8970000</v>
          </cell>
        </row>
        <row r="73">
          <cell r="G73">
            <v>215328</v>
          </cell>
          <cell r="N73">
            <v>1102356</v>
          </cell>
        </row>
        <row r="74">
          <cell r="G74">
            <v>0</v>
          </cell>
          <cell r="N74">
            <v>1949000</v>
          </cell>
        </row>
        <row r="75">
          <cell r="G75">
            <v>0</v>
          </cell>
          <cell r="N75">
            <v>672000</v>
          </cell>
        </row>
      </sheetData>
      <sheetData sheetId="1">
        <row r="19">
          <cell r="I19">
            <v>5756800</v>
          </cell>
          <cell r="L19">
            <v>34540800</v>
          </cell>
        </row>
        <row r="20">
          <cell r="I20">
            <v>56110</v>
          </cell>
          <cell r="L20">
            <v>336660</v>
          </cell>
        </row>
        <row r="21">
          <cell r="I21"/>
          <cell r="L21">
            <v>0</v>
          </cell>
        </row>
        <row r="22">
          <cell r="I22">
            <v>361534</v>
          </cell>
          <cell r="L22">
            <v>2462710</v>
          </cell>
        </row>
        <row r="23">
          <cell r="I23">
            <v>529424</v>
          </cell>
          <cell r="L23">
            <v>3439242</v>
          </cell>
        </row>
        <row r="24">
          <cell r="I24">
            <v>45000</v>
          </cell>
          <cell r="L24">
            <v>270000</v>
          </cell>
        </row>
        <row r="25">
          <cell r="I25">
            <v>129379</v>
          </cell>
          <cell r="L25">
            <v>776274</v>
          </cell>
        </row>
        <row r="26">
          <cell r="I26">
            <v>348701</v>
          </cell>
          <cell r="L26">
            <v>2052206</v>
          </cell>
        </row>
        <row r="27">
          <cell r="I27"/>
          <cell r="L27">
            <v>0</v>
          </cell>
        </row>
        <row r="28">
          <cell r="I28">
            <v>29137</v>
          </cell>
          <cell r="L28">
            <v>1241318</v>
          </cell>
        </row>
        <row r="29">
          <cell r="I29"/>
          <cell r="L29">
            <v>0</v>
          </cell>
        </row>
        <row r="30">
          <cell r="I30">
            <v>11470</v>
          </cell>
          <cell r="L30">
            <v>108409</v>
          </cell>
        </row>
        <row r="31">
          <cell r="I31">
            <v>227928</v>
          </cell>
          <cell r="L31">
            <v>1049403</v>
          </cell>
        </row>
        <row r="32">
          <cell r="I32">
            <v>427030</v>
          </cell>
          <cell r="L32">
            <v>3523190</v>
          </cell>
        </row>
        <row r="33">
          <cell r="I33">
            <v>137634</v>
          </cell>
          <cell r="L33">
            <v>1362366</v>
          </cell>
        </row>
        <row r="34">
          <cell r="I34">
            <v>39760</v>
          </cell>
          <cell r="L34">
            <v>643460</v>
          </cell>
        </row>
        <row r="35">
          <cell r="I35">
            <v>221520</v>
          </cell>
          <cell r="L35">
            <v>6096668</v>
          </cell>
        </row>
        <row r="36">
          <cell r="I36">
            <v>56755</v>
          </cell>
          <cell r="L36">
            <v>368933</v>
          </cell>
        </row>
        <row r="37">
          <cell r="I37"/>
          <cell r="L37">
            <v>0</v>
          </cell>
        </row>
        <row r="38">
          <cell r="I38"/>
          <cell r="L38">
            <v>33096</v>
          </cell>
        </row>
        <row r="39">
          <cell r="I39">
            <v>4445</v>
          </cell>
          <cell r="L39">
            <v>48850</v>
          </cell>
        </row>
        <row r="40">
          <cell r="I40"/>
          <cell r="L40">
            <v>0</v>
          </cell>
        </row>
        <row r="41">
          <cell r="I41"/>
          <cell r="L41">
            <v>437300</v>
          </cell>
        </row>
        <row r="42">
          <cell r="I42">
            <v>900000</v>
          </cell>
          <cell r="L42">
            <v>900000</v>
          </cell>
        </row>
        <row r="43">
          <cell r="I43"/>
          <cell r="L43">
            <v>0</v>
          </cell>
        </row>
        <row r="44">
          <cell r="I44">
            <v>-165000</v>
          </cell>
          <cell r="L44">
            <v>-990000</v>
          </cell>
        </row>
        <row r="45">
          <cell r="I45"/>
          <cell r="L45">
            <v>0</v>
          </cell>
        </row>
        <row r="46">
          <cell r="I46">
            <v>11000</v>
          </cell>
          <cell r="L46">
            <v>81000</v>
          </cell>
        </row>
        <row r="49">
          <cell r="I49">
            <v>1034334</v>
          </cell>
          <cell r="L49">
            <v>9087832</v>
          </cell>
        </row>
        <row r="50">
          <cell r="I50"/>
          <cell r="L50">
            <v>0</v>
          </cell>
        </row>
        <row r="51">
          <cell r="I51">
            <v>1063000</v>
          </cell>
          <cell r="L51">
            <v>6378000</v>
          </cell>
        </row>
        <row r="52">
          <cell r="I52"/>
          <cell r="L52">
            <v>0</v>
          </cell>
        </row>
        <row r="53">
          <cell r="I53"/>
          <cell r="L53">
            <v>1260812</v>
          </cell>
        </row>
        <row r="55">
          <cell r="I55">
            <v>479364</v>
          </cell>
          <cell r="L55">
            <v>3596740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>
            <v>500000</v>
          </cell>
          <cell r="L60">
            <v>3000000</v>
          </cell>
        </row>
        <row r="61">
          <cell r="I61"/>
          <cell r="L61">
            <v>7001</v>
          </cell>
        </row>
        <row r="63">
          <cell r="I63">
            <v>-8010657</v>
          </cell>
          <cell r="L63">
            <v>-48658982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  <cell r="L68">
            <v>6</v>
          </cell>
        </row>
        <row r="70">
          <cell r="I70"/>
          <cell r="L70">
            <v>6542720</v>
          </cell>
        </row>
        <row r="71">
          <cell r="I71">
            <v>850000</v>
          </cell>
          <cell r="L71">
            <v>5100000</v>
          </cell>
        </row>
        <row r="72">
          <cell r="I72">
            <v>115000</v>
          </cell>
          <cell r="L72">
            <v>690000</v>
          </cell>
        </row>
        <row r="73">
          <cell r="I73"/>
          <cell r="L73">
            <v>12000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2"/>
      <sheetData sheetId="3">
        <row r="5">
          <cell r="I5">
            <v>423290488</v>
          </cell>
          <cell r="L5">
            <v>2529968236</v>
          </cell>
        </row>
        <row r="6">
          <cell r="I6">
            <v>28924339</v>
          </cell>
          <cell r="L6">
            <v>233370760</v>
          </cell>
        </row>
        <row r="7">
          <cell r="I7">
            <v>2426585</v>
          </cell>
          <cell r="L7">
            <v>10371314</v>
          </cell>
        </row>
        <row r="8">
          <cell r="I8">
            <v>640200</v>
          </cell>
          <cell r="L8">
            <v>6665081</v>
          </cell>
        </row>
        <row r="9">
          <cell r="I9">
            <v>59925001</v>
          </cell>
          <cell r="L9">
            <v>366953375</v>
          </cell>
        </row>
        <row r="11">
          <cell r="I11">
            <v>2445033</v>
          </cell>
          <cell r="L11">
            <v>15047496</v>
          </cell>
        </row>
        <row r="12">
          <cell r="N12">
            <v>0</v>
          </cell>
        </row>
        <row r="13">
          <cell r="I13">
            <v>6269628</v>
          </cell>
        </row>
        <row r="14">
          <cell r="I14">
            <v>1124338483</v>
          </cell>
          <cell r="L14">
            <v>1205973702</v>
          </cell>
        </row>
        <row r="15">
          <cell r="I15">
            <v>452135577</v>
          </cell>
          <cell r="L15">
            <v>2651459090</v>
          </cell>
        </row>
        <row r="16">
          <cell r="I16">
            <v>1126191021</v>
          </cell>
          <cell r="L16">
            <v>1126191021</v>
          </cell>
        </row>
        <row r="19">
          <cell r="I19">
            <v>10303591</v>
          </cell>
          <cell r="L19">
            <v>61567020</v>
          </cell>
        </row>
        <row r="20">
          <cell r="I20">
            <v>259440</v>
          </cell>
          <cell r="L20">
            <v>1247586</v>
          </cell>
        </row>
        <row r="21">
          <cell r="I21"/>
          <cell r="L21">
            <v>0</v>
          </cell>
        </row>
        <row r="22">
          <cell r="I22">
            <v>1177272</v>
          </cell>
          <cell r="L22">
            <v>8482777</v>
          </cell>
        </row>
        <row r="23">
          <cell r="I23">
            <v>395233</v>
          </cell>
          <cell r="L23">
            <v>2248778</v>
          </cell>
        </row>
        <row r="24">
          <cell r="I24">
            <v>181650</v>
          </cell>
          <cell r="L24">
            <v>1761900</v>
          </cell>
        </row>
        <row r="25">
          <cell r="I25">
            <v>86370</v>
          </cell>
          <cell r="L25">
            <v>529140</v>
          </cell>
        </row>
        <row r="26">
          <cell r="I26">
            <v>680</v>
          </cell>
          <cell r="L26">
            <v>4080</v>
          </cell>
        </row>
        <row r="27">
          <cell r="I27"/>
          <cell r="L27">
            <v>0</v>
          </cell>
        </row>
        <row r="28">
          <cell r="I28">
            <v>118891</v>
          </cell>
          <cell r="L28">
            <v>652125</v>
          </cell>
        </row>
        <row r="29">
          <cell r="I29">
            <v>34800</v>
          </cell>
          <cell r="L29">
            <v>141095</v>
          </cell>
        </row>
        <row r="30">
          <cell r="I30">
            <v>22940</v>
          </cell>
          <cell r="L30">
            <v>216818</v>
          </cell>
        </row>
        <row r="31">
          <cell r="I31">
            <v>624541</v>
          </cell>
          <cell r="L31">
            <v>4906133</v>
          </cell>
        </row>
        <row r="32">
          <cell r="I32">
            <v>1703237</v>
          </cell>
          <cell r="L32">
            <v>8157867</v>
          </cell>
        </row>
        <row r="33">
          <cell r="I33">
            <v>55370</v>
          </cell>
          <cell r="L33">
            <v>344620</v>
          </cell>
        </row>
        <row r="34">
          <cell r="I34">
            <v>497671</v>
          </cell>
          <cell r="L34">
            <v>2769252</v>
          </cell>
        </row>
        <row r="35">
          <cell r="I35">
            <v>36696</v>
          </cell>
          <cell r="L35">
            <v>698901</v>
          </cell>
        </row>
        <row r="36">
          <cell r="I36">
            <v>84078</v>
          </cell>
          <cell r="L36">
            <v>488897</v>
          </cell>
        </row>
        <row r="37">
          <cell r="I37"/>
          <cell r="L37">
            <v>720678</v>
          </cell>
        </row>
        <row r="38">
          <cell r="I38">
            <v>130465</v>
          </cell>
          <cell r="L38">
            <v>939901</v>
          </cell>
        </row>
        <row r="39">
          <cell r="I39"/>
          <cell r="L39">
            <v>72014</v>
          </cell>
        </row>
        <row r="40">
          <cell r="I40">
            <v>21110</v>
          </cell>
          <cell r="L40">
            <v>139389</v>
          </cell>
        </row>
        <row r="41">
          <cell r="I41"/>
          <cell r="L41">
            <v>142000</v>
          </cell>
        </row>
        <row r="42">
          <cell r="I42"/>
          <cell r="L42">
            <v>1055603</v>
          </cell>
        </row>
        <row r="43">
          <cell r="I43">
            <v>14978770</v>
          </cell>
          <cell r="L43">
            <v>83218529</v>
          </cell>
        </row>
        <row r="44">
          <cell r="I44">
            <v>475000</v>
          </cell>
          <cell r="L44">
            <v>2850000</v>
          </cell>
        </row>
        <row r="45">
          <cell r="I45"/>
          <cell r="L45">
            <v>0</v>
          </cell>
        </row>
        <row r="46">
          <cell r="I46">
            <v>3500</v>
          </cell>
          <cell r="L46">
            <v>27555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8244371</v>
          </cell>
          <cell r="L53">
            <v>74231593</v>
          </cell>
        </row>
        <row r="55">
          <cell r="I55">
            <v>294267</v>
          </cell>
          <cell r="L55">
            <v>1484169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8</v>
          </cell>
          <cell r="L61">
            <v>195045</v>
          </cell>
        </row>
        <row r="63">
          <cell r="I63">
            <v>3869147</v>
          </cell>
          <cell r="L63">
            <v>23801858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19</v>
          </cell>
          <cell r="L68">
            <v>19</v>
          </cell>
        </row>
        <row r="70">
          <cell r="I70"/>
          <cell r="L70">
            <v>2665396</v>
          </cell>
        </row>
        <row r="71">
          <cell r="I71">
            <v>2050000</v>
          </cell>
          <cell r="L71">
            <v>12300000</v>
          </cell>
        </row>
        <row r="72">
          <cell r="I72">
            <v>55000</v>
          </cell>
          <cell r="L72">
            <v>330000</v>
          </cell>
        </row>
        <row r="73">
          <cell r="I73">
            <v>169600</v>
          </cell>
          <cell r="L73">
            <v>615650</v>
          </cell>
        </row>
        <row r="74">
          <cell r="I74"/>
          <cell r="L74">
            <v>0</v>
          </cell>
        </row>
        <row r="75">
          <cell r="I75"/>
          <cell r="L75">
            <v>672000</v>
          </cell>
        </row>
      </sheetData>
      <sheetData sheetId="4">
        <row r="5">
          <cell r="I5">
            <v>422645</v>
          </cell>
          <cell r="L5">
            <v>2732025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8829918</v>
          </cell>
          <cell r="L9">
            <v>52447230</v>
          </cell>
        </row>
        <row r="11">
          <cell r="I11">
            <v>29780</v>
          </cell>
          <cell r="L11">
            <v>187676</v>
          </cell>
        </row>
        <row r="12">
          <cell r="L12">
            <v>0</v>
          </cell>
        </row>
        <row r="14">
          <cell r="L14">
            <v>0</v>
          </cell>
        </row>
        <row r="15">
          <cell r="I15">
            <v>499465</v>
          </cell>
          <cell r="L15">
            <v>3147821</v>
          </cell>
        </row>
        <row r="16">
          <cell r="L16">
            <v>0</v>
          </cell>
        </row>
        <row r="19">
          <cell r="I19">
            <v>3744520</v>
          </cell>
          <cell r="L19">
            <v>20898210</v>
          </cell>
        </row>
        <row r="20">
          <cell r="I20">
            <v>163642</v>
          </cell>
          <cell r="L20">
            <v>981852</v>
          </cell>
        </row>
        <row r="21">
          <cell r="I21"/>
          <cell r="L21">
            <v>0</v>
          </cell>
        </row>
        <row r="22">
          <cell r="I22">
            <v>669138</v>
          </cell>
          <cell r="L22">
            <v>5287438</v>
          </cell>
        </row>
        <row r="23">
          <cell r="I23">
            <v>87438</v>
          </cell>
          <cell r="L23">
            <v>556309</v>
          </cell>
        </row>
        <row r="24">
          <cell r="I24">
            <v>96410</v>
          </cell>
          <cell r="L24">
            <v>578460</v>
          </cell>
        </row>
        <row r="25">
          <cell r="I25">
            <v>10180</v>
          </cell>
          <cell r="L25">
            <v>61080</v>
          </cell>
        </row>
        <row r="26">
          <cell r="I26">
            <v>55623</v>
          </cell>
          <cell r="L26">
            <v>138276</v>
          </cell>
        </row>
        <row r="27">
          <cell r="I27">
            <v>83000</v>
          </cell>
          <cell r="L27">
            <v>511720</v>
          </cell>
        </row>
        <row r="28">
          <cell r="I28">
            <v>8841</v>
          </cell>
          <cell r="L28">
            <v>115969</v>
          </cell>
        </row>
        <row r="29">
          <cell r="I29">
            <v>579716</v>
          </cell>
          <cell r="L29">
            <v>3491893</v>
          </cell>
        </row>
        <row r="30">
          <cell r="I30">
            <v>334880</v>
          </cell>
          <cell r="L30">
            <v>2493438</v>
          </cell>
        </row>
        <row r="31">
          <cell r="I31">
            <v>114001</v>
          </cell>
          <cell r="L31">
            <v>685113</v>
          </cell>
        </row>
        <row r="32">
          <cell r="I32">
            <v>147400</v>
          </cell>
          <cell r="L32">
            <v>887018</v>
          </cell>
        </row>
        <row r="33">
          <cell r="I33">
            <v>440000</v>
          </cell>
          <cell r="L33">
            <v>3879000</v>
          </cell>
        </row>
        <row r="34">
          <cell r="I34"/>
          <cell r="L34">
            <v>0</v>
          </cell>
        </row>
        <row r="35">
          <cell r="I35"/>
          <cell r="L35">
            <v>60158</v>
          </cell>
        </row>
        <row r="36">
          <cell r="I36">
            <v>24910</v>
          </cell>
          <cell r="L36">
            <v>149432</v>
          </cell>
        </row>
        <row r="37">
          <cell r="I37"/>
          <cell r="L37">
            <v>108042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10000</v>
          </cell>
        </row>
        <row r="42">
          <cell r="I42"/>
          <cell r="L42">
            <v>0</v>
          </cell>
        </row>
        <row r="43">
          <cell r="I43">
            <v>-450279</v>
          </cell>
          <cell r="L43">
            <v>-2879622</v>
          </cell>
        </row>
        <row r="44">
          <cell r="I44">
            <v>375000</v>
          </cell>
          <cell r="L44">
            <v>2250000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850000</v>
          </cell>
          <cell r="L51">
            <v>5100000</v>
          </cell>
        </row>
        <row r="52">
          <cell r="I52"/>
          <cell r="L52">
            <v>0</v>
          </cell>
        </row>
        <row r="53">
          <cell r="I53">
            <v>100000</v>
          </cell>
          <cell r="L53">
            <v>350000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520693</v>
          </cell>
          <cell r="L63">
            <v>2996239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15</v>
          </cell>
        </row>
        <row r="70">
          <cell r="I70"/>
          <cell r="L70">
            <v>1954492</v>
          </cell>
        </row>
        <row r="71">
          <cell r="I71">
            <v>750000</v>
          </cell>
          <cell r="L71">
            <v>2703000</v>
          </cell>
        </row>
        <row r="72">
          <cell r="I72">
            <v>440000</v>
          </cell>
          <cell r="L72">
            <v>2640000</v>
          </cell>
        </row>
        <row r="73">
          <cell r="I73"/>
          <cell r="L73">
            <v>0</v>
          </cell>
        </row>
        <row r="74">
          <cell r="I74"/>
          <cell r="L74">
            <v>1189000</v>
          </cell>
        </row>
        <row r="75">
          <cell r="L75">
            <v>0</v>
          </cell>
        </row>
      </sheetData>
      <sheetData sheetId="5"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0</v>
          </cell>
        </row>
        <row r="9">
          <cell r="L9">
            <v>0</v>
          </cell>
        </row>
        <row r="11">
          <cell r="L11">
            <v>0</v>
          </cell>
        </row>
        <row r="12">
          <cell r="N12">
            <v>0</v>
          </cell>
        </row>
        <row r="14">
          <cell r="L14">
            <v>0</v>
          </cell>
        </row>
        <row r="15">
          <cell r="L15">
            <v>0</v>
          </cell>
        </row>
        <row r="16">
          <cell r="L16">
            <v>0</v>
          </cell>
        </row>
        <row r="19">
          <cell r="I19">
            <v>2822786</v>
          </cell>
          <cell r="L19">
            <v>16784862</v>
          </cell>
        </row>
        <row r="20">
          <cell r="I20">
            <v>88532</v>
          </cell>
          <cell r="L20">
            <v>531192</v>
          </cell>
        </row>
        <row r="21">
          <cell r="I21"/>
          <cell r="L21">
            <v>0</v>
          </cell>
        </row>
        <row r="22">
          <cell r="I22">
            <v>370086</v>
          </cell>
          <cell r="L22">
            <v>2937239</v>
          </cell>
        </row>
        <row r="23">
          <cell r="I23">
            <v>51108</v>
          </cell>
          <cell r="L23">
            <v>407908</v>
          </cell>
        </row>
        <row r="24">
          <cell r="I24"/>
          <cell r="L24">
            <v>0</v>
          </cell>
        </row>
        <row r="25">
          <cell r="I25">
            <v>10180</v>
          </cell>
          <cell r="L25">
            <v>85020</v>
          </cell>
        </row>
        <row r="26">
          <cell r="I26">
            <v>5520</v>
          </cell>
          <cell r="L26">
            <v>33120</v>
          </cell>
        </row>
        <row r="27">
          <cell r="I27"/>
          <cell r="L27">
            <v>0</v>
          </cell>
        </row>
        <row r="28">
          <cell r="I28">
            <v>49982</v>
          </cell>
          <cell r="L28">
            <v>156957</v>
          </cell>
        </row>
        <row r="29">
          <cell r="I29"/>
          <cell r="L29">
            <v>18979</v>
          </cell>
        </row>
        <row r="30">
          <cell r="I30">
            <v>25349</v>
          </cell>
          <cell r="L30">
            <v>142144</v>
          </cell>
        </row>
        <row r="31">
          <cell r="I31">
            <v>165426</v>
          </cell>
          <cell r="L31">
            <v>830324</v>
          </cell>
        </row>
        <row r="32">
          <cell r="I32"/>
          <cell r="L32">
            <v>229884</v>
          </cell>
        </row>
        <row r="33">
          <cell r="I33">
            <v>20000</v>
          </cell>
          <cell r="L33">
            <v>120000</v>
          </cell>
        </row>
        <row r="34">
          <cell r="I34"/>
          <cell r="L34">
            <v>77967</v>
          </cell>
        </row>
        <row r="35">
          <cell r="I35"/>
          <cell r="L35">
            <v>42516</v>
          </cell>
        </row>
        <row r="36">
          <cell r="I36">
            <v>32857</v>
          </cell>
          <cell r="L36">
            <v>194906</v>
          </cell>
        </row>
        <row r="37">
          <cell r="I37"/>
          <cell r="L37">
            <v>0</v>
          </cell>
        </row>
        <row r="38">
          <cell r="I38">
            <v>15818</v>
          </cell>
          <cell r="L38">
            <v>54499</v>
          </cell>
        </row>
        <row r="39">
          <cell r="I39"/>
          <cell r="L39">
            <v>0</v>
          </cell>
        </row>
        <row r="40">
          <cell r="I40"/>
          <cell r="L40">
            <v>9600</v>
          </cell>
        </row>
        <row r="41">
          <cell r="I41"/>
          <cell r="L41">
            <v>851916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80000</v>
          </cell>
          <cell r="L44">
            <v>480000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232309</v>
          </cell>
          <cell r="L63">
            <v>1410919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</row>
        <row r="70">
          <cell r="I70"/>
          <cell r="L70">
            <v>1097612</v>
          </cell>
        </row>
        <row r="71">
          <cell r="I71">
            <v>520000</v>
          </cell>
          <cell r="L71">
            <v>3120000</v>
          </cell>
        </row>
        <row r="72">
          <cell r="I72">
            <v>20000</v>
          </cell>
          <cell r="L72">
            <v>120000</v>
          </cell>
        </row>
        <row r="73">
          <cell r="I73"/>
          <cell r="L73">
            <v>24400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6">
        <row r="5">
          <cell r="I5">
            <v>3765539</v>
          </cell>
          <cell r="L5">
            <v>20809757</v>
          </cell>
        </row>
        <row r="6">
          <cell r="I6"/>
          <cell r="L6">
            <v>0</v>
          </cell>
        </row>
        <row r="7">
          <cell r="I7">
            <v>13231780</v>
          </cell>
          <cell r="L7">
            <v>84844213</v>
          </cell>
        </row>
        <row r="8">
          <cell r="I8">
            <v>4012875</v>
          </cell>
          <cell r="L8">
            <v>26223347</v>
          </cell>
        </row>
        <row r="9">
          <cell r="I9">
            <v>5194389</v>
          </cell>
          <cell r="L9">
            <v>30909237</v>
          </cell>
        </row>
        <row r="11">
          <cell r="I11">
            <v>98150</v>
          </cell>
          <cell r="L11">
            <v>530695</v>
          </cell>
        </row>
        <row r="12">
          <cell r="I12">
            <v>3731857</v>
          </cell>
          <cell r="L12">
            <v>23115454</v>
          </cell>
        </row>
        <row r="14">
          <cell r="L14">
            <v>0</v>
          </cell>
        </row>
        <row r="15">
          <cell r="I15">
            <v>1746641</v>
          </cell>
          <cell r="L15">
            <v>10642310</v>
          </cell>
        </row>
        <row r="16">
          <cell r="L16">
            <v>0</v>
          </cell>
        </row>
        <row r="19">
          <cell r="I19">
            <v>7388489</v>
          </cell>
          <cell r="L19">
            <v>42947937</v>
          </cell>
        </row>
        <row r="20">
          <cell r="I20">
            <v>241330</v>
          </cell>
          <cell r="L20">
            <v>1447980</v>
          </cell>
        </row>
        <row r="21">
          <cell r="I21"/>
          <cell r="L21">
            <v>0</v>
          </cell>
        </row>
        <row r="22">
          <cell r="I22">
            <v>887604</v>
          </cell>
          <cell r="L22">
            <v>7241474</v>
          </cell>
        </row>
        <row r="23">
          <cell r="I23">
            <v>68119</v>
          </cell>
          <cell r="L23">
            <v>520318</v>
          </cell>
        </row>
        <row r="24">
          <cell r="I24">
            <v>28600</v>
          </cell>
          <cell r="L24">
            <v>171600</v>
          </cell>
        </row>
        <row r="25">
          <cell r="I25"/>
          <cell r="L25">
            <v>0</v>
          </cell>
        </row>
        <row r="26">
          <cell r="I26">
            <v>78417</v>
          </cell>
          <cell r="L26">
            <v>156834</v>
          </cell>
        </row>
        <row r="27">
          <cell r="I27">
            <v>9319760</v>
          </cell>
          <cell r="L27">
            <v>41874610</v>
          </cell>
        </row>
        <row r="28">
          <cell r="I28"/>
          <cell r="L28">
            <v>0</v>
          </cell>
        </row>
        <row r="29">
          <cell r="I29">
            <v>4371571</v>
          </cell>
          <cell r="L29">
            <v>19413658</v>
          </cell>
        </row>
        <row r="30">
          <cell r="I30">
            <v>559571</v>
          </cell>
          <cell r="L30">
            <v>3428199</v>
          </cell>
        </row>
        <row r="31">
          <cell r="I31">
            <v>268339</v>
          </cell>
          <cell r="L31">
            <v>1596934</v>
          </cell>
        </row>
        <row r="32">
          <cell r="I32">
            <v>196700</v>
          </cell>
          <cell r="L32">
            <v>1116992</v>
          </cell>
        </row>
        <row r="33">
          <cell r="I33">
            <v>525000</v>
          </cell>
          <cell r="L33">
            <v>3150000</v>
          </cell>
        </row>
        <row r="34">
          <cell r="I34"/>
          <cell r="L34">
            <v>0</v>
          </cell>
        </row>
        <row r="35">
          <cell r="I35"/>
          <cell r="L35">
            <v>55439</v>
          </cell>
        </row>
        <row r="36">
          <cell r="I36">
            <v>9896</v>
          </cell>
          <cell r="L36">
            <v>59352</v>
          </cell>
        </row>
        <row r="37">
          <cell r="I37"/>
          <cell r="L37">
            <v>23095</v>
          </cell>
        </row>
        <row r="38">
          <cell r="I38"/>
          <cell r="L38">
            <v>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>
            <v>2183299</v>
          </cell>
          <cell r="L43">
            <v>11489188</v>
          </cell>
        </row>
        <row r="44">
          <cell r="I44">
            <v>360000</v>
          </cell>
          <cell r="L44">
            <v>2160000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100000</v>
          </cell>
          <cell r="L51">
            <v>600000</v>
          </cell>
        </row>
        <row r="52">
          <cell r="I52"/>
          <cell r="L52">
            <v>0</v>
          </cell>
        </row>
        <row r="53">
          <cell r="I53">
            <v>15</v>
          </cell>
          <cell r="L53">
            <v>107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1</v>
          </cell>
          <cell r="L61">
            <v>5</v>
          </cell>
        </row>
        <row r="63">
          <cell r="I63">
            <v>1201599</v>
          </cell>
          <cell r="L63">
            <v>7204252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17</v>
          </cell>
        </row>
        <row r="70">
          <cell r="I70"/>
          <cell r="L70">
            <v>2840318</v>
          </cell>
        </row>
        <row r="71">
          <cell r="I71">
            <v>1550000</v>
          </cell>
          <cell r="L71">
            <v>9300000</v>
          </cell>
        </row>
        <row r="72">
          <cell r="I72">
            <v>525000</v>
          </cell>
          <cell r="L72">
            <v>3150000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7"/>
      <sheetData sheetId="8">
        <row r="5">
          <cell r="I5">
            <v>156715581</v>
          </cell>
          <cell r="L5">
            <v>956618548</v>
          </cell>
        </row>
        <row r="6">
          <cell r="I6"/>
          <cell r="L6">
            <v>0</v>
          </cell>
        </row>
        <row r="7">
          <cell r="I7">
            <v>627536</v>
          </cell>
          <cell r="L7">
            <v>1403216</v>
          </cell>
        </row>
        <row r="8">
          <cell r="I8">
            <v>21470</v>
          </cell>
          <cell r="L8">
            <v>91380</v>
          </cell>
        </row>
        <row r="9">
          <cell r="I9">
            <v>97940926</v>
          </cell>
          <cell r="L9">
            <v>554343853</v>
          </cell>
        </row>
        <row r="11">
          <cell r="I11">
            <v>1094878</v>
          </cell>
          <cell r="L11">
            <v>6416787</v>
          </cell>
        </row>
        <row r="12">
          <cell r="L12">
            <v>0</v>
          </cell>
        </row>
        <row r="13">
          <cell r="I13">
            <v>3565271</v>
          </cell>
        </row>
        <row r="14">
          <cell r="I14">
            <v>697233631</v>
          </cell>
          <cell r="L14">
            <v>804499700</v>
          </cell>
        </row>
        <row r="15">
          <cell r="I15">
            <v>217216806</v>
          </cell>
          <cell r="L15">
            <v>1257870682</v>
          </cell>
        </row>
        <row r="16">
          <cell r="I16">
            <v>681694060</v>
          </cell>
          <cell r="L16">
            <v>681694060</v>
          </cell>
        </row>
        <row r="19">
          <cell r="I19">
            <v>3758494</v>
          </cell>
          <cell r="L19">
            <v>23887293</v>
          </cell>
        </row>
        <row r="20">
          <cell r="I20">
            <v>86532</v>
          </cell>
          <cell r="L20">
            <v>604458</v>
          </cell>
        </row>
        <row r="21">
          <cell r="I21"/>
          <cell r="L21">
            <v>0</v>
          </cell>
        </row>
        <row r="22">
          <cell r="I22">
            <v>458706</v>
          </cell>
          <cell r="L22">
            <v>3700351</v>
          </cell>
        </row>
        <row r="23">
          <cell r="I23">
            <v>63170</v>
          </cell>
          <cell r="L23">
            <v>421406</v>
          </cell>
        </row>
        <row r="24">
          <cell r="I24">
            <v>143500</v>
          </cell>
          <cell r="L24">
            <v>1101000</v>
          </cell>
        </row>
        <row r="25">
          <cell r="I25">
            <v>18542</v>
          </cell>
          <cell r="L25">
            <v>138792</v>
          </cell>
        </row>
        <row r="26">
          <cell r="I26">
            <v>5520</v>
          </cell>
          <cell r="L26">
            <v>38070</v>
          </cell>
        </row>
        <row r="27">
          <cell r="I27"/>
          <cell r="L27">
            <v>0</v>
          </cell>
        </row>
        <row r="28">
          <cell r="I28">
            <v>20167</v>
          </cell>
          <cell r="L28">
            <v>104025</v>
          </cell>
        </row>
        <row r="29">
          <cell r="I29"/>
          <cell r="L29">
            <v>27443</v>
          </cell>
        </row>
        <row r="30">
          <cell r="I30">
            <v>61552</v>
          </cell>
          <cell r="L30">
            <v>328815</v>
          </cell>
        </row>
        <row r="31">
          <cell r="I31">
            <v>264855</v>
          </cell>
          <cell r="L31">
            <v>1590864</v>
          </cell>
        </row>
        <row r="32">
          <cell r="I32">
            <v>84800</v>
          </cell>
          <cell r="L32">
            <v>496800</v>
          </cell>
        </row>
        <row r="33">
          <cell r="I33">
            <v>55520</v>
          </cell>
          <cell r="L33">
            <v>1090969</v>
          </cell>
        </row>
        <row r="34">
          <cell r="I34">
            <v>374070</v>
          </cell>
          <cell r="L34">
            <v>2532775</v>
          </cell>
        </row>
        <row r="35">
          <cell r="I35"/>
          <cell r="L35">
            <v>214852</v>
          </cell>
        </row>
        <row r="36">
          <cell r="I36">
            <v>24939</v>
          </cell>
          <cell r="L36">
            <v>179353</v>
          </cell>
        </row>
        <row r="37">
          <cell r="I37"/>
          <cell r="L37">
            <v>0</v>
          </cell>
        </row>
        <row r="38">
          <cell r="I38">
            <v>29156</v>
          </cell>
          <cell r="L38">
            <v>252009</v>
          </cell>
        </row>
        <row r="39">
          <cell r="I39"/>
          <cell r="L39">
            <v>71204</v>
          </cell>
        </row>
        <row r="40">
          <cell r="I40"/>
          <cell r="L40">
            <v>4419</v>
          </cell>
        </row>
        <row r="41">
          <cell r="I41">
            <v>50000</v>
          </cell>
          <cell r="L41">
            <v>288000</v>
          </cell>
        </row>
        <row r="42">
          <cell r="I42">
            <v>99740</v>
          </cell>
          <cell r="L42">
            <v>99740</v>
          </cell>
        </row>
        <row r="43">
          <cell r="I43">
            <v>5820589</v>
          </cell>
          <cell r="L43">
            <v>36374511</v>
          </cell>
        </row>
        <row r="44">
          <cell r="I44">
            <v>55000</v>
          </cell>
          <cell r="L44">
            <v>330000</v>
          </cell>
        </row>
        <row r="45">
          <cell r="I45"/>
          <cell r="L45">
            <v>0</v>
          </cell>
        </row>
        <row r="46">
          <cell r="I46">
            <v>33000</v>
          </cell>
          <cell r="L46">
            <v>33000</v>
          </cell>
        </row>
        <row r="49">
          <cell r="I49"/>
          <cell r="L49">
            <v>2936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10</v>
          </cell>
          <cell r="L53">
            <v>307153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3</v>
          </cell>
          <cell r="L61">
            <v>152</v>
          </cell>
        </row>
        <row r="63">
          <cell r="I63">
            <v>1610142</v>
          </cell>
          <cell r="L63">
            <v>9622479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8</v>
          </cell>
        </row>
        <row r="70">
          <cell r="I70"/>
          <cell r="L70">
            <v>1312573</v>
          </cell>
        </row>
        <row r="71">
          <cell r="I71">
            <v>750000</v>
          </cell>
          <cell r="L71">
            <v>4500000</v>
          </cell>
        </row>
        <row r="72">
          <cell r="I72">
            <v>55000</v>
          </cell>
          <cell r="L72">
            <v>330000</v>
          </cell>
        </row>
        <row r="73">
          <cell r="I73">
            <v>199495</v>
          </cell>
          <cell r="L73">
            <v>545416</v>
          </cell>
        </row>
        <row r="74">
          <cell r="I74"/>
          <cell r="L74">
            <v>760000</v>
          </cell>
        </row>
        <row r="75">
          <cell r="L75">
            <v>0</v>
          </cell>
        </row>
      </sheetData>
      <sheetData sheetId="9">
        <row r="5">
          <cell r="I5"/>
          <cell r="L5">
            <v>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9064638</v>
          </cell>
          <cell r="L9">
            <v>60642333</v>
          </cell>
        </row>
        <row r="11">
          <cell r="L11">
            <v>0</v>
          </cell>
        </row>
        <row r="12">
          <cell r="L12">
            <v>0</v>
          </cell>
        </row>
        <row r="14">
          <cell r="L14">
            <v>0</v>
          </cell>
        </row>
        <row r="15">
          <cell r="I15"/>
          <cell r="L15">
            <v>0</v>
          </cell>
        </row>
        <row r="16">
          <cell r="L16">
            <v>0</v>
          </cell>
        </row>
        <row r="19">
          <cell r="I19">
            <v>4337022</v>
          </cell>
          <cell r="L19">
            <v>26400475</v>
          </cell>
        </row>
        <row r="20">
          <cell r="I20">
            <v>111220</v>
          </cell>
          <cell r="L20">
            <v>673586</v>
          </cell>
        </row>
        <row r="21">
          <cell r="I21"/>
          <cell r="L21">
            <v>0</v>
          </cell>
        </row>
        <row r="22">
          <cell r="I22">
            <v>497412</v>
          </cell>
          <cell r="L22">
            <v>4256139</v>
          </cell>
        </row>
        <row r="23">
          <cell r="I23">
            <v>72114</v>
          </cell>
          <cell r="L23">
            <v>466334</v>
          </cell>
        </row>
        <row r="24">
          <cell r="I24"/>
          <cell r="L24">
            <v>0</v>
          </cell>
        </row>
        <row r="25">
          <cell r="I25">
            <v>8300</v>
          </cell>
          <cell r="L25">
            <v>49800</v>
          </cell>
        </row>
        <row r="26">
          <cell r="I26">
            <v>25000</v>
          </cell>
          <cell r="L26">
            <v>138000</v>
          </cell>
        </row>
        <row r="27">
          <cell r="I27">
            <v>30000</v>
          </cell>
          <cell r="L27">
            <v>1071360</v>
          </cell>
        </row>
        <row r="28">
          <cell r="I28">
            <v>34000</v>
          </cell>
          <cell r="L28">
            <v>147196</v>
          </cell>
        </row>
        <row r="29">
          <cell r="I29">
            <v>562599</v>
          </cell>
          <cell r="L29">
            <v>3897863</v>
          </cell>
        </row>
        <row r="30">
          <cell r="I30">
            <v>246745</v>
          </cell>
          <cell r="L30">
            <v>1598480</v>
          </cell>
        </row>
        <row r="31">
          <cell r="I31">
            <v>118246</v>
          </cell>
          <cell r="L31">
            <v>848739</v>
          </cell>
        </row>
        <row r="32">
          <cell r="I32">
            <v>42500</v>
          </cell>
          <cell r="L32">
            <v>331326</v>
          </cell>
        </row>
        <row r="33">
          <cell r="I33">
            <v>325000</v>
          </cell>
          <cell r="L33">
            <v>1950000</v>
          </cell>
        </row>
        <row r="34">
          <cell r="I34"/>
          <cell r="L34">
            <v>0</v>
          </cell>
        </row>
        <row r="35">
          <cell r="I35"/>
          <cell r="L35">
            <v>41853</v>
          </cell>
        </row>
        <row r="36">
          <cell r="I36">
            <v>3004</v>
          </cell>
          <cell r="L36">
            <v>18022</v>
          </cell>
        </row>
        <row r="37">
          <cell r="I37">
            <v>28236</v>
          </cell>
          <cell r="L37">
            <v>212512</v>
          </cell>
        </row>
        <row r="38">
          <cell r="I38">
            <v>3420</v>
          </cell>
          <cell r="L38">
            <v>33250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275000</v>
          </cell>
          <cell r="L44">
            <v>1650000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157057</v>
          </cell>
          <cell r="L53">
            <v>406123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576767</v>
          </cell>
          <cell r="L63">
            <v>3623235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11</v>
          </cell>
        </row>
        <row r="70">
          <cell r="I70"/>
          <cell r="L70">
            <v>1708695</v>
          </cell>
        </row>
        <row r="71">
          <cell r="I71">
            <v>920000</v>
          </cell>
          <cell r="L71">
            <v>5520000</v>
          </cell>
        </row>
        <row r="72">
          <cell r="I72">
            <v>325000</v>
          </cell>
          <cell r="L72">
            <v>1950000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社合計"/>
      <sheetName val="本部"/>
      <sheetName val="本社合計"/>
      <sheetName val="本社営業"/>
      <sheetName val="東大阪"/>
      <sheetName val="南港事務"/>
      <sheetName val="南港工場"/>
      <sheetName val="南港合計"/>
      <sheetName val="東京事務"/>
      <sheetName val="東京工場"/>
      <sheetName val="東京合計"/>
      <sheetName val="社内金利"/>
    </sheetNames>
    <sheetDataSet>
      <sheetData sheetId="0">
        <row r="5">
          <cell r="G5">
            <v>609112609</v>
          </cell>
          <cell r="N5">
            <v>4682296264</v>
          </cell>
        </row>
        <row r="6">
          <cell r="G6">
            <v>25998086</v>
          </cell>
          <cell r="N6">
            <v>208200349</v>
          </cell>
        </row>
        <row r="7">
          <cell r="G7">
            <v>16433292</v>
          </cell>
          <cell r="N7">
            <v>114197105</v>
          </cell>
        </row>
        <row r="8">
          <cell r="G8">
            <v>5704189</v>
          </cell>
          <cell r="N8">
            <v>40141302</v>
          </cell>
        </row>
        <row r="9">
          <cell r="G9">
            <v>167465116</v>
          </cell>
          <cell r="N9">
            <v>1373619477</v>
          </cell>
        </row>
        <row r="11">
          <cell r="G11">
            <v>3264785</v>
          </cell>
          <cell r="N11">
            <v>26664412</v>
          </cell>
        </row>
        <row r="12">
          <cell r="G12">
            <v>3916802</v>
          </cell>
          <cell r="N12">
            <v>27627662</v>
          </cell>
        </row>
        <row r="13">
          <cell r="G13">
            <v>11531277</v>
          </cell>
        </row>
        <row r="14">
          <cell r="G14">
            <v>1956303000</v>
          </cell>
          <cell r="N14">
            <v>1816376496</v>
          </cell>
        </row>
        <row r="15">
          <cell r="G15">
            <v>737411328</v>
          </cell>
          <cell r="N15">
            <v>5561405981</v>
          </cell>
        </row>
        <row r="16">
          <cell r="G16">
            <v>2010505336</v>
          </cell>
          <cell r="N16">
            <v>2010505336</v>
          </cell>
        </row>
        <row r="19">
          <cell r="G19">
            <v>36286696</v>
          </cell>
          <cell r="N19">
            <v>260682751</v>
          </cell>
        </row>
        <row r="20">
          <cell r="G20">
            <v>1046228</v>
          </cell>
          <cell r="N20">
            <v>7397996</v>
          </cell>
        </row>
        <row r="21">
          <cell r="G21">
            <v>1016010</v>
          </cell>
          <cell r="N21">
            <v>3051217</v>
          </cell>
        </row>
        <row r="22">
          <cell r="G22">
            <v>4342415</v>
          </cell>
          <cell r="N22">
            <v>36696904</v>
          </cell>
        </row>
        <row r="23">
          <cell r="G23">
            <v>1258375</v>
          </cell>
          <cell r="N23">
            <v>9098855</v>
          </cell>
        </row>
        <row r="24">
          <cell r="G24">
            <v>495160</v>
          </cell>
          <cell r="N24">
            <v>4071723</v>
          </cell>
        </row>
        <row r="25">
          <cell r="G25">
            <v>212181</v>
          </cell>
          <cell r="N25">
            <v>1683147</v>
          </cell>
        </row>
        <row r="26">
          <cell r="G26">
            <v>452131</v>
          </cell>
          <cell r="N26">
            <v>3037867</v>
          </cell>
        </row>
        <row r="27">
          <cell r="G27">
            <v>519320</v>
          </cell>
          <cell r="N27">
            <v>14268934</v>
          </cell>
        </row>
        <row r="28">
          <cell r="G28">
            <v>322253</v>
          </cell>
          <cell r="N28">
            <v>2223117</v>
          </cell>
        </row>
        <row r="29">
          <cell r="G29">
            <v>5461907</v>
          </cell>
          <cell r="N29">
            <v>41307729</v>
          </cell>
        </row>
        <row r="30">
          <cell r="G30">
            <v>1396563</v>
          </cell>
          <cell r="N30">
            <v>10274450</v>
          </cell>
        </row>
        <row r="31">
          <cell r="G31">
            <v>1883384</v>
          </cell>
          <cell r="N31">
            <v>12072575</v>
          </cell>
        </row>
        <row r="32">
          <cell r="G32">
            <v>2028703</v>
          </cell>
          <cell r="N32">
            <v>16093830</v>
          </cell>
        </row>
        <row r="33">
          <cell r="G33">
            <v>1538614</v>
          </cell>
          <cell r="N33">
            <v>13335144</v>
          </cell>
        </row>
        <row r="34">
          <cell r="G34">
            <v>1634528</v>
          </cell>
          <cell r="N34">
            <v>8086869</v>
          </cell>
        </row>
        <row r="35">
          <cell r="G35">
            <v>6603669</v>
          </cell>
          <cell r="N35">
            <v>13621243</v>
          </cell>
        </row>
        <row r="36">
          <cell r="G36">
            <v>261153</v>
          </cell>
          <cell r="N36">
            <v>1829065</v>
          </cell>
        </row>
        <row r="37">
          <cell r="G37">
            <v>498093</v>
          </cell>
          <cell r="N37">
            <v>3135782</v>
          </cell>
        </row>
        <row r="38">
          <cell r="G38">
            <v>597763</v>
          </cell>
          <cell r="N38">
            <v>2245957</v>
          </cell>
        </row>
        <row r="39">
          <cell r="G39">
            <v>4445</v>
          </cell>
          <cell r="N39">
            <v>216977</v>
          </cell>
        </row>
        <row r="40">
          <cell r="G40">
            <v>39175</v>
          </cell>
          <cell r="N40">
            <v>242439</v>
          </cell>
        </row>
        <row r="41">
          <cell r="G41">
            <v>12000</v>
          </cell>
          <cell r="N41">
            <v>1817535</v>
          </cell>
        </row>
        <row r="42">
          <cell r="G42">
            <v>52800</v>
          </cell>
          <cell r="N42">
            <v>2169016</v>
          </cell>
        </row>
        <row r="43">
          <cell r="G43">
            <v>21128137</v>
          </cell>
          <cell r="N43">
            <v>148336350</v>
          </cell>
        </row>
        <row r="44">
          <cell r="G44">
            <v>1280000</v>
          </cell>
          <cell r="N44">
            <v>8960000</v>
          </cell>
        </row>
        <row r="45">
          <cell r="G45">
            <v>0</v>
          </cell>
          <cell r="N45">
            <v>0</v>
          </cell>
        </row>
        <row r="46">
          <cell r="G46">
            <v>18230</v>
          </cell>
          <cell r="N46">
            <v>137543</v>
          </cell>
        </row>
        <row r="49">
          <cell r="G49">
            <v>692430</v>
          </cell>
          <cell r="N49">
            <v>7446334</v>
          </cell>
        </row>
        <row r="50">
          <cell r="G50">
            <v>0</v>
          </cell>
          <cell r="N50">
            <v>1065084</v>
          </cell>
        </row>
        <row r="51">
          <cell r="G51">
            <v>2013000</v>
          </cell>
          <cell r="N51">
            <v>13885000</v>
          </cell>
        </row>
        <row r="52">
          <cell r="G52">
            <v>0</v>
          </cell>
          <cell r="N52">
            <v>0</v>
          </cell>
        </row>
        <row r="53">
          <cell r="G53">
            <v>7877754</v>
          </cell>
          <cell r="N53">
            <v>57771891</v>
          </cell>
        </row>
        <row r="55">
          <cell r="G55">
            <v>1039059</v>
          </cell>
          <cell r="N55">
            <v>6073226</v>
          </cell>
        </row>
        <row r="56">
          <cell r="G56">
            <v>0</v>
          </cell>
          <cell r="N56">
            <v>0</v>
          </cell>
        </row>
        <row r="57">
          <cell r="G57">
            <v>0</v>
          </cell>
          <cell r="N57">
            <v>0</v>
          </cell>
        </row>
        <row r="58">
          <cell r="G58">
            <v>0</v>
          </cell>
          <cell r="N58">
            <v>402213</v>
          </cell>
        </row>
        <row r="59">
          <cell r="G59">
            <v>0</v>
          </cell>
          <cell r="N59">
            <v>0</v>
          </cell>
        </row>
        <row r="60">
          <cell r="G60">
            <v>500000</v>
          </cell>
          <cell r="N60">
            <v>3500000</v>
          </cell>
        </row>
        <row r="61">
          <cell r="G61">
            <v>159639</v>
          </cell>
          <cell r="N61">
            <v>1664770</v>
          </cell>
        </row>
        <row r="63">
          <cell r="G63">
            <v>0</v>
          </cell>
          <cell r="N63">
            <v>0</v>
          </cell>
        </row>
        <row r="65">
          <cell r="G65">
            <v>0</v>
          </cell>
          <cell r="N65">
            <v>0</v>
          </cell>
        </row>
        <row r="66">
          <cell r="G66">
            <v>0</v>
          </cell>
          <cell r="N66">
            <v>0</v>
          </cell>
        </row>
        <row r="68">
          <cell r="G68">
            <v>80</v>
          </cell>
          <cell r="N68">
            <v>80</v>
          </cell>
        </row>
        <row r="70">
          <cell r="G70">
            <v>6280000</v>
          </cell>
          <cell r="N70">
            <v>23540983</v>
          </cell>
        </row>
        <row r="71">
          <cell r="G71">
            <v>5371000</v>
          </cell>
          <cell r="N71">
            <v>45923000</v>
          </cell>
        </row>
        <row r="72">
          <cell r="G72">
            <v>1495000</v>
          </cell>
          <cell r="N72">
            <v>10465000</v>
          </cell>
        </row>
        <row r="73">
          <cell r="G73">
            <v>34010</v>
          </cell>
          <cell r="N73">
            <v>1136366</v>
          </cell>
        </row>
        <row r="74">
          <cell r="G74">
            <v>0</v>
          </cell>
          <cell r="N74">
            <v>1949000</v>
          </cell>
        </row>
        <row r="75">
          <cell r="G75">
            <v>0</v>
          </cell>
          <cell r="N75">
            <v>672000</v>
          </cell>
        </row>
      </sheetData>
      <sheetData sheetId="1">
        <row r="19">
          <cell r="I19">
            <v>5756800</v>
          </cell>
          <cell r="L19">
            <v>40297600</v>
          </cell>
        </row>
        <row r="20">
          <cell r="I20">
            <v>56110</v>
          </cell>
          <cell r="L20">
            <v>392770</v>
          </cell>
        </row>
        <row r="21">
          <cell r="I21"/>
          <cell r="L21">
            <v>0</v>
          </cell>
        </row>
        <row r="22">
          <cell r="I22">
            <v>361534</v>
          </cell>
          <cell r="L22">
            <v>2824244</v>
          </cell>
        </row>
        <row r="23">
          <cell r="I23">
            <v>549063</v>
          </cell>
          <cell r="L23">
            <v>3988305</v>
          </cell>
        </row>
        <row r="24">
          <cell r="I24">
            <v>45000</v>
          </cell>
          <cell r="L24">
            <v>315000</v>
          </cell>
        </row>
        <row r="25">
          <cell r="I25">
            <v>129379</v>
          </cell>
          <cell r="L25">
            <v>905653</v>
          </cell>
        </row>
        <row r="26">
          <cell r="I26">
            <v>348701</v>
          </cell>
          <cell r="L26">
            <v>2400907</v>
          </cell>
        </row>
        <row r="27">
          <cell r="I27"/>
          <cell r="L27">
            <v>0</v>
          </cell>
        </row>
        <row r="28">
          <cell r="I28">
            <v>29080</v>
          </cell>
          <cell r="L28">
            <v>1270398</v>
          </cell>
        </row>
        <row r="29">
          <cell r="I29"/>
          <cell r="L29">
            <v>0</v>
          </cell>
        </row>
        <row r="30">
          <cell r="I30">
            <v>16910</v>
          </cell>
          <cell r="L30">
            <v>125319</v>
          </cell>
        </row>
        <row r="31">
          <cell r="I31">
            <v>1921312</v>
          </cell>
          <cell r="L31">
            <v>2970715</v>
          </cell>
        </row>
        <row r="32">
          <cell r="I32">
            <v>419550</v>
          </cell>
          <cell r="L32">
            <v>3942740</v>
          </cell>
        </row>
        <row r="33">
          <cell r="I33">
            <v>135200</v>
          </cell>
          <cell r="L33">
            <v>1497566</v>
          </cell>
        </row>
        <row r="34">
          <cell r="I34">
            <v>426546</v>
          </cell>
          <cell r="L34">
            <v>1070006</v>
          </cell>
        </row>
        <row r="35">
          <cell r="I35">
            <v>7061520</v>
          </cell>
          <cell r="L35">
            <v>13158188</v>
          </cell>
        </row>
        <row r="36">
          <cell r="I36">
            <v>56126</v>
          </cell>
          <cell r="L36">
            <v>425059</v>
          </cell>
        </row>
        <row r="37">
          <cell r="I37"/>
          <cell r="L37">
            <v>0</v>
          </cell>
        </row>
        <row r="38">
          <cell r="I38"/>
          <cell r="L38">
            <v>33096</v>
          </cell>
        </row>
        <row r="39">
          <cell r="I39">
            <v>64469</v>
          </cell>
          <cell r="L39">
            <v>113319</v>
          </cell>
        </row>
        <row r="40">
          <cell r="I40"/>
          <cell r="L40">
            <v>0</v>
          </cell>
        </row>
        <row r="41">
          <cell r="I41"/>
          <cell r="L41">
            <v>437300</v>
          </cell>
        </row>
        <row r="42">
          <cell r="I42">
            <v>5750</v>
          </cell>
          <cell r="L42">
            <v>905750</v>
          </cell>
        </row>
        <row r="43">
          <cell r="I43"/>
          <cell r="L43">
            <v>0</v>
          </cell>
        </row>
        <row r="44">
          <cell r="I44">
            <v>-165000</v>
          </cell>
          <cell r="L44">
            <v>-1155000</v>
          </cell>
        </row>
        <row r="45">
          <cell r="I45"/>
          <cell r="L45">
            <v>0</v>
          </cell>
        </row>
        <row r="46">
          <cell r="I46">
            <v>10000</v>
          </cell>
          <cell r="L46">
            <v>91000</v>
          </cell>
        </row>
        <row r="49">
          <cell r="I49">
            <v>1008793</v>
          </cell>
          <cell r="L49">
            <v>10096625</v>
          </cell>
        </row>
        <row r="50">
          <cell r="I50"/>
          <cell r="L50">
            <v>0</v>
          </cell>
        </row>
        <row r="51">
          <cell r="I51">
            <v>1063000</v>
          </cell>
          <cell r="L51">
            <v>7441000</v>
          </cell>
        </row>
        <row r="52">
          <cell r="I52"/>
          <cell r="L52">
            <v>0</v>
          </cell>
        </row>
        <row r="53">
          <cell r="I53"/>
          <cell r="L53">
            <v>1260812</v>
          </cell>
        </row>
        <row r="55">
          <cell r="I55">
            <v>638047</v>
          </cell>
          <cell r="L55">
            <v>4234787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>
            <v>500000</v>
          </cell>
          <cell r="L60">
            <v>3500000</v>
          </cell>
        </row>
        <row r="61">
          <cell r="I61"/>
          <cell r="L61">
            <v>7001</v>
          </cell>
        </row>
        <row r="63">
          <cell r="I63">
            <v>-16294304</v>
          </cell>
          <cell r="L63">
            <v>-64953286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  <cell r="L68">
            <v>6</v>
          </cell>
        </row>
        <row r="70">
          <cell r="I70">
            <v>6840000</v>
          </cell>
          <cell r="L70">
            <v>13382720</v>
          </cell>
        </row>
        <row r="71">
          <cell r="I71">
            <v>850000</v>
          </cell>
          <cell r="L71">
            <v>5950000</v>
          </cell>
        </row>
        <row r="72">
          <cell r="I72">
            <v>115000</v>
          </cell>
          <cell r="L72">
            <v>805000</v>
          </cell>
        </row>
        <row r="73">
          <cell r="I73">
            <v>12000</v>
          </cell>
          <cell r="L73">
            <v>24000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2"/>
      <sheetData sheetId="3">
        <row r="5">
          <cell r="I5">
            <v>392950770</v>
          </cell>
          <cell r="L5">
            <v>2922919006</v>
          </cell>
        </row>
        <row r="6">
          <cell r="I6">
            <v>51041649</v>
          </cell>
          <cell r="L6">
            <v>284412409</v>
          </cell>
        </row>
        <row r="7">
          <cell r="I7">
            <v>3361709</v>
          </cell>
          <cell r="L7">
            <v>13733023</v>
          </cell>
        </row>
        <row r="8">
          <cell r="I8">
            <v>734500</v>
          </cell>
          <cell r="L8">
            <v>7399581</v>
          </cell>
        </row>
        <row r="9">
          <cell r="I9">
            <v>62290435</v>
          </cell>
          <cell r="L9">
            <v>429243810</v>
          </cell>
        </row>
        <row r="11">
          <cell r="I11">
            <v>2597237</v>
          </cell>
          <cell r="L11">
            <v>17644733</v>
          </cell>
        </row>
        <row r="12">
          <cell r="N12">
            <v>0</v>
          </cell>
        </row>
        <row r="13">
          <cell r="I13">
            <v>5954313</v>
          </cell>
        </row>
        <row r="14">
          <cell r="I14">
            <v>1126191021</v>
          </cell>
          <cell r="L14">
            <v>1205973702</v>
          </cell>
        </row>
        <row r="15">
          <cell r="I15">
            <v>396639499</v>
          </cell>
          <cell r="L15">
            <v>3048098589</v>
          </cell>
        </row>
        <row r="16">
          <cell r="I16">
            <v>1079439128</v>
          </cell>
          <cell r="L16">
            <v>1079439128</v>
          </cell>
        </row>
        <row r="19">
          <cell r="I19">
            <v>10296219</v>
          </cell>
          <cell r="L19">
            <v>71863239</v>
          </cell>
        </row>
        <row r="20">
          <cell r="I20">
            <v>259440</v>
          </cell>
          <cell r="L20">
            <v>1507026</v>
          </cell>
        </row>
        <row r="21">
          <cell r="I21"/>
          <cell r="L21">
            <v>0</v>
          </cell>
        </row>
        <row r="22">
          <cell r="I22">
            <v>1177272</v>
          </cell>
          <cell r="L22">
            <v>9660049</v>
          </cell>
        </row>
        <row r="23">
          <cell r="I23">
            <v>131916</v>
          </cell>
          <cell r="L23">
            <v>2380694</v>
          </cell>
        </row>
        <row r="24">
          <cell r="I24">
            <v>181650</v>
          </cell>
          <cell r="L24">
            <v>1943550</v>
          </cell>
        </row>
        <row r="25">
          <cell r="I25">
            <v>86370</v>
          </cell>
          <cell r="L25">
            <v>615510</v>
          </cell>
        </row>
        <row r="26">
          <cell r="I26">
            <v>680</v>
          </cell>
          <cell r="L26">
            <v>4760</v>
          </cell>
        </row>
        <row r="27">
          <cell r="I27"/>
          <cell r="L27">
            <v>0</v>
          </cell>
        </row>
        <row r="28">
          <cell r="I28">
            <v>114395</v>
          </cell>
          <cell r="L28">
            <v>766520</v>
          </cell>
        </row>
        <row r="29">
          <cell r="I29">
            <v>19990</v>
          </cell>
          <cell r="L29">
            <v>161085</v>
          </cell>
        </row>
        <row r="30">
          <cell r="I30">
            <v>33819</v>
          </cell>
          <cell r="L30">
            <v>250637</v>
          </cell>
        </row>
        <row r="31">
          <cell r="I31">
            <v>1081519</v>
          </cell>
          <cell r="L31">
            <v>5987652</v>
          </cell>
        </row>
        <row r="32">
          <cell r="I32">
            <v>474150</v>
          </cell>
          <cell r="L32">
            <v>8632017</v>
          </cell>
        </row>
        <row r="33">
          <cell r="I33">
            <v>55200</v>
          </cell>
          <cell r="L33">
            <v>399820</v>
          </cell>
        </row>
        <row r="34">
          <cell r="I34">
            <v>954198</v>
          </cell>
          <cell r="L34">
            <v>3723450</v>
          </cell>
        </row>
        <row r="35">
          <cell r="I35">
            <v>39531</v>
          </cell>
          <cell r="L35">
            <v>738432</v>
          </cell>
        </row>
        <row r="36">
          <cell r="I36">
            <v>78928</v>
          </cell>
          <cell r="L36">
            <v>567825</v>
          </cell>
        </row>
        <row r="37">
          <cell r="I37"/>
          <cell r="L37">
            <v>720678</v>
          </cell>
        </row>
        <row r="38">
          <cell r="I38">
            <v>166841</v>
          </cell>
          <cell r="L38">
            <v>1106742</v>
          </cell>
        </row>
        <row r="39">
          <cell r="I39"/>
          <cell r="L39">
            <v>72014</v>
          </cell>
        </row>
        <row r="40">
          <cell r="I40">
            <v>31807</v>
          </cell>
          <cell r="L40">
            <v>171196</v>
          </cell>
        </row>
        <row r="41">
          <cell r="I41">
            <v>15000</v>
          </cell>
          <cell r="L41">
            <v>157000</v>
          </cell>
        </row>
        <row r="42">
          <cell r="I42">
            <v>205850</v>
          </cell>
          <cell r="L42">
            <v>1261453</v>
          </cell>
        </row>
        <row r="43">
          <cell r="I43">
            <v>12647146</v>
          </cell>
          <cell r="L43">
            <v>95865675</v>
          </cell>
        </row>
        <row r="44">
          <cell r="I44">
            <v>475000</v>
          </cell>
          <cell r="L44">
            <v>3325000</v>
          </cell>
        </row>
        <row r="45">
          <cell r="I45"/>
          <cell r="L45">
            <v>0</v>
          </cell>
        </row>
        <row r="46">
          <cell r="I46"/>
          <cell r="L46">
            <v>27555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7670084</v>
          </cell>
          <cell r="L53">
            <v>81901677</v>
          </cell>
        </row>
        <row r="55">
          <cell r="I55">
            <v>327811</v>
          </cell>
          <cell r="L55">
            <v>1811980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87070</v>
          </cell>
          <cell r="L61">
            <v>282115</v>
          </cell>
        </row>
        <row r="63">
          <cell r="I63">
            <v>9279044</v>
          </cell>
          <cell r="L63">
            <v>33080902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18</v>
          </cell>
          <cell r="L68">
            <v>18</v>
          </cell>
        </row>
        <row r="70">
          <cell r="I70"/>
          <cell r="L70">
            <v>2665396</v>
          </cell>
        </row>
        <row r="71">
          <cell r="I71">
            <v>2050000</v>
          </cell>
          <cell r="L71">
            <v>14350000</v>
          </cell>
        </row>
        <row r="72">
          <cell r="I72">
            <v>55000</v>
          </cell>
          <cell r="L72">
            <v>385000</v>
          </cell>
        </row>
        <row r="73">
          <cell r="I73">
            <v>213950</v>
          </cell>
          <cell r="L73">
            <v>829600</v>
          </cell>
        </row>
        <row r="74">
          <cell r="I74"/>
          <cell r="L74">
            <v>0</v>
          </cell>
        </row>
        <row r="75">
          <cell r="I75"/>
          <cell r="L75">
            <v>672000</v>
          </cell>
        </row>
      </sheetData>
      <sheetData sheetId="4">
        <row r="5">
          <cell r="I5">
            <v>562335</v>
          </cell>
          <cell r="L5">
            <v>3294360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8378112</v>
          </cell>
          <cell r="L9">
            <v>60825342</v>
          </cell>
        </row>
        <row r="11">
          <cell r="I11">
            <v>16850</v>
          </cell>
          <cell r="L11">
            <v>204526</v>
          </cell>
        </row>
        <row r="12">
          <cell r="L12">
            <v>0</v>
          </cell>
        </row>
        <row r="14">
          <cell r="L14">
            <v>0</v>
          </cell>
        </row>
        <row r="15">
          <cell r="I15">
            <v>545485</v>
          </cell>
          <cell r="L15">
            <v>3693306</v>
          </cell>
        </row>
        <row r="16">
          <cell r="L16">
            <v>0</v>
          </cell>
        </row>
        <row r="19">
          <cell r="I19">
            <v>2012715</v>
          </cell>
          <cell r="L19">
            <v>22910925</v>
          </cell>
        </row>
        <row r="20">
          <cell r="I20">
            <v>163642</v>
          </cell>
          <cell r="L20">
            <v>1145494</v>
          </cell>
        </row>
        <row r="21">
          <cell r="I21"/>
          <cell r="L21">
            <v>0</v>
          </cell>
        </row>
        <row r="22">
          <cell r="I22">
            <v>669138</v>
          </cell>
          <cell r="L22">
            <v>5956576</v>
          </cell>
        </row>
        <row r="23">
          <cell r="I23">
            <v>85137</v>
          </cell>
          <cell r="L23">
            <v>641446</v>
          </cell>
        </row>
        <row r="24">
          <cell r="I24">
            <v>96410</v>
          </cell>
          <cell r="L24">
            <v>674870</v>
          </cell>
        </row>
        <row r="25">
          <cell r="I25">
            <v>10180</v>
          </cell>
          <cell r="L25">
            <v>71260</v>
          </cell>
        </row>
        <row r="26">
          <cell r="I26">
            <v>5520</v>
          </cell>
          <cell r="L26">
            <v>143796</v>
          </cell>
        </row>
        <row r="27">
          <cell r="I27"/>
          <cell r="L27">
            <v>511720</v>
          </cell>
        </row>
        <row r="28">
          <cell r="I28">
            <v>18938</v>
          </cell>
          <cell r="L28">
            <v>134907</v>
          </cell>
        </row>
        <row r="29">
          <cell r="I29">
            <v>290567</v>
          </cell>
          <cell r="L29">
            <v>3782460</v>
          </cell>
        </row>
        <row r="30">
          <cell r="I30">
            <v>284772</v>
          </cell>
          <cell r="L30">
            <v>2778210</v>
          </cell>
        </row>
        <row r="31">
          <cell r="I31">
            <v>116874</v>
          </cell>
          <cell r="L31">
            <v>801987</v>
          </cell>
        </row>
        <row r="32">
          <cell r="I32">
            <v>699800</v>
          </cell>
          <cell r="L32">
            <v>1586818</v>
          </cell>
        </row>
        <row r="33">
          <cell r="I33">
            <v>442000</v>
          </cell>
          <cell r="L33">
            <v>4321000</v>
          </cell>
        </row>
        <row r="34">
          <cell r="I34"/>
          <cell r="L34">
            <v>0</v>
          </cell>
        </row>
        <row r="35">
          <cell r="I35"/>
          <cell r="L35">
            <v>60158</v>
          </cell>
        </row>
        <row r="36">
          <cell r="I36">
            <v>25371</v>
          </cell>
          <cell r="L36">
            <v>174803</v>
          </cell>
        </row>
        <row r="37">
          <cell r="I37"/>
          <cell r="L37">
            <v>108042</v>
          </cell>
        </row>
        <row r="38">
          <cell r="I38">
            <v>5086</v>
          </cell>
          <cell r="L38">
            <v>5086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10000</v>
          </cell>
        </row>
        <row r="42">
          <cell r="I42"/>
          <cell r="L42">
            <v>0</v>
          </cell>
        </row>
        <row r="43">
          <cell r="I43">
            <v>-483885</v>
          </cell>
          <cell r="L43">
            <v>-3363507</v>
          </cell>
        </row>
        <row r="44">
          <cell r="I44">
            <v>375000</v>
          </cell>
          <cell r="L44">
            <v>2625000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850000</v>
          </cell>
          <cell r="L51">
            <v>5950000</v>
          </cell>
        </row>
        <row r="52">
          <cell r="I52"/>
          <cell r="L52">
            <v>0</v>
          </cell>
        </row>
        <row r="53">
          <cell r="I53">
            <v>50000</v>
          </cell>
          <cell r="L53">
            <v>400000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532716</v>
          </cell>
          <cell r="L63">
            <v>3528955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15</v>
          </cell>
        </row>
        <row r="70">
          <cell r="I70"/>
          <cell r="L70">
            <v>1954492</v>
          </cell>
        </row>
        <row r="71">
          <cell r="I71">
            <v>-1047000</v>
          </cell>
          <cell r="L71">
            <v>1656000</v>
          </cell>
        </row>
        <row r="72">
          <cell r="I72">
            <v>440000</v>
          </cell>
          <cell r="L72">
            <v>3080000</v>
          </cell>
        </row>
        <row r="73">
          <cell r="I73"/>
          <cell r="L73">
            <v>0</v>
          </cell>
        </row>
        <row r="74">
          <cell r="I74"/>
          <cell r="L74">
            <v>1189000</v>
          </cell>
        </row>
        <row r="75">
          <cell r="L75">
            <v>0</v>
          </cell>
        </row>
      </sheetData>
      <sheetData sheetId="5"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0</v>
          </cell>
        </row>
        <row r="9">
          <cell r="L9">
            <v>0</v>
          </cell>
        </row>
        <row r="11">
          <cell r="L11">
            <v>0</v>
          </cell>
        </row>
        <row r="12">
          <cell r="N12">
            <v>0</v>
          </cell>
        </row>
        <row r="14">
          <cell r="L14">
            <v>0</v>
          </cell>
        </row>
        <row r="15">
          <cell r="L15">
            <v>0</v>
          </cell>
        </row>
        <row r="16">
          <cell r="L16">
            <v>0</v>
          </cell>
        </row>
        <row r="19">
          <cell r="I19">
            <v>2818628</v>
          </cell>
          <cell r="L19">
            <v>19603490</v>
          </cell>
        </row>
        <row r="20">
          <cell r="I20">
            <v>88532</v>
          </cell>
          <cell r="L20">
            <v>619724</v>
          </cell>
        </row>
        <row r="21">
          <cell r="I21"/>
          <cell r="L21">
            <v>0</v>
          </cell>
        </row>
        <row r="22">
          <cell r="I22">
            <v>370086</v>
          </cell>
          <cell r="L22">
            <v>3307325</v>
          </cell>
        </row>
        <row r="23">
          <cell r="I23">
            <v>65104</v>
          </cell>
          <cell r="L23">
            <v>473012</v>
          </cell>
        </row>
        <row r="24">
          <cell r="I24"/>
          <cell r="L24">
            <v>0</v>
          </cell>
        </row>
        <row r="25">
          <cell r="I25">
            <v>10180</v>
          </cell>
          <cell r="L25">
            <v>95200</v>
          </cell>
        </row>
        <row r="26">
          <cell r="I26">
            <v>5520</v>
          </cell>
          <cell r="L26">
            <v>38640</v>
          </cell>
        </row>
        <row r="27">
          <cell r="I27"/>
          <cell r="L27">
            <v>0</v>
          </cell>
        </row>
        <row r="28">
          <cell r="I28">
            <v>31669</v>
          </cell>
          <cell r="L28">
            <v>188626</v>
          </cell>
        </row>
        <row r="29">
          <cell r="I29"/>
          <cell r="L29">
            <v>18979</v>
          </cell>
        </row>
        <row r="30">
          <cell r="I30">
            <v>20552</v>
          </cell>
          <cell r="L30">
            <v>162696</v>
          </cell>
        </row>
        <row r="31">
          <cell r="I31">
            <v>141399</v>
          </cell>
          <cell r="L31">
            <v>971723</v>
          </cell>
        </row>
        <row r="32">
          <cell r="I32">
            <v>33000</v>
          </cell>
          <cell r="L32">
            <v>262884</v>
          </cell>
        </row>
        <row r="33">
          <cell r="I33">
            <v>20000</v>
          </cell>
          <cell r="L33">
            <v>140000</v>
          </cell>
        </row>
        <row r="34">
          <cell r="I34">
            <v>16700</v>
          </cell>
          <cell r="L34">
            <v>94667</v>
          </cell>
        </row>
        <row r="35">
          <cell r="I35"/>
          <cell r="L35">
            <v>42516</v>
          </cell>
        </row>
        <row r="36">
          <cell r="I36">
            <v>37066</v>
          </cell>
          <cell r="L36">
            <v>231972</v>
          </cell>
        </row>
        <row r="37">
          <cell r="I37"/>
          <cell r="L37">
            <v>0</v>
          </cell>
        </row>
        <row r="38">
          <cell r="I38">
            <v>7337</v>
          </cell>
          <cell r="L38">
            <v>61836</v>
          </cell>
        </row>
        <row r="39">
          <cell r="I39"/>
          <cell r="L39">
            <v>0</v>
          </cell>
        </row>
        <row r="40">
          <cell r="I40"/>
          <cell r="L40">
            <v>9600</v>
          </cell>
        </row>
        <row r="41">
          <cell r="I41"/>
          <cell r="L41">
            <v>851916</v>
          </cell>
        </row>
        <row r="42">
          <cell r="I42">
            <v>75900</v>
          </cell>
          <cell r="L42">
            <v>75900</v>
          </cell>
        </row>
        <row r="43">
          <cell r="I43"/>
          <cell r="L43">
            <v>0</v>
          </cell>
        </row>
        <row r="44">
          <cell r="I44">
            <v>80000</v>
          </cell>
          <cell r="L44">
            <v>560000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293083</v>
          </cell>
          <cell r="L63">
            <v>1704002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</row>
        <row r="70">
          <cell r="I70"/>
          <cell r="L70">
            <v>1097612</v>
          </cell>
        </row>
        <row r="71">
          <cell r="I71">
            <v>520000</v>
          </cell>
          <cell r="L71">
            <v>3640000</v>
          </cell>
        </row>
        <row r="72">
          <cell r="I72">
            <v>20000</v>
          </cell>
          <cell r="L72">
            <v>140000</v>
          </cell>
        </row>
        <row r="73">
          <cell r="I73">
            <v>16700</v>
          </cell>
          <cell r="L73">
            <v>41100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6">
        <row r="5">
          <cell r="I5">
            <v>3368320</v>
          </cell>
          <cell r="L5">
            <v>24178077</v>
          </cell>
        </row>
        <row r="6">
          <cell r="I6"/>
          <cell r="L6">
            <v>0</v>
          </cell>
        </row>
        <row r="7">
          <cell r="I7">
            <v>15036005</v>
          </cell>
          <cell r="L7">
            <v>99880218</v>
          </cell>
        </row>
        <row r="8">
          <cell r="I8">
            <v>4321162</v>
          </cell>
          <cell r="L8">
            <v>30544509</v>
          </cell>
        </row>
        <row r="9">
          <cell r="I9">
            <v>4759374</v>
          </cell>
          <cell r="L9">
            <v>35668611</v>
          </cell>
        </row>
        <row r="11">
          <cell r="I11">
            <v>82813</v>
          </cell>
          <cell r="L11">
            <v>613508</v>
          </cell>
        </row>
        <row r="12">
          <cell r="I12">
            <v>3936133</v>
          </cell>
          <cell r="L12">
            <v>23115454</v>
          </cell>
        </row>
        <row r="14">
          <cell r="L14">
            <v>0</v>
          </cell>
        </row>
        <row r="15">
          <cell r="I15">
            <v>1869468</v>
          </cell>
          <cell r="L15">
            <v>12511778</v>
          </cell>
        </row>
        <row r="16">
          <cell r="L16">
            <v>0</v>
          </cell>
        </row>
        <row r="19">
          <cell r="I19">
            <v>7264909</v>
          </cell>
          <cell r="L19">
            <v>50212846</v>
          </cell>
        </row>
        <row r="20">
          <cell r="I20">
            <v>241330</v>
          </cell>
          <cell r="L20">
            <v>1689310</v>
          </cell>
        </row>
        <row r="21">
          <cell r="I21"/>
          <cell r="L21">
            <v>0</v>
          </cell>
        </row>
        <row r="22">
          <cell r="I22">
            <v>887604</v>
          </cell>
          <cell r="L22">
            <v>8129078</v>
          </cell>
        </row>
        <row r="23">
          <cell r="I23">
            <v>71490</v>
          </cell>
          <cell r="L23">
            <v>591808</v>
          </cell>
        </row>
        <row r="24">
          <cell r="I24">
            <v>28600</v>
          </cell>
          <cell r="L24">
            <v>200200</v>
          </cell>
        </row>
        <row r="25">
          <cell r="I25"/>
          <cell r="L25">
            <v>0</v>
          </cell>
        </row>
        <row r="26">
          <cell r="I26"/>
          <cell r="L26">
            <v>156834</v>
          </cell>
        </row>
        <row r="27">
          <cell r="I27">
            <v>136440</v>
          </cell>
          <cell r="L27">
            <v>42011050</v>
          </cell>
        </row>
        <row r="28">
          <cell r="I28">
            <v>60158</v>
          </cell>
          <cell r="L28">
            <v>60158</v>
          </cell>
        </row>
        <row r="29">
          <cell r="I29">
            <v>3331193</v>
          </cell>
          <cell r="L29">
            <v>22744851</v>
          </cell>
        </row>
        <row r="30">
          <cell r="I30">
            <v>463237</v>
          </cell>
          <cell r="L30">
            <v>3891436</v>
          </cell>
        </row>
        <row r="31">
          <cell r="I31">
            <v>265719</v>
          </cell>
          <cell r="L31">
            <v>1862653</v>
          </cell>
        </row>
        <row r="32">
          <cell r="I32">
            <v>133250</v>
          </cell>
          <cell r="L32">
            <v>1250242</v>
          </cell>
        </row>
        <row r="33">
          <cell r="I33">
            <v>525000</v>
          </cell>
          <cell r="L33">
            <v>3675000</v>
          </cell>
        </row>
        <row r="34">
          <cell r="I34"/>
          <cell r="L34">
            <v>0</v>
          </cell>
        </row>
        <row r="35">
          <cell r="I35"/>
          <cell r="L35">
            <v>55439</v>
          </cell>
        </row>
        <row r="36">
          <cell r="I36">
            <v>9896</v>
          </cell>
          <cell r="L36">
            <v>69248</v>
          </cell>
        </row>
        <row r="37">
          <cell r="I37"/>
          <cell r="L37">
            <v>23095</v>
          </cell>
        </row>
        <row r="38">
          <cell r="I38">
            <v>4566</v>
          </cell>
          <cell r="L38">
            <v>4566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>
            <v>1466885</v>
          </cell>
          <cell r="L43">
            <v>12956073</v>
          </cell>
        </row>
        <row r="44">
          <cell r="I44">
            <v>360000</v>
          </cell>
          <cell r="L44">
            <v>2520000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100000</v>
          </cell>
          <cell r="L51">
            <v>700000</v>
          </cell>
        </row>
        <row r="52">
          <cell r="I52"/>
          <cell r="L52">
            <v>0</v>
          </cell>
        </row>
        <row r="53">
          <cell r="I53">
            <v>13</v>
          </cell>
          <cell r="L53">
            <v>120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1</v>
          </cell>
          <cell r="L61">
            <v>6</v>
          </cell>
        </row>
        <row r="63">
          <cell r="I63">
            <v>1736362</v>
          </cell>
          <cell r="L63">
            <v>8940614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17</v>
          </cell>
        </row>
        <row r="70">
          <cell r="I70"/>
          <cell r="L70">
            <v>2840318</v>
          </cell>
        </row>
        <row r="71">
          <cell r="I71">
            <v>1550000</v>
          </cell>
          <cell r="L71">
            <v>10850000</v>
          </cell>
        </row>
        <row r="72">
          <cell r="I72">
            <v>525000</v>
          </cell>
          <cell r="L72">
            <v>3675000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7"/>
      <sheetData sheetId="8">
        <row r="5">
          <cell r="I5">
            <v>142461751</v>
          </cell>
          <cell r="L5">
            <v>1099080299</v>
          </cell>
        </row>
        <row r="6">
          <cell r="I6"/>
          <cell r="L6">
            <v>0</v>
          </cell>
        </row>
        <row r="7">
          <cell r="I7">
            <v>116584</v>
          </cell>
          <cell r="L7">
            <v>1519800</v>
          </cell>
        </row>
        <row r="8">
          <cell r="I8">
            <v>10000</v>
          </cell>
          <cell r="L8">
            <v>101380</v>
          </cell>
        </row>
        <row r="9">
          <cell r="I9">
            <v>76369684</v>
          </cell>
          <cell r="L9">
            <v>630713537</v>
          </cell>
        </row>
        <row r="11">
          <cell r="I11">
            <v>899299</v>
          </cell>
          <cell r="L11">
            <v>7316086</v>
          </cell>
        </row>
        <row r="12">
          <cell r="L12">
            <v>0</v>
          </cell>
        </row>
        <row r="13">
          <cell r="I13">
            <v>3547875</v>
          </cell>
        </row>
        <row r="14">
          <cell r="I14">
            <v>681694060</v>
          </cell>
          <cell r="L14">
            <v>804499700</v>
          </cell>
        </row>
        <row r="15">
          <cell r="I15">
            <v>197651406</v>
          </cell>
          <cell r="L15">
            <v>1455522088</v>
          </cell>
        </row>
        <row r="16">
          <cell r="I16">
            <v>680214956</v>
          </cell>
          <cell r="L16">
            <v>680214956</v>
          </cell>
        </row>
        <row r="19">
          <cell r="I19">
            <v>3770162</v>
          </cell>
          <cell r="L19">
            <v>27657455</v>
          </cell>
        </row>
        <row r="20">
          <cell r="I20">
            <v>86532</v>
          </cell>
          <cell r="L20">
            <v>690990</v>
          </cell>
        </row>
        <row r="21">
          <cell r="I21"/>
          <cell r="L21">
            <v>0</v>
          </cell>
        </row>
        <row r="22">
          <cell r="I22">
            <v>458706</v>
          </cell>
          <cell r="L22">
            <v>4159057</v>
          </cell>
        </row>
        <row r="23">
          <cell r="I23">
            <v>315163</v>
          </cell>
          <cell r="L23">
            <v>736569</v>
          </cell>
        </row>
        <row r="24">
          <cell r="I24">
            <v>166500</v>
          </cell>
          <cell r="L24">
            <v>1267500</v>
          </cell>
        </row>
        <row r="25">
          <cell r="I25">
            <v>18542</v>
          </cell>
          <cell r="L25">
            <v>157334</v>
          </cell>
        </row>
        <row r="26">
          <cell r="I26">
            <v>5520</v>
          </cell>
          <cell r="L26">
            <v>43590</v>
          </cell>
        </row>
        <row r="27">
          <cell r="I27"/>
          <cell r="L27">
            <v>0</v>
          </cell>
        </row>
        <row r="28">
          <cell r="I28">
            <v>18717</v>
          </cell>
          <cell r="L28">
            <v>122742</v>
          </cell>
        </row>
        <row r="29">
          <cell r="I29"/>
          <cell r="L29">
            <v>27443</v>
          </cell>
        </row>
        <row r="30">
          <cell r="I30">
            <v>56989</v>
          </cell>
          <cell r="L30">
            <v>385804</v>
          </cell>
        </row>
        <row r="31">
          <cell r="I31">
            <v>357268</v>
          </cell>
          <cell r="L31">
            <v>1948132</v>
          </cell>
        </row>
        <row r="32">
          <cell r="I32">
            <v>84700</v>
          </cell>
          <cell r="L32">
            <v>581500</v>
          </cell>
        </row>
        <row r="33">
          <cell r="I33">
            <v>55000</v>
          </cell>
          <cell r="L33">
            <v>1145969</v>
          </cell>
        </row>
        <row r="34">
          <cell r="I34">
            <v>150497</v>
          </cell>
          <cell r="L34">
            <v>2683272</v>
          </cell>
        </row>
        <row r="35">
          <cell r="I35"/>
          <cell r="L35">
            <v>214852</v>
          </cell>
        </row>
        <row r="36">
          <cell r="I36">
            <v>40053</v>
          </cell>
          <cell r="L36">
            <v>219406</v>
          </cell>
        </row>
        <row r="37">
          <cell r="I37"/>
          <cell r="L37">
            <v>0</v>
          </cell>
        </row>
        <row r="38">
          <cell r="I38">
            <v>28398</v>
          </cell>
          <cell r="L38">
            <v>280407</v>
          </cell>
        </row>
        <row r="39">
          <cell r="I39"/>
          <cell r="L39">
            <v>71204</v>
          </cell>
        </row>
        <row r="40">
          <cell r="I40"/>
          <cell r="L40">
            <v>4419</v>
          </cell>
        </row>
        <row r="41">
          <cell r="I41"/>
          <cell r="L41">
            <v>288000</v>
          </cell>
        </row>
        <row r="42">
          <cell r="I42">
            <v>78200</v>
          </cell>
          <cell r="L42">
            <v>177940</v>
          </cell>
        </row>
        <row r="43">
          <cell r="I43">
            <v>6095955</v>
          </cell>
          <cell r="L43">
            <v>42470466</v>
          </cell>
        </row>
        <row r="44">
          <cell r="I44">
            <v>55000</v>
          </cell>
          <cell r="L44">
            <v>385000</v>
          </cell>
        </row>
        <row r="45">
          <cell r="I45"/>
          <cell r="L45">
            <v>0</v>
          </cell>
        </row>
        <row r="46">
          <cell r="I46"/>
          <cell r="L46">
            <v>33000</v>
          </cell>
        </row>
        <row r="49">
          <cell r="I49"/>
          <cell r="L49">
            <v>2936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2</v>
          </cell>
          <cell r="L53">
            <v>307155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1</v>
          </cell>
          <cell r="L61">
            <v>153</v>
          </cell>
        </row>
        <row r="63">
          <cell r="I63">
            <v>3700485</v>
          </cell>
          <cell r="L63">
            <v>13322964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8</v>
          </cell>
        </row>
        <row r="70">
          <cell r="I70"/>
          <cell r="L70">
            <v>1312573</v>
          </cell>
        </row>
        <row r="71">
          <cell r="I71">
            <v>750000</v>
          </cell>
          <cell r="L71">
            <v>5250000</v>
          </cell>
        </row>
        <row r="72">
          <cell r="I72">
            <v>55000</v>
          </cell>
          <cell r="L72">
            <v>385000</v>
          </cell>
        </row>
        <row r="73">
          <cell r="I73">
            <v>23560</v>
          </cell>
          <cell r="L73">
            <v>568976</v>
          </cell>
        </row>
        <row r="74">
          <cell r="I74"/>
          <cell r="L74">
            <v>760000</v>
          </cell>
        </row>
        <row r="75">
          <cell r="L75">
            <v>0</v>
          </cell>
        </row>
      </sheetData>
      <sheetData sheetId="9">
        <row r="5">
          <cell r="I5"/>
          <cell r="L5">
            <v>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9217940</v>
          </cell>
          <cell r="L9">
            <v>69860273</v>
          </cell>
        </row>
        <row r="11">
          <cell r="L11">
            <v>0</v>
          </cell>
        </row>
        <row r="12">
          <cell r="L12">
            <v>0</v>
          </cell>
        </row>
        <row r="14">
          <cell r="L14"/>
        </row>
        <row r="15">
          <cell r="I15"/>
          <cell r="L15">
            <v>0</v>
          </cell>
        </row>
        <row r="16">
          <cell r="L16"/>
        </row>
        <row r="19">
          <cell r="I19">
            <v>3938541</v>
          </cell>
          <cell r="L19">
            <v>30339016</v>
          </cell>
        </row>
        <row r="20">
          <cell r="I20">
            <v>111220</v>
          </cell>
          <cell r="L20">
            <v>784806</v>
          </cell>
        </row>
        <row r="21">
          <cell r="I21"/>
          <cell r="L21">
            <v>0</v>
          </cell>
        </row>
        <row r="22">
          <cell r="I22">
            <v>497412</v>
          </cell>
          <cell r="L22">
            <v>4753551</v>
          </cell>
        </row>
        <row r="23">
          <cell r="I23">
            <v>71169</v>
          </cell>
          <cell r="L23">
            <v>537503</v>
          </cell>
        </row>
        <row r="24">
          <cell r="I24"/>
          <cell r="L24">
            <v>0</v>
          </cell>
        </row>
        <row r="25">
          <cell r="I25">
            <v>8300</v>
          </cell>
          <cell r="L25">
            <v>58100</v>
          </cell>
        </row>
        <row r="26">
          <cell r="I26">
            <v>25000</v>
          </cell>
          <cell r="L26">
            <v>163000</v>
          </cell>
        </row>
        <row r="27">
          <cell r="I27">
            <v>196869</v>
          </cell>
          <cell r="L27">
            <v>1268229</v>
          </cell>
        </row>
        <row r="28">
          <cell r="I28">
            <v>4794</v>
          </cell>
          <cell r="L28">
            <v>151990</v>
          </cell>
        </row>
        <row r="29">
          <cell r="I29">
            <v>586994</v>
          </cell>
          <cell r="L29">
            <v>4484857</v>
          </cell>
        </row>
        <row r="30">
          <cell r="I30">
            <v>211630</v>
          </cell>
          <cell r="L30">
            <v>1810110</v>
          </cell>
        </row>
        <row r="31">
          <cell r="I31">
            <v>118246</v>
          </cell>
          <cell r="L31">
            <v>966985</v>
          </cell>
        </row>
        <row r="32">
          <cell r="I32">
            <v>84500</v>
          </cell>
          <cell r="L32">
            <v>415826</v>
          </cell>
        </row>
        <row r="33">
          <cell r="I33">
            <v>325000</v>
          </cell>
          <cell r="L33">
            <v>2275000</v>
          </cell>
        </row>
        <row r="34">
          <cell r="I34"/>
          <cell r="L34">
            <v>0</v>
          </cell>
        </row>
        <row r="35">
          <cell r="I35"/>
          <cell r="L35">
            <v>41853</v>
          </cell>
        </row>
        <row r="36">
          <cell r="I36">
            <v>3004</v>
          </cell>
          <cell r="L36">
            <v>21026</v>
          </cell>
        </row>
        <row r="37">
          <cell r="I37">
            <v>35255</v>
          </cell>
          <cell r="L37">
            <v>247767</v>
          </cell>
        </row>
        <row r="38">
          <cell r="I38">
            <v>146765</v>
          </cell>
          <cell r="L38">
            <v>180015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275000</v>
          </cell>
          <cell r="L44">
            <v>1925000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406123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752614</v>
          </cell>
          <cell r="L63">
            <v>4375849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11</v>
          </cell>
        </row>
        <row r="70">
          <cell r="I70"/>
          <cell r="L70">
            <v>1708695</v>
          </cell>
        </row>
        <row r="71">
          <cell r="I71">
            <v>920000</v>
          </cell>
          <cell r="L71">
            <v>6440000</v>
          </cell>
        </row>
        <row r="72">
          <cell r="I72">
            <v>325000</v>
          </cell>
          <cell r="L72">
            <v>2275000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社合計"/>
      <sheetName val="本部"/>
      <sheetName val="本社合計"/>
      <sheetName val="本社営業"/>
      <sheetName val="東大阪"/>
      <sheetName val="南港事務"/>
      <sheetName val="南港工場"/>
      <sheetName val="南港合計"/>
      <sheetName val="東京事務"/>
      <sheetName val="東京工場"/>
      <sheetName val="東京合計"/>
      <sheetName val="社内金利"/>
    </sheetNames>
    <sheetDataSet>
      <sheetData sheetId="0">
        <row r="5">
          <cell r="G5">
            <v>607179850</v>
          </cell>
          <cell r="N5">
            <v>5289476114</v>
          </cell>
        </row>
        <row r="6">
          <cell r="G6">
            <v>34609173</v>
          </cell>
          <cell r="N6">
            <v>242809522</v>
          </cell>
        </row>
        <row r="7">
          <cell r="G7">
            <v>16259788</v>
          </cell>
          <cell r="N7">
            <v>130456893</v>
          </cell>
        </row>
        <row r="8">
          <cell r="G8">
            <v>5911429</v>
          </cell>
          <cell r="N8">
            <v>46052731</v>
          </cell>
        </row>
        <row r="9">
          <cell r="G9">
            <v>145235079</v>
          </cell>
          <cell r="N9">
            <v>1518854556</v>
          </cell>
        </row>
        <row r="11">
          <cell r="G11">
            <v>3489500</v>
          </cell>
          <cell r="N11">
            <v>30153912</v>
          </cell>
        </row>
        <row r="12">
          <cell r="G12">
            <v>3889925</v>
          </cell>
          <cell r="N12">
            <v>31517587</v>
          </cell>
        </row>
        <row r="13">
          <cell r="G13">
            <v>11277048</v>
          </cell>
        </row>
        <row r="14">
          <cell r="G14">
            <v>2010505336</v>
          </cell>
          <cell r="N14">
            <v>1816376496</v>
          </cell>
        </row>
        <row r="15">
          <cell r="G15">
            <v>656149621</v>
          </cell>
          <cell r="N15">
            <v>6217555602</v>
          </cell>
        </row>
        <row r="16">
          <cell r="G16">
            <v>1994455700</v>
          </cell>
          <cell r="N16">
            <v>1994455700</v>
          </cell>
        </row>
        <row r="19">
          <cell r="G19">
            <v>37174974</v>
          </cell>
          <cell r="N19">
            <v>297857725</v>
          </cell>
        </row>
        <row r="20">
          <cell r="G20">
            <v>1039806</v>
          </cell>
          <cell r="N20">
            <v>8437802</v>
          </cell>
        </row>
        <row r="21">
          <cell r="G21">
            <v>0</v>
          </cell>
          <cell r="N21">
            <v>3051217</v>
          </cell>
        </row>
        <row r="22">
          <cell r="G22">
            <v>10938684</v>
          </cell>
          <cell r="N22">
            <v>47635588</v>
          </cell>
        </row>
        <row r="23">
          <cell r="G23">
            <v>1570981</v>
          </cell>
          <cell r="N23">
            <v>10669836</v>
          </cell>
        </row>
        <row r="24">
          <cell r="G24">
            <v>495160</v>
          </cell>
          <cell r="N24">
            <v>4566883</v>
          </cell>
        </row>
        <row r="25">
          <cell r="G25">
            <v>212181</v>
          </cell>
          <cell r="N25">
            <v>1895328</v>
          </cell>
        </row>
        <row r="26">
          <cell r="G26">
            <v>392131</v>
          </cell>
          <cell r="N26">
            <v>3429998</v>
          </cell>
        </row>
        <row r="27">
          <cell r="G27">
            <v>5140480</v>
          </cell>
          <cell r="N27">
            <v>19409414</v>
          </cell>
        </row>
        <row r="28">
          <cell r="G28">
            <v>217243</v>
          </cell>
          <cell r="N28">
            <v>2440360</v>
          </cell>
        </row>
        <row r="29">
          <cell r="G29">
            <v>5121706</v>
          </cell>
          <cell r="N29">
            <v>46429435</v>
          </cell>
        </row>
        <row r="30">
          <cell r="G30">
            <v>1473554</v>
          </cell>
          <cell r="N30">
            <v>11748004</v>
          </cell>
        </row>
        <row r="31">
          <cell r="G31">
            <v>2186081</v>
          </cell>
          <cell r="N31">
            <v>14258656</v>
          </cell>
        </row>
        <row r="32">
          <cell r="G32">
            <v>1796009</v>
          </cell>
          <cell r="N32">
            <v>17889839</v>
          </cell>
        </row>
        <row r="33">
          <cell r="G33">
            <v>1594602</v>
          </cell>
          <cell r="N33">
            <v>14929746</v>
          </cell>
        </row>
        <row r="34">
          <cell r="G34">
            <v>1634539</v>
          </cell>
          <cell r="N34">
            <v>9721408</v>
          </cell>
        </row>
        <row r="35">
          <cell r="G35">
            <v>231400</v>
          </cell>
          <cell r="N35">
            <v>13852643</v>
          </cell>
        </row>
        <row r="36">
          <cell r="G36">
            <v>292879</v>
          </cell>
          <cell r="N36">
            <v>2121944</v>
          </cell>
        </row>
        <row r="37">
          <cell r="G37">
            <v>288554</v>
          </cell>
          <cell r="N37">
            <v>3424336</v>
          </cell>
        </row>
        <row r="38">
          <cell r="G38">
            <v>244473</v>
          </cell>
          <cell r="N38">
            <v>2490430</v>
          </cell>
        </row>
        <row r="39">
          <cell r="G39">
            <v>268917</v>
          </cell>
          <cell r="N39">
            <v>485894</v>
          </cell>
        </row>
        <row r="40">
          <cell r="G40">
            <v>35370</v>
          </cell>
          <cell r="N40">
            <v>277809</v>
          </cell>
        </row>
        <row r="41">
          <cell r="G41">
            <v>395958</v>
          </cell>
          <cell r="N41">
            <v>2213493</v>
          </cell>
        </row>
        <row r="42">
          <cell r="G42">
            <v>397866</v>
          </cell>
          <cell r="N42">
            <v>2566882</v>
          </cell>
        </row>
        <row r="43">
          <cell r="G43">
            <v>21108627</v>
          </cell>
          <cell r="N43">
            <v>169444977</v>
          </cell>
        </row>
        <row r="44">
          <cell r="G44">
            <v>1280000</v>
          </cell>
          <cell r="N44">
            <v>10240000</v>
          </cell>
        </row>
        <row r="45">
          <cell r="G45">
            <v>0</v>
          </cell>
          <cell r="N45">
            <v>0</v>
          </cell>
        </row>
        <row r="46">
          <cell r="G46">
            <v>44255</v>
          </cell>
          <cell r="N46">
            <v>181798</v>
          </cell>
        </row>
        <row r="49">
          <cell r="G49">
            <v>707843</v>
          </cell>
          <cell r="N49">
            <v>8154177</v>
          </cell>
        </row>
        <row r="50">
          <cell r="G50">
            <v>0</v>
          </cell>
          <cell r="N50">
            <v>1065084</v>
          </cell>
        </row>
        <row r="51">
          <cell r="G51">
            <v>2013000</v>
          </cell>
          <cell r="N51">
            <v>15898000</v>
          </cell>
        </row>
        <row r="52">
          <cell r="G52">
            <v>0</v>
          </cell>
          <cell r="N52">
            <v>0</v>
          </cell>
        </row>
        <row r="53">
          <cell r="G53">
            <v>8333709</v>
          </cell>
          <cell r="N53">
            <v>66105600</v>
          </cell>
        </row>
        <row r="55">
          <cell r="G55">
            <v>720281</v>
          </cell>
          <cell r="N55">
            <v>6793507</v>
          </cell>
        </row>
        <row r="56">
          <cell r="G56">
            <v>0</v>
          </cell>
          <cell r="N56">
            <v>0</v>
          </cell>
        </row>
        <row r="57">
          <cell r="G57">
            <v>0</v>
          </cell>
          <cell r="N57">
            <v>0</v>
          </cell>
        </row>
        <row r="58">
          <cell r="G58">
            <v>0</v>
          </cell>
          <cell r="N58">
            <v>402213</v>
          </cell>
        </row>
        <row r="59">
          <cell r="G59">
            <v>0</v>
          </cell>
          <cell r="N59">
            <v>0</v>
          </cell>
        </row>
        <row r="60">
          <cell r="G60">
            <v>500000</v>
          </cell>
          <cell r="N60">
            <v>4000000</v>
          </cell>
        </row>
        <row r="61">
          <cell r="G61">
            <v>169622</v>
          </cell>
          <cell r="N61">
            <v>1834392</v>
          </cell>
        </row>
        <row r="63">
          <cell r="G63">
            <v>0</v>
          </cell>
          <cell r="N63">
            <v>0</v>
          </cell>
        </row>
        <row r="65">
          <cell r="G65">
            <v>0</v>
          </cell>
          <cell r="N65">
            <v>0</v>
          </cell>
        </row>
        <row r="66">
          <cell r="G66">
            <v>0</v>
          </cell>
          <cell r="N66">
            <v>0</v>
          </cell>
        </row>
        <row r="68">
          <cell r="G68">
            <v>79</v>
          </cell>
          <cell r="N68">
            <v>79</v>
          </cell>
        </row>
        <row r="70">
          <cell r="G70">
            <v>6630613</v>
          </cell>
          <cell r="N70">
            <v>30171596</v>
          </cell>
        </row>
        <row r="71">
          <cell r="G71">
            <v>7095000</v>
          </cell>
          <cell r="N71">
            <v>53018000</v>
          </cell>
        </row>
        <row r="72">
          <cell r="G72">
            <v>1495000</v>
          </cell>
          <cell r="N72">
            <v>11960000</v>
          </cell>
        </row>
        <row r="73">
          <cell r="G73">
            <v>371300</v>
          </cell>
          <cell r="N73">
            <v>1507666</v>
          </cell>
        </row>
        <row r="74">
          <cell r="G74">
            <v>0</v>
          </cell>
          <cell r="N74">
            <v>1949000</v>
          </cell>
        </row>
        <row r="75">
          <cell r="G75">
            <v>0</v>
          </cell>
          <cell r="N75">
            <v>672000</v>
          </cell>
        </row>
      </sheetData>
      <sheetData sheetId="1">
        <row r="19">
          <cell r="I19">
            <v>5756800</v>
          </cell>
          <cell r="L19">
            <v>46054400</v>
          </cell>
        </row>
        <row r="20">
          <cell r="I20">
            <v>56110</v>
          </cell>
          <cell r="L20">
            <v>448880</v>
          </cell>
        </row>
        <row r="21">
          <cell r="I21"/>
          <cell r="L21">
            <v>0</v>
          </cell>
        </row>
        <row r="22">
          <cell r="I22">
            <v>967579</v>
          </cell>
          <cell r="L22">
            <v>3791823</v>
          </cell>
        </row>
        <row r="23">
          <cell r="I23">
            <v>538857</v>
          </cell>
          <cell r="L23">
            <v>4527162</v>
          </cell>
        </row>
        <row r="24">
          <cell r="I24">
            <v>45000</v>
          </cell>
          <cell r="L24">
            <v>360000</v>
          </cell>
        </row>
        <row r="25">
          <cell r="I25">
            <v>129379</v>
          </cell>
          <cell r="L25">
            <v>1035032</v>
          </cell>
        </row>
        <row r="26">
          <cell r="I26">
            <v>348701</v>
          </cell>
          <cell r="L26">
            <v>2749608</v>
          </cell>
        </row>
        <row r="27">
          <cell r="I27"/>
          <cell r="L27">
            <v>0</v>
          </cell>
        </row>
        <row r="28">
          <cell r="I28">
            <v>33789</v>
          </cell>
          <cell r="L28">
            <v>1304187</v>
          </cell>
        </row>
        <row r="29">
          <cell r="I29"/>
          <cell r="L29">
            <v>0</v>
          </cell>
        </row>
        <row r="30">
          <cell r="I30">
            <v>18204</v>
          </cell>
          <cell r="L30">
            <v>143523</v>
          </cell>
        </row>
        <row r="31">
          <cell r="I31">
            <v>228367</v>
          </cell>
          <cell r="L31">
            <v>3199082</v>
          </cell>
        </row>
        <row r="32">
          <cell r="I32">
            <v>518960</v>
          </cell>
          <cell r="L32">
            <v>4461700</v>
          </cell>
        </row>
        <row r="33">
          <cell r="I33">
            <v>137644</v>
          </cell>
          <cell r="L33">
            <v>1635210</v>
          </cell>
        </row>
        <row r="34">
          <cell r="I34">
            <v>180910</v>
          </cell>
          <cell r="L34">
            <v>1250916</v>
          </cell>
        </row>
        <row r="35">
          <cell r="I35">
            <v>221520</v>
          </cell>
          <cell r="L35">
            <v>13379708</v>
          </cell>
        </row>
        <row r="36">
          <cell r="I36">
            <v>57322</v>
          </cell>
          <cell r="L36">
            <v>482381</v>
          </cell>
        </row>
        <row r="37">
          <cell r="I37"/>
          <cell r="L37">
            <v>0</v>
          </cell>
        </row>
        <row r="38">
          <cell r="I38"/>
          <cell r="L38">
            <v>33096</v>
          </cell>
        </row>
        <row r="39">
          <cell r="I39">
            <v>100445</v>
          </cell>
          <cell r="L39">
            <v>213764</v>
          </cell>
        </row>
        <row r="40">
          <cell r="I40"/>
          <cell r="L40">
            <v>0</v>
          </cell>
        </row>
        <row r="41">
          <cell r="I41"/>
          <cell r="L41">
            <v>437300</v>
          </cell>
        </row>
        <row r="42">
          <cell r="I42"/>
          <cell r="L42">
            <v>905750</v>
          </cell>
        </row>
        <row r="43">
          <cell r="I43"/>
          <cell r="L43">
            <v>0</v>
          </cell>
        </row>
        <row r="44">
          <cell r="I44">
            <v>-165000</v>
          </cell>
          <cell r="L44">
            <v>-1320000</v>
          </cell>
        </row>
        <row r="45">
          <cell r="I45"/>
          <cell r="L45">
            <v>0</v>
          </cell>
        </row>
        <row r="46">
          <cell r="I46">
            <v>70000</v>
          </cell>
          <cell r="L46">
            <v>161000</v>
          </cell>
        </row>
        <row r="49">
          <cell r="I49">
            <v>1013914</v>
          </cell>
          <cell r="L49">
            <v>11110539</v>
          </cell>
        </row>
        <row r="50">
          <cell r="I50"/>
          <cell r="L50">
            <v>0</v>
          </cell>
        </row>
        <row r="51">
          <cell r="I51">
            <v>1063000</v>
          </cell>
          <cell r="L51">
            <v>8504000</v>
          </cell>
        </row>
        <row r="52">
          <cell r="I52"/>
          <cell r="L52">
            <v>0</v>
          </cell>
        </row>
        <row r="53">
          <cell r="I53"/>
          <cell r="L53">
            <v>1260812</v>
          </cell>
        </row>
        <row r="55">
          <cell r="I55">
            <v>545679</v>
          </cell>
          <cell r="L55">
            <v>4780466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>
            <v>500000</v>
          </cell>
          <cell r="L60">
            <v>4000000</v>
          </cell>
        </row>
        <row r="61">
          <cell r="I61"/>
          <cell r="L61">
            <v>7001</v>
          </cell>
        </row>
        <row r="63">
          <cell r="I63">
            <v>-8213352</v>
          </cell>
          <cell r="L63">
            <v>-73166638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  <cell r="L68">
            <v>6</v>
          </cell>
        </row>
        <row r="70">
          <cell r="I70">
            <v>606045</v>
          </cell>
          <cell r="L70">
            <v>13988765</v>
          </cell>
        </row>
        <row r="71">
          <cell r="I71">
            <v>850000</v>
          </cell>
          <cell r="L71">
            <v>6800000</v>
          </cell>
        </row>
        <row r="72">
          <cell r="I72">
            <v>115000</v>
          </cell>
          <cell r="L72">
            <v>920000</v>
          </cell>
        </row>
        <row r="73">
          <cell r="I73"/>
          <cell r="L73">
            <v>24000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2"/>
      <sheetData sheetId="3">
        <row r="5">
          <cell r="I5">
            <v>381465167</v>
          </cell>
          <cell r="L5">
            <v>3304384173</v>
          </cell>
        </row>
        <row r="6">
          <cell r="I6">
            <v>21827545</v>
          </cell>
          <cell r="L6">
            <v>306239954</v>
          </cell>
        </row>
        <row r="7">
          <cell r="I7">
            <v>1495112</v>
          </cell>
          <cell r="L7">
            <v>15228135</v>
          </cell>
        </row>
        <row r="8">
          <cell r="I8">
            <v>675201</v>
          </cell>
          <cell r="L8">
            <v>8074782</v>
          </cell>
        </row>
        <row r="9">
          <cell r="I9">
            <v>51763649</v>
          </cell>
          <cell r="L9">
            <v>481007459</v>
          </cell>
        </row>
        <row r="11">
          <cell r="I11">
            <v>2092425</v>
          </cell>
          <cell r="L11">
            <v>19737158</v>
          </cell>
        </row>
        <row r="12">
          <cell r="N12">
            <v>0</v>
          </cell>
        </row>
        <row r="13">
          <cell r="I13">
            <v>6085710</v>
          </cell>
        </row>
        <row r="14">
          <cell r="I14">
            <v>1079439128</v>
          </cell>
          <cell r="L14">
            <v>1205973702</v>
          </cell>
        </row>
        <row r="15">
          <cell r="I15">
            <v>390960335</v>
          </cell>
          <cell r="L15">
            <v>3439058924</v>
          </cell>
        </row>
        <row r="16">
          <cell r="I16">
            <v>1071946462</v>
          </cell>
          <cell r="L16">
            <v>1071946462</v>
          </cell>
        </row>
        <row r="19">
          <cell r="I19">
            <v>10265136</v>
          </cell>
          <cell r="L19">
            <v>82128375</v>
          </cell>
        </row>
        <row r="20">
          <cell r="I20">
            <v>259440</v>
          </cell>
          <cell r="L20">
            <v>1766466</v>
          </cell>
        </row>
        <row r="21">
          <cell r="I21"/>
          <cell r="L21">
            <v>0</v>
          </cell>
        </row>
        <row r="22">
          <cell r="I22">
            <v>2861136</v>
          </cell>
          <cell r="L22">
            <v>12521185</v>
          </cell>
        </row>
        <row r="23">
          <cell r="I23">
            <v>115660</v>
          </cell>
          <cell r="L23">
            <v>2496354</v>
          </cell>
        </row>
        <row r="24">
          <cell r="I24">
            <v>181650</v>
          </cell>
          <cell r="L24">
            <v>2125200</v>
          </cell>
        </row>
        <row r="25">
          <cell r="I25">
            <v>86370</v>
          </cell>
          <cell r="L25">
            <v>701880</v>
          </cell>
        </row>
        <row r="26">
          <cell r="I26">
            <v>680</v>
          </cell>
          <cell r="L26">
            <v>5440</v>
          </cell>
        </row>
        <row r="27">
          <cell r="I27"/>
          <cell r="L27">
            <v>0</v>
          </cell>
        </row>
        <row r="28">
          <cell r="I28">
            <v>112634</v>
          </cell>
          <cell r="L28">
            <v>879154</v>
          </cell>
        </row>
        <row r="29">
          <cell r="I29">
            <v>26206</v>
          </cell>
          <cell r="L29">
            <v>187291</v>
          </cell>
        </row>
        <row r="30">
          <cell r="I30">
            <v>36408</v>
          </cell>
          <cell r="L30">
            <v>287045</v>
          </cell>
        </row>
        <row r="31">
          <cell r="I31">
            <v>1137693</v>
          </cell>
          <cell r="L31">
            <v>7125345</v>
          </cell>
        </row>
        <row r="32">
          <cell r="I32">
            <v>800411</v>
          </cell>
          <cell r="L32">
            <v>9432428</v>
          </cell>
        </row>
        <row r="33">
          <cell r="I33">
            <v>55000</v>
          </cell>
          <cell r="L33">
            <v>454820</v>
          </cell>
        </row>
        <row r="34">
          <cell r="I34">
            <v>302289</v>
          </cell>
          <cell r="L34">
            <v>4025739</v>
          </cell>
        </row>
        <row r="35">
          <cell r="I35"/>
          <cell r="L35">
            <v>738432</v>
          </cell>
        </row>
        <row r="36">
          <cell r="I36">
            <v>75857</v>
          </cell>
          <cell r="L36">
            <v>643682</v>
          </cell>
        </row>
        <row r="37">
          <cell r="I37">
            <v>937411</v>
          </cell>
          <cell r="L37">
            <v>1658089</v>
          </cell>
        </row>
        <row r="38">
          <cell r="I38">
            <v>170418</v>
          </cell>
          <cell r="L38">
            <v>1277160</v>
          </cell>
        </row>
        <row r="39">
          <cell r="I39">
            <v>65000</v>
          </cell>
          <cell r="L39">
            <v>137014</v>
          </cell>
        </row>
        <row r="40">
          <cell r="I40">
            <v>15093</v>
          </cell>
          <cell r="L40">
            <v>186289</v>
          </cell>
        </row>
        <row r="41">
          <cell r="I41">
            <v>30000</v>
          </cell>
          <cell r="L41">
            <v>187000</v>
          </cell>
        </row>
        <row r="42">
          <cell r="I42"/>
          <cell r="L42">
            <v>1261453</v>
          </cell>
        </row>
        <row r="43">
          <cell r="I43">
            <v>15346136</v>
          </cell>
          <cell r="L43">
            <v>111211811</v>
          </cell>
        </row>
        <row r="44">
          <cell r="I44">
            <v>475000</v>
          </cell>
          <cell r="L44">
            <v>3800000</v>
          </cell>
        </row>
        <row r="45">
          <cell r="I45"/>
          <cell r="L45">
            <v>0</v>
          </cell>
        </row>
        <row r="46">
          <cell r="I46"/>
          <cell r="L46">
            <v>27555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7747776</v>
          </cell>
          <cell r="L53">
            <v>89649453</v>
          </cell>
        </row>
        <row r="55">
          <cell r="I55">
            <v>302463</v>
          </cell>
          <cell r="L55">
            <v>2114443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140935</v>
          </cell>
          <cell r="L61">
            <v>423050</v>
          </cell>
        </row>
        <row r="63">
          <cell r="I63">
            <v>4065609</v>
          </cell>
          <cell r="L63">
            <v>37146511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18</v>
          </cell>
          <cell r="L68">
            <v>18</v>
          </cell>
        </row>
        <row r="70">
          <cell r="I70">
            <v>1683864</v>
          </cell>
          <cell r="L70">
            <v>4349260</v>
          </cell>
        </row>
        <row r="71">
          <cell r="I71">
            <v>2050000</v>
          </cell>
          <cell r="L71">
            <v>16400000</v>
          </cell>
        </row>
        <row r="72">
          <cell r="I72">
            <v>55000</v>
          </cell>
          <cell r="L72">
            <v>440000</v>
          </cell>
        </row>
        <row r="73">
          <cell r="I73"/>
          <cell r="L73">
            <v>829600</v>
          </cell>
        </row>
        <row r="74">
          <cell r="I74"/>
          <cell r="L74">
            <v>0</v>
          </cell>
        </row>
        <row r="75">
          <cell r="I75"/>
          <cell r="L75">
            <v>672000</v>
          </cell>
        </row>
      </sheetData>
      <sheetData sheetId="4">
        <row r="5">
          <cell r="I5">
            <v>417900</v>
          </cell>
          <cell r="L5">
            <v>3712260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8764398</v>
          </cell>
          <cell r="L9">
            <v>69589740</v>
          </cell>
        </row>
        <row r="11">
          <cell r="I11">
            <v>35398</v>
          </cell>
          <cell r="L11">
            <v>239924</v>
          </cell>
        </row>
        <row r="12">
          <cell r="L12">
            <v>0</v>
          </cell>
        </row>
        <row r="14">
          <cell r="L14"/>
        </row>
        <row r="15">
          <cell r="I15">
            <v>522878</v>
          </cell>
          <cell r="L15">
            <v>4216184</v>
          </cell>
        </row>
        <row r="16">
          <cell r="L16"/>
        </row>
        <row r="19">
          <cell r="I19">
            <v>3765290</v>
          </cell>
          <cell r="L19">
            <v>26676215</v>
          </cell>
        </row>
        <row r="20">
          <cell r="I20">
            <v>163642</v>
          </cell>
          <cell r="L20">
            <v>1309136</v>
          </cell>
        </row>
        <row r="21">
          <cell r="I21"/>
          <cell r="L21">
            <v>0</v>
          </cell>
        </row>
        <row r="22">
          <cell r="I22">
            <v>1663442</v>
          </cell>
          <cell r="L22">
            <v>7620018</v>
          </cell>
        </row>
        <row r="23">
          <cell r="I23">
            <v>65012</v>
          </cell>
          <cell r="L23">
            <v>706458</v>
          </cell>
        </row>
        <row r="24">
          <cell r="I24">
            <v>96410</v>
          </cell>
          <cell r="L24">
            <v>771280</v>
          </cell>
        </row>
        <row r="25">
          <cell r="I25">
            <v>10180</v>
          </cell>
          <cell r="L25">
            <v>81440</v>
          </cell>
        </row>
        <row r="26">
          <cell r="I26">
            <v>5520</v>
          </cell>
          <cell r="L26">
            <v>149316</v>
          </cell>
        </row>
        <row r="27">
          <cell r="I27">
            <v>3037798</v>
          </cell>
          <cell r="L27">
            <v>3549518</v>
          </cell>
        </row>
        <row r="28">
          <cell r="I28">
            <v>23266</v>
          </cell>
          <cell r="L28">
            <v>158173</v>
          </cell>
        </row>
        <row r="29">
          <cell r="I29">
            <v>852391</v>
          </cell>
          <cell r="L29">
            <v>4634851</v>
          </cell>
        </row>
        <row r="30">
          <cell r="I30">
            <v>301936</v>
          </cell>
          <cell r="L30">
            <v>3080146</v>
          </cell>
        </row>
        <row r="31">
          <cell r="I31">
            <v>113364</v>
          </cell>
          <cell r="L31">
            <v>915351</v>
          </cell>
        </row>
        <row r="32">
          <cell r="I32">
            <v>213400</v>
          </cell>
          <cell r="L32">
            <v>1800218</v>
          </cell>
        </row>
        <row r="33">
          <cell r="I33">
            <v>440000</v>
          </cell>
          <cell r="L33">
            <v>4761000</v>
          </cell>
        </row>
        <row r="34">
          <cell r="I34"/>
          <cell r="L34">
            <v>0</v>
          </cell>
        </row>
        <row r="35">
          <cell r="I35"/>
          <cell r="L35">
            <v>60158</v>
          </cell>
        </row>
        <row r="36">
          <cell r="I36">
            <v>24875</v>
          </cell>
          <cell r="L36">
            <v>199678</v>
          </cell>
        </row>
        <row r="37">
          <cell r="I37">
            <v>5567</v>
          </cell>
          <cell r="L37">
            <v>113609</v>
          </cell>
        </row>
        <row r="38">
          <cell r="I38"/>
          <cell r="L38">
            <v>5086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10000</v>
          </cell>
        </row>
        <row r="42">
          <cell r="I42"/>
          <cell r="L42">
            <v>0</v>
          </cell>
        </row>
        <row r="43">
          <cell r="I43">
            <v>-473327</v>
          </cell>
          <cell r="L43">
            <v>-3836834</v>
          </cell>
        </row>
        <row r="44">
          <cell r="I44">
            <v>375000</v>
          </cell>
          <cell r="L44">
            <v>3000000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850000</v>
          </cell>
          <cell r="L51">
            <v>6800000</v>
          </cell>
        </row>
        <row r="52">
          <cell r="I52"/>
          <cell r="L52">
            <v>0</v>
          </cell>
        </row>
        <row r="53">
          <cell r="I53">
            <v>50000</v>
          </cell>
          <cell r="L53">
            <v>450000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566721</v>
          </cell>
          <cell r="L63">
            <v>4095676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15</v>
          </cell>
        </row>
        <row r="70">
          <cell r="I70">
            <v>994304</v>
          </cell>
          <cell r="L70">
            <v>2948796</v>
          </cell>
        </row>
        <row r="71">
          <cell r="I71">
            <v>750000</v>
          </cell>
          <cell r="L71">
            <v>2406000</v>
          </cell>
        </row>
        <row r="72">
          <cell r="I72">
            <v>440000</v>
          </cell>
          <cell r="L72">
            <v>3520000</v>
          </cell>
        </row>
        <row r="73">
          <cell r="I73"/>
          <cell r="L73">
            <v>0</v>
          </cell>
        </row>
        <row r="74">
          <cell r="I74"/>
          <cell r="L74">
            <v>1189000</v>
          </cell>
        </row>
        <row r="75">
          <cell r="L75">
            <v>0</v>
          </cell>
        </row>
      </sheetData>
      <sheetData sheetId="5">
        <row r="5">
          <cell r="L5"/>
        </row>
        <row r="6">
          <cell r="L6"/>
        </row>
        <row r="7">
          <cell r="L7"/>
        </row>
        <row r="8">
          <cell r="L8"/>
        </row>
        <row r="9">
          <cell r="L9"/>
        </row>
        <row r="11">
          <cell r="L11"/>
        </row>
        <row r="12">
          <cell r="N12"/>
        </row>
        <row r="14">
          <cell r="L14"/>
        </row>
        <row r="15">
          <cell r="L15"/>
        </row>
        <row r="16">
          <cell r="L16"/>
        </row>
        <row r="19">
          <cell r="I19">
            <v>2785695</v>
          </cell>
          <cell r="L19">
            <v>22389185</v>
          </cell>
        </row>
        <row r="20">
          <cell r="I20">
            <v>88532</v>
          </cell>
          <cell r="L20">
            <v>708256</v>
          </cell>
        </row>
        <row r="21">
          <cell r="I21"/>
          <cell r="L21">
            <v>0</v>
          </cell>
        </row>
        <row r="22">
          <cell r="I22">
            <v>848704</v>
          </cell>
          <cell r="L22">
            <v>4156029</v>
          </cell>
        </row>
        <row r="23">
          <cell r="I23">
            <v>53639</v>
          </cell>
          <cell r="L23">
            <v>526651</v>
          </cell>
        </row>
        <row r="24">
          <cell r="I24"/>
          <cell r="L24">
            <v>0</v>
          </cell>
        </row>
        <row r="25">
          <cell r="I25">
            <v>10180</v>
          </cell>
          <cell r="L25">
            <v>105380</v>
          </cell>
        </row>
        <row r="26">
          <cell r="I26">
            <v>5520</v>
          </cell>
          <cell r="L26">
            <v>44160</v>
          </cell>
        </row>
        <row r="27">
          <cell r="I27">
            <v>2429</v>
          </cell>
          <cell r="L27">
            <v>2429</v>
          </cell>
        </row>
        <row r="28">
          <cell r="I28">
            <v>14615</v>
          </cell>
          <cell r="L28">
            <v>203241</v>
          </cell>
        </row>
        <row r="29">
          <cell r="I29"/>
          <cell r="L29">
            <v>18979</v>
          </cell>
        </row>
        <row r="30">
          <cell r="I30">
            <v>27805</v>
          </cell>
          <cell r="L30">
            <v>190501</v>
          </cell>
        </row>
        <row r="31">
          <cell r="I31">
            <v>197116</v>
          </cell>
          <cell r="L31">
            <v>1168839</v>
          </cell>
        </row>
        <row r="32">
          <cell r="I32">
            <v>35000</v>
          </cell>
          <cell r="L32">
            <v>297884</v>
          </cell>
        </row>
        <row r="33">
          <cell r="I33">
            <v>20000</v>
          </cell>
          <cell r="L33">
            <v>160000</v>
          </cell>
        </row>
        <row r="34">
          <cell r="I34">
            <v>3051</v>
          </cell>
          <cell r="L34">
            <v>97718</v>
          </cell>
        </row>
        <row r="35">
          <cell r="I35"/>
          <cell r="L35">
            <v>42516</v>
          </cell>
        </row>
        <row r="36">
          <cell r="I36">
            <v>30613</v>
          </cell>
          <cell r="L36">
            <v>262585</v>
          </cell>
        </row>
        <row r="37">
          <cell r="I37"/>
          <cell r="L37">
            <v>0</v>
          </cell>
        </row>
        <row r="38">
          <cell r="I38">
            <v>13159</v>
          </cell>
          <cell r="L38">
            <v>74995</v>
          </cell>
        </row>
        <row r="39">
          <cell r="I39"/>
          <cell r="L39">
            <v>0</v>
          </cell>
        </row>
        <row r="40">
          <cell r="I40"/>
          <cell r="L40">
            <v>9600</v>
          </cell>
        </row>
        <row r="41">
          <cell r="I41">
            <v>395958</v>
          </cell>
          <cell r="L41">
            <v>1247874</v>
          </cell>
        </row>
        <row r="42">
          <cell r="I42"/>
          <cell r="L42">
            <v>75900</v>
          </cell>
        </row>
        <row r="43">
          <cell r="I43"/>
          <cell r="L43">
            <v>0</v>
          </cell>
        </row>
        <row r="44">
          <cell r="I44">
            <v>80000</v>
          </cell>
          <cell r="L44">
            <v>640000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246401</v>
          </cell>
          <cell r="L63">
            <v>1950403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</row>
        <row r="70">
          <cell r="I70">
            <v>478618</v>
          </cell>
          <cell r="L70">
            <v>1576230</v>
          </cell>
        </row>
        <row r="71">
          <cell r="I71">
            <v>520000</v>
          </cell>
          <cell r="L71">
            <v>4160000</v>
          </cell>
        </row>
        <row r="72">
          <cell r="I72">
            <v>20000</v>
          </cell>
          <cell r="L72">
            <v>160000</v>
          </cell>
        </row>
        <row r="73">
          <cell r="I73"/>
          <cell r="L73">
            <v>41100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6">
        <row r="5">
          <cell r="I5">
            <v>3126326</v>
          </cell>
          <cell r="L5">
            <v>27304403</v>
          </cell>
        </row>
        <row r="6">
          <cell r="I6"/>
          <cell r="L6">
            <v>0</v>
          </cell>
        </row>
        <row r="7">
          <cell r="I7">
            <v>13729804</v>
          </cell>
          <cell r="L7">
            <v>113610022</v>
          </cell>
        </row>
        <row r="8">
          <cell r="I8">
            <v>3905756</v>
          </cell>
          <cell r="L8">
            <v>34450265</v>
          </cell>
        </row>
        <row r="9">
          <cell r="I9">
            <v>5248123</v>
          </cell>
          <cell r="L9">
            <v>40916734</v>
          </cell>
        </row>
        <row r="11">
          <cell r="I11">
            <v>80555</v>
          </cell>
          <cell r="L11">
            <v>694063</v>
          </cell>
        </row>
        <row r="12">
          <cell r="I12">
            <v>3696537</v>
          </cell>
          <cell r="L12">
            <v>30748124</v>
          </cell>
        </row>
        <row r="14">
          <cell r="L14">
            <v>0</v>
          </cell>
        </row>
        <row r="15">
          <cell r="I15">
            <v>1799496</v>
          </cell>
          <cell r="L15">
            <v>14311274</v>
          </cell>
        </row>
        <row r="16">
          <cell r="L16"/>
        </row>
        <row r="19">
          <cell r="I19">
            <v>6660849</v>
          </cell>
          <cell r="L19">
            <v>56873695</v>
          </cell>
        </row>
        <row r="20">
          <cell r="I20">
            <v>241330</v>
          </cell>
          <cell r="L20">
            <v>1930640</v>
          </cell>
        </row>
        <row r="21">
          <cell r="I21">
            <v>149400</v>
          </cell>
          <cell r="L21">
            <v>149400</v>
          </cell>
        </row>
        <row r="22">
          <cell r="I22">
            <v>2309333</v>
          </cell>
          <cell r="L22">
            <v>10438411</v>
          </cell>
        </row>
        <row r="23">
          <cell r="I23">
            <v>67490</v>
          </cell>
          <cell r="L23">
            <v>659298</v>
          </cell>
        </row>
        <row r="24">
          <cell r="I24">
            <v>28600</v>
          </cell>
          <cell r="L24">
            <v>228800</v>
          </cell>
        </row>
        <row r="25">
          <cell r="I25"/>
          <cell r="L25">
            <v>0</v>
          </cell>
        </row>
        <row r="26">
          <cell r="I26"/>
          <cell r="L26">
            <v>156834</v>
          </cell>
        </row>
        <row r="27">
          <cell r="I27">
            <v>101380</v>
          </cell>
          <cell r="L27">
            <v>42112430</v>
          </cell>
        </row>
        <row r="28">
          <cell r="I28"/>
          <cell r="L28">
            <v>60158</v>
          </cell>
        </row>
        <row r="29">
          <cell r="I29">
            <v>3539870</v>
          </cell>
          <cell r="L29">
            <v>26284721</v>
          </cell>
        </row>
        <row r="30">
          <cell r="I30">
            <v>519743</v>
          </cell>
          <cell r="L30">
            <v>4411179</v>
          </cell>
        </row>
        <row r="31">
          <cell r="I31">
            <v>254173</v>
          </cell>
          <cell r="L31">
            <v>2116826</v>
          </cell>
        </row>
        <row r="32">
          <cell r="I32">
            <v>129800</v>
          </cell>
          <cell r="L32">
            <v>1380042</v>
          </cell>
        </row>
        <row r="33">
          <cell r="I33">
            <v>525000</v>
          </cell>
          <cell r="L33">
            <v>4200000</v>
          </cell>
        </row>
        <row r="34">
          <cell r="I34"/>
          <cell r="L34">
            <v>0</v>
          </cell>
        </row>
        <row r="35">
          <cell r="I35"/>
          <cell r="L35">
            <v>55439</v>
          </cell>
        </row>
        <row r="36">
          <cell r="I36">
            <v>9896</v>
          </cell>
          <cell r="L36">
            <v>79144</v>
          </cell>
        </row>
        <row r="37">
          <cell r="I37">
            <v>1796</v>
          </cell>
          <cell r="L37">
            <v>24891</v>
          </cell>
        </row>
        <row r="38">
          <cell r="I38"/>
          <cell r="L38">
            <v>4566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>
            <v>1861868</v>
          </cell>
          <cell r="L43">
            <v>14817941</v>
          </cell>
        </row>
        <row r="44">
          <cell r="I44">
            <v>360000</v>
          </cell>
          <cell r="L44">
            <v>2880000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100000</v>
          </cell>
          <cell r="L51">
            <v>800000</v>
          </cell>
        </row>
        <row r="52">
          <cell r="I52"/>
          <cell r="L52">
            <v>0</v>
          </cell>
        </row>
        <row r="53">
          <cell r="I53">
            <v>48</v>
          </cell>
          <cell r="L53">
            <v>168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6</v>
          </cell>
        </row>
        <row r="63">
          <cell r="I63">
            <v>1248430</v>
          </cell>
          <cell r="L63">
            <v>10189044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17</v>
          </cell>
        </row>
        <row r="70">
          <cell r="I70">
            <v>1421729</v>
          </cell>
          <cell r="L70">
            <v>4262047</v>
          </cell>
        </row>
        <row r="71">
          <cell r="I71">
            <v>1550000</v>
          </cell>
          <cell r="L71">
            <v>12400000</v>
          </cell>
        </row>
        <row r="72">
          <cell r="I72">
            <v>525000</v>
          </cell>
          <cell r="L72">
            <v>4200000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7"/>
      <sheetData sheetId="8">
        <row r="5">
          <cell r="I5">
            <v>120024783</v>
          </cell>
          <cell r="L5">
            <v>1219105082</v>
          </cell>
        </row>
        <row r="6">
          <cell r="I6"/>
          <cell r="L6">
            <v>0</v>
          </cell>
        </row>
        <row r="7">
          <cell r="I7">
            <v>30000</v>
          </cell>
          <cell r="L7">
            <v>1549800</v>
          </cell>
        </row>
        <row r="8">
          <cell r="I8"/>
          <cell r="L8">
            <v>101380</v>
          </cell>
        </row>
        <row r="9">
          <cell r="I9">
            <v>76708213</v>
          </cell>
          <cell r="L9">
            <v>707421750</v>
          </cell>
        </row>
        <row r="11">
          <cell r="I11">
            <v>824037</v>
          </cell>
          <cell r="L11">
            <v>8140123</v>
          </cell>
        </row>
        <row r="12">
          <cell r="L12">
            <v>0</v>
          </cell>
        </row>
        <row r="13">
          <cell r="I13">
            <v>3487473</v>
          </cell>
        </row>
        <row r="14">
          <cell r="I14">
            <v>680214956</v>
          </cell>
          <cell r="L14">
            <v>804499700</v>
          </cell>
        </row>
        <row r="15">
          <cell r="I15">
            <v>170141075</v>
          </cell>
          <cell r="L15">
            <v>1625663163</v>
          </cell>
        </row>
        <row r="16">
          <cell r="I16">
            <v>671639662</v>
          </cell>
          <cell r="L16">
            <v>671639662</v>
          </cell>
        </row>
        <row r="19">
          <cell r="I19">
            <v>3710396</v>
          </cell>
          <cell r="L19">
            <v>31367851</v>
          </cell>
        </row>
        <row r="20">
          <cell r="I20">
            <v>86532</v>
          </cell>
          <cell r="L20">
            <v>777522</v>
          </cell>
        </row>
        <row r="21">
          <cell r="I21"/>
          <cell r="L21">
            <v>0</v>
          </cell>
        </row>
        <row r="22">
          <cell r="I22">
            <v>1008544</v>
          </cell>
          <cell r="L22">
            <v>5167601</v>
          </cell>
        </row>
        <row r="23">
          <cell r="I23">
            <v>67258</v>
          </cell>
          <cell r="L23">
            <v>803827</v>
          </cell>
        </row>
        <row r="24">
          <cell r="I24">
            <v>155000</v>
          </cell>
          <cell r="L24">
            <v>1422500</v>
          </cell>
        </row>
        <row r="25">
          <cell r="I25">
            <v>18542</v>
          </cell>
          <cell r="L25">
            <v>175876</v>
          </cell>
        </row>
        <row r="26">
          <cell r="I26">
            <v>5520</v>
          </cell>
          <cell r="L26">
            <v>49110</v>
          </cell>
        </row>
        <row r="27">
          <cell r="I27"/>
          <cell r="L27">
            <v>0</v>
          </cell>
        </row>
        <row r="28">
          <cell r="I28">
            <v>37083</v>
          </cell>
          <cell r="L28">
            <v>159825</v>
          </cell>
        </row>
        <row r="29">
          <cell r="I29"/>
          <cell r="L29">
            <v>27443</v>
          </cell>
        </row>
        <row r="30">
          <cell r="I30">
            <v>78554</v>
          </cell>
          <cell r="L30">
            <v>464358</v>
          </cell>
        </row>
        <row r="31">
          <cell r="I31">
            <v>208001</v>
          </cell>
          <cell r="L31">
            <v>2156133</v>
          </cell>
        </row>
        <row r="32">
          <cell r="I32">
            <v>89300</v>
          </cell>
          <cell r="L32">
            <v>670800</v>
          </cell>
        </row>
        <row r="33">
          <cell r="I33">
            <v>71000</v>
          </cell>
          <cell r="L33">
            <v>1216969</v>
          </cell>
        </row>
        <row r="34">
          <cell r="I34">
            <v>53300</v>
          </cell>
          <cell r="L34">
            <v>2736572</v>
          </cell>
        </row>
        <row r="35">
          <cell r="I35">
            <v>17650</v>
          </cell>
          <cell r="L35">
            <v>232502</v>
          </cell>
        </row>
        <row r="36">
          <cell r="I36">
            <v>34820</v>
          </cell>
          <cell r="L36">
            <v>254226</v>
          </cell>
        </row>
        <row r="37">
          <cell r="I37"/>
          <cell r="L37">
            <v>0</v>
          </cell>
        </row>
        <row r="38">
          <cell r="I38">
            <v>121572</v>
          </cell>
          <cell r="L38">
            <v>401979</v>
          </cell>
        </row>
        <row r="39">
          <cell r="I39">
            <v>71204</v>
          </cell>
          <cell r="L39">
            <v>142408</v>
          </cell>
        </row>
        <row r="40">
          <cell r="I40"/>
          <cell r="L40">
            <v>4419</v>
          </cell>
        </row>
        <row r="41">
          <cell r="I41"/>
          <cell r="L41">
            <v>288000</v>
          </cell>
        </row>
        <row r="42">
          <cell r="I42"/>
          <cell r="L42">
            <v>177940</v>
          </cell>
        </row>
        <row r="43">
          <cell r="I43">
            <v>5857958</v>
          </cell>
          <cell r="L43">
            <v>48328424</v>
          </cell>
        </row>
        <row r="44">
          <cell r="I44">
            <v>55000</v>
          </cell>
          <cell r="L44">
            <v>440000</v>
          </cell>
        </row>
        <row r="45">
          <cell r="I45"/>
          <cell r="L45">
            <v>0</v>
          </cell>
        </row>
        <row r="46">
          <cell r="I46"/>
          <cell r="L46">
            <v>33000</v>
          </cell>
        </row>
        <row r="49">
          <cell r="I49"/>
          <cell r="L49">
            <v>2936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6</v>
          </cell>
          <cell r="L53">
            <v>307161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1</v>
          </cell>
          <cell r="L61">
            <v>154</v>
          </cell>
        </row>
        <row r="63">
          <cell r="I63">
            <v>1519470</v>
          </cell>
          <cell r="L63">
            <v>14842434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8</v>
          </cell>
        </row>
        <row r="70">
          <cell r="I70">
            <v>549838</v>
          </cell>
          <cell r="L70">
            <v>1862411</v>
          </cell>
        </row>
        <row r="71">
          <cell r="I71">
            <v>750000</v>
          </cell>
          <cell r="L71">
            <v>6000000</v>
          </cell>
        </row>
        <row r="72">
          <cell r="I72">
            <v>55000</v>
          </cell>
          <cell r="L72">
            <v>440000</v>
          </cell>
        </row>
        <row r="73">
          <cell r="I73"/>
          <cell r="L73">
            <v>568976</v>
          </cell>
        </row>
        <row r="74">
          <cell r="I74"/>
          <cell r="L74">
            <v>760000</v>
          </cell>
        </row>
        <row r="75">
          <cell r="L75">
            <v>0</v>
          </cell>
        </row>
      </sheetData>
      <sheetData sheetId="9">
        <row r="5">
          <cell r="I5"/>
          <cell r="L5">
            <v>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7959189</v>
          </cell>
          <cell r="L9">
            <v>77819462</v>
          </cell>
        </row>
        <row r="11">
          <cell r="L11">
            <v>0</v>
          </cell>
        </row>
        <row r="12">
          <cell r="L12">
            <v>0</v>
          </cell>
        </row>
        <row r="14">
          <cell r="L14"/>
        </row>
        <row r="15">
          <cell r="I15"/>
          <cell r="L15">
            <v>0</v>
          </cell>
        </row>
        <row r="16">
          <cell r="L16"/>
        </row>
        <row r="19">
          <cell r="I19">
            <v>4026282</v>
          </cell>
          <cell r="L19">
            <v>34365298</v>
          </cell>
        </row>
        <row r="20">
          <cell r="I20">
            <v>111220</v>
          </cell>
          <cell r="L20">
            <v>896026</v>
          </cell>
        </row>
        <row r="21">
          <cell r="I21"/>
          <cell r="L21">
            <v>0</v>
          </cell>
        </row>
        <row r="22">
          <cell r="I22">
            <v>1329231</v>
          </cell>
          <cell r="L22">
            <v>6082782</v>
          </cell>
        </row>
        <row r="23">
          <cell r="I23">
            <v>53929</v>
          </cell>
          <cell r="L23">
            <v>591432</v>
          </cell>
        </row>
        <row r="24">
          <cell r="I24"/>
          <cell r="L24">
            <v>0</v>
          </cell>
        </row>
        <row r="25">
          <cell r="I25">
            <v>8300</v>
          </cell>
          <cell r="L25">
            <v>66400</v>
          </cell>
        </row>
        <row r="26">
          <cell r="I26">
            <v>25000</v>
          </cell>
          <cell r="L26">
            <v>188000</v>
          </cell>
        </row>
        <row r="27">
          <cell r="I27">
            <v>50000</v>
          </cell>
          <cell r="L27">
            <v>1318229</v>
          </cell>
        </row>
        <row r="28">
          <cell r="I28">
            <v>398</v>
          </cell>
          <cell r="L28">
            <v>152388</v>
          </cell>
        </row>
        <row r="29">
          <cell r="I29">
            <v>300641</v>
          </cell>
          <cell r="L29">
            <v>4785498</v>
          </cell>
        </row>
        <row r="30">
          <cell r="I30">
            <v>247950</v>
          </cell>
          <cell r="L30">
            <v>2058060</v>
          </cell>
        </row>
        <row r="31">
          <cell r="I31">
            <v>118246</v>
          </cell>
          <cell r="L31">
            <v>1085231</v>
          </cell>
        </row>
        <row r="32">
          <cell r="I32">
            <v>42500</v>
          </cell>
          <cell r="L32">
            <v>458326</v>
          </cell>
        </row>
        <row r="33">
          <cell r="I33">
            <v>325000</v>
          </cell>
          <cell r="L33">
            <v>2600000</v>
          </cell>
        </row>
        <row r="34">
          <cell r="I34"/>
          <cell r="L34">
            <v>0</v>
          </cell>
        </row>
        <row r="35">
          <cell r="I35"/>
          <cell r="L35">
            <v>41853</v>
          </cell>
        </row>
        <row r="36">
          <cell r="I36">
            <v>3004</v>
          </cell>
          <cell r="L36">
            <v>24030</v>
          </cell>
        </row>
        <row r="37">
          <cell r="I37"/>
          <cell r="L37">
            <v>247767</v>
          </cell>
        </row>
        <row r="38">
          <cell r="I38">
            <v>3100</v>
          </cell>
          <cell r="L38">
            <v>183115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275000</v>
          </cell>
          <cell r="L44">
            <v>2200000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406123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566721</v>
          </cell>
          <cell r="L63">
            <v>4942570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11</v>
          </cell>
        </row>
        <row r="70">
          <cell r="I70">
            <v>831819</v>
          </cell>
          <cell r="L70">
            <v>2540514</v>
          </cell>
        </row>
        <row r="71">
          <cell r="I71">
            <v>920000</v>
          </cell>
          <cell r="L71">
            <v>7360000</v>
          </cell>
        </row>
        <row r="72">
          <cell r="I72">
            <v>325000</v>
          </cell>
          <cell r="L72">
            <v>2600000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社合計"/>
      <sheetName val="本部"/>
      <sheetName val="本社合計"/>
      <sheetName val="本社営業"/>
      <sheetName val="東大阪"/>
      <sheetName val="南港事務"/>
      <sheetName val="南港工場"/>
      <sheetName val="南港合計"/>
      <sheetName val="東京事務"/>
      <sheetName val="東京工場"/>
      <sheetName val="東京合計"/>
      <sheetName val="社内金利"/>
    </sheetNames>
    <sheetDataSet>
      <sheetData sheetId="0">
        <row r="5">
          <cell r="G5">
            <v>560244665</v>
          </cell>
          <cell r="N5">
            <v>5849720779</v>
          </cell>
        </row>
        <row r="6">
          <cell r="G6">
            <v>23901379</v>
          </cell>
          <cell r="N6">
            <v>266710901</v>
          </cell>
        </row>
        <row r="7">
          <cell r="G7">
            <v>15810732</v>
          </cell>
          <cell r="N7">
            <v>146267625</v>
          </cell>
        </row>
        <row r="8">
          <cell r="G8">
            <v>5314971</v>
          </cell>
          <cell r="N8">
            <v>51367702</v>
          </cell>
        </row>
        <row r="9">
          <cell r="G9">
            <v>221806230</v>
          </cell>
          <cell r="N9">
            <v>1740660786</v>
          </cell>
        </row>
        <row r="11">
          <cell r="G11">
            <v>3724732</v>
          </cell>
          <cell r="N11">
            <v>33878644</v>
          </cell>
        </row>
        <row r="12">
          <cell r="G12">
            <v>3710022</v>
          </cell>
          <cell r="N12">
            <v>35227609</v>
          </cell>
        </row>
        <row r="13">
          <cell r="G13">
            <v>11543986</v>
          </cell>
        </row>
        <row r="14">
          <cell r="G14">
            <v>1994455700</v>
          </cell>
          <cell r="N14">
            <v>1816376496</v>
          </cell>
        </row>
        <row r="15">
          <cell r="G15">
            <v>744928623</v>
          </cell>
          <cell r="N15">
            <v>6962484225</v>
          </cell>
        </row>
        <row r="16">
          <cell r="G16">
            <v>2041490590</v>
          </cell>
          <cell r="N16">
            <v>2041490590</v>
          </cell>
        </row>
        <row r="19">
          <cell r="G19">
            <v>37564786</v>
          </cell>
          <cell r="N19">
            <v>335422511</v>
          </cell>
        </row>
        <row r="20">
          <cell r="G20">
            <v>1029384</v>
          </cell>
          <cell r="N20">
            <v>9467186</v>
          </cell>
        </row>
        <row r="21">
          <cell r="G21">
            <v>0</v>
          </cell>
          <cell r="N21">
            <v>3051217</v>
          </cell>
        </row>
        <row r="22">
          <cell r="G22">
            <v>4262279</v>
          </cell>
          <cell r="N22">
            <v>51897867</v>
          </cell>
        </row>
        <row r="23">
          <cell r="G23">
            <v>1428744</v>
          </cell>
          <cell r="N23">
            <v>12098580</v>
          </cell>
        </row>
        <row r="24">
          <cell r="G24">
            <v>495160</v>
          </cell>
          <cell r="N24">
            <v>5062043</v>
          </cell>
        </row>
        <row r="25">
          <cell r="G25">
            <v>238121</v>
          </cell>
          <cell r="N25">
            <v>2133449</v>
          </cell>
        </row>
        <row r="26">
          <cell r="G26">
            <v>520651</v>
          </cell>
          <cell r="N26">
            <v>3950649</v>
          </cell>
        </row>
        <row r="27">
          <cell r="G27">
            <v>6808670</v>
          </cell>
          <cell r="N27">
            <v>26218084</v>
          </cell>
        </row>
        <row r="28">
          <cell r="G28">
            <v>347784</v>
          </cell>
          <cell r="N28">
            <v>2788144</v>
          </cell>
        </row>
        <row r="29">
          <cell r="G29">
            <v>4588034</v>
          </cell>
          <cell r="N29">
            <v>51017469</v>
          </cell>
        </row>
        <row r="30">
          <cell r="G30">
            <v>1465986</v>
          </cell>
          <cell r="N30">
            <v>13213990</v>
          </cell>
        </row>
        <row r="31">
          <cell r="G31">
            <v>1601855</v>
          </cell>
          <cell r="N31">
            <v>15860511</v>
          </cell>
        </row>
        <row r="32">
          <cell r="G32">
            <v>2088551</v>
          </cell>
          <cell r="N32">
            <v>19978390</v>
          </cell>
        </row>
        <row r="33">
          <cell r="G33">
            <v>1517044</v>
          </cell>
          <cell r="N33">
            <v>16446790</v>
          </cell>
        </row>
        <row r="34">
          <cell r="G34">
            <v>871097</v>
          </cell>
          <cell r="N34">
            <v>10592505</v>
          </cell>
        </row>
        <row r="35">
          <cell r="G35">
            <v>1635850</v>
          </cell>
          <cell r="N35">
            <v>15488493</v>
          </cell>
        </row>
        <row r="36">
          <cell r="G36">
            <v>248988</v>
          </cell>
          <cell r="N36">
            <v>2370932</v>
          </cell>
        </row>
        <row r="37">
          <cell r="G37">
            <v>141058</v>
          </cell>
          <cell r="N37">
            <v>3565394</v>
          </cell>
        </row>
        <row r="38">
          <cell r="G38">
            <v>278252</v>
          </cell>
          <cell r="N38">
            <v>2768682</v>
          </cell>
        </row>
        <row r="39">
          <cell r="G39">
            <v>40445</v>
          </cell>
          <cell r="N39">
            <v>526339</v>
          </cell>
        </row>
        <row r="40">
          <cell r="G40">
            <v>30789</v>
          </cell>
          <cell r="N40">
            <v>308598</v>
          </cell>
        </row>
        <row r="41">
          <cell r="G41">
            <v>104819</v>
          </cell>
          <cell r="N41">
            <v>2318312</v>
          </cell>
        </row>
        <row r="42">
          <cell r="G42">
            <v>45662</v>
          </cell>
          <cell r="N42">
            <v>2612544</v>
          </cell>
        </row>
        <row r="43">
          <cell r="G43">
            <v>25227119</v>
          </cell>
          <cell r="N43">
            <v>194672096</v>
          </cell>
        </row>
        <row r="44">
          <cell r="G44">
            <v>1280000</v>
          </cell>
          <cell r="N44">
            <v>11520000</v>
          </cell>
        </row>
        <row r="45">
          <cell r="G45">
            <v>0</v>
          </cell>
          <cell r="N45">
            <v>0</v>
          </cell>
        </row>
        <row r="46">
          <cell r="G46">
            <v>12273</v>
          </cell>
          <cell r="N46">
            <v>194071</v>
          </cell>
        </row>
        <row r="49">
          <cell r="G49">
            <v>647760</v>
          </cell>
          <cell r="N49">
            <v>8801937</v>
          </cell>
        </row>
        <row r="50">
          <cell r="G50">
            <v>0</v>
          </cell>
          <cell r="N50">
            <v>1065084</v>
          </cell>
        </row>
        <row r="51">
          <cell r="G51">
            <v>2013000</v>
          </cell>
          <cell r="N51">
            <v>17911000</v>
          </cell>
        </row>
        <row r="52">
          <cell r="G52">
            <v>0</v>
          </cell>
          <cell r="N52">
            <v>0</v>
          </cell>
        </row>
        <row r="53">
          <cell r="G53">
            <v>9999804</v>
          </cell>
          <cell r="N53">
            <v>76105404</v>
          </cell>
        </row>
        <row r="55">
          <cell r="G55">
            <v>834564</v>
          </cell>
          <cell r="N55">
            <v>7628071</v>
          </cell>
        </row>
        <row r="56">
          <cell r="G56">
            <v>0</v>
          </cell>
          <cell r="N56">
            <v>0</v>
          </cell>
        </row>
        <row r="57">
          <cell r="G57">
            <v>0</v>
          </cell>
          <cell r="N57">
            <v>0</v>
          </cell>
        </row>
        <row r="58">
          <cell r="G58">
            <v>0</v>
          </cell>
          <cell r="N58">
            <v>402213</v>
          </cell>
        </row>
        <row r="59">
          <cell r="G59">
            <v>0</v>
          </cell>
          <cell r="N59">
            <v>0</v>
          </cell>
        </row>
        <row r="60">
          <cell r="G60">
            <v>500000</v>
          </cell>
          <cell r="N60">
            <v>4500000</v>
          </cell>
        </row>
        <row r="61">
          <cell r="G61">
            <v>339208</v>
          </cell>
          <cell r="N61">
            <v>2173600</v>
          </cell>
        </row>
        <row r="63">
          <cell r="G63">
            <v>0</v>
          </cell>
          <cell r="N63">
            <v>0</v>
          </cell>
        </row>
        <row r="65">
          <cell r="G65">
            <v>0</v>
          </cell>
          <cell r="N65">
            <v>0</v>
          </cell>
        </row>
        <row r="66">
          <cell r="G66">
            <v>0</v>
          </cell>
          <cell r="N66">
            <v>0</v>
          </cell>
        </row>
        <row r="68">
          <cell r="G68">
            <v>80</v>
          </cell>
          <cell r="N68">
            <v>80</v>
          </cell>
        </row>
        <row r="70">
          <cell r="G70">
            <v>1414330</v>
          </cell>
          <cell r="N70">
            <v>31585926</v>
          </cell>
        </row>
        <row r="71">
          <cell r="G71">
            <v>7095000</v>
          </cell>
          <cell r="N71">
            <v>60113000</v>
          </cell>
        </row>
        <row r="72">
          <cell r="G72">
            <v>1495000</v>
          </cell>
          <cell r="N72">
            <v>13455000</v>
          </cell>
        </row>
        <row r="73">
          <cell r="G73">
            <v>0</v>
          </cell>
          <cell r="N73">
            <v>1507666</v>
          </cell>
        </row>
        <row r="74">
          <cell r="G74">
            <v>0</v>
          </cell>
          <cell r="N74">
            <v>1949000</v>
          </cell>
        </row>
        <row r="75">
          <cell r="G75">
            <v>0</v>
          </cell>
          <cell r="N75">
            <v>672000</v>
          </cell>
        </row>
      </sheetData>
      <sheetData sheetId="1">
        <row r="19">
          <cell r="I19">
            <v>5756800</v>
          </cell>
          <cell r="L19">
            <v>51811200</v>
          </cell>
        </row>
        <row r="20">
          <cell r="I20">
            <v>56110</v>
          </cell>
          <cell r="L20">
            <v>504990</v>
          </cell>
        </row>
        <row r="21">
          <cell r="I21"/>
          <cell r="L21">
            <v>0</v>
          </cell>
        </row>
        <row r="22">
          <cell r="I22">
            <v>361534</v>
          </cell>
          <cell r="L22">
            <v>4153357</v>
          </cell>
        </row>
        <row r="23">
          <cell r="I23">
            <v>543368</v>
          </cell>
          <cell r="L23">
            <v>5070530</v>
          </cell>
        </row>
        <row r="24">
          <cell r="I24">
            <v>45000</v>
          </cell>
          <cell r="L24">
            <v>405000</v>
          </cell>
        </row>
        <row r="25">
          <cell r="I25">
            <v>129379</v>
          </cell>
          <cell r="L25">
            <v>1164411</v>
          </cell>
        </row>
        <row r="26">
          <cell r="I26">
            <v>348701</v>
          </cell>
          <cell r="L26">
            <v>3098309</v>
          </cell>
        </row>
        <row r="27">
          <cell r="I27"/>
          <cell r="L27">
            <v>0</v>
          </cell>
        </row>
        <row r="28">
          <cell r="I28">
            <v>25694</v>
          </cell>
          <cell r="L28">
            <v>1329881</v>
          </cell>
        </row>
        <row r="29">
          <cell r="I29"/>
          <cell r="L29">
            <v>0</v>
          </cell>
        </row>
        <row r="30">
          <cell r="I30">
            <v>27343</v>
          </cell>
          <cell r="L30">
            <v>170866</v>
          </cell>
        </row>
        <row r="31">
          <cell r="I31">
            <v>277411</v>
          </cell>
          <cell r="L31">
            <v>3476493</v>
          </cell>
        </row>
        <row r="32">
          <cell r="I32">
            <v>467090</v>
          </cell>
          <cell r="L32">
            <v>4928790</v>
          </cell>
        </row>
        <row r="33">
          <cell r="I33">
            <v>128396</v>
          </cell>
          <cell r="L33">
            <v>1763606</v>
          </cell>
        </row>
        <row r="34">
          <cell r="I34">
            <v>106910</v>
          </cell>
          <cell r="L34">
            <v>1357826</v>
          </cell>
        </row>
        <row r="35">
          <cell r="I35">
            <v>397690</v>
          </cell>
          <cell r="L35">
            <v>13777398</v>
          </cell>
        </row>
        <row r="36">
          <cell r="I36">
            <v>55976</v>
          </cell>
          <cell r="L36">
            <v>538357</v>
          </cell>
        </row>
        <row r="37">
          <cell r="I37"/>
          <cell r="L37">
            <v>0</v>
          </cell>
        </row>
        <row r="38">
          <cell r="I38"/>
          <cell r="L38">
            <v>33096</v>
          </cell>
        </row>
        <row r="39">
          <cell r="I39">
            <v>36000</v>
          </cell>
          <cell r="L39">
            <v>249764</v>
          </cell>
        </row>
        <row r="40">
          <cell r="I40"/>
          <cell r="L40">
            <v>0</v>
          </cell>
        </row>
        <row r="41">
          <cell r="I41">
            <v>138000</v>
          </cell>
          <cell r="L41">
            <v>575300</v>
          </cell>
        </row>
        <row r="42">
          <cell r="I42"/>
          <cell r="L42">
            <v>905750</v>
          </cell>
        </row>
        <row r="43">
          <cell r="I43"/>
          <cell r="L43">
            <v>0</v>
          </cell>
        </row>
        <row r="44">
          <cell r="I44">
            <v>-165000</v>
          </cell>
          <cell r="L44">
            <v>-1485000</v>
          </cell>
        </row>
        <row r="45">
          <cell r="I45"/>
          <cell r="L45">
            <v>0</v>
          </cell>
        </row>
        <row r="46">
          <cell r="I46">
            <v>10000</v>
          </cell>
          <cell r="L46">
            <v>171000</v>
          </cell>
        </row>
        <row r="49">
          <cell r="I49">
            <v>1160045</v>
          </cell>
          <cell r="L49">
            <v>12270584</v>
          </cell>
        </row>
        <row r="50">
          <cell r="I50"/>
          <cell r="L50">
            <v>0</v>
          </cell>
        </row>
        <row r="51">
          <cell r="I51">
            <v>1063000</v>
          </cell>
          <cell r="L51">
            <v>9567000</v>
          </cell>
        </row>
        <row r="52">
          <cell r="I52"/>
          <cell r="L52">
            <v>0</v>
          </cell>
        </row>
        <row r="53">
          <cell r="I53"/>
          <cell r="L53">
            <v>1260812</v>
          </cell>
        </row>
        <row r="55">
          <cell r="I55">
            <v>454444</v>
          </cell>
          <cell r="L55">
            <v>5234910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>
            <v>500000</v>
          </cell>
          <cell r="L60">
            <v>4500000</v>
          </cell>
        </row>
        <row r="61">
          <cell r="I61"/>
          <cell r="L61">
            <v>7001</v>
          </cell>
        </row>
        <row r="63">
          <cell r="I63">
            <v>-7477801</v>
          </cell>
          <cell r="L63">
            <v>-80644439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  <cell r="L68">
            <v>6</v>
          </cell>
        </row>
        <row r="70">
          <cell r="I70">
            <v>176170</v>
          </cell>
          <cell r="L70">
            <v>14164935</v>
          </cell>
        </row>
        <row r="71">
          <cell r="I71">
            <v>850000</v>
          </cell>
          <cell r="L71">
            <v>7650000</v>
          </cell>
        </row>
        <row r="72">
          <cell r="I72">
            <v>115000</v>
          </cell>
          <cell r="L72">
            <v>1035000</v>
          </cell>
        </row>
        <row r="73">
          <cell r="I73"/>
          <cell r="L73">
            <v>24000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2"/>
      <sheetData sheetId="3">
        <row r="5">
          <cell r="I5">
            <v>372120934</v>
          </cell>
          <cell r="L5">
            <v>3676505107</v>
          </cell>
        </row>
        <row r="6">
          <cell r="I6">
            <v>62838057</v>
          </cell>
          <cell r="L6">
            <v>369078011</v>
          </cell>
        </row>
        <row r="7">
          <cell r="I7">
            <v>1913915</v>
          </cell>
          <cell r="L7">
            <v>17142050</v>
          </cell>
        </row>
        <row r="8">
          <cell r="I8">
            <v>835814</v>
          </cell>
          <cell r="L8">
            <v>8910596</v>
          </cell>
        </row>
        <row r="9">
          <cell r="I9">
            <v>58296638</v>
          </cell>
          <cell r="L9">
            <v>539304097</v>
          </cell>
        </row>
        <row r="11">
          <cell r="I11">
            <v>2604297</v>
          </cell>
          <cell r="L11">
            <v>22341455</v>
          </cell>
        </row>
        <row r="12">
          <cell r="N12">
            <v>0</v>
          </cell>
        </row>
        <row r="13">
          <cell r="I13">
            <v>5799974</v>
          </cell>
        </row>
        <row r="14">
          <cell r="I14">
            <v>1071946462</v>
          </cell>
          <cell r="L14">
            <v>1205973702</v>
          </cell>
        </row>
        <row r="15">
          <cell r="I15">
            <v>419555641</v>
          </cell>
          <cell r="L15">
            <v>3858614565</v>
          </cell>
        </row>
        <row r="16">
          <cell r="I16">
            <v>1063180113</v>
          </cell>
          <cell r="L16">
            <v>1063180113</v>
          </cell>
        </row>
        <row r="19">
          <cell r="I19">
            <v>10283529</v>
          </cell>
          <cell r="L19">
            <v>92411904</v>
          </cell>
        </row>
        <row r="20">
          <cell r="I20">
            <v>140156</v>
          </cell>
          <cell r="L20">
            <v>1906622</v>
          </cell>
        </row>
        <row r="21">
          <cell r="I21"/>
          <cell r="L21">
            <v>0</v>
          </cell>
        </row>
        <row r="22">
          <cell r="I22">
            <v>1142568</v>
          </cell>
          <cell r="L22">
            <v>13663753</v>
          </cell>
        </row>
        <row r="23">
          <cell r="I23">
            <v>95471</v>
          </cell>
          <cell r="L23">
            <v>2591825</v>
          </cell>
        </row>
        <row r="24">
          <cell r="I24">
            <v>181650</v>
          </cell>
          <cell r="L24">
            <v>2306850</v>
          </cell>
        </row>
        <row r="25">
          <cell r="I25">
            <v>86370</v>
          </cell>
          <cell r="L25">
            <v>788250</v>
          </cell>
        </row>
        <row r="26">
          <cell r="I26">
            <v>680</v>
          </cell>
          <cell r="L26">
            <v>6120</v>
          </cell>
        </row>
        <row r="27">
          <cell r="I27"/>
          <cell r="L27">
            <v>0</v>
          </cell>
        </row>
        <row r="28">
          <cell r="I28">
            <v>108496</v>
          </cell>
          <cell r="L28">
            <v>987650</v>
          </cell>
        </row>
        <row r="29">
          <cell r="I29"/>
          <cell r="L29">
            <v>187291</v>
          </cell>
        </row>
        <row r="30">
          <cell r="I30">
            <v>54686</v>
          </cell>
          <cell r="L30">
            <v>341731</v>
          </cell>
        </row>
        <row r="31">
          <cell r="I31">
            <v>775199</v>
          </cell>
          <cell r="L31">
            <v>7900544</v>
          </cell>
        </row>
        <row r="32">
          <cell r="I32">
            <v>912077</v>
          </cell>
          <cell r="L32">
            <v>10344505</v>
          </cell>
        </row>
        <row r="33">
          <cell r="I33">
            <v>55000</v>
          </cell>
          <cell r="L33">
            <v>509820</v>
          </cell>
        </row>
        <row r="34">
          <cell r="I34">
            <v>343231</v>
          </cell>
          <cell r="L34">
            <v>4368970</v>
          </cell>
        </row>
        <row r="35">
          <cell r="I35"/>
          <cell r="L35">
            <v>738432</v>
          </cell>
        </row>
        <row r="36">
          <cell r="I36">
            <v>74428</v>
          </cell>
          <cell r="L36">
            <v>718110</v>
          </cell>
        </row>
        <row r="37">
          <cell r="I37">
            <v>316746</v>
          </cell>
          <cell r="L37">
            <v>1974835</v>
          </cell>
        </row>
        <row r="38">
          <cell r="I38">
            <v>101139</v>
          </cell>
          <cell r="L38">
            <v>1378299</v>
          </cell>
        </row>
        <row r="39">
          <cell r="I39"/>
          <cell r="L39">
            <v>137014</v>
          </cell>
        </row>
        <row r="40">
          <cell r="I40">
            <v>61104</v>
          </cell>
          <cell r="L40">
            <v>247393</v>
          </cell>
        </row>
        <row r="41">
          <cell r="I41"/>
          <cell r="L41">
            <v>187000</v>
          </cell>
        </row>
        <row r="42">
          <cell r="I42">
            <v>10000</v>
          </cell>
          <cell r="L42">
            <v>1271453</v>
          </cell>
        </row>
        <row r="43">
          <cell r="I43">
            <v>13693965</v>
          </cell>
          <cell r="L43">
            <v>124905776</v>
          </cell>
        </row>
        <row r="44">
          <cell r="I44">
            <v>475000</v>
          </cell>
          <cell r="L44">
            <v>4275000</v>
          </cell>
        </row>
        <row r="45">
          <cell r="I45"/>
          <cell r="L45">
            <v>0</v>
          </cell>
        </row>
        <row r="46">
          <cell r="I46"/>
          <cell r="L46">
            <v>27555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7693451</v>
          </cell>
          <cell r="L53">
            <v>97342904</v>
          </cell>
        </row>
        <row r="55">
          <cell r="I55">
            <v>261269</v>
          </cell>
          <cell r="L55">
            <v>2375712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56101</v>
          </cell>
          <cell r="L61">
            <v>479151</v>
          </cell>
        </row>
        <row r="63">
          <cell r="I63">
            <v>3886202</v>
          </cell>
          <cell r="L63">
            <v>41032713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18</v>
          </cell>
          <cell r="L68">
            <v>18</v>
          </cell>
        </row>
        <row r="70">
          <cell r="I70"/>
          <cell r="L70">
            <v>4349260</v>
          </cell>
        </row>
        <row r="71">
          <cell r="I71">
            <v>2050000</v>
          </cell>
          <cell r="L71">
            <v>18450000</v>
          </cell>
        </row>
        <row r="72">
          <cell r="I72">
            <v>55000</v>
          </cell>
          <cell r="L72">
            <v>495000</v>
          </cell>
        </row>
        <row r="73">
          <cell r="I73"/>
          <cell r="L73">
            <v>829600</v>
          </cell>
        </row>
        <row r="74">
          <cell r="I74"/>
          <cell r="L74">
            <v>0</v>
          </cell>
        </row>
        <row r="75">
          <cell r="I75"/>
          <cell r="L75">
            <v>672000</v>
          </cell>
        </row>
      </sheetData>
      <sheetData sheetId="4">
        <row r="5">
          <cell r="I5">
            <v>418655</v>
          </cell>
          <cell r="L5">
            <v>4130915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8019769</v>
          </cell>
          <cell r="L9">
            <v>77609509</v>
          </cell>
        </row>
        <row r="11">
          <cell r="I11">
            <v>36266</v>
          </cell>
          <cell r="L11">
            <v>276190</v>
          </cell>
        </row>
        <row r="12">
          <cell r="L12">
            <v>0</v>
          </cell>
        </row>
        <row r="14">
          <cell r="L14">
            <v>0</v>
          </cell>
        </row>
        <row r="15">
          <cell r="I15">
            <v>573541</v>
          </cell>
          <cell r="L15">
            <v>4789725</v>
          </cell>
        </row>
        <row r="16">
          <cell r="L16">
            <v>0</v>
          </cell>
        </row>
        <row r="19">
          <cell r="I19">
            <v>3826394</v>
          </cell>
          <cell r="L19">
            <v>30502609</v>
          </cell>
        </row>
        <row r="20">
          <cell r="I20">
            <v>163642</v>
          </cell>
          <cell r="L20">
            <v>1472778</v>
          </cell>
        </row>
        <row r="21">
          <cell r="I21"/>
          <cell r="L21">
            <v>0</v>
          </cell>
        </row>
        <row r="22">
          <cell r="I22">
            <v>669138</v>
          </cell>
          <cell r="L22">
            <v>8289156</v>
          </cell>
        </row>
        <row r="23">
          <cell r="I23">
            <v>92855</v>
          </cell>
          <cell r="L23">
            <v>799313</v>
          </cell>
        </row>
        <row r="24">
          <cell r="I24">
            <v>96410</v>
          </cell>
          <cell r="L24">
            <v>867690</v>
          </cell>
        </row>
        <row r="25">
          <cell r="I25">
            <v>10180</v>
          </cell>
          <cell r="L25">
            <v>91620</v>
          </cell>
        </row>
        <row r="26">
          <cell r="I26">
            <v>55623</v>
          </cell>
          <cell r="L26">
            <v>204939</v>
          </cell>
        </row>
        <row r="27">
          <cell r="I27">
            <v>573778</v>
          </cell>
          <cell r="L27">
            <v>4123296</v>
          </cell>
        </row>
        <row r="28">
          <cell r="I28">
            <v>9444</v>
          </cell>
          <cell r="L28">
            <v>167617</v>
          </cell>
        </row>
        <row r="29">
          <cell r="I29">
            <v>368349</v>
          </cell>
          <cell r="L29">
            <v>5003200</v>
          </cell>
        </row>
        <row r="30">
          <cell r="I30">
            <v>291102</v>
          </cell>
          <cell r="L30">
            <v>3371248</v>
          </cell>
        </row>
        <row r="31">
          <cell r="I31">
            <v>113728</v>
          </cell>
          <cell r="L31">
            <v>1029079</v>
          </cell>
        </row>
        <row r="32">
          <cell r="I32">
            <v>108200</v>
          </cell>
          <cell r="L32">
            <v>1908418</v>
          </cell>
        </row>
        <row r="33">
          <cell r="I33">
            <v>442000</v>
          </cell>
          <cell r="L33">
            <v>5203000</v>
          </cell>
        </row>
        <row r="34">
          <cell r="I34"/>
          <cell r="L34">
            <v>0</v>
          </cell>
        </row>
        <row r="35">
          <cell r="I35"/>
          <cell r="L35">
            <v>60158</v>
          </cell>
        </row>
        <row r="36">
          <cell r="I36">
            <v>24957</v>
          </cell>
          <cell r="L36">
            <v>224635</v>
          </cell>
        </row>
        <row r="37">
          <cell r="I37">
            <v>11497</v>
          </cell>
          <cell r="L37">
            <v>125106</v>
          </cell>
        </row>
        <row r="38">
          <cell r="I38"/>
          <cell r="L38">
            <v>5086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10000</v>
          </cell>
        </row>
        <row r="42">
          <cell r="I42"/>
          <cell r="L42">
            <v>0</v>
          </cell>
        </row>
        <row r="43">
          <cell r="I43">
            <v>-474271</v>
          </cell>
          <cell r="L43">
            <v>-4311105</v>
          </cell>
        </row>
        <row r="44">
          <cell r="I44">
            <v>375000</v>
          </cell>
          <cell r="L44">
            <v>3375000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850000</v>
          </cell>
          <cell r="L51">
            <v>7650000</v>
          </cell>
        </row>
        <row r="52">
          <cell r="I52"/>
          <cell r="L52">
            <v>0</v>
          </cell>
        </row>
        <row r="53">
          <cell r="I53">
            <v>50000</v>
          </cell>
          <cell r="L53">
            <v>500000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483846</v>
          </cell>
          <cell r="L63">
            <v>4579522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15</v>
          </cell>
        </row>
        <row r="70">
          <cell r="I70"/>
          <cell r="L70">
            <v>2948796</v>
          </cell>
        </row>
        <row r="71">
          <cell r="I71">
            <v>750000</v>
          </cell>
          <cell r="L71">
            <v>3156000</v>
          </cell>
        </row>
        <row r="72">
          <cell r="I72">
            <v>440000</v>
          </cell>
          <cell r="L72">
            <v>3960000</v>
          </cell>
        </row>
        <row r="73">
          <cell r="I73"/>
          <cell r="L73">
            <v>0</v>
          </cell>
        </row>
        <row r="74">
          <cell r="I74"/>
          <cell r="L74">
            <v>1189000</v>
          </cell>
        </row>
        <row r="75">
          <cell r="L75">
            <v>0</v>
          </cell>
        </row>
      </sheetData>
      <sheetData sheetId="5"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0</v>
          </cell>
        </row>
        <row r="9">
          <cell r="L9">
            <v>0</v>
          </cell>
        </row>
        <row r="11">
          <cell r="L11">
            <v>0</v>
          </cell>
        </row>
        <row r="12">
          <cell r="N12">
            <v>0</v>
          </cell>
        </row>
        <row r="14">
          <cell r="L14">
            <v>0</v>
          </cell>
        </row>
        <row r="15">
          <cell r="L15">
            <v>0</v>
          </cell>
        </row>
        <row r="16">
          <cell r="L16">
            <v>0</v>
          </cell>
        </row>
        <row r="19">
          <cell r="I19">
            <v>2787137</v>
          </cell>
          <cell r="L19">
            <v>25176322</v>
          </cell>
        </row>
        <row r="20">
          <cell r="I20">
            <v>88532</v>
          </cell>
          <cell r="L20">
            <v>796788</v>
          </cell>
        </row>
        <row r="21">
          <cell r="I21"/>
          <cell r="L21">
            <v>0</v>
          </cell>
        </row>
        <row r="22">
          <cell r="I22">
            <v>370086</v>
          </cell>
          <cell r="L22">
            <v>4526115</v>
          </cell>
        </row>
        <row r="23">
          <cell r="I23">
            <v>47325</v>
          </cell>
          <cell r="L23">
            <v>573976</v>
          </cell>
        </row>
        <row r="24">
          <cell r="I24"/>
          <cell r="L24">
            <v>0</v>
          </cell>
        </row>
        <row r="25">
          <cell r="I25">
            <v>10180</v>
          </cell>
          <cell r="L25">
            <v>115560</v>
          </cell>
        </row>
        <row r="26">
          <cell r="I26">
            <v>5520</v>
          </cell>
          <cell r="L26">
            <v>49680</v>
          </cell>
        </row>
        <row r="27">
          <cell r="I27"/>
          <cell r="L27">
            <v>2429</v>
          </cell>
        </row>
        <row r="28">
          <cell r="I28">
            <v>19930</v>
          </cell>
          <cell r="L28">
            <v>223171</v>
          </cell>
        </row>
        <row r="29">
          <cell r="I29"/>
          <cell r="L29">
            <v>18979</v>
          </cell>
        </row>
        <row r="30">
          <cell r="I30">
            <v>20723</v>
          </cell>
          <cell r="L30">
            <v>211224</v>
          </cell>
        </row>
        <row r="31">
          <cell r="I31">
            <v>137015</v>
          </cell>
          <cell r="L31">
            <v>1305854</v>
          </cell>
        </row>
        <row r="32">
          <cell r="I32">
            <v>153600</v>
          </cell>
          <cell r="L32">
            <v>451484</v>
          </cell>
        </row>
        <row r="33">
          <cell r="I33">
            <v>20000</v>
          </cell>
          <cell r="L33">
            <v>180000</v>
          </cell>
        </row>
        <row r="34">
          <cell r="I34"/>
          <cell r="L34">
            <v>97718</v>
          </cell>
        </row>
        <row r="35">
          <cell r="I35"/>
          <cell r="L35">
            <v>42516</v>
          </cell>
        </row>
        <row r="36">
          <cell r="I36">
            <v>31196</v>
          </cell>
          <cell r="L36">
            <v>293781</v>
          </cell>
        </row>
        <row r="37">
          <cell r="I37"/>
          <cell r="L37">
            <v>0</v>
          </cell>
        </row>
        <row r="38">
          <cell r="I38">
            <v>9112</v>
          </cell>
          <cell r="L38">
            <v>84107</v>
          </cell>
        </row>
        <row r="39">
          <cell r="I39"/>
          <cell r="L39">
            <v>0</v>
          </cell>
        </row>
        <row r="40">
          <cell r="I40"/>
          <cell r="L40">
            <v>9600</v>
          </cell>
        </row>
        <row r="41">
          <cell r="I41"/>
          <cell r="L41">
            <v>1247874</v>
          </cell>
        </row>
        <row r="42">
          <cell r="I42"/>
          <cell r="L42">
            <v>75900</v>
          </cell>
        </row>
        <row r="43">
          <cell r="I43"/>
          <cell r="L43">
            <v>0</v>
          </cell>
        </row>
        <row r="44">
          <cell r="I44">
            <v>80000</v>
          </cell>
          <cell r="L44">
            <v>720000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/>
          <cell r="L53">
            <v>0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219049</v>
          </cell>
          <cell r="L63">
            <v>2169452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6</v>
          </cell>
        </row>
        <row r="70">
          <cell r="I70"/>
          <cell r="L70">
            <v>1576230</v>
          </cell>
        </row>
        <row r="71">
          <cell r="I71">
            <v>520000</v>
          </cell>
          <cell r="L71">
            <v>4680000</v>
          </cell>
        </row>
        <row r="72">
          <cell r="I72">
            <v>20000</v>
          </cell>
          <cell r="L72">
            <v>180000</v>
          </cell>
        </row>
        <row r="73">
          <cell r="I73"/>
          <cell r="L73">
            <v>41100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6">
        <row r="5">
          <cell r="I5">
            <v>3226005</v>
          </cell>
          <cell r="L5">
            <v>30530408</v>
          </cell>
        </row>
        <row r="6">
          <cell r="I6"/>
          <cell r="L6">
            <v>0</v>
          </cell>
        </row>
        <row r="7">
          <cell r="I7">
            <v>11134135</v>
          </cell>
          <cell r="L7">
            <v>124744157</v>
          </cell>
        </row>
        <row r="8">
          <cell r="I8">
            <v>2568139</v>
          </cell>
          <cell r="L8">
            <v>37018404</v>
          </cell>
        </row>
        <row r="9">
          <cell r="I9">
            <v>4984081</v>
          </cell>
          <cell r="L9">
            <v>45900815</v>
          </cell>
        </row>
        <row r="11">
          <cell r="I11">
            <v>76774</v>
          </cell>
          <cell r="L11">
            <v>770837</v>
          </cell>
        </row>
        <row r="12">
          <cell r="I12">
            <v>3110429</v>
          </cell>
          <cell r="L12">
            <v>33858553</v>
          </cell>
        </row>
        <row r="14">
          <cell r="L14">
            <v>0</v>
          </cell>
        </row>
        <row r="15">
          <cell r="I15">
            <v>1561730</v>
          </cell>
          <cell r="L15">
            <v>15873004</v>
          </cell>
        </row>
        <row r="16">
          <cell r="L16">
            <v>0</v>
          </cell>
        </row>
        <row r="19">
          <cell r="I19">
            <v>6885758</v>
          </cell>
          <cell r="L19">
            <v>63759453</v>
          </cell>
        </row>
        <row r="20">
          <cell r="I20">
            <v>236330</v>
          </cell>
          <cell r="L20">
            <v>2166970</v>
          </cell>
        </row>
        <row r="21">
          <cell r="I21"/>
          <cell r="L21">
            <v>149400</v>
          </cell>
        </row>
        <row r="22">
          <cell r="I22">
            <v>887604</v>
          </cell>
          <cell r="L22">
            <v>11326015</v>
          </cell>
        </row>
        <row r="23">
          <cell r="I23">
            <v>94590</v>
          </cell>
          <cell r="L23">
            <v>753888</v>
          </cell>
        </row>
        <row r="24">
          <cell r="I24">
            <v>28600</v>
          </cell>
          <cell r="L24">
            <v>257400</v>
          </cell>
        </row>
        <row r="25">
          <cell r="I25"/>
          <cell r="L25">
            <v>0</v>
          </cell>
        </row>
        <row r="26">
          <cell r="I26">
            <v>78417</v>
          </cell>
          <cell r="L26">
            <v>235251</v>
          </cell>
        </row>
        <row r="27">
          <cell r="I27">
            <v>929440</v>
          </cell>
          <cell r="L27">
            <v>43041870</v>
          </cell>
        </row>
        <row r="28">
          <cell r="I28"/>
          <cell r="L28">
            <v>60158</v>
          </cell>
        </row>
        <row r="29">
          <cell r="I29">
            <v>3507766</v>
          </cell>
          <cell r="L29">
            <v>29792487</v>
          </cell>
        </row>
        <row r="30">
          <cell r="I30">
            <v>466630</v>
          </cell>
          <cell r="L30">
            <v>4877809</v>
          </cell>
        </row>
        <row r="31">
          <cell r="I31">
            <v>254173</v>
          </cell>
          <cell r="L31">
            <v>2370999</v>
          </cell>
        </row>
        <row r="32">
          <cell r="I32">
            <v>213700</v>
          </cell>
          <cell r="L32">
            <v>1593742</v>
          </cell>
        </row>
        <row r="33">
          <cell r="I33">
            <v>525000</v>
          </cell>
          <cell r="L33">
            <v>4725000</v>
          </cell>
        </row>
        <row r="34">
          <cell r="I34"/>
          <cell r="L34">
            <v>0</v>
          </cell>
        </row>
        <row r="35">
          <cell r="I35"/>
          <cell r="L35">
            <v>55439</v>
          </cell>
        </row>
        <row r="36">
          <cell r="I36">
            <v>9896</v>
          </cell>
          <cell r="L36">
            <v>89040</v>
          </cell>
        </row>
        <row r="37">
          <cell r="I37">
            <v>12980</v>
          </cell>
          <cell r="L37">
            <v>37871</v>
          </cell>
        </row>
        <row r="38">
          <cell r="I38"/>
          <cell r="L38">
            <v>4566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>
            <v>1441641</v>
          </cell>
          <cell r="L43">
            <v>16259582</v>
          </cell>
        </row>
        <row r="44">
          <cell r="I44">
            <v>360000</v>
          </cell>
          <cell r="L44">
            <v>3240000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>
            <v>100000</v>
          </cell>
          <cell r="L51">
            <v>900000</v>
          </cell>
        </row>
        <row r="52">
          <cell r="I52"/>
          <cell r="L52">
            <v>0</v>
          </cell>
        </row>
        <row r="53">
          <cell r="I53">
            <v>1</v>
          </cell>
          <cell r="L53">
            <v>169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6</v>
          </cell>
        </row>
        <row r="63">
          <cell r="I63">
            <v>1012911</v>
          </cell>
          <cell r="L63">
            <v>11201955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16</v>
          </cell>
        </row>
        <row r="70">
          <cell r="I70"/>
          <cell r="L70">
            <v>4262047</v>
          </cell>
        </row>
        <row r="71">
          <cell r="I71">
            <v>1550000</v>
          </cell>
          <cell r="L71">
            <v>13950000</v>
          </cell>
        </row>
        <row r="72">
          <cell r="I72">
            <v>525000</v>
          </cell>
          <cell r="L72">
            <v>4725000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7"/>
      <sheetData sheetId="8">
        <row r="5">
          <cell r="I5">
            <v>130230126</v>
          </cell>
          <cell r="L5">
            <v>1349335208</v>
          </cell>
        </row>
        <row r="6">
          <cell r="I6"/>
          <cell r="L6">
            <v>0</v>
          </cell>
        </row>
        <row r="7">
          <cell r="I7"/>
          <cell r="L7">
            <v>1549800</v>
          </cell>
        </row>
        <row r="8">
          <cell r="I8"/>
          <cell r="L8">
            <v>101380</v>
          </cell>
        </row>
        <row r="9">
          <cell r="I9">
            <v>72716460</v>
          </cell>
          <cell r="L9">
            <v>780138210</v>
          </cell>
        </row>
        <row r="11">
          <cell r="I11">
            <v>866965</v>
          </cell>
          <cell r="L11">
            <v>9007088</v>
          </cell>
        </row>
        <row r="12">
          <cell r="L12">
            <v>0</v>
          </cell>
        </row>
        <row r="13">
          <cell r="I13">
            <v>3396318</v>
          </cell>
        </row>
        <row r="14">
          <cell r="I14">
            <v>671639662</v>
          </cell>
          <cell r="L14">
            <v>804499700</v>
          </cell>
        </row>
        <row r="15">
          <cell r="I15">
            <v>180754756</v>
          </cell>
          <cell r="L15">
            <v>1806417919</v>
          </cell>
        </row>
        <row r="16">
          <cell r="I16">
            <v>669061745</v>
          </cell>
          <cell r="L16">
            <v>669061745</v>
          </cell>
        </row>
        <row r="19">
          <cell r="I19">
            <v>3735840</v>
          </cell>
          <cell r="L19">
            <v>35103691</v>
          </cell>
        </row>
        <row r="20">
          <cell r="I20">
            <v>86532</v>
          </cell>
          <cell r="L20">
            <v>864054</v>
          </cell>
        </row>
        <row r="21">
          <cell r="I21"/>
          <cell r="L21">
            <v>0</v>
          </cell>
        </row>
        <row r="22">
          <cell r="I22">
            <v>458706</v>
          </cell>
          <cell r="L22">
            <v>5626307</v>
          </cell>
        </row>
        <row r="23">
          <cell r="I23">
            <v>57656</v>
          </cell>
          <cell r="L23">
            <v>861483</v>
          </cell>
        </row>
        <row r="24">
          <cell r="I24">
            <v>155000</v>
          </cell>
          <cell r="L24">
            <v>1577500</v>
          </cell>
        </row>
        <row r="25">
          <cell r="I25">
            <v>74542</v>
          </cell>
          <cell r="L25">
            <v>250418</v>
          </cell>
        </row>
        <row r="26">
          <cell r="I26">
            <v>5520</v>
          </cell>
          <cell r="L26">
            <v>54630</v>
          </cell>
        </row>
        <row r="27">
          <cell r="I27"/>
          <cell r="L27">
            <v>0</v>
          </cell>
        </row>
        <row r="28">
          <cell r="I28">
            <v>5782</v>
          </cell>
          <cell r="L28">
            <v>165607</v>
          </cell>
        </row>
        <row r="29">
          <cell r="I29"/>
          <cell r="L29">
            <v>27443</v>
          </cell>
        </row>
        <row r="30">
          <cell r="I30">
            <v>64330</v>
          </cell>
          <cell r="L30">
            <v>528688</v>
          </cell>
        </row>
        <row r="31">
          <cell r="I31">
            <v>334247</v>
          </cell>
          <cell r="L31">
            <v>2490380</v>
          </cell>
        </row>
        <row r="32">
          <cell r="I32">
            <v>85750</v>
          </cell>
          <cell r="L32">
            <v>756550</v>
          </cell>
        </row>
        <row r="33">
          <cell r="I33">
            <v>55116</v>
          </cell>
          <cell r="L33">
            <v>1272085</v>
          </cell>
        </row>
        <row r="34">
          <cell r="I34">
            <v>75860</v>
          </cell>
          <cell r="L34">
            <v>2812432</v>
          </cell>
        </row>
        <row r="35">
          <cell r="I35">
            <v>6372</v>
          </cell>
          <cell r="L35">
            <v>238874</v>
          </cell>
        </row>
        <row r="36">
          <cell r="I36">
            <v>27548</v>
          </cell>
          <cell r="L36">
            <v>281774</v>
          </cell>
        </row>
        <row r="37">
          <cell r="I37"/>
          <cell r="L37">
            <v>0</v>
          </cell>
        </row>
        <row r="38">
          <cell r="I38">
            <v>67830</v>
          </cell>
          <cell r="L38">
            <v>469809</v>
          </cell>
        </row>
        <row r="39">
          <cell r="I39"/>
          <cell r="L39">
            <v>142408</v>
          </cell>
        </row>
        <row r="40">
          <cell r="I40"/>
          <cell r="L40">
            <v>4419</v>
          </cell>
        </row>
        <row r="41">
          <cell r="I41">
            <v>2000</v>
          </cell>
          <cell r="L41">
            <v>290000</v>
          </cell>
        </row>
        <row r="42">
          <cell r="I42"/>
          <cell r="L42">
            <v>177940</v>
          </cell>
        </row>
        <row r="43">
          <cell r="I43">
            <v>6237842</v>
          </cell>
          <cell r="L43">
            <v>54566266</v>
          </cell>
        </row>
        <row r="44">
          <cell r="I44">
            <v>55000</v>
          </cell>
          <cell r="L44">
            <v>495000</v>
          </cell>
        </row>
        <row r="45">
          <cell r="I45"/>
          <cell r="L45">
            <v>0</v>
          </cell>
        </row>
        <row r="46">
          <cell r="I46"/>
          <cell r="L46">
            <v>33000</v>
          </cell>
        </row>
        <row r="49">
          <cell r="I49">
            <v>2066</v>
          </cell>
          <cell r="L49">
            <v>5002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235571</v>
          </cell>
          <cell r="L53">
            <v>542732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>
            <v>2</v>
          </cell>
          <cell r="L61">
            <v>156</v>
          </cell>
        </row>
        <row r="63">
          <cell r="I63">
            <v>1391947</v>
          </cell>
          <cell r="L63">
            <v>16234381</v>
          </cell>
        </row>
        <row r="65">
          <cell r="I65"/>
          <cell r="L65">
            <v>0</v>
          </cell>
        </row>
        <row r="66">
          <cell r="I66"/>
          <cell r="L66">
            <v>0</v>
          </cell>
        </row>
        <row r="68">
          <cell r="I68">
            <v>8</v>
          </cell>
        </row>
        <row r="70">
          <cell r="I70"/>
          <cell r="L70">
            <v>1862411</v>
          </cell>
        </row>
        <row r="71">
          <cell r="I71">
            <v>750000</v>
          </cell>
          <cell r="L71">
            <v>6750000</v>
          </cell>
        </row>
        <row r="72">
          <cell r="I72">
            <v>55000</v>
          </cell>
          <cell r="L72">
            <v>495000</v>
          </cell>
        </row>
        <row r="73">
          <cell r="I73"/>
          <cell r="L73">
            <v>568976</v>
          </cell>
        </row>
        <row r="74">
          <cell r="I74"/>
          <cell r="L74">
            <v>760000</v>
          </cell>
        </row>
        <row r="75">
          <cell r="L75">
            <v>0</v>
          </cell>
        </row>
      </sheetData>
      <sheetData sheetId="9">
        <row r="5">
          <cell r="I5"/>
          <cell r="L5">
            <v>0</v>
          </cell>
        </row>
        <row r="6">
          <cell r="I6"/>
          <cell r="L6">
            <v>0</v>
          </cell>
        </row>
        <row r="7">
          <cell r="I7"/>
          <cell r="L7">
            <v>0</v>
          </cell>
        </row>
        <row r="8">
          <cell r="I8"/>
          <cell r="L8">
            <v>0</v>
          </cell>
        </row>
        <row r="9">
          <cell r="I9">
            <v>7830910</v>
          </cell>
          <cell r="L9">
            <v>85650372</v>
          </cell>
        </row>
        <row r="11">
          <cell r="L11">
            <v>0</v>
          </cell>
        </row>
        <row r="12">
          <cell r="L12">
            <v>0</v>
          </cell>
        </row>
        <row r="14">
          <cell r="L14">
            <v>0</v>
          </cell>
        </row>
        <row r="15">
          <cell r="I15"/>
          <cell r="L15">
            <v>0</v>
          </cell>
        </row>
        <row r="16">
          <cell r="L16">
            <v>0</v>
          </cell>
        </row>
        <row r="19">
          <cell r="I19">
            <v>3928920</v>
          </cell>
          <cell r="L19">
            <v>38294218</v>
          </cell>
        </row>
        <row r="20">
          <cell r="I20">
            <v>111220</v>
          </cell>
          <cell r="L20">
            <v>1007246</v>
          </cell>
        </row>
        <row r="21">
          <cell r="I21"/>
          <cell r="L21">
            <v>0</v>
          </cell>
        </row>
        <row r="22">
          <cell r="I22">
            <v>497412</v>
          </cell>
          <cell r="L22">
            <v>6580194</v>
          </cell>
        </row>
        <row r="23">
          <cell r="I23">
            <v>55094</v>
          </cell>
          <cell r="L23">
            <v>646526</v>
          </cell>
        </row>
        <row r="24">
          <cell r="I24"/>
          <cell r="L24">
            <v>0</v>
          </cell>
        </row>
        <row r="25">
          <cell r="I25">
            <v>8300</v>
          </cell>
          <cell r="L25">
            <v>74700</v>
          </cell>
        </row>
        <row r="26">
          <cell r="I26">
            <v>25000</v>
          </cell>
          <cell r="L26">
            <v>213000</v>
          </cell>
        </row>
        <row r="27">
          <cell r="I27">
            <v>64240</v>
          </cell>
          <cell r="L27">
            <v>1382469</v>
          </cell>
        </row>
        <row r="28">
          <cell r="I28"/>
          <cell r="L28">
            <v>152388</v>
          </cell>
        </row>
        <row r="29">
          <cell r="I29">
            <v>443458</v>
          </cell>
          <cell r="L29">
            <v>5228956</v>
          </cell>
        </row>
        <row r="30">
          <cell r="I30">
            <v>258514</v>
          </cell>
          <cell r="L30">
            <v>2316574</v>
          </cell>
        </row>
        <row r="31">
          <cell r="I31">
            <v>118246</v>
          </cell>
          <cell r="L31">
            <v>1203477</v>
          </cell>
        </row>
        <row r="32">
          <cell r="I32">
            <v>42500</v>
          </cell>
          <cell r="L32">
            <v>500826</v>
          </cell>
        </row>
        <row r="33">
          <cell r="I33">
            <v>325000</v>
          </cell>
          <cell r="L33">
            <v>2925000</v>
          </cell>
        </row>
        <row r="34">
          <cell r="I34"/>
          <cell r="L34">
            <v>0</v>
          </cell>
        </row>
        <row r="35">
          <cell r="I35"/>
          <cell r="L35">
            <v>41853</v>
          </cell>
        </row>
        <row r="36">
          <cell r="I36">
            <v>3003</v>
          </cell>
          <cell r="L36">
            <v>27033</v>
          </cell>
        </row>
        <row r="37">
          <cell r="I37">
            <v>60996</v>
          </cell>
          <cell r="L37">
            <v>308763</v>
          </cell>
        </row>
        <row r="38">
          <cell r="I38">
            <v>126173</v>
          </cell>
          <cell r="L38">
            <v>309288</v>
          </cell>
        </row>
        <row r="39">
          <cell r="I39"/>
          <cell r="L39">
            <v>0</v>
          </cell>
        </row>
        <row r="40">
          <cell r="I40"/>
          <cell r="L40">
            <v>0</v>
          </cell>
        </row>
        <row r="41">
          <cell r="I41"/>
          <cell r="L41">
            <v>0</v>
          </cell>
        </row>
        <row r="42">
          <cell r="I42"/>
          <cell r="L42">
            <v>0</v>
          </cell>
        </row>
        <row r="43">
          <cell r="I43"/>
          <cell r="L43">
            <v>0</v>
          </cell>
        </row>
        <row r="44">
          <cell r="I44">
            <v>275000</v>
          </cell>
          <cell r="L44">
            <v>2475000</v>
          </cell>
        </row>
        <row r="45">
          <cell r="I45"/>
          <cell r="L45">
            <v>0</v>
          </cell>
        </row>
        <row r="46">
          <cell r="I46"/>
          <cell r="L46">
            <v>0</v>
          </cell>
        </row>
        <row r="49">
          <cell r="I49"/>
          <cell r="L49">
            <v>0</v>
          </cell>
        </row>
        <row r="50">
          <cell r="I50"/>
          <cell r="L50">
            <v>0</v>
          </cell>
        </row>
        <row r="51">
          <cell r="I51"/>
          <cell r="L51">
            <v>0</v>
          </cell>
        </row>
        <row r="52">
          <cell r="I52"/>
          <cell r="L52">
            <v>0</v>
          </cell>
        </row>
        <row r="53">
          <cell r="I53">
            <v>231076</v>
          </cell>
          <cell r="L53">
            <v>637199</v>
          </cell>
        </row>
        <row r="55">
          <cell r="I55"/>
          <cell r="L55">
            <v>0</v>
          </cell>
        </row>
        <row r="56">
          <cell r="I56"/>
          <cell r="L56">
            <v>0</v>
          </cell>
        </row>
        <row r="57">
          <cell r="I57"/>
          <cell r="L57">
            <v>0</v>
          </cell>
        </row>
        <row r="58">
          <cell r="I58"/>
          <cell r="L58">
            <v>0</v>
          </cell>
        </row>
        <row r="59">
          <cell r="I59"/>
          <cell r="L59">
            <v>0</v>
          </cell>
        </row>
        <row r="60">
          <cell r="I60"/>
          <cell r="L60">
            <v>0</v>
          </cell>
        </row>
        <row r="61">
          <cell r="I61"/>
          <cell r="L61">
            <v>0</v>
          </cell>
        </row>
        <row r="63">
          <cell r="I63">
            <v>483846</v>
          </cell>
          <cell r="L63">
            <v>5426416</v>
          </cell>
        </row>
        <row r="65">
          <cell r="I65">
            <v>0</v>
          </cell>
          <cell r="L65">
            <v>0</v>
          </cell>
        </row>
        <row r="66">
          <cell r="I66"/>
          <cell r="L66">
            <v>0</v>
          </cell>
        </row>
        <row r="68">
          <cell r="I68">
            <v>11</v>
          </cell>
        </row>
        <row r="70">
          <cell r="I70"/>
          <cell r="L70">
            <v>2540514</v>
          </cell>
        </row>
        <row r="71">
          <cell r="I71">
            <v>920000</v>
          </cell>
          <cell r="L71">
            <v>8280000</v>
          </cell>
        </row>
        <row r="72">
          <cell r="I72">
            <v>325000</v>
          </cell>
          <cell r="L72">
            <v>2925000</v>
          </cell>
        </row>
        <row r="73">
          <cell r="I73"/>
          <cell r="L73">
            <v>0</v>
          </cell>
        </row>
        <row r="74">
          <cell r="I74"/>
          <cell r="L74">
            <v>0</v>
          </cell>
        </row>
        <row r="75">
          <cell r="L75">
            <v>0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1BB1-F089-4149-B6A9-3DEF29A95C6E}">
  <dimension ref="A1:BB95"/>
  <sheetViews>
    <sheetView view="pageBreakPreview" zoomScale="80" zoomScaleNormal="80" zoomScaleSheetLayoutView="80" workbookViewId="0">
      <pane xSplit="1" ySplit="5" topLeftCell="B44" activePane="bottomRight" state="frozen"/>
      <selection activeCell="B4" sqref="A4:XFD4"/>
      <selection pane="topRight" activeCell="B4" sqref="A4:XFD4"/>
      <selection pane="bottomLeft" activeCell="B4" sqref="A4:XFD4"/>
      <selection pane="bottomRight" activeCell="AI72" sqref="AI72"/>
    </sheetView>
  </sheetViews>
  <sheetFormatPr defaultRowHeight="13.5"/>
  <cols>
    <col min="1" max="1" width="23.625" style="1" customWidth="1"/>
    <col min="2" max="2" width="11.625" style="1" customWidth="1"/>
    <col min="3" max="3" width="7.875" style="1" customWidth="1"/>
    <col min="4" max="4" width="12.5" style="1" customWidth="1"/>
    <col min="5" max="5" width="7.75" style="1" customWidth="1"/>
    <col min="6" max="6" width="11.625" style="1" customWidth="1"/>
    <col min="7" max="7" width="8.375" style="1" customWidth="1"/>
    <col min="8" max="8" width="12.5" style="1" customWidth="1"/>
    <col min="9" max="9" width="7.375" style="1" customWidth="1"/>
    <col min="10" max="10" width="11.625" style="1" customWidth="1"/>
    <col min="11" max="11" width="8.375" style="1" customWidth="1"/>
    <col min="12" max="12" width="12.5" style="1" customWidth="1"/>
    <col min="13" max="13" width="7.25" style="1" customWidth="1"/>
    <col min="14" max="14" width="11.625" style="1" customWidth="1"/>
    <col min="15" max="15" width="8.375" style="1" customWidth="1"/>
    <col min="16" max="16" width="12.5" style="1" customWidth="1"/>
    <col min="17" max="17" width="7.375" style="1" customWidth="1"/>
    <col min="18" max="18" width="11.625" style="1" customWidth="1"/>
    <col min="19" max="19" width="8.375" style="1" customWidth="1"/>
    <col min="20" max="20" width="12.625" style="1" customWidth="1"/>
    <col min="21" max="21" width="7.25" style="1" customWidth="1"/>
    <col min="22" max="22" width="11.625" style="1" customWidth="1"/>
    <col min="23" max="23" width="8.375" style="1" customWidth="1"/>
    <col min="24" max="24" width="12.625" style="1" customWidth="1"/>
    <col min="25" max="25" width="7.375" style="1" customWidth="1"/>
    <col min="26" max="26" width="11.625" style="1" customWidth="1"/>
    <col min="27" max="27" width="8.375" style="1" customWidth="1"/>
    <col min="28" max="28" width="12.625" style="1" customWidth="1"/>
    <col min="29" max="29" width="7.375" style="1" customWidth="1"/>
    <col min="30" max="30" width="11.625" style="1" customWidth="1"/>
    <col min="31" max="31" width="8.375" style="1" customWidth="1"/>
    <col min="32" max="32" width="12.625" style="1" customWidth="1"/>
    <col min="33" max="33" width="7.375" style="1" customWidth="1"/>
    <col min="34" max="34" width="11.625" style="1" customWidth="1"/>
    <col min="35" max="35" width="8.375" style="1" customWidth="1"/>
    <col min="36" max="36" width="12.625" style="1" customWidth="1"/>
    <col min="37" max="37" width="8.375" style="1" customWidth="1"/>
    <col min="38" max="38" width="11.625" style="1" customWidth="1"/>
    <col min="39" max="39" width="7.375" style="1" customWidth="1"/>
    <col min="40" max="40" width="12.625" style="1" customWidth="1"/>
    <col min="41" max="41" width="8.125" style="1" customWidth="1"/>
    <col min="42" max="42" width="13.625" style="1" customWidth="1"/>
    <col min="43" max="43" width="7.375" style="1" customWidth="1"/>
    <col min="44" max="44" width="13.625" style="1" customWidth="1"/>
    <col min="45" max="45" width="8.375" style="1" customWidth="1"/>
    <col min="46" max="46" width="13.625" style="1" customWidth="1"/>
    <col min="47" max="47" width="7.375" style="1" customWidth="1"/>
    <col min="48" max="48" width="13.625" style="1" customWidth="1"/>
    <col min="49" max="49" width="8.375" style="1" customWidth="1"/>
    <col min="50" max="50" width="13.625" style="1" customWidth="1"/>
    <col min="51" max="51" width="8.75" style="1" bestFit="1" customWidth="1"/>
    <col min="52" max="52" width="13.625" style="1" customWidth="1"/>
    <col min="53" max="53" width="8.375" style="1" customWidth="1"/>
  </cols>
  <sheetData>
    <row r="1" spans="1:54" ht="8.25" customHeight="1" thickBot="1"/>
    <row r="2" spans="1:54" ht="14.25" customHeight="1" thickTop="1">
      <c r="A2" s="798" t="s">
        <v>0</v>
      </c>
      <c r="B2" s="759" t="s">
        <v>71</v>
      </c>
      <c r="C2" s="760"/>
      <c r="D2" s="760"/>
      <c r="E2" s="761"/>
      <c r="F2" s="812" t="s">
        <v>82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4"/>
      <c r="AD2" s="807" t="s">
        <v>83</v>
      </c>
      <c r="AE2" s="808"/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759" t="s">
        <v>81</v>
      </c>
      <c r="AQ2" s="760"/>
      <c r="AR2" s="760"/>
      <c r="AS2" s="761"/>
      <c r="AT2" s="759" t="s">
        <v>88</v>
      </c>
      <c r="AU2" s="760"/>
      <c r="AV2" s="760"/>
      <c r="AW2" s="761"/>
      <c r="AX2" s="759" t="s">
        <v>89</v>
      </c>
      <c r="AY2" s="760"/>
      <c r="AZ2" s="760"/>
      <c r="BA2" s="761"/>
    </row>
    <row r="3" spans="1:54">
      <c r="A3" s="799"/>
      <c r="B3" s="762"/>
      <c r="C3" s="763"/>
      <c r="D3" s="763"/>
      <c r="E3" s="764"/>
      <c r="F3" s="784" t="s">
        <v>73</v>
      </c>
      <c r="G3" s="785"/>
      <c r="H3" s="785"/>
      <c r="I3" s="785"/>
      <c r="J3" s="786" t="s">
        <v>74</v>
      </c>
      <c r="K3" s="787"/>
      <c r="L3" s="787"/>
      <c r="M3" s="787"/>
      <c r="N3" s="788" t="s">
        <v>92</v>
      </c>
      <c r="O3" s="789"/>
      <c r="P3" s="789"/>
      <c r="Q3" s="790"/>
      <c r="R3" s="820" t="s">
        <v>75</v>
      </c>
      <c r="S3" s="789"/>
      <c r="T3" s="789"/>
      <c r="U3" s="790"/>
      <c r="V3" s="789" t="s">
        <v>76</v>
      </c>
      <c r="W3" s="789"/>
      <c r="X3" s="789"/>
      <c r="Y3" s="821"/>
      <c r="Z3" s="816" t="s">
        <v>79</v>
      </c>
      <c r="AA3" s="817"/>
      <c r="AB3" s="817"/>
      <c r="AC3" s="818"/>
      <c r="AD3" s="819" t="s">
        <v>77</v>
      </c>
      <c r="AE3" s="805"/>
      <c r="AF3" s="805"/>
      <c r="AG3" s="805"/>
      <c r="AH3" s="804" t="s">
        <v>78</v>
      </c>
      <c r="AI3" s="805"/>
      <c r="AJ3" s="805"/>
      <c r="AK3" s="806"/>
      <c r="AL3" s="805" t="s">
        <v>80</v>
      </c>
      <c r="AM3" s="805"/>
      <c r="AN3" s="805"/>
      <c r="AO3" s="811"/>
      <c r="AP3" s="762"/>
      <c r="AQ3" s="763"/>
      <c r="AR3" s="763"/>
      <c r="AS3" s="764"/>
      <c r="AT3" s="762"/>
      <c r="AU3" s="763"/>
      <c r="AV3" s="763"/>
      <c r="AW3" s="764"/>
      <c r="AX3" s="762"/>
      <c r="AY3" s="763"/>
      <c r="AZ3" s="763"/>
      <c r="BA3" s="764"/>
    </row>
    <row r="4" spans="1:54" ht="15.95" customHeight="1">
      <c r="A4" s="799"/>
      <c r="B4" s="779">
        <v>45838</v>
      </c>
      <c r="C4" s="776"/>
      <c r="D4" s="780" t="s">
        <v>72</v>
      </c>
      <c r="E4" s="781"/>
      <c r="F4" s="765">
        <v>45838</v>
      </c>
      <c r="G4" s="766"/>
      <c r="H4" s="767" t="s">
        <v>72</v>
      </c>
      <c r="I4" s="782"/>
      <c r="J4" s="794">
        <v>45838</v>
      </c>
      <c r="K4" s="766"/>
      <c r="L4" s="767" t="s">
        <v>72</v>
      </c>
      <c r="M4" s="782"/>
      <c r="N4" s="795">
        <v>45838</v>
      </c>
      <c r="O4" s="766"/>
      <c r="P4" s="767" t="s">
        <v>72</v>
      </c>
      <c r="Q4" s="783"/>
      <c r="R4" s="796">
        <v>45838</v>
      </c>
      <c r="S4" s="766"/>
      <c r="T4" s="767" t="s">
        <v>72</v>
      </c>
      <c r="U4" s="783"/>
      <c r="V4" s="797">
        <v>45838</v>
      </c>
      <c r="W4" s="766"/>
      <c r="X4" s="767" t="s">
        <v>72</v>
      </c>
      <c r="Y4" s="793"/>
      <c r="Z4" s="775">
        <v>45838</v>
      </c>
      <c r="AA4" s="815"/>
      <c r="AB4" s="780" t="s">
        <v>72</v>
      </c>
      <c r="AC4" s="781"/>
      <c r="AD4" s="765">
        <v>45838</v>
      </c>
      <c r="AE4" s="766"/>
      <c r="AF4" s="791" t="s">
        <v>72</v>
      </c>
      <c r="AG4" s="792"/>
      <c r="AH4" s="797">
        <v>45838</v>
      </c>
      <c r="AI4" s="766"/>
      <c r="AJ4" s="767" t="s">
        <v>72</v>
      </c>
      <c r="AK4" s="810"/>
      <c r="AL4" s="775">
        <v>45838</v>
      </c>
      <c r="AM4" s="776"/>
      <c r="AN4" s="780" t="s">
        <v>72</v>
      </c>
      <c r="AO4" s="803"/>
      <c r="AP4" s="777">
        <v>45838</v>
      </c>
      <c r="AQ4" s="778"/>
      <c r="AR4" s="801" t="s">
        <v>72</v>
      </c>
      <c r="AS4" s="802"/>
      <c r="AT4" s="765">
        <v>45473</v>
      </c>
      <c r="AU4" s="766"/>
      <c r="AV4" s="767" t="s">
        <v>72</v>
      </c>
      <c r="AW4" s="768"/>
      <c r="AX4" s="765" t="s">
        <v>90</v>
      </c>
      <c r="AY4" s="766"/>
      <c r="AZ4" s="767" t="s">
        <v>91</v>
      </c>
      <c r="BA4" s="768"/>
    </row>
    <row r="5" spans="1:54" ht="15.95" customHeight="1">
      <c r="A5" s="800"/>
      <c r="B5" s="49" t="s">
        <v>1</v>
      </c>
      <c r="C5" s="50" t="s">
        <v>2</v>
      </c>
      <c r="D5" s="47" t="s">
        <v>1</v>
      </c>
      <c r="E5" s="51" t="s">
        <v>2</v>
      </c>
      <c r="F5" s="2" t="s">
        <v>1</v>
      </c>
      <c r="G5" s="4" t="s">
        <v>2</v>
      </c>
      <c r="H5" s="29" t="s">
        <v>1</v>
      </c>
      <c r="I5" s="5" t="s">
        <v>2</v>
      </c>
      <c r="J5" s="30" t="s">
        <v>1</v>
      </c>
      <c r="K5" s="4" t="s">
        <v>2</v>
      </c>
      <c r="L5" s="29" t="s">
        <v>1</v>
      </c>
      <c r="M5" s="5" t="s">
        <v>2</v>
      </c>
      <c r="N5" s="222" t="s">
        <v>1</v>
      </c>
      <c r="O5" s="4" t="s">
        <v>2</v>
      </c>
      <c r="P5" s="33" t="s">
        <v>1</v>
      </c>
      <c r="Q5" s="72" t="s">
        <v>2</v>
      </c>
      <c r="R5" s="67" t="s">
        <v>1</v>
      </c>
      <c r="S5" s="4" t="s">
        <v>2</v>
      </c>
      <c r="T5" s="33" t="s">
        <v>1</v>
      </c>
      <c r="U5" s="72" t="s">
        <v>2</v>
      </c>
      <c r="V5" s="3" t="s">
        <v>1</v>
      </c>
      <c r="W5" s="4" t="s">
        <v>2</v>
      </c>
      <c r="X5" s="33" t="s">
        <v>1</v>
      </c>
      <c r="Y5" s="223" t="s">
        <v>2</v>
      </c>
      <c r="Z5" s="52" t="s">
        <v>1</v>
      </c>
      <c r="AA5" s="74" t="s">
        <v>2</v>
      </c>
      <c r="AB5" s="76" t="s">
        <v>1</v>
      </c>
      <c r="AC5" s="332" t="s">
        <v>2</v>
      </c>
      <c r="AD5" s="2" t="s">
        <v>1</v>
      </c>
      <c r="AE5" s="4" t="s">
        <v>2</v>
      </c>
      <c r="AF5" s="29" t="s">
        <v>1</v>
      </c>
      <c r="AG5" s="6" t="s">
        <v>2</v>
      </c>
      <c r="AH5" s="3" t="s">
        <v>1</v>
      </c>
      <c r="AI5" s="4" t="s">
        <v>2</v>
      </c>
      <c r="AJ5" s="33" t="s">
        <v>1</v>
      </c>
      <c r="AK5" s="96" t="s">
        <v>2</v>
      </c>
      <c r="AL5" s="114" t="s">
        <v>1</v>
      </c>
      <c r="AM5" s="312" t="s">
        <v>2</v>
      </c>
      <c r="AN5" s="52" t="s">
        <v>1</v>
      </c>
      <c r="AO5" s="115" t="s">
        <v>2</v>
      </c>
      <c r="AP5" s="278" t="s">
        <v>1</v>
      </c>
      <c r="AQ5" s="279" t="s">
        <v>2</v>
      </c>
      <c r="AR5" s="280" t="s">
        <v>1</v>
      </c>
      <c r="AS5" s="281" t="s">
        <v>2</v>
      </c>
      <c r="AT5" s="116" t="s">
        <v>1</v>
      </c>
      <c r="AU5" s="5" t="s">
        <v>2</v>
      </c>
      <c r="AV5" s="33" t="s">
        <v>1</v>
      </c>
      <c r="AW5" s="117" t="s">
        <v>2</v>
      </c>
      <c r="AX5" s="116" t="s">
        <v>1</v>
      </c>
      <c r="AY5" s="5" t="s">
        <v>2</v>
      </c>
      <c r="AZ5" s="33" t="s">
        <v>1</v>
      </c>
      <c r="BA5" s="117" t="s">
        <v>2</v>
      </c>
    </row>
    <row r="6" spans="1:54" ht="15.95" customHeight="1">
      <c r="A6" s="253" t="s">
        <v>3</v>
      </c>
      <c r="B6" s="721"/>
      <c r="C6" s="258" t="str">
        <f t="shared" ref="C6:C11" si="0">IF(ISERR(B6/$B$11),"",B6/$B$11)</f>
        <v/>
      </c>
      <c r="D6" s="723">
        <f t="shared" ref="D6:D73" si="1">B6</f>
        <v>0</v>
      </c>
      <c r="E6" s="118" t="str">
        <f t="shared" ref="E6:E11" si="2">IF(ISERR(D6/$D$11),"",D6/$D$11)</f>
        <v/>
      </c>
      <c r="F6" s="351">
        <f>[1]本社営業!$L$5</f>
        <v>433671542</v>
      </c>
      <c r="G6" s="7">
        <f t="shared" ref="G6:G11" si="3">IF(ISERR(F6/$F$11),"",F6/$F$11)</f>
        <v>0.81097613426358472</v>
      </c>
      <c r="H6" s="354">
        <f>F6</f>
        <v>433671542</v>
      </c>
      <c r="I6" s="120">
        <f>IF(ISERR(H6/$H$11),"",H6/$H$11)</f>
        <v>0.81097613426358472</v>
      </c>
      <c r="J6" s="387">
        <f>[1]東大阪!$L$5</f>
        <v>512935</v>
      </c>
      <c r="K6" s="7">
        <f>IF(ISERR(J6/$J$11),"",J6/$J$11)</f>
        <v>5.7776874156609814E-2</v>
      </c>
      <c r="L6" s="354">
        <f>J6</f>
        <v>512935</v>
      </c>
      <c r="M6" s="120">
        <f t="shared" ref="M6:M11" si="4">IF(ISERR(L6/$L$11),"",L6/$L$11)</f>
        <v>5.7776874156609814E-2</v>
      </c>
      <c r="N6" s="402">
        <f>[1]南港工場!$L$5</f>
        <v>3687510</v>
      </c>
      <c r="O6" s="7">
        <f t="shared" ref="O6:O11" si="5">IF(ISERR(N6/$N$11),"",N6/$N$11)</f>
        <v>0.13065865139873825</v>
      </c>
      <c r="P6" s="406">
        <f>N6</f>
        <v>3687510</v>
      </c>
      <c r="Q6" s="203">
        <f t="shared" ref="Q6:Q11" si="6">IF(ISERR(P6/$P$11),"",P6/$P$11)</f>
        <v>0.13065865139873825</v>
      </c>
      <c r="R6" s="436"/>
      <c r="S6" s="7" t="str">
        <f t="shared" ref="S6:S11" si="7">IF(ISERR(R6/$R$11),"",R6/$R$11)</f>
        <v/>
      </c>
      <c r="T6" s="406">
        <f>R6</f>
        <v>0</v>
      </c>
      <c r="U6" s="203" t="str">
        <f t="shared" ref="U6:U11" si="8">IF(ISERR(T6/$T$11),"",T6/$T$11)</f>
        <v/>
      </c>
      <c r="V6" s="455">
        <f>N6+R6</f>
        <v>3687510</v>
      </c>
      <c r="W6" s="174">
        <f t="shared" ref="W6:W11" si="9">IF(ISERR(V6/$V$11),"",V6/$V$11)</f>
        <v>0.13065865139873825</v>
      </c>
      <c r="X6" s="406">
        <f>P6+T6</f>
        <v>3687510</v>
      </c>
      <c r="Y6" s="224">
        <f t="shared" ref="Y6:Y11" si="10">IF(ISERR(X6/$X$11),"",X6/$X$11)</f>
        <v>0.13065865139873825</v>
      </c>
      <c r="Z6" s="459">
        <f>F6+J6+N6+R6</f>
        <v>437871987</v>
      </c>
      <c r="AA6" s="188">
        <f t="shared" ref="AA6:AA11" si="11">IF(ISERR(Z6/$Z$11),"",Z6/$Z$11)</f>
        <v>0.76570743029451716</v>
      </c>
      <c r="AB6" s="462">
        <f>H6+L6+P6+T6</f>
        <v>437871987</v>
      </c>
      <c r="AC6" s="119">
        <f t="shared" ref="AC6:AC11" si="12">IF(ISERR(AB6/$AB$11),"",AB6/$AB$11)</f>
        <v>0.76570743029451716</v>
      </c>
      <c r="AD6" s="351">
        <f>[1]東京事務!$L$5</f>
        <v>157743585</v>
      </c>
      <c r="AE6" s="7">
        <f t="shared" ref="AE6:AE11" si="13">IF(ISERR(AD6/$AD$11),"",AD6/$AD$11)</f>
        <v>0.64044994812875267</v>
      </c>
      <c r="AF6" s="354">
        <f>AD6</f>
        <v>157743585</v>
      </c>
      <c r="AG6" s="80">
        <f t="shared" ref="AG6:AG11" si="14">IF(ISERR(AF6/$AF$11),"",AF6/$AF$11)</f>
        <v>0.64044994812875267</v>
      </c>
      <c r="AH6" s="467">
        <f>[1]東京工場!$L$5</f>
        <v>0</v>
      </c>
      <c r="AI6" s="169">
        <f>IF(ISERR(AH6/$AH$11),"",AH6/$AH$11)</f>
        <v>0</v>
      </c>
      <c r="AJ6" s="421">
        <f>AH6</f>
        <v>0</v>
      </c>
      <c r="AK6" s="97">
        <f t="shared" ref="AK6:AK11" si="15">IF(ISERR(AJ6/$AJ$11),"",AJ6/$AJ$11)</f>
        <v>0</v>
      </c>
      <c r="AL6" s="472">
        <f>AD6+AH6</f>
        <v>157743585</v>
      </c>
      <c r="AM6" s="313">
        <f t="shared" ref="AM6:AM11" si="16">IF(ISERR(AL6/$AL$11),"",AL6/AL$11)</f>
        <v>0.61591827685054301</v>
      </c>
      <c r="AN6" s="477">
        <f>AF6+AJ6</f>
        <v>157743585</v>
      </c>
      <c r="AO6" s="119">
        <f t="shared" ref="AO6:AO11" si="17">IF(ISERR(AN6/$AN$11),"",AN6/$AN$11)</f>
        <v>0.61591827685054301</v>
      </c>
      <c r="AP6" s="481">
        <f>B6+Z6+AL6</f>
        <v>595615572</v>
      </c>
      <c r="AQ6" s="282">
        <f t="shared" ref="AQ6:AQ11" si="18">IF(ISERR(AP6/$AP$11),"",AP6/$AP$11)</f>
        <v>0.71937367718447787</v>
      </c>
      <c r="AR6" s="486">
        <f>D6+AB6+AN6</f>
        <v>595615572</v>
      </c>
      <c r="AS6" s="283">
        <f t="shared" ref="AS6:AS11" si="19">IF(ISERR(AR6/$AR$11),"",AR6/$AR$11)</f>
        <v>0.71937367718447787</v>
      </c>
      <c r="AT6" s="573">
        <f>[1]全社合計!$N$5</f>
        <v>655350010</v>
      </c>
      <c r="AU6" s="120">
        <f>IF(ISERR(AT6/$AT$11),"",AT6/$AT$11)</f>
        <v>0.67763905403665792</v>
      </c>
      <c r="AV6" s="577">
        <f>AT6</f>
        <v>655350010</v>
      </c>
      <c r="AW6" s="121">
        <f>IF(ISERR(AV6/$AV$11),"",AV6/$AV$11)</f>
        <v>0.67763905403665792</v>
      </c>
      <c r="AX6" s="573">
        <f>AP6-AT6</f>
        <v>-59734438</v>
      </c>
      <c r="AY6" s="120">
        <f>IF(ISERROR(AP6/AT6),"",AP6/AT6)</f>
        <v>0.90885109164795774</v>
      </c>
      <c r="AZ6" s="577">
        <f>AR6-AV6</f>
        <v>-59734438</v>
      </c>
      <c r="BA6" s="121">
        <f>IF(ISERROR(AR6/AV6),"",AR6/AV6)</f>
        <v>0.90885109164795774</v>
      </c>
      <c r="BB6" s="8"/>
    </row>
    <row r="7" spans="1:54" ht="15.95" customHeight="1">
      <c r="A7" s="254" t="s">
        <v>53</v>
      </c>
      <c r="B7" s="719"/>
      <c r="C7" s="259" t="str">
        <f t="shared" si="0"/>
        <v/>
      </c>
      <c r="D7" s="723">
        <f t="shared" si="1"/>
        <v>0</v>
      </c>
      <c r="E7" s="122" t="str">
        <f t="shared" si="2"/>
        <v/>
      </c>
      <c r="F7" s="352">
        <f>[1]本社営業!$L$6</f>
        <v>34430373</v>
      </c>
      <c r="G7" s="9">
        <f t="shared" si="3"/>
        <v>6.4385619282330733E-2</v>
      </c>
      <c r="H7" s="355">
        <f t="shared" ref="H7:H73" si="20">F7</f>
        <v>34430373</v>
      </c>
      <c r="I7" s="124">
        <f t="shared" ref="I7:I73" si="21">IF(ISERR(H7/$H$11),"",H7/$H$11)</f>
        <v>6.4385619282330733E-2</v>
      </c>
      <c r="J7" s="388">
        <f>[1]東大阪!$L$6</f>
        <v>0</v>
      </c>
      <c r="K7" s="9">
        <f t="shared" ref="K7:K73" si="22">IF(ISERR(J7/$J$11),"",J7/$J$11)</f>
        <v>0</v>
      </c>
      <c r="L7" s="355">
        <f t="shared" ref="L7:L73" si="23">J7</f>
        <v>0</v>
      </c>
      <c r="M7" s="124">
        <f t="shared" si="4"/>
        <v>0</v>
      </c>
      <c r="N7" s="403">
        <f>[1]南港工場!$L$6</f>
        <v>0</v>
      </c>
      <c r="O7" s="9">
        <f t="shared" si="5"/>
        <v>0</v>
      </c>
      <c r="P7" s="407">
        <f t="shared" ref="P7:P73" si="24">N7</f>
        <v>0</v>
      </c>
      <c r="Q7" s="204">
        <f t="shared" si="6"/>
        <v>0</v>
      </c>
      <c r="R7" s="437"/>
      <c r="S7" s="9" t="str">
        <f t="shared" si="7"/>
        <v/>
      </c>
      <c r="T7" s="407">
        <f t="shared" ref="T7:T73" si="25">R7</f>
        <v>0</v>
      </c>
      <c r="U7" s="204" t="str">
        <f t="shared" si="8"/>
        <v/>
      </c>
      <c r="V7" s="456">
        <f t="shared" ref="V7:V73" si="26">N7+R7</f>
        <v>0</v>
      </c>
      <c r="W7" s="171">
        <f t="shared" si="9"/>
        <v>0</v>
      </c>
      <c r="X7" s="407">
        <f t="shared" ref="X7:X73" si="27">P7+T7</f>
        <v>0</v>
      </c>
      <c r="Y7" s="225">
        <f t="shared" si="10"/>
        <v>0</v>
      </c>
      <c r="Z7" s="460">
        <f t="shared" ref="Z7:Z73" si="28">F7+J7+N7+R7</f>
        <v>34430373</v>
      </c>
      <c r="AA7" s="189">
        <f t="shared" si="11"/>
        <v>6.0208447255411489E-2</v>
      </c>
      <c r="AB7" s="463">
        <f t="shared" ref="AB7:AB73" si="29">H7+L7+P7+T7</f>
        <v>34430373</v>
      </c>
      <c r="AC7" s="123">
        <f t="shared" si="12"/>
        <v>6.0208447255411489E-2</v>
      </c>
      <c r="AD7" s="352">
        <f>[1]東京事務!$L$6</f>
        <v>0</v>
      </c>
      <c r="AE7" s="9">
        <f t="shared" si="13"/>
        <v>0</v>
      </c>
      <c r="AF7" s="355">
        <f t="shared" ref="AF7:AF73" si="30">AD7</f>
        <v>0</v>
      </c>
      <c r="AG7" s="81">
        <f t="shared" si="14"/>
        <v>0</v>
      </c>
      <c r="AH7" s="468">
        <f>[1]東京工場!$L$6</f>
        <v>0</v>
      </c>
      <c r="AI7" s="170">
        <f t="shared" ref="AI7:AI73" si="31">IF(ISERR(AH7/$AH$11),"",AH7/$AH$11)</f>
        <v>0</v>
      </c>
      <c r="AJ7" s="408">
        <f t="shared" ref="AJ7:AJ73" si="32">AH7</f>
        <v>0</v>
      </c>
      <c r="AK7" s="98">
        <f t="shared" si="15"/>
        <v>0</v>
      </c>
      <c r="AL7" s="473">
        <f t="shared" ref="AL7:AL73" si="33">AD7+AH7</f>
        <v>0</v>
      </c>
      <c r="AM7" s="314">
        <f t="shared" si="16"/>
        <v>0</v>
      </c>
      <c r="AN7" s="478">
        <f t="shared" ref="AN7:AN73" si="34">AF7+AJ7</f>
        <v>0</v>
      </c>
      <c r="AO7" s="123">
        <f t="shared" si="17"/>
        <v>0</v>
      </c>
      <c r="AP7" s="482">
        <f t="shared" ref="AP7:AP73" si="35">B7+Z7+AL7</f>
        <v>34430373</v>
      </c>
      <c r="AQ7" s="284">
        <f t="shared" si="18"/>
        <v>4.1584379583418887E-2</v>
      </c>
      <c r="AR7" s="487">
        <f t="shared" ref="AR7:AR73" si="36">D7+AB7+AN7</f>
        <v>34430373</v>
      </c>
      <c r="AS7" s="285">
        <f t="shared" si="19"/>
        <v>4.1584379583418887E-2</v>
      </c>
      <c r="AT7" s="574">
        <f>[1]全社合計!$N$6</f>
        <v>80023208</v>
      </c>
      <c r="AU7" s="124">
        <f t="shared" ref="AU7:AU73" si="37">IF(ISERR(AT7/$AT$11),"",AT7/$AT$11)</f>
        <v>8.2744869371557214E-2</v>
      </c>
      <c r="AV7" s="578">
        <f t="shared" ref="AV7:AV73" si="38">AT7</f>
        <v>80023208</v>
      </c>
      <c r="AW7" s="125">
        <f t="shared" ref="AW7:AW73" si="39">IF(ISERR(AV7/$AV$11),"",AV7/$AV$11)</f>
        <v>8.2744869371557214E-2</v>
      </c>
      <c r="AX7" s="574">
        <f t="shared" ref="AX7:AX73" si="40">AP7-AT7</f>
        <v>-45592835</v>
      </c>
      <c r="AY7" s="124">
        <f t="shared" ref="AY7:AY73" si="41">IF(ISERROR(AP7/AT7),"",AP7/AT7)</f>
        <v>0.43025484556930033</v>
      </c>
      <c r="AZ7" s="578">
        <f t="shared" ref="AZ7:AZ73" si="42">AR7-AV7</f>
        <v>-45592835</v>
      </c>
      <c r="BA7" s="125">
        <f t="shared" ref="BA7:BA73" si="43">IF(ISERROR(AR7/AV7),"",AR7/AV7)</f>
        <v>0.43025484556930033</v>
      </c>
      <c r="BB7" s="8"/>
    </row>
    <row r="8" spans="1:54" ht="15.95" customHeight="1">
      <c r="A8" s="255" t="s">
        <v>4</v>
      </c>
      <c r="B8" s="706"/>
      <c r="C8" s="259" t="str">
        <f t="shared" si="0"/>
        <v/>
      </c>
      <c r="D8" s="723">
        <f t="shared" si="1"/>
        <v>0</v>
      </c>
      <c r="E8" s="122" t="str">
        <f t="shared" si="2"/>
        <v/>
      </c>
      <c r="F8" s="352">
        <f>[1]本社営業!$L$7</f>
        <v>2985710</v>
      </c>
      <c r="G8" s="9">
        <f t="shared" si="3"/>
        <v>5.5833489619019723E-3</v>
      </c>
      <c r="H8" s="356">
        <f t="shared" si="20"/>
        <v>2985710</v>
      </c>
      <c r="I8" s="124">
        <f t="shared" si="21"/>
        <v>5.5833489619019723E-3</v>
      </c>
      <c r="J8" s="388">
        <f>[1]東大阪!$L$7</f>
        <v>0</v>
      </c>
      <c r="K8" s="9">
        <f t="shared" si="22"/>
        <v>0</v>
      </c>
      <c r="L8" s="356">
        <f t="shared" si="23"/>
        <v>0</v>
      </c>
      <c r="M8" s="124">
        <f t="shared" si="4"/>
        <v>0</v>
      </c>
      <c r="N8" s="403">
        <f>[1]南港工場!$L$7</f>
        <v>14694120</v>
      </c>
      <c r="O8" s="9">
        <f t="shared" si="5"/>
        <v>0.52065320573808016</v>
      </c>
      <c r="P8" s="408">
        <f t="shared" si="24"/>
        <v>14694120</v>
      </c>
      <c r="Q8" s="204">
        <f t="shared" si="6"/>
        <v>0.52065320573808016</v>
      </c>
      <c r="R8" s="437"/>
      <c r="S8" s="9" t="str">
        <f t="shared" si="7"/>
        <v/>
      </c>
      <c r="T8" s="408">
        <f t="shared" si="25"/>
        <v>0</v>
      </c>
      <c r="U8" s="204" t="str">
        <f t="shared" si="8"/>
        <v/>
      </c>
      <c r="V8" s="456">
        <f t="shared" si="26"/>
        <v>14694120</v>
      </c>
      <c r="W8" s="171">
        <f t="shared" si="9"/>
        <v>0.52065320573808016</v>
      </c>
      <c r="X8" s="408">
        <f t="shared" si="27"/>
        <v>14694120</v>
      </c>
      <c r="Y8" s="225">
        <f t="shared" si="10"/>
        <v>0.52065320573808016</v>
      </c>
      <c r="Z8" s="460">
        <f t="shared" si="28"/>
        <v>17679830</v>
      </c>
      <c r="AA8" s="189">
        <f t="shared" si="11"/>
        <v>3.0916746444763804E-2</v>
      </c>
      <c r="AB8" s="464">
        <f t="shared" si="29"/>
        <v>17679830</v>
      </c>
      <c r="AC8" s="123">
        <f t="shared" si="12"/>
        <v>3.0916746444763804E-2</v>
      </c>
      <c r="AD8" s="352">
        <f>[1]東京事務!$L$7</f>
        <v>114496</v>
      </c>
      <c r="AE8" s="9">
        <f t="shared" si="13"/>
        <v>4.6486173913791592E-4</v>
      </c>
      <c r="AF8" s="356">
        <f t="shared" si="30"/>
        <v>114496</v>
      </c>
      <c r="AG8" s="81">
        <f t="shared" si="14"/>
        <v>4.6486173913791592E-4</v>
      </c>
      <c r="AH8" s="468">
        <f>[1]東京工場!$L$7</f>
        <v>0</v>
      </c>
      <c r="AI8" s="171">
        <f t="shared" si="31"/>
        <v>0</v>
      </c>
      <c r="AJ8" s="408">
        <f t="shared" si="32"/>
        <v>0</v>
      </c>
      <c r="AK8" s="99">
        <f t="shared" si="15"/>
        <v>0</v>
      </c>
      <c r="AL8" s="474">
        <f t="shared" si="33"/>
        <v>114496</v>
      </c>
      <c r="AM8" s="314">
        <f t="shared" si="16"/>
        <v>4.4705576474808644E-4</v>
      </c>
      <c r="AN8" s="478">
        <f t="shared" si="34"/>
        <v>114496</v>
      </c>
      <c r="AO8" s="123">
        <f t="shared" si="17"/>
        <v>4.4705576474808644E-4</v>
      </c>
      <c r="AP8" s="483">
        <f t="shared" si="35"/>
        <v>17794326</v>
      </c>
      <c r="AQ8" s="284">
        <f t="shared" si="18"/>
        <v>2.1491663968180068E-2</v>
      </c>
      <c r="AR8" s="487">
        <f t="shared" si="36"/>
        <v>17794326</v>
      </c>
      <c r="AS8" s="285">
        <f t="shared" si="19"/>
        <v>2.1491663968180068E-2</v>
      </c>
      <c r="AT8" s="575">
        <f>[1]全社合計!$N$7</f>
        <v>14310081</v>
      </c>
      <c r="AU8" s="124">
        <f t="shared" si="37"/>
        <v>1.4796779742214321E-2</v>
      </c>
      <c r="AV8" s="578">
        <f t="shared" si="38"/>
        <v>14310081</v>
      </c>
      <c r="AW8" s="125">
        <f t="shared" si="39"/>
        <v>1.4796779742214321E-2</v>
      </c>
      <c r="AX8" s="575">
        <f t="shared" si="40"/>
        <v>3484245</v>
      </c>
      <c r="AY8" s="124">
        <f t="shared" si="41"/>
        <v>1.2434818503123777</v>
      </c>
      <c r="AZ8" s="578">
        <f t="shared" si="42"/>
        <v>3484245</v>
      </c>
      <c r="BA8" s="125">
        <f t="shared" si="43"/>
        <v>1.2434818503123777</v>
      </c>
      <c r="BB8" s="11"/>
    </row>
    <row r="9" spans="1:54" ht="15.95" customHeight="1">
      <c r="A9" s="255" t="s">
        <v>5</v>
      </c>
      <c r="B9" s="706"/>
      <c r="C9" s="259" t="str">
        <f t="shared" si="0"/>
        <v/>
      </c>
      <c r="D9" s="723">
        <f t="shared" si="1"/>
        <v>0</v>
      </c>
      <c r="E9" s="122" t="str">
        <f t="shared" si="2"/>
        <v/>
      </c>
      <c r="F9" s="352">
        <f>[1]本社営業!$L$8</f>
        <v>736070</v>
      </c>
      <c r="G9" s="9">
        <f t="shared" si="3"/>
        <v>1.3764684682662364E-3</v>
      </c>
      <c r="H9" s="356">
        <f t="shared" si="20"/>
        <v>736070</v>
      </c>
      <c r="I9" s="124">
        <f t="shared" si="21"/>
        <v>1.3764684682662364E-3</v>
      </c>
      <c r="J9" s="388">
        <f>[1]東大阪!$L$8</f>
        <v>0</v>
      </c>
      <c r="K9" s="9">
        <f t="shared" si="22"/>
        <v>0</v>
      </c>
      <c r="L9" s="356">
        <f t="shared" si="23"/>
        <v>0</v>
      </c>
      <c r="M9" s="124">
        <f t="shared" si="4"/>
        <v>0</v>
      </c>
      <c r="N9" s="403">
        <f>[1]南港工場!$L$8</f>
        <v>4480912</v>
      </c>
      <c r="O9" s="9">
        <f t="shared" si="5"/>
        <v>0.15877107288018827</v>
      </c>
      <c r="P9" s="408">
        <f t="shared" si="24"/>
        <v>4480912</v>
      </c>
      <c r="Q9" s="204">
        <f t="shared" si="6"/>
        <v>0.15877107288018827</v>
      </c>
      <c r="R9" s="437"/>
      <c r="S9" s="9" t="str">
        <f t="shared" si="7"/>
        <v/>
      </c>
      <c r="T9" s="408">
        <f t="shared" si="25"/>
        <v>0</v>
      </c>
      <c r="U9" s="204" t="str">
        <f t="shared" si="8"/>
        <v/>
      </c>
      <c r="V9" s="456">
        <f t="shared" si="26"/>
        <v>4480912</v>
      </c>
      <c r="W9" s="171">
        <f t="shared" si="9"/>
        <v>0.15877107288018827</v>
      </c>
      <c r="X9" s="408">
        <f t="shared" si="27"/>
        <v>4480912</v>
      </c>
      <c r="Y9" s="225">
        <f t="shared" si="10"/>
        <v>0.15877107288018827</v>
      </c>
      <c r="Z9" s="460">
        <f t="shared" si="28"/>
        <v>5216982</v>
      </c>
      <c r="AA9" s="189">
        <f t="shared" si="11"/>
        <v>9.1229446041560785E-3</v>
      </c>
      <c r="AB9" s="464">
        <f t="shared" si="29"/>
        <v>5216982</v>
      </c>
      <c r="AC9" s="123">
        <f t="shared" si="12"/>
        <v>9.1229446041560785E-3</v>
      </c>
      <c r="AD9" s="352">
        <f>[1]東京事務!$L$8</f>
        <v>6000</v>
      </c>
      <c r="AE9" s="9">
        <f t="shared" si="13"/>
        <v>2.4360418135371502E-5</v>
      </c>
      <c r="AF9" s="356">
        <f t="shared" si="30"/>
        <v>6000</v>
      </c>
      <c r="AG9" s="81">
        <f t="shared" si="14"/>
        <v>2.4360418135371502E-5</v>
      </c>
      <c r="AH9" s="468">
        <f>[1]東京工場!$L$8</f>
        <v>0</v>
      </c>
      <c r="AI9" s="171">
        <f t="shared" si="31"/>
        <v>0</v>
      </c>
      <c r="AJ9" s="408">
        <f t="shared" si="32"/>
        <v>0</v>
      </c>
      <c r="AK9" s="99">
        <f t="shared" si="15"/>
        <v>0</v>
      </c>
      <c r="AL9" s="474">
        <f t="shared" si="33"/>
        <v>6000</v>
      </c>
      <c r="AM9" s="314">
        <f t="shared" si="16"/>
        <v>2.3427321377939131E-5</v>
      </c>
      <c r="AN9" s="478">
        <f t="shared" si="34"/>
        <v>6000</v>
      </c>
      <c r="AO9" s="123">
        <f t="shared" si="17"/>
        <v>2.3427321377939131E-5</v>
      </c>
      <c r="AP9" s="483">
        <f t="shared" si="35"/>
        <v>5222982</v>
      </c>
      <c r="AQ9" s="284">
        <f t="shared" si="18"/>
        <v>6.3082228602450623E-3</v>
      </c>
      <c r="AR9" s="487">
        <f t="shared" si="36"/>
        <v>5222982</v>
      </c>
      <c r="AS9" s="285">
        <f t="shared" si="19"/>
        <v>6.3082228602450623E-3</v>
      </c>
      <c r="AT9" s="575">
        <f>[1]全社合計!$N$8</f>
        <v>3799887</v>
      </c>
      <c r="AU9" s="124">
        <f t="shared" si="37"/>
        <v>3.9291245789806186E-3</v>
      </c>
      <c r="AV9" s="578">
        <f t="shared" si="38"/>
        <v>3799887</v>
      </c>
      <c r="AW9" s="125">
        <f t="shared" si="39"/>
        <v>3.9291245789806186E-3</v>
      </c>
      <c r="AX9" s="575">
        <f t="shared" si="40"/>
        <v>1423095</v>
      </c>
      <c r="AY9" s="124">
        <f t="shared" si="41"/>
        <v>1.3745098209499387</v>
      </c>
      <c r="AZ9" s="578">
        <f t="shared" si="42"/>
        <v>1423095</v>
      </c>
      <c r="BA9" s="125">
        <f t="shared" si="43"/>
        <v>1.3745098209499387</v>
      </c>
      <c r="BB9" s="11"/>
    </row>
    <row r="10" spans="1:54" ht="15.95" customHeight="1">
      <c r="A10" s="256" t="s">
        <v>6</v>
      </c>
      <c r="B10" s="720"/>
      <c r="C10" s="260" t="str">
        <f t="shared" si="0"/>
        <v/>
      </c>
      <c r="D10" s="724">
        <f t="shared" si="1"/>
        <v>0</v>
      </c>
      <c r="E10" s="126" t="str">
        <f t="shared" si="2"/>
        <v/>
      </c>
      <c r="F10" s="353">
        <f>[1]本社営業!$L$9</f>
        <v>62928838</v>
      </c>
      <c r="G10" s="12">
        <f t="shared" si="3"/>
        <v>0.11767842902391637</v>
      </c>
      <c r="H10" s="357">
        <f t="shared" si="20"/>
        <v>62928838</v>
      </c>
      <c r="I10" s="128">
        <f t="shared" si="21"/>
        <v>0.11767842902391637</v>
      </c>
      <c r="J10" s="389">
        <f>[1]東大阪!$L$9</f>
        <v>8364925</v>
      </c>
      <c r="K10" s="12">
        <f t="shared" si="22"/>
        <v>0.94222312584339019</v>
      </c>
      <c r="L10" s="357">
        <f t="shared" si="23"/>
        <v>8364925</v>
      </c>
      <c r="M10" s="128">
        <f t="shared" si="4"/>
        <v>0.94222312584339019</v>
      </c>
      <c r="N10" s="404">
        <f>[1]南港工場!$L$9</f>
        <v>5359929</v>
      </c>
      <c r="O10" s="12">
        <f t="shared" si="5"/>
        <v>0.18991706998299335</v>
      </c>
      <c r="P10" s="409">
        <f t="shared" si="24"/>
        <v>5359929</v>
      </c>
      <c r="Q10" s="205">
        <f t="shared" si="6"/>
        <v>0.18991706998299335</v>
      </c>
      <c r="R10" s="438"/>
      <c r="S10" s="12" t="str">
        <f t="shared" si="7"/>
        <v/>
      </c>
      <c r="T10" s="409">
        <f t="shared" si="25"/>
        <v>0</v>
      </c>
      <c r="U10" s="205" t="str">
        <f t="shared" si="8"/>
        <v/>
      </c>
      <c r="V10" s="457">
        <f t="shared" si="26"/>
        <v>5359929</v>
      </c>
      <c r="W10" s="172">
        <f t="shared" si="9"/>
        <v>0.18991706998299335</v>
      </c>
      <c r="X10" s="409">
        <f t="shared" si="27"/>
        <v>5359929</v>
      </c>
      <c r="Y10" s="226">
        <f t="shared" si="10"/>
        <v>0.18991706998299335</v>
      </c>
      <c r="Z10" s="461">
        <f t="shared" si="28"/>
        <v>76653692</v>
      </c>
      <c r="AA10" s="190">
        <f t="shared" si="11"/>
        <v>0.13404443140115146</v>
      </c>
      <c r="AB10" s="465">
        <f t="shared" si="29"/>
        <v>76653692</v>
      </c>
      <c r="AC10" s="127">
        <f t="shared" si="12"/>
        <v>0.13404443140115146</v>
      </c>
      <c r="AD10" s="353">
        <f>[1]東京事務!$L$9</f>
        <v>88437110</v>
      </c>
      <c r="AE10" s="12">
        <f t="shared" si="13"/>
        <v>0.35906082971397407</v>
      </c>
      <c r="AF10" s="357">
        <f t="shared" si="30"/>
        <v>88437110</v>
      </c>
      <c r="AG10" s="82">
        <f t="shared" si="14"/>
        <v>0.35906082971397407</v>
      </c>
      <c r="AH10" s="469">
        <f>[1]東京工場!$L$9</f>
        <v>9810035</v>
      </c>
      <c r="AI10" s="172">
        <f t="shared" si="31"/>
        <v>1</v>
      </c>
      <c r="AJ10" s="409">
        <f t="shared" si="32"/>
        <v>9810035</v>
      </c>
      <c r="AK10" s="100">
        <f t="shared" si="15"/>
        <v>1</v>
      </c>
      <c r="AL10" s="475">
        <f t="shared" si="33"/>
        <v>98247145</v>
      </c>
      <c r="AM10" s="315">
        <f t="shared" si="16"/>
        <v>0.38361124006333092</v>
      </c>
      <c r="AN10" s="479">
        <f t="shared" si="34"/>
        <v>98247145</v>
      </c>
      <c r="AO10" s="127">
        <f t="shared" si="17"/>
        <v>0.38361124006333092</v>
      </c>
      <c r="AP10" s="484">
        <f t="shared" si="35"/>
        <v>174900837</v>
      </c>
      <c r="AQ10" s="286">
        <f t="shared" si="18"/>
        <v>0.21124205640367807</v>
      </c>
      <c r="AR10" s="488">
        <f t="shared" si="36"/>
        <v>174900837</v>
      </c>
      <c r="AS10" s="287">
        <f t="shared" si="19"/>
        <v>0.21124205640367807</v>
      </c>
      <c r="AT10" s="576">
        <f>[1]全社合計!$N$9</f>
        <v>213624607</v>
      </c>
      <c r="AU10" s="128">
        <f t="shared" si="37"/>
        <v>0.22089017227058991</v>
      </c>
      <c r="AV10" s="579">
        <f t="shared" si="38"/>
        <v>213624607</v>
      </c>
      <c r="AW10" s="129">
        <f t="shared" si="39"/>
        <v>0.22089017227058991</v>
      </c>
      <c r="AX10" s="576">
        <f t="shared" si="40"/>
        <v>-38723770</v>
      </c>
      <c r="AY10" s="128">
        <f t="shared" si="41"/>
        <v>0.81872982450940213</v>
      </c>
      <c r="AZ10" s="579">
        <f t="shared" si="42"/>
        <v>-38723770</v>
      </c>
      <c r="BA10" s="129">
        <f t="shared" si="43"/>
        <v>0.81872982450940213</v>
      </c>
      <c r="BB10" s="11"/>
    </row>
    <row r="11" spans="1:54" ht="19.899999999999999" customHeight="1">
      <c r="A11" s="62" t="s">
        <v>7</v>
      </c>
      <c r="B11" s="722">
        <f>SUM(B6:B10)</f>
        <v>0</v>
      </c>
      <c r="C11" s="132" t="str">
        <f t="shared" si="0"/>
        <v/>
      </c>
      <c r="D11" s="359">
        <f t="shared" si="1"/>
        <v>0</v>
      </c>
      <c r="E11" s="130" t="str">
        <f t="shared" si="2"/>
        <v/>
      </c>
      <c r="F11" s="358">
        <f>SUM(F6:F10)</f>
        <v>534752533</v>
      </c>
      <c r="G11" s="63">
        <f t="shared" si="3"/>
        <v>1</v>
      </c>
      <c r="H11" s="359">
        <f t="shared" si="20"/>
        <v>534752533</v>
      </c>
      <c r="I11" s="132">
        <f t="shared" si="21"/>
        <v>1</v>
      </c>
      <c r="J11" s="390">
        <f>SUM(J6:J10)</f>
        <v>8877860</v>
      </c>
      <c r="K11" s="63">
        <f t="shared" si="22"/>
        <v>1</v>
      </c>
      <c r="L11" s="359">
        <f t="shared" si="23"/>
        <v>8877860</v>
      </c>
      <c r="M11" s="132">
        <f t="shared" si="4"/>
        <v>1</v>
      </c>
      <c r="N11" s="405">
        <f>SUM(N6:N10)</f>
        <v>28222471</v>
      </c>
      <c r="O11" s="63">
        <f t="shared" si="5"/>
        <v>1</v>
      </c>
      <c r="P11" s="410">
        <f t="shared" si="24"/>
        <v>28222471</v>
      </c>
      <c r="Q11" s="206">
        <f t="shared" si="6"/>
        <v>1</v>
      </c>
      <c r="R11" s="439">
        <f>SUM(R6:R10)</f>
        <v>0</v>
      </c>
      <c r="S11" s="63" t="str">
        <f t="shared" si="7"/>
        <v/>
      </c>
      <c r="T11" s="410">
        <f t="shared" si="25"/>
        <v>0</v>
      </c>
      <c r="U11" s="206" t="str">
        <f t="shared" si="8"/>
        <v/>
      </c>
      <c r="V11" s="458">
        <f t="shared" si="26"/>
        <v>28222471</v>
      </c>
      <c r="W11" s="173">
        <f t="shared" si="9"/>
        <v>1</v>
      </c>
      <c r="X11" s="410">
        <f t="shared" si="27"/>
        <v>28222471</v>
      </c>
      <c r="Y11" s="227">
        <f t="shared" si="10"/>
        <v>1</v>
      </c>
      <c r="Z11" s="458">
        <f t="shared" si="28"/>
        <v>571852864</v>
      </c>
      <c r="AA11" s="191">
        <f t="shared" si="11"/>
        <v>1</v>
      </c>
      <c r="AB11" s="410">
        <f t="shared" si="29"/>
        <v>571852864</v>
      </c>
      <c r="AC11" s="131">
        <f t="shared" si="12"/>
        <v>1</v>
      </c>
      <c r="AD11" s="466">
        <f>SUM(AD6:AD10)</f>
        <v>246301191</v>
      </c>
      <c r="AE11" s="63">
        <f t="shared" si="13"/>
        <v>1</v>
      </c>
      <c r="AF11" s="359">
        <f t="shared" si="30"/>
        <v>246301191</v>
      </c>
      <c r="AG11" s="83">
        <f t="shared" si="14"/>
        <v>1</v>
      </c>
      <c r="AH11" s="470">
        <f>SUM(AH6:AH10)</f>
        <v>9810035</v>
      </c>
      <c r="AI11" s="173">
        <f t="shared" si="31"/>
        <v>1</v>
      </c>
      <c r="AJ11" s="471">
        <f t="shared" si="32"/>
        <v>9810035</v>
      </c>
      <c r="AK11" s="101">
        <f t="shared" si="15"/>
        <v>1</v>
      </c>
      <c r="AL11" s="476">
        <f t="shared" si="33"/>
        <v>256111226</v>
      </c>
      <c r="AM11" s="316">
        <f t="shared" si="16"/>
        <v>1</v>
      </c>
      <c r="AN11" s="480">
        <f t="shared" si="34"/>
        <v>256111226</v>
      </c>
      <c r="AO11" s="131">
        <f t="shared" si="17"/>
        <v>1</v>
      </c>
      <c r="AP11" s="485">
        <f t="shared" si="35"/>
        <v>827964090</v>
      </c>
      <c r="AQ11" s="132">
        <f t="shared" si="18"/>
        <v>1</v>
      </c>
      <c r="AR11" s="428">
        <f t="shared" si="36"/>
        <v>827964090</v>
      </c>
      <c r="AS11" s="131">
        <f t="shared" si="19"/>
        <v>1</v>
      </c>
      <c r="AT11" s="485">
        <f>SUM(AT6:AT10)</f>
        <v>967107793</v>
      </c>
      <c r="AU11" s="132">
        <f t="shared" si="37"/>
        <v>1</v>
      </c>
      <c r="AV11" s="410">
        <f>SUM(AV6:AV10)</f>
        <v>967107793</v>
      </c>
      <c r="AW11" s="131">
        <f t="shared" si="39"/>
        <v>1</v>
      </c>
      <c r="AX11" s="485">
        <f t="shared" si="40"/>
        <v>-139143703</v>
      </c>
      <c r="AY11" s="132">
        <f t="shared" si="41"/>
        <v>0.85612389435062697</v>
      </c>
      <c r="AZ11" s="410">
        <f t="shared" si="42"/>
        <v>-139143703</v>
      </c>
      <c r="BA11" s="131">
        <f t="shared" si="43"/>
        <v>0.85612389435062697</v>
      </c>
      <c r="BB11" s="13"/>
    </row>
    <row r="12" spans="1:54" s="634" customFormat="1" ht="15.95" customHeight="1">
      <c r="A12" s="605" t="s">
        <v>8</v>
      </c>
      <c r="B12" s="606"/>
      <c r="C12" s="607"/>
      <c r="D12" s="608"/>
      <c r="E12" s="609"/>
      <c r="F12" s="386">
        <f>[1]本社営業!$L$11</f>
        <v>2471715</v>
      </c>
      <c r="G12" s="610"/>
      <c r="H12" s="608">
        <f t="shared" si="20"/>
        <v>2471715</v>
      </c>
      <c r="I12" s="607"/>
      <c r="J12" s="611">
        <f>[1]東大阪!$L$11</f>
        <v>17050</v>
      </c>
      <c r="K12" s="610"/>
      <c r="L12" s="608">
        <f t="shared" si="23"/>
        <v>17050</v>
      </c>
      <c r="M12" s="607"/>
      <c r="N12" s="612">
        <f>[1]南港工場!$L$11</f>
        <v>93030</v>
      </c>
      <c r="O12" s="610"/>
      <c r="P12" s="613">
        <f t="shared" si="24"/>
        <v>93030</v>
      </c>
      <c r="Q12" s="614"/>
      <c r="R12" s="615"/>
      <c r="S12" s="610"/>
      <c r="T12" s="613">
        <f t="shared" si="25"/>
        <v>0</v>
      </c>
      <c r="U12" s="614"/>
      <c r="V12" s="616">
        <f t="shared" si="26"/>
        <v>93030</v>
      </c>
      <c r="W12" s="617"/>
      <c r="X12" s="613">
        <f t="shared" si="27"/>
        <v>93030</v>
      </c>
      <c r="Y12" s="618"/>
      <c r="Z12" s="616">
        <f t="shared" si="28"/>
        <v>2581795</v>
      </c>
      <c r="AA12" s="619"/>
      <c r="AB12" s="613">
        <f t="shared" si="29"/>
        <v>2581795</v>
      </c>
      <c r="AC12" s="620"/>
      <c r="AD12" s="386">
        <f>[1]東京事務!$L$11</f>
        <v>1004923</v>
      </c>
      <c r="AE12" s="610"/>
      <c r="AF12" s="608">
        <f t="shared" si="30"/>
        <v>1004923</v>
      </c>
      <c r="AG12" s="621"/>
      <c r="AH12" s="622"/>
      <c r="AI12" s="617">
        <f t="shared" si="31"/>
        <v>0</v>
      </c>
      <c r="AJ12" s="613">
        <f t="shared" si="32"/>
        <v>0</v>
      </c>
      <c r="AK12" s="623"/>
      <c r="AL12" s="624">
        <f t="shared" si="33"/>
        <v>1004923</v>
      </c>
      <c r="AM12" s="625"/>
      <c r="AN12" s="626">
        <f t="shared" si="34"/>
        <v>1004923</v>
      </c>
      <c r="AO12" s="620"/>
      <c r="AP12" s="627">
        <f t="shared" si="35"/>
        <v>3586718</v>
      </c>
      <c r="AQ12" s="628"/>
      <c r="AR12" s="629">
        <f t="shared" si="36"/>
        <v>3586718</v>
      </c>
      <c r="AS12" s="630"/>
      <c r="AT12" s="631">
        <f>[1]全社合計!$N$11</f>
        <v>4336706</v>
      </c>
      <c r="AU12" s="607"/>
      <c r="AV12" s="632">
        <f t="shared" si="38"/>
        <v>4336706</v>
      </c>
      <c r="AW12" s="620"/>
      <c r="AX12" s="631">
        <f t="shared" si="40"/>
        <v>-749988</v>
      </c>
      <c r="AY12" s="607">
        <f t="shared" si="41"/>
        <v>0.82706044633876497</v>
      </c>
      <c r="AZ12" s="632">
        <f t="shared" si="42"/>
        <v>-749988</v>
      </c>
      <c r="BA12" s="620">
        <f t="shared" si="43"/>
        <v>0.82706044633876497</v>
      </c>
      <c r="BB12" s="633"/>
    </row>
    <row r="13" spans="1:54" s="634" customFormat="1" ht="15.95" customHeight="1">
      <c r="A13" s="635" t="s">
        <v>9</v>
      </c>
      <c r="B13" s="636"/>
      <c r="C13" s="637"/>
      <c r="D13" s="638"/>
      <c r="E13" s="639"/>
      <c r="F13" s="640"/>
      <c r="G13" s="641"/>
      <c r="H13" s="638">
        <f t="shared" si="20"/>
        <v>0</v>
      </c>
      <c r="I13" s="637"/>
      <c r="J13" s="642"/>
      <c r="K13" s="641"/>
      <c r="L13" s="638">
        <f t="shared" si="23"/>
        <v>0</v>
      </c>
      <c r="M13" s="637"/>
      <c r="N13" s="643">
        <f>[1]南港工場!$L$12</f>
        <v>3976641</v>
      </c>
      <c r="O13" s="641"/>
      <c r="P13" s="644">
        <f t="shared" si="24"/>
        <v>3976641</v>
      </c>
      <c r="Q13" s="645"/>
      <c r="R13" s="646"/>
      <c r="S13" s="641"/>
      <c r="T13" s="644">
        <f t="shared" si="25"/>
        <v>0</v>
      </c>
      <c r="U13" s="645"/>
      <c r="V13" s="647">
        <f t="shared" si="26"/>
        <v>3976641</v>
      </c>
      <c r="W13" s="648"/>
      <c r="X13" s="644">
        <f t="shared" si="27"/>
        <v>3976641</v>
      </c>
      <c r="Y13" s="649"/>
      <c r="Z13" s="647">
        <f t="shared" si="28"/>
        <v>3976641</v>
      </c>
      <c r="AA13" s="650"/>
      <c r="AB13" s="644">
        <f t="shared" si="29"/>
        <v>3976641</v>
      </c>
      <c r="AC13" s="651"/>
      <c r="AD13" s="640"/>
      <c r="AE13" s="641"/>
      <c r="AF13" s="638">
        <f t="shared" si="30"/>
        <v>0</v>
      </c>
      <c r="AG13" s="652"/>
      <c r="AH13" s="653"/>
      <c r="AI13" s="648">
        <f t="shared" si="31"/>
        <v>0</v>
      </c>
      <c r="AJ13" s="644">
        <f t="shared" si="32"/>
        <v>0</v>
      </c>
      <c r="AK13" s="654"/>
      <c r="AL13" s="655">
        <f t="shared" si="33"/>
        <v>0</v>
      </c>
      <c r="AM13" s="656"/>
      <c r="AN13" s="657">
        <f t="shared" si="34"/>
        <v>0</v>
      </c>
      <c r="AO13" s="651"/>
      <c r="AP13" s="658">
        <f t="shared" si="35"/>
        <v>3976641</v>
      </c>
      <c r="AQ13" s="659"/>
      <c r="AR13" s="660">
        <f t="shared" si="36"/>
        <v>3976641</v>
      </c>
      <c r="AS13" s="661"/>
      <c r="AT13" s="662">
        <f>[1]全社合計!$N$12</f>
        <v>3535788</v>
      </c>
      <c r="AU13" s="637"/>
      <c r="AV13" s="663">
        <f t="shared" si="38"/>
        <v>3535788</v>
      </c>
      <c r="AW13" s="651"/>
      <c r="AX13" s="662">
        <f t="shared" si="40"/>
        <v>440853</v>
      </c>
      <c r="AY13" s="637">
        <f t="shared" si="41"/>
        <v>1.1246830975160276</v>
      </c>
      <c r="AZ13" s="663">
        <f t="shared" si="42"/>
        <v>440853</v>
      </c>
      <c r="BA13" s="651">
        <f t="shared" si="43"/>
        <v>1.1246830975160276</v>
      </c>
      <c r="BB13" s="633"/>
    </row>
    <row r="14" spans="1:54" ht="15.95" customHeight="1">
      <c r="A14" s="35" t="s">
        <v>10</v>
      </c>
      <c r="B14" s="705"/>
      <c r="C14" s="258" t="str">
        <f>IF(ISERR(B14/$B$11),"",B14/$B$11)</f>
        <v/>
      </c>
      <c r="D14" s="725">
        <f t="shared" si="1"/>
        <v>0</v>
      </c>
      <c r="E14" s="118" t="str">
        <f>IF(ISERR(D14/$D$11),"",D14/$D$11)</f>
        <v/>
      </c>
      <c r="F14" s="351">
        <f>[1]本社営業!$L$14</f>
        <v>1205973702</v>
      </c>
      <c r="G14" s="7">
        <f>IF(ISERR(F14/$F$11),"",F14/$F$11)</f>
        <v>2.2551996065065856</v>
      </c>
      <c r="H14" s="360">
        <f t="shared" si="20"/>
        <v>1205973702</v>
      </c>
      <c r="I14" s="120">
        <f t="shared" si="21"/>
        <v>2.2551996065065856</v>
      </c>
      <c r="J14" s="387"/>
      <c r="K14" s="7">
        <f t="shared" si="22"/>
        <v>0</v>
      </c>
      <c r="L14" s="360">
        <f t="shared" si="23"/>
        <v>0</v>
      </c>
      <c r="M14" s="120">
        <f>IF(ISERR(L14/$L$11),"",L14/$L$11)</f>
        <v>0</v>
      </c>
      <c r="N14" s="402"/>
      <c r="O14" s="7">
        <f>IF(ISERR(N14/$N$11),"",N14/$N$11)</f>
        <v>0</v>
      </c>
      <c r="P14" s="421">
        <f t="shared" si="24"/>
        <v>0</v>
      </c>
      <c r="Q14" s="203">
        <f>IF(ISERR(P14/$P$11),"",P14/$P$11)</f>
        <v>0</v>
      </c>
      <c r="R14" s="436"/>
      <c r="S14" s="7" t="str">
        <f>IF(ISERR(R14/$R$11),"",R14/$R$11)</f>
        <v/>
      </c>
      <c r="T14" s="421">
        <f t="shared" si="25"/>
        <v>0</v>
      </c>
      <c r="U14" s="203" t="str">
        <f>IF(ISERR(T14/$T$11),"",T14/$T$11)</f>
        <v/>
      </c>
      <c r="V14" s="455">
        <f t="shared" si="26"/>
        <v>0</v>
      </c>
      <c r="W14" s="174">
        <f>IF(ISERR(V14/$V$11),"",V14/$V$11)</f>
        <v>0</v>
      </c>
      <c r="X14" s="421">
        <f t="shared" si="27"/>
        <v>0</v>
      </c>
      <c r="Y14" s="224">
        <f>IF(ISERR(X14/$X$11),"",X14/$X$11)</f>
        <v>0</v>
      </c>
      <c r="Z14" s="459">
        <f t="shared" si="28"/>
        <v>1205973702</v>
      </c>
      <c r="AA14" s="188">
        <f>IF(ISERR(Z14/$Z$11),"",Z14/$Z$11)</f>
        <v>2.1088881037762888</v>
      </c>
      <c r="AB14" s="502">
        <f t="shared" si="29"/>
        <v>1205973702</v>
      </c>
      <c r="AC14" s="119">
        <f>IF(ISERR(AB14/$AB$11),"",AB14/$AB$11)</f>
        <v>2.1088881037762888</v>
      </c>
      <c r="AD14" s="351">
        <f>[1]東京事務!$L$14</f>
        <v>804499700</v>
      </c>
      <c r="AE14" s="7">
        <f>IF(ISERR(AD14/$AD$11),"",AD14/$AD$11)</f>
        <v>3.2663248469634887</v>
      </c>
      <c r="AF14" s="360">
        <f t="shared" si="30"/>
        <v>804499700</v>
      </c>
      <c r="AG14" s="80">
        <f>IF(ISERR(AF14/$AF$11),"",AF14/$AF$11)</f>
        <v>3.2663248469634887</v>
      </c>
      <c r="AH14" s="467"/>
      <c r="AI14" s="174">
        <f t="shared" si="31"/>
        <v>0</v>
      </c>
      <c r="AJ14" s="421">
        <f t="shared" si="32"/>
        <v>0</v>
      </c>
      <c r="AK14" s="102">
        <f t="shared" ref="AK14:AK45" si="44">IF(ISERR(AJ14/$AJ$11),"",AJ14/$AJ$11)</f>
        <v>0</v>
      </c>
      <c r="AL14" s="506">
        <f t="shared" si="33"/>
        <v>804499700</v>
      </c>
      <c r="AM14" s="313">
        <f>IF(ISERR(AL14/$AL$11),"",AL14/AL$11)</f>
        <v>3.1412121700592697</v>
      </c>
      <c r="AN14" s="477">
        <f t="shared" si="34"/>
        <v>804499700</v>
      </c>
      <c r="AO14" s="119">
        <f>IF(ISERR(AN14/$AN$11),"",AN14/$AN$11)</f>
        <v>3.1412121700592697</v>
      </c>
      <c r="AP14" s="511">
        <f t="shared" si="35"/>
        <v>2010473402</v>
      </c>
      <c r="AQ14" s="282">
        <f>IF(ISERR(AP14/$AP$11),"",AP14/$AP$11)</f>
        <v>2.4282132839843333</v>
      </c>
      <c r="AR14" s="486">
        <f t="shared" si="36"/>
        <v>2010473402</v>
      </c>
      <c r="AS14" s="283">
        <f>IF(ISERR(AR14/$AR$11),"",AR14/$AR$11)</f>
        <v>2.4282132839843333</v>
      </c>
      <c r="AT14" s="580">
        <f>[1]全社合計!$N$14</f>
        <v>1816376496</v>
      </c>
      <c r="AU14" s="120">
        <f t="shared" si="37"/>
        <v>1.8781530964253124</v>
      </c>
      <c r="AV14" s="577">
        <f t="shared" si="38"/>
        <v>1816376496</v>
      </c>
      <c r="AW14" s="121">
        <f t="shared" si="39"/>
        <v>1.8781530964253124</v>
      </c>
      <c r="AX14" s="592">
        <f t="shared" si="40"/>
        <v>194096906</v>
      </c>
      <c r="AY14" s="120">
        <f t="shared" si="41"/>
        <v>1.1068594019067288</v>
      </c>
      <c r="AZ14" s="577">
        <f t="shared" si="42"/>
        <v>194096906</v>
      </c>
      <c r="BA14" s="121">
        <f t="shared" si="43"/>
        <v>1.1068594019067288</v>
      </c>
      <c r="BB14" s="13"/>
    </row>
    <row r="15" spans="1:54" ht="15.95" customHeight="1">
      <c r="A15" s="35" t="s">
        <v>11</v>
      </c>
      <c r="B15" s="719"/>
      <c r="C15" s="259" t="str">
        <f>IF(ISERR(B15/$B$11),"",B15/$B$11)</f>
        <v/>
      </c>
      <c r="D15" s="726"/>
      <c r="E15" s="122" t="str">
        <f>IF(ISERR(D15/$D$11),"",D15/$D$11)</f>
        <v/>
      </c>
      <c r="F15" s="352">
        <f>[1]本社営業!$L$15</f>
        <v>470134699</v>
      </c>
      <c r="G15" s="9">
        <f>IF(ISERR(F15/$F$11),"",F15/$F$11)</f>
        <v>0.87916310814370657</v>
      </c>
      <c r="H15" s="355">
        <f t="shared" si="20"/>
        <v>470134699</v>
      </c>
      <c r="I15" s="124">
        <f t="shared" si="21"/>
        <v>0.87916310814370657</v>
      </c>
      <c r="J15" s="388">
        <f>[1]東大阪!$L$15</f>
        <v>495885</v>
      </c>
      <c r="K15" s="9">
        <f t="shared" si="22"/>
        <v>5.5856366286469936E-2</v>
      </c>
      <c r="L15" s="355">
        <f t="shared" si="23"/>
        <v>495885</v>
      </c>
      <c r="M15" s="124">
        <f>IF(ISERR(L15/$L$11),"",L15/$L$11)</f>
        <v>5.5856366286469936E-2</v>
      </c>
      <c r="N15" s="403">
        <f>[1]南港工場!$L$15</f>
        <v>2141339</v>
      </c>
      <c r="O15" s="9">
        <f>IF(ISERR(N15/$N$11),"",N15/$N$11)</f>
        <v>7.5873547713097123E-2</v>
      </c>
      <c r="P15" s="407">
        <f t="shared" si="24"/>
        <v>2141339</v>
      </c>
      <c r="Q15" s="204">
        <f>IF(ISERR(P15/$P$11),"",P15/$P$11)</f>
        <v>7.5873547713097123E-2</v>
      </c>
      <c r="R15" s="437"/>
      <c r="S15" s="9" t="str">
        <f>IF(ISERR(R15/$R$11),"",R15/$R$11)</f>
        <v/>
      </c>
      <c r="T15" s="407">
        <f t="shared" si="25"/>
        <v>0</v>
      </c>
      <c r="U15" s="204" t="str">
        <f>IF(ISERR(T15/$T$11),"",T15/$T$11)</f>
        <v/>
      </c>
      <c r="V15" s="456">
        <f t="shared" si="26"/>
        <v>2141339</v>
      </c>
      <c r="W15" s="171">
        <f>IF(ISERR(V15/$V$11),"",V15/$V$11)</f>
        <v>7.5873547713097123E-2</v>
      </c>
      <c r="X15" s="407">
        <f t="shared" si="27"/>
        <v>2141339</v>
      </c>
      <c r="Y15" s="225">
        <f>IF(ISERR(X15/$X$11),"",X15/$X$11)</f>
        <v>7.5873547713097123E-2</v>
      </c>
      <c r="Z15" s="460">
        <f t="shared" si="28"/>
        <v>472771923</v>
      </c>
      <c r="AA15" s="189">
        <f>IF(ISERR(Z15/$Z$11),"",Z15/$Z$11)</f>
        <v>0.82673700310435094</v>
      </c>
      <c r="AB15" s="463">
        <f t="shared" si="29"/>
        <v>472771923</v>
      </c>
      <c r="AC15" s="123">
        <f>IF(ISERR(AB15/$AB$11),"",AB15/$AB$11)</f>
        <v>0.82673700310435094</v>
      </c>
      <c r="AD15" s="352">
        <f>[1]東京事務!$L$15</f>
        <v>199249578</v>
      </c>
      <c r="AE15" s="9">
        <f>IF(ISERR(AD15/$AD$11),"",AD15/$AD$11)</f>
        <v>0.80896717222938641</v>
      </c>
      <c r="AF15" s="355">
        <f t="shared" si="30"/>
        <v>199249578</v>
      </c>
      <c r="AG15" s="81">
        <f>IF(ISERR(AF15/$AF$11),"",AF15/$AF$11)</f>
        <v>0.80896717222938641</v>
      </c>
      <c r="AH15" s="468">
        <f>[1]東京工場!$L$15</f>
        <v>0</v>
      </c>
      <c r="AI15" s="171">
        <f t="shared" si="31"/>
        <v>0</v>
      </c>
      <c r="AJ15" s="408">
        <f t="shared" si="32"/>
        <v>0</v>
      </c>
      <c r="AK15" s="99">
        <f t="shared" si="44"/>
        <v>0</v>
      </c>
      <c r="AL15" s="473">
        <f t="shared" si="33"/>
        <v>199249578</v>
      </c>
      <c r="AM15" s="314">
        <f>IF(ISERR(AL15/$AL$11),"",AL15/AL$11)</f>
        <v>0.77798064970412506</v>
      </c>
      <c r="AN15" s="478">
        <f t="shared" si="34"/>
        <v>199249578</v>
      </c>
      <c r="AO15" s="123">
        <f>IF(ISERR(AN15/$AN$11),"",AN15/$AN$11)</f>
        <v>0.77798064970412506</v>
      </c>
      <c r="AP15" s="482">
        <f t="shared" si="35"/>
        <v>672021501</v>
      </c>
      <c r="AQ15" s="284">
        <f>IF(ISERR(AP15/$AP$11),"",AP15/$AP$11)</f>
        <v>0.81165537143042032</v>
      </c>
      <c r="AR15" s="487">
        <f t="shared" si="36"/>
        <v>672021501</v>
      </c>
      <c r="AS15" s="285">
        <f>IF(ISERR(AR15/$AR$11),"",AR15/$AR$11)</f>
        <v>0.81165537143042032</v>
      </c>
      <c r="AT15" s="574">
        <f>[1]全社合計!$N$15</f>
        <v>867747663</v>
      </c>
      <c r="AU15" s="124">
        <f t="shared" si="37"/>
        <v>0.89726054249673493</v>
      </c>
      <c r="AV15" s="578">
        <f t="shared" si="38"/>
        <v>867747663</v>
      </c>
      <c r="AW15" s="125">
        <f t="shared" si="39"/>
        <v>0.89726054249673493</v>
      </c>
      <c r="AX15" s="574">
        <f t="shared" si="40"/>
        <v>-195726162</v>
      </c>
      <c r="AY15" s="124">
        <f t="shared" si="41"/>
        <v>0.77444345822455996</v>
      </c>
      <c r="AZ15" s="578">
        <f t="shared" si="42"/>
        <v>-195726162</v>
      </c>
      <c r="BA15" s="125">
        <f t="shared" si="43"/>
        <v>0.77444345822455996</v>
      </c>
      <c r="BB15" s="11"/>
    </row>
    <row r="16" spans="1:54" ht="15.95" customHeight="1">
      <c r="A16" s="36" t="s">
        <v>12</v>
      </c>
      <c r="B16" s="720"/>
      <c r="C16" s="260" t="str">
        <f>IF(ISERR(B16/$B$11),"",B16/$B$11)</f>
        <v/>
      </c>
      <c r="D16" s="724">
        <f t="shared" si="1"/>
        <v>0</v>
      </c>
      <c r="E16" s="126" t="str">
        <f>IF(ISERR(D16/$D$11),"",D16/$D$11)</f>
        <v/>
      </c>
      <c r="F16" s="353">
        <f>[1]本社営業!$L$16</f>
        <v>1212643896</v>
      </c>
      <c r="G16" s="12">
        <f>IF(ISERR(F16/$F$11),"",F16/$F$11)</f>
        <v>2.2676730284884878</v>
      </c>
      <c r="H16" s="357">
        <f t="shared" si="20"/>
        <v>1212643896</v>
      </c>
      <c r="I16" s="128">
        <f t="shared" si="21"/>
        <v>2.2676730284884878</v>
      </c>
      <c r="J16" s="389"/>
      <c r="K16" s="12">
        <f t="shared" si="22"/>
        <v>0</v>
      </c>
      <c r="L16" s="357">
        <f t="shared" si="23"/>
        <v>0</v>
      </c>
      <c r="M16" s="128">
        <f>IF(ISERR(L16/$L$11),"",L16/$L$11)</f>
        <v>0</v>
      </c>
      <c r="N16" s="404"/>
      <c r="O16" s="12">
        <f>IF(ISERR(N16/$N$11),"",N16/$N$11)</f>
        <v>0</v>
      </c>
      <c r="P16" s="409">
        <f t="shared" si="24"/>
        <v>0</v>
      </c>
      <c r="Q16" s="205">
        <f>IF(ISERR(P16/$P$11),"",P16/$P$11)</f>
        <v>0</v>
      </c>
      <c r="R16" s="438"/>
      <c r="S16" s="12" t="str">
        <f>IF(ISERR(R16/$R$11),"",R16/$R$11)</f>
        <v/>
      </c>
      <c r="T16" s="409">
        <f t="shared" si="25"/>
        <v>0</v>
      </c>
      <c r="U16" s="205" t="str">
        <f>IF(ISERR(T16/$T$11),"",T16/$T$11)</f>
        <v/>
      </c>
      <c r="V16" s="457">
        <f t="shared" si="26"/>
        <v>0</v>
      </c>
      <c r="W16" s="172">
        <f>IF(ISERR(V16/$V$11),"",V16/$V$11)</f>
        <v>0</v>
      </c>
      <c r="X16" s="409">
        <f t="shared" si="27"/>
        <v>0</v>
      </c>
      <c r="Y16" s="226">
        <f>IF(ISERR(X16/$X$11),"",X16/$X$11)</f>
        <v>0</v>
      </c>
      <c r="Z16" s="461">
        <f t="shared" si="28"/>
        <v>1212643896</v>
      </c>
      <c r="AA16" s="190">
        <f>IF(ISERR(Z16/$Z$11),"",Z16/$Z$11)</f>
        <v>2.1205522824836285</v>
      </c>
      <c r="AB16" s="465">
        <f t="shared" si="29"/>
        <v>1212643896</v>
      </c>
      <c r="AC16" s="127">
        <f>IF(ISERR(AB16/$AB$11),"",AB16/$AB$11)</f>
        <v>2.1205522824836285</v>
      </c>
      <c r="AD16" s="353">
        <f>[1]東京事務!$L$16</f>
        <v>778809293</v>
      </c>
      <c r="AE16" s="12">
        <f>IF(ISERR(AD16/$AD$11),"",AD16/$AD$11)</f>
        <v>3.1620200041988427</v>
      </c>
      <c r="AF16" s="357">
        <f t="shared" si="30"/>
        <v>778809293</v>
      </c>
      <c r="AG16" s="82">
        <f>IF(ISERR(AF16/$AF$11),"",AF16/$AF$11)</f>
        <v>3.1620200041988427</v>
      </c>
      <c r="AH16" s="469"/>
      <c r="AI16" s="172">
        <f t="shared" si="31"/>
        <v>0</v>
      </c>
      <c r="AJ16" s="409">
        <f t="shared" si="32"/>
        <v>0</v>
      </c>
      <c r="AK16" s="100">
        <f t="shared" si="44"/>
        <v>0</v>
      </c>
      <c r="AL16" s="475">
        <f t="shared" si="33"/>
        <v>778809293</v>
      </c>
      <c r="AM16" s="315">
        <f>IF(ISERR(AL16/$AL$11),"",AL16/AL$11)</f>
        <v>3.0409025998727599</v>
      </c>
      <c r="AN16" s="479">
        <f t="shared" si="34"/>
        <v>778809293</v>
      </c>
      <c r="AO16" s="127">
        <f>IF(ISERR(AN16/$AN$11),"",AN16/$AN$11)</f>
        <v>3.0409025998727599</v>
      </c>
      <c r="AP16" s="484">
        <f t="shared" si="35"/>
        <v>1991453189</v>
      </c>
      <c r="AQ16" s="286">
        <f>IF(ISERR(AP16/$AP$11),"",AP16/$AP$11)</f>
        <v>2.4052410159479258</v>
      </c>
      <c r="AR16" s="488">
        <f t="shared" si="36"/>
        <v>1991453189</v>
      </c>
      <c r="AS16" s="287">
        <f>IF(ISERR(AR16/$AR$11),"",AR16/$AR$11)</f>
        <v>2.4052410159479258</v>
      </c>
      <c r="AT16" s="581">
        <f>[1]全社合計!$N$16</f>
        <v>1864108715</v>
      </c>
      <c r="AU16" s="128">
        <f t="shared" si="37"/>
        <v>1.9275087311802894</v>
      </c>
      <c r="AV16" s="579">
        <f t="shared" si="38"/>
        <v>1864108715</v>
      </c>
      <c r="AW16" s="129">
        <f t="shared" si="39"/>
        <v>1.9275087311802894</v>
      </c>
      <c r="AX16" s="576">
        <f t="shared" si="40"/>
        <v>127344474</v>
      </c>
      <c r="AY16" s="128">
        <f t="shared" si="41"/>
        <v>1.0683138665547196</v>
      </c>
      <c r="AZ16" s="579">
        <f t="shared" si="42"/>
        <v>127344474</v>
      </c>
      <c r="BA16" s="129">
        <f t="shared" si="43"/>
        <v>1.0683138665547196</v>
      </c>
      <c r="BB16" s="11"/>
    </row>
    <row r="17" spans="1:54" ht="19.899999999999999" customHeight="1">
      <c r="A17" s="60" t="s">
        <v>13</v>
      </c>
      <c r="B17" s="524">
        <f>+B14+B15-B16</f>
        <v>0</v>
      </c>
      <c r="C17" s="135" t="str">
        <f>IF(ISERR(B17/$B$11),"",B17/$B$11)</f>
        <v/>
      </c>
      <c r="D17" s="385">
        <f t="shared" si="1"/>
        <v>0</v>
      </c>
      <c r="E17" s="133" t="str">
        <f>IF(ISERR(D17/$D$11),"",D17/$D$11)</f>
        <v/>
      </c>
      <c r="F17" s="384">
        <f>F14+F15-F16</f>
        <v>463464505</v>
      </c>
      <c r="G17" s="61">
        <f>IF(ISERR(F17/$F$11),"",F17/$F$11)</f>
        <v>0.86668968616180453</v>
      </c>
      <c r="H17" s="385">
        <f t="shared" si="20"/>
        <v>463464505</v>
      </c>
      <c r="I17" s="135">
        <f t="shared" si="21"/>
        <v>0.86668968616180453</v>
      </c>
      <c r="J17" s="391">
        <f>J14+J15-J16</f>
        <v>495885</v>
      </c>
      <c r="K17" s="61">
        <f t="shared" si="22"/>
        <v>5.5856366286469936E-2</v>
      </c>
      <c r="L17" s="385">
        <f t="shared" si="23"/>
        <v>495885</v>
      </c>
      <c r="M17" s="135">
        <f>IF(ISERR(L17/$L$11),"",L17/$L$11)</f>
        <v>5.5856366286469936E-2</v>
      </c>
      <c r="N17" s="411">
        <f>N14+N15-N16</f>
        <v>2141339</v>
      </c>
      <c r="O17" s="61">
        <f>IF(ISERR(N17/$N$11),"",N17/$N$11)</f>
        <v>7.5873547713097123E-2</v>
      </c>
      <c r="P17" s="423">
        <f t="shared" si="24"/>
        <v>2141339</v>
      </c>
      <c r="Q17" s="207">
        <f>IF(ISERR(P17/$P$11),"",P17/$P$11)</f>
        <v>7.5873547713097123E-2</v>
      </c>
      <c r="R17" s="440">
        <f>R14+R15-R16</f>
        <v>0</v>
      </c>
      <c r="S17" s="61" t="str">
        <f>IF(ISERR(R17/$R$11),"",R17/$R$11)</f>
        <v/>
      </c>
      <c r="T17" s="423">
        <f t="shared" si="25"/>
        <v>0</v>
      </c>
      <c r="U17" s="207" t="str">
        <f>IF(ISERR(T17/$T$11),"",T17/$T$11)</f>
        <v/>
      </c>
      <c r="V17" s="489">
        <f t="shared" si="26"/>
        <v>2141339</v>
      </c>
      <c r="W17" s="175">
        <f>IF(ISERR(V17/$V$11),"",V17/$V$11)</f>
        <v>7.5873547713097123E-2</v>
      </c>
      <c r="X17" s="423">
        <f t="shared" si="27"/>
        <v>2141339</v>
      </c>
      <c r="Y17" s="228">
        <f>IF(ISERR(X17/$X$11),"",X17/$X$11)</f>
        <v>7.5873547713097123E-2</v>
      </c>
      <c r="Z17" s="489">
        <f t="shared" si="28"/>
        <v>466101729</v>
      </c>
      <c r="AA17" s="192">
        <f>IF(ISERR(Z17/$Z$11),"",Z17/$Z$11)</f>
        <v>0.81507282439701134</v>
      </c>
      <c r="AB17" s="423">
        <f t="shared" si="29"/>
        <v>466101729</v>
      </c>
      <c r="AC17" s="134">
        <f>IF(ISERR(AB17/$AB$11),"",AB17/$AB$11)</f>
        <v>0.81507282439701134</v>
      </c>
      <c r="AD17" s="384">
        <f>AD14+AD15-AD16</f>
        <v>224939985</v>
      </c>
      <c r="AE17" s="331">
        <f>IF(ISERR(AD17/$AD$11),"",AD17/$AD$11)</f>
        <v>0.91327201499403221</v>
      </c>
      <c r="AF17" s="562">
        <f t="shared" si="30"/>
        <v>224939985</v>
      </c>
      <c r="AG17" s="330">
        <f>IF(ISERR(AF17/$AF$11),"",AF17/$AF$11)</f>
        <v>0.91327201499403221</v>
      </c>
      <c r="AH17" s="489">
        <f>AH14+AH15-AH16</f>
        <v>0</v>
      </c>
      <c r="AI17" s="194">
        <f t="shared" si="31"/>
        <v>0</v>
      </c>
      <c r="AJ17" s="536">
        <f t="shared" si="32"/>
        <v>0</v>
      </c>
      <c r="AK17" s="103">
        <f t="shared" si="44"/>
        <v>0</v>
      </c>
      <c r="AL17" s="544">
        <f t="shared" si="33"/>
        <v>224939985</v>
      </c>
      <c r="AM17" s="317">
        <f>IF(ISERR(AL17/$AL$11),"",AL17/AL$11)</f>
        <v>0.87829021989063449</v>
      </c>
      <c r="AN17" s="536">
        <f t="shared" si="34"/>
        <v>224939985</v>
      </c>
      <c r="AO17" s="134">
        <f>IF(ISERR(AN17/$AN$11),"",AN17/$AN$11)</f>
        <v>0.87829021989063449</v>
      </c>
      <c r="AP17" s="524">
        <f t="shared" si="35"/>
        <v>691041714</v>
      </c>
      <c r="AQ17" s="135">
        <f>IF(ISERR(AP17/$AP$11),"",AP17/$AP$11)</f>
        <v>0.83462763946682761</v>
      </c>
      <c r="AR17" s="516">
        <f t="shared" si="36"/>
        <v>691041714</v>
      </c>
      <c r="AS17" s="134">
        <f>IF(ISERR(AR17/$AR$11),"",AR17/$AR$11)</f>
        <v>0.83462763946682761</v>
      </c>
      <c r="AT17" s="524">
        <f>AT14+AT15-AT16</f>
        <v>820015444</v>
      </c>
      <c r="AU17" s="135">
        <f t="shared" si="37"/>
        <v>0.84790490774175775</v>
      </c>
      <c r="AV17" s="596">
        <f t="shared" si="38"/>
        <v>820015444</v>
      </c>
      <c r="AW17" s="134">
        <f t="shared" si="39"/>
        <v>0.84790490774175775</v>
      </c>
      <c r="AX17" s="524">
        <f t="shared" si="40"/>
        <v>-128973730</v>
      </c>
      <c r="AY17" s="135">
        <f t="shared" si="41"/>
        <v>0.84271792568823867</v>
      </c>
      <c r="AZ17" s="596">
        <f t="shared" si="42"/>
        <v>-128973730</v>
      </c>
      <c r="BA17" s="134">
        <f t="shared" si="43"/>
        <v>0.84271792568823867</v>
      </c>
      <c r="BB17" s="11"/>
    </row>
    <row r="18" spans="1:54" ht="19.899999999999999" customHeight="1">
      <c r="A18" s="55" t="s">
        <v>14</v>
      </c>
      <c r="B18" s="709">
        <f>+B11-B17</f>
        <v>0</v>
      </c>
      <c r="C18" s="138" t="str">
        <f>IF(ISERR(B18/$B$11),"",B18/$B$11)</f>
        <v/>
      </c>
      <c r="D18" s="376">
        <f t="shared" si="1"/>
        <v>0</v>
      </c>
      <c r="E18" s="136" t="str">
        <f>IF(ISERR(D18/$D$11),"",D18/$D$11)</f>
        <v/>
      </c>
      <c r="F18" s="375">
        <f>F11-F17</f>
        <v>71288028</v>
      </c>
      <c r="G18" s="56">
        <f>IF(ISERR(F18/$F$11),"",F18/$F$11)</f>
        <v>0.1333103138381955</v>
      </c>
      <c r="H18" s="376">
        <f t="shared" si="20"/>
        <v>71288028</v>
      </c>
      <c r="I18" s="138">
        <f t="shared" si="21"/>
        <v>0.1333103138381955</v>
      </c>
      <c r="J18" s="392">
        <f>J11-J17</f>
        <v>8381975</v>
      </c>
      <c r="K18" s="56">
        <f t="shared" si="22"/>
        <v>0.94414363371353005</v>
      </c>
      <c r="L18" s="376">
        <f t="shared" si="23"/>
        <v>8381975</v>
      </c>
      <c r="M18" s="138">
        <f>IF(ISERR(L18/$L$11),"",L18/$L$11)</f>
        <v>0.94414363371353005</v>
      </c>
      <c r="N18" s="412">
        <f>N11-N17</f>
        <v>26081132</v>
      </c>
      <c r="O18" s="56">
        <f>IF(ISERR(N18/$N$11),"",N18/$N$11)</f>
        <v>0.92412645228690282</v>
      </c>
      <c r="P18" s="424">
        <f t="shared" si="24"/>
        <v>26081132</v>
      </c>
      <c r="Q18" s="208">
        <f>IF(ISERR(P18/$P$11),"",P18/$P$11)</f>
        <v>0.92412645228690282</v>
      </c>
      <c r="R18" s="441">
        <f>R11-R17</f>
        <v>0</v>
      </c>
      <c r="S18" s="56" t="str">
        <f>IF(ISERR(R18/$R$11),"",R18/$R$11)</f>
        <v/>
      </c>
      <c r="T18" s="424">
        <f t="shared" si="25"/>
        <v>0</v>
      </c>
      <c r="U18" s="208" t="str">
        <f>IF(ISERR(T18/$T$11),"",T18/$T$11)</f>
        <v/>
      </c>
      <c r="V18" s="490">
        <f t="shared" si="26"/>
        <v>26081132</v>
      </c>
      <c r="W18" s="176">
        <f>IF(ISERR(V18/$V$11),"",V18/$V$11)</f>
        <v>0.92412645228690282</v>
      </c>
      <c r="X18" s="424">
        <f t="shared" si="27"/>
        <v>26081132</v>
      </c>
      <c r="Y18" s="229">
        <f>IF(ISERR(X18/$X$11),"",X18/$X$11)</f>
        <v>0.92412645228690282</v>
      </c>
      <c r="Z18" s="490">
        <f t="shared" si="28"/>
        <v>105751135</v>
      </c>
      <c r="AA18" s="193">
        <f>IF(ISERR(Z18/$Z$11),"",Z18/$Z$11)</f>
        <v>0.18492717560298869</v>
      </c>
      <c r="AB18" s="424">
        <f t="shared" si="29"/>
        <v>105751135</v>
      </c>
      <c r="AC18" s="137">
        <f>IF(ISERR(AB18/$AB$11),"",AB18/$AB$11)</f>
        <v>0.18492717560298869</v>
      </c>
      <c r="AD18" s="375">
        <f>AD11-AD17</f>
        <v>21361206</v>
      </c>
      <c r="AE18" s="56">
        <f>IF(ISERR(AD18/$AD$11),"",AD18/$AD$11)</f>
        <v>8.6727985005967748E-2</v>
      </c>
      <c r="AF18" s="376">
        <f t="shared" si="30"/>
        <v>21361206</v>
      </c>
      <c r="AG18" s="84">
        <f>IF(ISERR(AF18/$AF$11),"",AF18/$AF$11)</f>
        <v>8.6727985005967748E-2</v>
      </c>
      <c r="AH18" s="392">
        <f>AH11-AH17</f>
        <v>9810035</v>
      </c>
      <c r="AI18" s="176">
        <f t="shared" si="31"/>
        <v>1</v>
      </c>
      <c r="AJ18" s="556">
        <f t="shared" si="32"/>
        <v>9810035</v>
      </c>
      <c r="AK18" s="104">
        <f t="shared" si="44"/>
        <v>1</v>
      </c>
      <c r="AL18" s="545">
        <f t="shared" si="33"/>
        <v>31171241</v>
      </c>
      <c r="AM18" s="318">
        <f>IF(ISERR(AL18/$AL$11),"",AL18/AL$11)</f>
        <v>0.12170978010936545</v>
      </c>
      <c r="AN18" s="537">
        <f t="shared" si="34"/>
        <v>31171241</v>
      </c>
      <c r="AO18" s="137">
        <f>IF(ISERR(AN18/$AN$11),"",AN18/$AN$11)</f>
        <v>0.12170978010936545</v>
      </c>
      <c r="AP18" s="525">
        <f t="shared" si="35"/>
        <v>136922376</v>
      </c>
      <c r="AQ18" s="305">
        <f>IF(ISERR(AP18/$AP$11),"",AP18/$AP$11)</f>
        <v>0.16537236053317239</v>
      </c>
      <c r="AR18" s="517">
        <f t="shared" si="36"/>
        <v>136922376</v>
      </c>
      <c r="AS18" s="304">
        <f>IF(ISERR(AR18/$AR$11),"",AR18/$AR$11)</f>
        <v>0.16537236053317239</v>
      </c>
      <c r="AT18" s="582">
        <f>AT11-AT17</f>
        <v>147092349</v>
      </c>
      <c r="AU18" s="138">
        <f t="shared" si="37"/>
        <v>0.15209509225824219</v>
      </c>
      <c r="AV18" s="597">
        <f t="shared" si="38"/>
        <v>147092349</v>
      </c>
      <c r="AW18" s="137">
        <f t="shared" si="39"/>
        <v>0.15209509225824219</v>
      </c>
      <c r="AX18" s="582">
        <f t="shared" si="40"/>
        <v>-10169973</v>
      </c>
      <c r="AY18" s="138">
        <f t="shared" si="41"/>
        <v>0.93085994567943164</v>
      </c>
      <c r="AZ18" s="597">
        <f t="shared" si="42"/>
        <v>-10169973</v>
      </c>
      <c r="BA18" s="137">
        <f t="shared" si="43"/>
        <v>0.93085994567943164</v>
      </c>
      <c r="BB18" s="13"/>
    </row>
    <row r="19" spans="1:54" ht="15.95" customHeight="1">
      <c r="A19" s="37" t="s">
        <v>15</v>
      </c>
      <c r="B19" s="702">
        <f>[1]本部!$L$19</f>
        <v>5756800</v>
      </c>
      <c r="C19" s="258" t="str">
        <f t="shared" ref="C19:C47" si="45">IF(ISERR(B19/$B$11),"",B19/$B$11)</f>
        <v/>
      </c>
      <c r="D19" s="727">
        <f t="shared" si="1"/>
        <v>5756800</v>
      </c>
      <c r="E19" s="118" t="str">
        <f t="shared" ref="E19:E47" si="46">IF(ISERR(D19/$D$11),"",D19/$D$11)</f>
        <v/>
      </c>
      <c r="F19" s="351">
        <f>[1]本社営業!$L$19</f>
        <v>10130507</v>
      </c>
      <c r="G19" s="7">
        <f t="shared" ref="G19:G47" si="47">IF(ISERR(F19/$F$11),"",F19/$F$11)</f>
        <v>1.8944289881465601E-2</v>
      </c>
      <c r="H19" s="361">
        <f t="shared" si="20"/>
        <v>10130507</v>
      </c>
      <c r="I19" s="120">
        <f t="shared" si="21"/>
        <v>1.8944289881465601E-2</v>
      </c>
      <c r="J19" s="387">
        <f>[1]東大阪!$L$19</f>
        <v>3780080</v>
      </c>
      <c r="K19" s="7">
        <f t="shared" si="22"/>
        <v>0.42578729558699957</v>
      </c>
      <c r="L19" s="361">
        <f t="shared" si="23"/>
        <v>3780080</v>
      </c>
      <c r="M19" s="120">
        <f t="shared" ref="M19:M47" si="48">IF(ISERR(L19/$L$11),"",L19/$L$11)</f>
        <v>0.42578729558699957</v>
      </c>
      <c r="N19" s="402">
        <f>[1]南港工場!$L$19</f>
        <v>6988011</v>
      </c>
      <c r="O19" s="7">
        <f t="shared" ref="O19:O47" si="49">IF(ISERR(N19/$N$11),"",N19/$N$11)</f>
        <v>0.24760450635240266</v>
      </c>
      <c r="P19" s="425">
        <f t="shared" si="24"/>
        <v>6988011</v>
      </c>
      <c r="Q19" s="203">
        <f t="shared" ref="Q19:Q47" si="50">IF(ISERR(P19/$P$11),"",P19/$P$11)</f>
        <v>0.24760450635240266</v>
      </c>
      <c r="R19" s="436">
        <f>[1]南港事務!$L$19</f>
        <v>2788493</v>
      </c>
      <c r="S19" s="7" t="str">
        <f t="shared" ref="S19:S47" si="51">IF(ISERR(R19/$R$11),"",R19/$R$11)</f>
        <v/>
      </c>
      <c r="T19" s="425">
        <f t="shared" si="25"/>
        <v>2788493</v>
      </c>
      <c r="U19" s="203" t="str">
        <f t="shared" ref="U19:U47" si="52">IF(ISERR(T19/$T$11),"",T19/$T$11)</f>
        <v/>
      </c>
      <c r="V19" s="455">
        <f t="shared" si="26"/>
        <v>9776504</v>
      </c>
      <c r="W19" s="174">
        <f t="shared" ref="W19:W47" si="53">IF(ISERR(V19/$V$11),"",V19/$V$11)</f>
        <v>0.34640850547778046</v>
      </c>
      <c r="X19" s="425">
        <f t="shared" si="27"/>
        <v>9776504</v>
      </c>
      <c r="Y19" s="224">
        <f t="shared" ref="Y19:Y47" si="54">IF(ISERR(X19/$X$11),"",X19/$X$11)</f>
        <v>0.34640850547778046</v>
      </c>
      <c r="Z19" s="459">
        <f t="shared" si="28"/>
        <v>23687091</v>
      </c>
      <c r="AA19" s="188">
        <f t="shared" ref="AA19:AA47" si="55">IF(ISERR(Z19/$Z$11),"",Z19/$Z$11)</f>
        <v>4.1421653175457387E-2</v>
      </c>
      <c r="AB19" s="563">
        <f t="shared" si="29"/>
        <v>23687091</v>
      </c>
      <c r="AC19" s="119">
        <f t="shared" ref="AC19:AC47" si="56">IF(ISERR(AB19/$AB$11),"",AB19/$AB$11)</f>
        <v>4.1421653175457387E-2</v>
      </c>
      <c r="AD19" s="351">
        <f>[1]東京事務!$L$19</f>
        <v>4513900</v>
      </c>
      <c r="AE19" s="7">
        <f t="shared" ref="AE19:AE47" si="57">IF(ISERR(AD19/$AD$11),"",AD19/$AD$11)</f>
        <v>1.8326748570208905E-2</v>
      </c>
      <c r="AF19" s="361">
        <f t="shared" si="30"/>
        <v>4513900</v>
      </c>
      <c r="AG19" s="80">
        <f t="shared" ref="AG19:AG47" si="58">IF(ISERR(AF19/$AF$11),"",AF19/$AF$11)</f>
        <v>1.8326748570208905E-2</v>
      </c>
      <c r="AH19" s="387">
        <f>[1]東京工場!$L$19</f>
        <v>4592338</v>
      </c>
      <c r="AI19" s="174">
        <f t="shared" si="31"/>
        <v>0.46812656631704169</v>
      </c>
      <c r="AJ19" s="421">
        <f t="shared" si="32"/>
        <v>4592338</v>
      </c>
      <c r="AK19" s="102">
        <f t="shared" si="44"/>
        <v>0.46812656631704169</v>
      </c>
      <c r="AL19" s="546">
        <f t="shared" si="33"/>
        <v>9106238</v>
      </c>
      <c r="AM19" s="313">
        <f t="shared" ref="AM19:AM47" si="59">IF(ISERR(AL19/$AL$11),"",AL19/AL$11)</f>
        <v>3.5555794028333615E-2</v>
      </c>
      <c r="AN19" s="477">
        <f t="shared" si="34"/>
        <v>9106238</v>
      </c>
      <c r="AO19" s="119">
        <f t="shared" ref="AO19:AO47" si="60">IF(ISERR(AN19/$AN$11),"",AN19/$AN$11)</f>
        <v>3.5555794028333615E-2</v>
      </c>
      <c r="AP19" s="526">
        <f t="shared" si="35"/>
        <v>38550129</v>
      </c>
      <c r="AQ19" s="282">
        <f t="shared" ref="AQ19:AQ47" si="61">IF(ISERR(AP19/$AP$11),"",AP19/$AP$11)</f>
        <v>4.6560146104887228E-2</v>
      </c>
      <c r="AR19" s="486">
        <f t="shared" si="36"/>
        <v>38550129</v>
      </c>
      <c r="AS19" s="283">
        <f t="shared" ref="AS19:AS47" si="62">IF(ISERR(AR19/$AR$11),"",AR19/$AR$11)</f>
        <v>4.6560146104887228E-2</v>
      </c>
      <c r="AT19" s="583">
        <f>[1]全社合計!$N$19</f>
        <v>36878679</v>
      </c>
      <c r="AU19" s="120">
        <f t="shared" si="37"/>
        <v>3.8132956085072098E-2</v>
      </c>
      <c r="AV19" s="577">
        <f t="shared" si="38"/>
        <v>36878679</v>
      </c>
      <c r="AW19" s="121">
        <f t="shared" si="39"/>
        <v>3.8132956085072098E-2</v>
      </c>
      <c r="AX19" s="583">
        <f t="shared" si="40"/>
        <v>1671450</v>
      </c>
      <c r="AY19" s="120">
        <f t="shared" si="41"/>
        <v>1.0453229357808613</v>
      </c>
      <c r="AZ19" s="577">
        <f t="shared" si="42"/>
        <v>1671450</v>
      </c>
      <c r="BA19" s="121">
        <f t="shared" si="43"/>
        <v>1.0453229357808613</v>
      </c>
      <c r="BB19" s="11"/>
    </row>
    <row r="20" spans="1:54" ht="15.95" customHeight="1">
      <c r="A20" s="37" t="s">
        <v>16</v>
      </c>
      <c r="B20" s="703">
        <f>[1]本部!$L$20</f>
        <v>56110</v>
      </c>
      <c r="C20" s="259" t="str">
        <f t="shared" si="45"/>
        <v/>
      </c>
      <c r="D20" s="728">
        <f t="shared" si="1"/>
        <v>56110</v>
      </c>
      <c r="E20" s="122" t="str">
        <f t="shared" si="46"/>
        <v/>
      </c>
      <c r="F20" s="352">
        <f>[1]本社営業!$L$20</f>
        <v>264862</v>
      </c>
      <c r="G20" s="9">
        <f t="shared" si="47"/>
        <v>4.952982616353497E-4</v>
      </c>
      <c r="H20" s="362">
        <f t="shared" si="20"/>
        <v>264862</v>
      </c>
      <c r="I20" s="124">
        <f t="shared" si="21"/>
        <v>4.952982616353497E-4</v>
      </c>
      <c r="J20" s="388">
        <f>[1]東大阪!$L$20</f>
        <v>163642</v>
      </c>
      <c r="K20" s="9">
        <f t="shared" si="22"/>
        <v>1.843259524254719E-2</v>
      </c>
      <c r="L20" s="362">
        <f t="shared" si="23"/>
        <v>163642</v>
      </c>
      <c r="M20" s="124">
        <f t="shared" si="48"/>
        <v>1.843259524254719E-2</v>
      </c>
      <c r="N20" s="403">
        <f>[1]南港工場!$L$20</f>
        <v>241330</v>
      </c>
      <c r="O20" s="9">
        <f t="shared" si="49"/>
        <v>8.5509876155068065E-3</v>
      </c>
      <c r="P20" s="426">
        <f t="shared" si="24"/>
        <v>241330</v>
      </c>
      <c r="Q20" s="204">
        <f t="shared" si="50"/>
        <v>8.5509876155068065E-3</v>
      </c>
      <c r="R20" s="437">
        <f>[1]南港事務!$L$20</f>
        <v>88532</v>
      </c>
      <c r="S20" s="9" t="str">
        <f t="shared" si="51"/>
        <v/>
      </c>
      <c r="T20" s="426">
        <f t="shared" si="25"/>
        <v>88532</v>
      </c>
      <c r="U20" s="204" t="str">
        <f t="shared" si="52"/>
        <v/>
      </c>
      <c r="V20" s="456">
        <f t="shared" si="26"/>
        <v>329862</v>
      </c>
      <c r="W20" s="171">
        <f t="shared" si="53"/>
        <v>1.1687920593487366E-2</v>
      </c>
      <c r="X20" s="426">
        <f t="shared" si="27"/>
        <v>329862</v>
      </c>
      <c r="Y20" s="225">
        <f t="shared" si="54"/>
        <v>1.1687920593487366E-2</v>
      </c>
      <c r="Z20" s="460">
        <f t="shared" si="28"/>
        <v>758366</v>
      </c>
      <c r="AA20" s="189">
        <f t="shared" si="55"/>
        <v>1.3261558133946846E-3</v>
      </c>
      <c r="AB20" s="564">
        <f t="shared" si="29"/>
        <v>758366</v>
      </c>
      <c r="AC20" s="123">
        <f t="shared" si="56"/>
        <v>1.3261558133946846E-3</v>
      </c>
      <c r="AD20" s="352">
        <f>[1]東京事務!$L$20</f>
        <v>124954</v>
      </c>
      <c r="AE20" s="9">
        <f t="shared" si="57"/>
        <v>5.0732194794786845E-4</v>
      </c>
      <c r="AF20" s="362">
        <f t="shared" si="30"/>
        <v>124954</v>
      </c>
      <c r="AG20" s="81">
        <f t="shared" si="58"/>
        <v>5.0732194794786845E-4</v>
      </c>
      <c r="AH20" s="388">
        <f>[1]東京工場!$L$20</f>
        <v>111642</v>
      </c>
      <c r="AI20" s="171">
        <f t="shared" si="31"/>
        <v>1.1380387531746829E-2</v>
      </c>
      <c r="AJ20" s="408">
        <f t="shared" si="32"/>
        <v>111642</v>
      </c>
      <c r="AK20" s="99">
        <f t="shared" si="44"/>
        <v>1.1380387531746829E-2</v>
      </c>
      <c r="AL20" s="547">
        <f t="shared" si="33"/>
        <v>236596</v>
      </c>
      <c r="AM20" s="314">
        <f t="shared" si="59"/>
        <v>9.2380175478914777E-4</v>
      </c>
      <c r="AN20" s="478">
        <f t="shared" si="34"/>
        <v>236596</v>
      </c>
      <c r="AO20" s="123">
        <f t="shared" si="60"/>
        <v>9.2380175478914777E-4</v>
      </c>
      <c r="AP20" s="527">
        <f t="shared" si="35"/>
        <v>1051072</v>
      </c>
      <c r="AQ20" s="284">
        <f t="shared" si="61"/>
        <v>1.2694656841941057E-3</v>
      </c>
      <c r="AR20" s="487">
        <f t="shared" si="36"/>
        <v>1051072</v>
      </c>
      <c r="AS20" s="285">
        <f t="shared" si="62"/>
        <v>1.2694656841941057E-3</v>
      </c>
      <c r="AT20" s="584">
        <f>[1]全社合計!$N$20</f>
        <v>1081228</v>
      </c>
      <c r="AU20" s="124">
        <f t="shared" si="37"/>
        <v>1.1180015380146979E-3</v>
      </c>
      <c r="AV20" s="578">
        <f t="shared" si="38"/>
        <v>1081228</v>
      </c>
      <c r="AW20" s="125">
        <f t="shared" si="39"/>
        <v>1.1180015380146979E-3</v>
      </c>
      <c r="AX20" s="584">
        <f t="shared" si="40"/>
        <v>-30156</v>
      </c>
      <c r="AY20" s="124">
        <f t="shared" si="41"/>
        <v>0.9721094903202655</v>
      </c>
      <c r="AZ20" s="578">
        <f t="shared" si="42"/>
        <v>-30156</v>
      </c>
      <c r="BA20" s="125">
        <f t="shared" si="43"/>
        <v>0.9721094903202655</v>
      </c>
      <c r="BB20" s="11"/>
    </row>
    <row r="21" spans="1:54" ht="15.95" customHeight="1">
      <c r="A21" s="37" t="s">
        <v>17</v>
      </c>
      <c r="B21" s="703">
        <f>[1]本部!$L$21</f>
        <v>0</v>
      </c>
      <c r="C21" s="259" t="str">
        <f t="shared" si="45"/>
        <v/>
      </c>
      <c r="D21" s="728">
        <f t="shared" si="1"/>
        <v>0</v>
      </c>
      <c r="E21" s="122" t="str">
        <f t="shared" si="46"/>
        <v/>
      </c>
      <c r="F21" s="352">
        <f>[1]本社営業!$L$21</f>
        <v>0</v>
      </c>
      <c r="G21" s="9">
        <f t="shared" si="47"/>
        <v>0</v>
      </c>
      <c r="H21" s="362">
        <f t="shared" si="20"/>
        <v>0</v>
      </c>
      <c r="I21" s="124">
        <f t="shared" si="21"/>
        <v>0</v>
      </c>
      <c r="J21" s="388">
        <f>[1]東大阪!$L$21</f>
        <v>0</v>
      </c>
      <c r="K21" s="9">
        <f t="shared" si="22"/>
        <v>0</v>
      </c>
      <c r="L21" s="362">
        <f t="shared" si="23"/>
        <v>0</v>
      </c>
      <c r="M21" s="124">
        <f t="shared" si="48"/>
        <v>0</v>
      </c>
      <c r="N21" s="403">
        <f>[1]南港工場!$L$21</f>
        <v>0</v>
      </c>
      <c r="O21" s="9">
        <f t="shared" si="49"/>
        <v>0</v>
      </c>
      <c r="P21" s="426">
        <f t="shared" si="24"/>
        <v>0</v>
      </c>
      <c r="Q21" s="204">
        <f t="shared" si="50"/>
        <v>0</v>
      </c>
      <c r="R21" s="437">
        <f>[1]南港事務!$L$21</f>
        <v>0</v>
      </c>
      <c r="S21" s="9" t="str">
        <f t="shared" si="51"/>
        <v/>
      </c>
      <c r="T21" s="426">
        <f t="shared" si="25"/>
        <v>0</v>
      </c>
      <c r="U21" s="204" t="str">
        <f t="shared" si="52"/>
        <v/>
      </c>
      <c r="V21" s="456">
        <f t="shared" si="26"/>
        <v>0</v>
      </c>
      <c r="W21" s="171">
        <f t="shared" si="53"/>
        <v>0</v>
      </c>
      <c r="X21" s="426">
        <f t="shared" si="27"/>
        <v>0</v>
      </c>
      <c r="Y21" s="225">
        <f t="shared" si="54"/>
        <v>0</v>
      </c>
      <c r="Z21" s="460">
        <f t="shared" si="28"/>
        <v>0</v>
      </c>
      <c r="AA21" s="189">
        <f t="shared" si="55"/>
        <v>0</v>
      </c>
      <c r="AB21" s="564">
        <f t="shared" si="29"/>
        <v>0</v>
      </c>
      <c r="AC21" s="123">
        <f t="shared" si="56"/>
        <v>0</v>
      </c>
      <c r="AD21" s="352">
        <f>[1]東京事務!$L$21</f>
        <v>0</v>
      </c>
      <c r="AE21" s="9">
        <f t="shared" si="57"/>
        <v>0</v>
      </c>
      <c r="AF21" s="362">
        <f t="shared" si="30"/>
        <v>0</v>
      </c>
      <c r="AG21" s="81">
        <f t="shared" si="58"/>
        <v>0</v>
      </c>
      <c r="AH21" s="388">
        <f>[1]東京工場!$L$21</f>
        <v>0</v>
      </c>
      <c r="AI21" s="171">
        <f t="shared" si="31"/>
        <v>0</v>
      </c>
      <c r="AJ21" s="408">
        <f t="shared" si="32"/>
        <v>0</v>
      </c>
      <c r="AK21" s="99">
        <f t="shared" si="44"/>
        <v>0</v>
      </c>
      <c r="AL21" s="547">
        <f t="shared" si="33"/>
        <v>0</v>
      </c>
      <c r="AM21" s="314">
        <f t="shared" si="59"/>
        <v>0</v>
      </c>
      <c r="AN21" s="478">
        <f t="shared" si="34"/>
        <v>0</v>
      </c>
      <c r="AO21" s="123">
        <f t="shared" si="60"/>
        <v>0</v>
      </c>
      <c r="AP21" s="527">
        <f t="shared" si="35"/>
        <v>0</v>
      </c>
      <c r="AQ21" s="284">
        <f t="shared" si="61"/>
        <v>0</v>
      </c>
      <c r="AR21" s="487">
        <f t="shared" si="36"/>
        <v>0</v>
      </c>
      <c r="AS21" s="285">
        <f t="shared" si="62"/>
        <v>0</v>
      </c>
      <c r="AT21" s="584">
        <f>[1]全社合計!$N$21</f>
        <v>0</v>
      </c>
      <c r="AU21" s="124">
        <f t="shared" si="37"/>
        <v>0</v>
      </c>
      <c r="AV21" s="578">
        <f t="shared" si="38"/>
        <v>0</v>
      </c>
      <c r="AW21" s="125">
        <f t="shared" si="39"/>
        <v>0</v>
      </c>
      <c r="AX21" s="584">
        <f t="shared" si="40"/>
        <v>0</v>
      </c>
      <c r="AY21" s="124" t="str">
        <f t="shared" si="41"/>
        <v/>
      </c>
      <c r="AZ21" s="578">
        <f t="shared" si="42"/>
        <v>0</v>
      </c>
      <c r="BA21" s="125" t="str">
        <f t="shared" si="43"/>
        <v/>
      </c>
      <c r="BB21" s="11"/>
    </row>
    <row r="22" spans="1:54" ht="15.95" customHeight="1">
      <c r="A22" s="37" t="s">
        <v>18</v>
      </c>
      <c r="B22" s="703">
        <f>[1]本部!$L$22</f>
        <v>0</v>
      </c>
      <c r="C22" s="259" t="str">
        <f t="shared" si="45"/>
        <v/>
      </c>
      <c r="D22" s="728">
        <f t="shared" si="1"/>
        <v>0</v>
      </c>
      <c r="E22" s="122" t="str">
        <f t="shared" si="46"/>
        <v/>
      </c>
      <c r="F22" s="352">
        <f>[1]本社営業!$L$22</f>
        <v>0</v>
      </c>
      <c r="G22" s="9">
        <f t="shared" si="47"/>
        <v>0</v>
      </c>
      <c r="H22" s="362">
        <f t="shared" si="20"/>
        <v>0</v>
      </c>
      <c r="I22" s="124">
        <f t="shared" si="21"/>
        <v>0</v>
      </c>
      <c r="J22" s="388">
        <f>[1]東大阪!$L$22</f>
        <v>0</v>
      </c>
      <c r="K22" s="9">
        <f t="shared" si="22"/>
        <v>0</v>
      </c>
      <c r="L22" s="362">
        <f t="shared" si="23"/>
        <v>0</v>
      </c>
      <c r="M22" s="124">
        <f t="shared" si="48"/>
        <v>0</v>
      </c>
      <c r="N22" s="403">
        <f>[1]南港工場!$L$22</f>
        <v>0</v>
      </c>
      <c r="O22" s="9">
        <f t="shared" si="49"/>
        <v>0</v>
      </c>
      <c r="P22" s="426">
        <f t="shared" si="24"/>
        <v>0</v>
      </c>
      <c r="Q22" s="204">
        <f t="shared" si="50"/>
        <v>0</v>
      </c>
      <c r="R22" s="437">
        <f>[1]南港事務!$L$22</f>
        <v>0</v>
      </c>
      <c r="S22" s="9" t="str">
        <f t="shared" si="51"/>
        <v/>
      </c>
      <c r="T22" s="426">
        <f t="shared" si="25"/>
        <v>0</v>
      </c>
      <c r="U22" s="204" t="str">
        <f t="shared" si="52"/>
        <v/>
      </c>
      <c r="V22" s="456">
        <f t="shared" si="26"/>
        <v>0</v>
      </c>
      <c r="W22" s="171">
        <f t="shared" si="53"/>
        <v>0</v>
      </c>
      <c r="X22" s="426">
        <f t="shared" si="27"/>
        <v>0</v>
      </c>
      <c r="Y22" s="225">
        <f t="shared" si="54"/>
        <v>0</v>
      </c>
      <c r="Z22" s="460">
        <f t="shared" si="28"/>
        <v>0</v>
      </c>
      <c r="AA22" s="189">
        <f t="shared" si="55"/>
        <v>0</v>
      </c>
      <c r="AB22" s="564">
        <f t="shared" si="29"/>
        <v>0</v>
      </c>
      <c r="AC22" s="123">
        <f t="shared" si="56"/>
        <v>0</v>
      </c>
      <c r="AD22" s="352">
        <f>[1]東京事務!$L$22</f>
        <v>0</v>
      </c>
      <c r="AE22" s="9">
        <f t="shared" si="57"/>
        <v>0</v>
      </c>
      <c r="AF22" s="362">
        <f t="shared" si="30"/>
        <v>0</v>
      </c>
      <c r="AG22" s="81">
        <f t="shared" si="58"/>
        <v>0</v>
      </c>
      <c r="AH22" s="388">
        <f>[1]東京工場!$L$22</f>
        <v>0</v>
      </c>
      <c r="AI22" s="171">
        <f t="shared" si="31"/>
        <v>0</v>
      </c>
      <c r="AJ22" s="408">
        <f t="shared" si="32"/>
        <v>0</v>
      </c>
      <c r="AK22" s="99">
        <f t="shared" si="44"/>
        <v>0</v>
      </c>
      <c r="AL22" s="547">
        <f t="shared" si="33"/>
        <v>0</v>
      </c>
      <c r="AM22" s="314">
        <f t="shared" si="59"/>
        <v>0</v>
      </c>
      <c r="AN22" s="478">
        <f t="shared" si="34"/>
        <v>0</v>
      </c>
      <c r="AO22" s="123">
        <f t="shared" si="60"/>
        <v>0</v>
      </c>
      <c r="AP22" s="527">
        <f t="shared" si="35"/>
        <v>0</v>
      </c>
      <c r="AQ22" s="284">
        <f t="shared" si="61"/>
        <v>0</v>
      </c>
      <c r="AR22" s="487">
        <f t="shared" si="36"/>
        <v>0</v>
      </c>
      <c r="AS22" s="285">
        <f t="shared" si="62"/>
        <v>0</v>
      </c>
      <c r="AT22" s="584">
        <f>[1]全社合計!$N$22</f>
        <v>0</v>
      </c>
      <c r="AU22" s="124">
        <f t="shared" si="37"/>
        <v>0</v>
      </c>
      <c r="AV22" s="578">
        <f t="shared" si="38"/>
        <v>0</v>
      </c>
      <c r="AW22" s="125">
        <f t="shared" si="39"/>
        <v>0</v>
      </c>
      <c r="AX22" s="584">
        <f t="shared" si="40"/>
        <v>0</v>
      </c>
      <c r="AY22" s="124" t="str">
        <f t="shared" si="41"/>
        <v/>
      </c>
      <c r="AZ22" s="578">
        <f t="shared" si="42"/>
        <v>0</v>
      </c>
      <c r="BA22" s="125" t="str">
        <f t="shared" si="43"/>
        <v/>
      </c>
      <c r="BB22" s="11"/>
    </row>
    <row r="23" spans="1:54" ht="15.95" customHeight="1">
      <c r="A23" s="37" t="s">
        <v>19</v>
      </c>
      <c r="B23" s="703">
        <f>[1]本部!$L$23</f>
        <v>535788</v>
      </c>
      <c r="C23" s="259" t="str">
        <f t="shared" si="45"/>
        <v/>
      </c>
      <c r="D23" s="728">
        <f t="shared" si="1"/>
        <v>535788</v>
      </c>
      <c r="E23" s="122" t="str">
        <f t="shared" si="46"/>
        <v/>
      </c>
      <c r="F23" s="352">
        <f>[1]本社営業!$L$23</f>
        <v>101166</v>
      </c>
      <c r="G23" s="9">
        <f t="shared" si="47"/>
        <v>1.8918283459538096E-4</v>
      </c>
      <c r="H23" s="362">
        <f t="shared" si="20"/>
        <v>101166</v>
      </c>
      <c r="I23" s="124">
        <f t="shared" si="21"/>
        <v>1.8918283459538096E-4</v>
      </c>
      <c r="J23" s="388">
        <f>[1]東大阪!$L$23</f>
        <v>63391</v>
      </c>
      <c r="K23" s="9">
        <f t="shared" si="22"/>
        <v>7.1403468853980575E-3</v>
      </c>
      <c r="L23" s="362">
        <f t="shared" si="23"/>
        <v>63391</v>
      </c>
      <c r="M23" s="124">
        <f t="shared" si="48"/>
        <v>7.1403468853980575E-3</v>
      </c>
      <c r="N23" s="403">
        <f>[1]南港工場!$L$23</f>
        <v>73890</v>
      </c>
      <c r="O23" s="9">
        <f t="shared" si="49"/>
        <v>2.6181265276169477E-3</v>
      </c>
      <c r="P23" s="426">
        <f t="shared" si="24"/>
        <v>73890</v>
      </c>
      <c r="Q23" s="204">
        <f t="shared" si="50"/>
        <v>2.6181265276169477E-3</v>
      </c>
      <c r="R23" s="437">
        <f>[1]南港事務!$L$23</f>
        <v>52641</v>
      </c>
      <c r="S23" s="9" t="str">
        <f t="shared" si="51"/>
        <v/>
      </c>
      <c r="T23" s="426">
        <f t="shared" si="25"/>
        <v>52641</v>
      </c>
      <c r="U23" s="204" t="str">
        <f t="shared" si="52"/>
        <v/>
      </c>
      <c r="V23" s="456">
        <f t="shared" si="26"/>
        <v>126531</v>
      </c>
      <c r="W23" s="171">
        <f t="shared" si="53"/>
        <v>4.4833423692773036E-3</v>
      </c>
      <c r="X23" s="426">
        <f t="shared" si="27"/>
        <v>126531</v>
      </c>
      <c r="Y23" s="225">
        <f t="shared" si="54"/>
        <v>4.4833423692773036E-3</v>
      </c>
      <c r="Z23" s="460">
        <f t="shared" si="28"/>
        <v>291088</v>
      </c>
      <c r="AA23" s="189">
        <f t="shared" si="55"/>
        <v>5.0902604205546131E-4</v>
      </c>
      <c r="AB23" s="564">
        <f t="shared" si="29"/>
        <v>291088</v>
      </c>
      <c r="AC23" s="123">
        <f t="shared" si="56"/>
        <v>5.0902604205546131E-4</v>
      </c>
      <c r="AD23" s="352">
        <f>[1]東京事務!$L$23</f>
        <v>54263</v>
      </c>
      <c r="AE23" s="9">
        <f t="shared" si="57"/>
        <v>2.2031156154661064E-4</v>
      </c>
      <c r="AF23" s="362">
        <f t="shared" si="30"/>
        <v>54263</v>
      </c>
      <c r="AG23" s="81">
        <f t="shared" si="58"/>
        <v>2.2031156154661064E-4</v>
      </c>
      <c r="AH23" s="388">
        <f>[1]東京工場!$L$23</f>
        <v>53739</v>
      </c>
      <c r="AI23" s="171">
        <f t="shared" si="31"/>
        <v>5.4779621071688331E-3</v>
      </c>
      <c r="AJ23" s="408">
        <f t="shared" si="32"/>
        <v>53739</v>
      </c>
      <c r="AK23" s="99">
        <f t="shared" si="44"/>
        <v>5.4779621071688331E-3</v>
      </c>
      <c r="AL23" s="547">
        <f t="shared" si="33"/>
        <v>108002</v>
      </c>
      <c r="AM23" s="314">
        <f t="shared" si="59"/>
        <v>4.216995939100303E-4</v>
      </c>
      <c r="AN23" s="478">
        <f t="shared" si="34"/>
        <v>108002</v>
      </c>
      <c r="AO23" s="123">
        <f t="shared" si="60"/>
        <v>4.216995939100303E-4</v>
      </c>
      <c r="AP23" s="527">
        <f t="shared" si="35"/>
        <v>934878</v>
      </c>
      <c r="AQ23" s="284">
        <f t="shared" si="61"/>
        <v>1.1291286799648521E-3</v>
      </c>
      <c r="AR23" s="487">
        <f t="shared" si="36"/>
        <v>934878</v>
      </c>
      <c r="AS23" s="285">
        <f t="shared" si="62"/>
        <v>1.1291286799648521E-3</v>
      </c>
      <c r="AT23" s="584">
        <f>[1]全社合計!$N$23</f>
        <v>899087</v>
      </c>
      <c r="AU23" s="124">
        <f t="shared" si="37"/>
        <v>9.2966575857175411E-4</v>
      </c>
      <c r="AV23" s="578">
        <f t="shared" si="38"/>
        <v>899087</v>
      </c>
      <c r="AW23" s="125">
        <f t="shared" si="39"/>
        <v>9.2966575857175411E-4</v>
      </c>
      <c r="AX23" s="584">
        <f t="shared" si="40"/>
        <v>35791</v>
      </c>
      <c r="AY23" s="124">
        <f t="shared" si="41"/>
        <v>1.0398081609454926</v>
      </c>
      <c r="AZ23" s="578">
        <f t="shared" si="42"/>
        <v>35791</v>
      </c>
      <c r="BA23" s="125">
        <f t="shared" si="43"/>
        <v>1.0398081609454926</v>
      </c>
      <c r="BB23" s="11"/>
    </row>
    <row r="24" spans="1:54" ht="15.95" customHeight="1">
      <c r="A24" s="37" t="s">
        <v>20</v>
      </c>
      <c r="B24" s="703">
        <f>[1]本部!$L$24</f>
        <v>45000</v>
      </c>
      <c r="C24" s="259" t="str">
        <f t="shared" si="45"/>
        <v/>
      </c>
      <c r="D24" s="728">
        <f t="shared" si="1"/>
        <v>45000</v>
      </c>
      <c r="E24" s="122" t="str">
        <f t="shared" si="46"/>
        <v/>
      </c>
      <c r="F24" s="352">
        <f>[1]本社営業!$L$24</f>
        <v>853650</v>
      </c>
      <c r="G24" s="9">
        <f t="shared" si="47"/>
        <v>1.5963458746253382E-3</v>
      </c>
      <c r="H24" s="362">
        <f t="shared" si="20"/>
        <v>853650</v>
      </c>
      <c r="I24" s="124">
        <f t="shared" si="21"/>
        <v>1.5963458746253382E-3</v>
      </c>
      <c r="J24" s="388">
        <f>[1]東大阪!$L$24</f>
        <v>96410</v>
      </c>
      <c r="K24" s="9">
        <f t="shared" si="22"/>
        <v>1.0859599047518207E-2</v>
      </c>
      <c r="L24" s="362">
        <f t="shared" si="23"/>
        <v>96410</v>
      </c>
      <c r="M24" s="124">
        <f t="shared" si="48"/>
        <v>1.0859599047518207E-2</v>
      </c>
      <c r="N24" s="403">
        <f>[1]南港工場!$L$24</f>
        <v>28600</v>
      </c>
      <c r="O24" s="9">
        <f t="shared" si="49"/>
        <v>1.0133768938942306E-3</v>
      </c>
      <c r="P24" s="426">
        <f t="shared" si="24"/>
        <v>28600</v>
      </c>
      <c r="Q24" s="204">
        <f t="shared" si="50"/>
        <v>1.0133768938942306E-3</v>
      </c>
      <c r="R24" s="437">
        <f>[1]南港事務!$L$24</f>
        <v>0</v>
      </c>
      <c r="S24" s="9" t="str">
        <f t="shared" si="51"/>
        <v/>
      </c>
      <c r="T24" s="426">
        <f t="shared" si="25"/>
        <v>0</v>
      </c>
      <c r="U24" s="204" t="str">
        <f t="shared" si="52"/>
        <v/>
      </c>
      <c r="V24" s="456">
        <f t="shared" si="26"/>
        <v>28600</v>
      </c>
      <c r="W24" s="171">
        <f t="shared" si="53"/>
        <v>1.0133768938942306E-3</v>
      </c>
      <c r="X24" s="426">
        <f t="shared" si="27"/>
        <v>28600</v>
      </c>
      <c r="Y24" s="225">
        <f t="shared" si="54"/>
        <v>1.0133768938942306E-3</v>
      </c>
      <c r="Z24" s="460">
        <f t="shared" si="28"/>
        <v>978660</v>
      </c>
      <c r="AA24" s="189">
        <f t="shared" si="55"/>
        <v>1.7113842766379849E-3</v>
      </c>
      <c r="AB24" s="564">
        <f t="shared" si="29"/>
        <v>978660</v>
      </c>
      <c r="AC24" s="123">
        <f t="shared" si="56"/>
        <v>1.7113842766379849E-3</v>
      </c>
      <c r="AD24" s="352">
        <f>[1]東京事務!$L$24</f>
        <v>143500</v>
      </c>
      <c r="AE24" s="9">
        <f t="shared" si="57"/>
        <v>5.8262000040430176E-4</v>
      </c>
      <c r="AF24" s="362">
        <f t="shared" si="30"/>
        <v>143500</v>
      </c>
      <c r="AG24" s="81">
        <f t="shared" si="58"/>
        <v>5.8262000040430176E-4</v>
      </c>
      <c r="AH24" s="388">
        <f>[1]東京工場!$L$24</f>
        <v>0</v>
      </c>
      <c r="AI24" s="171">
        <f t="shared" si="31"/>
        <v>0</v>
      </c>
      <c r="AJ24" s="408">
        <f t="shared" si="32"/>
        <v>0</v>
      </c>
      <c r="AK24" s="99">
        <f t="shared" si="44"/>
        <v>0</v>
      </c>
      <c r="AL24" s="547">
        <f t="shared" si="33"/>
        <v>143500</v>
      </c>
      <c r="AM24" s="314">
        <f t="shared" si="59"/>
        <v>5.6030343628904423E-4</v>
      </c>
      <c r="AN24" s="478">
        <f t="shared" si="34"/>
        <v>143500</v>
      </c>
      <c r="AO24" s="123">
        <f t="shared" si="60"/>
        <v>5.6030343628904423E-4</v>
      </c>
      <c r="AP24" s="527">
        <f t="shared" si="35"/>
        <v>1167160</v>
      </c>
      <c r="AQ24" s="284">
        <f t="shared" si="61"/>
        <v>1.4096746635473044E-3</v>
      </c>
      <c r="AR24" s="487">
        <f t="shared" si="36"/>
        <v>1167160</v>
      </c>
      <c r="AS24" s="285">
        <f t="shared" si="62"/>
        <v>1.4096746635473044E-3</v>
      </c>
      <c r="AT24" s="584">
        <f>[1]全社合計!$N$24</f>
        <v>1127978</v>
      </c>
      <c r="AU24" s="124">
        <f t="shared" si="37"/>
        <v>1.166341547616916E-3</v>
      </c>
      <c r="AV24" s="578">
        <f t="shared" si="38"/>
        <v>1127978</v>
      </c>
      <c r="AW24" s="125">
        <f t="shared" si="39"/>
        <v>1.166341547616916E-3</v>
      </c>
      <c r="AX24" s="584">
        <f t="shared" si="40"/>
        <v>39182</v>
      </c>
      <c r="AY24" s="124">
        <f t="shared" si="41"/>
        <v>1.034736493087631</v>
      </c>
      <c r="AZ24" s="578">
        <f t="shared" si="42"/>
        <v>39182</v>
      </c>
      <c r="BA24" s="125">
        <f t="shared" si="43"/>
        <v>1.034736493087631</v>
      </c>
      <c r="BB24" s="11"/>
    </row>
    <row r="25" spans="1:54" ht="15.95" customHeight="1">
      <c r="A25" s="37" t="s">
        <v>54</v>
      </c>
      <c r="B25" s="703">
        <f>[1]本部!$L$25</f>
        <v>129379</v>
      </c>
      <c r="C25" s="259" t="str">
        <f t="shared" si="45"/>
        <v/>
      </c>
      <c r="D25" s="728">
        <f t="shared" si="1"/>
        <v>129379</v>
      </c>
      <c r="E25" s="122" t="str">
        <f t="shared" si="46"/>
        <v/>
      </c>
      <c r="F25" s="352">
        <f>[1]本社営業!$L$25</f>
        <v>86370</v>
      </c>
      <c r="G25" s="9">
        <f t="shared" si="47"/>
        <v>1.6151396144952902E-4</v>
      </c>
      <c r="H25" s="362">
        <f t="shared" si="20"/>
        <v>86370</v>
      </c>
      <c r="I25" s="124">
        <f t="shared" si="21"/>
        <v>1.6151396144952902E-4</v>
      </c>
      <c r="J25" s="388">
        <f>[1]東大阪!$L$25</f>
        <v>10180</v>
      </c>
      <c r="K25" s="9">
        <f t="shared" si="22"/>
        <v>1.1466727341949523E-3</v>
      </c>
      <c r="L25" s="362">
        <f t="shared" si="23"/>
        <v>10180</v>
      </c>
      <c r="M25" s="124">
        <f t="shared" si="48"/>
        <v>1.1466727341949523E-3</v>
      </c>
      <c r="N25" s="403">
        <f>[1]南港工場!$L$25</f>
        <v>0</v>
      </c>
      <c r="O25" s="9">
        <f t="shared" si="49"/>
        <v>0</v>
      </c>
      <c r="P25" s="426">
        <f t="shared" si="24"/>
        <v>0</v>
      </c>
      <c r="Q25" s="204">
        <f t="shared" si="50"/>
        <v>0</v>
      </c>
      <c r="R25" s="437">
        <f>[1]南港事務!$L$25</f>
        <v>10180</v>
      </c>
      <c r="S25" s="9" t="str">
        <f t="shared" si="51"/>
        <v/>
      </c>
      <c r="T25" s="426">
        <f t="shared" si="25"/>
        <v>10180</v>
      </c>
      <c r="U25" s="204" t="str">
        <f t="shared" si="52"/>
        <v/>
      </c>
      <c r="V25" s="456">
        <f t="shared" si="26"/>
        <v>10180</v>
      </c>
      <c r="W25" s="171">
        <f t="shared" si="53"/>
        <v>3.6070548181270167E-4</v>
      </c>
      <c r="X25" s="426">
        <f t="shared" si="27"/>
        <v>10180</v>
      </c>
      <c r="Y25" s="225">
        <f t="shared" si="54"/>
        <v>3.6070548181270167E-4</v>
      </c>
      <c r="Z25" s="460">
        <f t="shared" si="28"/>
        <v>106730</v>
      </c>
      <c r="AA25" s="189">
        <f t="shared" si="55"/>
        <v>1.8663891836344812E-4</v>
      </c>
      <c r="AB25" s="564">
        <f t="shared" si="29"/>
        <v>106730</v>
      </c>
      <c r="AC25" s="123">
        <f t="shared" si="56"/>
        <v>1.8663891836344812E-4</v>
      </c>
      <c r="AD25" s="352">
        <f>[1]東京事務!$L$25</f>
        <v>18542</v>
      </c>
      <c r="AE25" s="9">
        <f t="shared" si="57"/>
        <v>7.528181217767639E-5</v>
      </c>
      <c r="AF25" s="362">
        <f t="shared" si="30"/>
        <v>18542</v>
      </c>
      <c r="AG25" s="81">
        <f t="shared" si="58"/>
        <v>7.528181217767639E-5</v>
      </c>
      <c r="AH25" s="388">
        <f>[1]東京工場!$L$25</f>
        <v>8300</v>
      </c>
      <c r="AI25" s="171">
        <f t="shared" si="31"/>
        <v>8.4607241462441262E-4</v>
      </c>
      <c r="AJ25" s="408">
        <f t="shared" si="32"/>
        <v>8300</v>
      </c>
      <c r="AK25" s="99">
        <f t="shared" si="44"/>
        <v>8.4607241462441262E-4</v>
      </c>
      <c r="AL25" s="547">
        <f t="shared" si="33"/>
        <v>26842</v>
      </c>
      <c r="AM25" s="314">
        <f t="shared" si="59"/>
        <v>1.0480602673777368E-4</v>
      </c>
      <c r="AN25" s="478">
        <f t="shared" si="34"/>
        <v>26842</v>
      </c>
      <c r="AO25" s="123">
        <f t="shared" si="60"/>
        <v>1.0480602673777368E-4</v>
      </c>
      <c r="AP25" s="527">
        <f t="shared" si="35"/>
        <v>262951</v>
      </c>
      <c r="AQ25" s="284">
        <f t="shared" si="61"/>
        <v>3.1758744512699817E-4</v>
      </c>
      <c r="AR25" s="487">
        <f t="shared" si="36"/>
        <v>262951</v>
      </c>
      <c r="AS25" s="285">
        <f t="shared" si="62"/>
        <v>3.1758744512699817E-4</v>
      </c>
      <c r="AT25" s="584">
        <f>[1]全社合計!$N$25</f>
        <v>240981</v>
      </c>
      <c r="AU25" s="124">
        <f t="shared" si="37"/>
        <v>2.4917698083320067E-4</v>
      </c>
      <c r="AV25" s="578">
        <f t="shared" si="38"/>
        <v>240981</v>
      </c>
      <c r="AW25" s="125">
        <f t="shared" si="39"/>
        <v>2.4917698083320067E-4</v>
      </c>
      <c r="AX25" s="584">
        <f t="shared" si="40"/>
        <v>21970</v>
      </c>
      <c r="AY25" s="124">
        <f t="shared" si="41"/>
        <v>1.0911690133247018</v>
      </c>
      <c r="AZ25" s="578">
        <f t="shared" si="42"/>
        <v>21970</v>
      </c>
      <c r="BA25" s="125">
        <f t="shared" si="43"/>
        <v>1.0911690133247018</v>
      </c>
      <c r="BB25" s="11"/>
    </row>
    <row r="26" spans="1:54" ht="15.95" customHeight="1">
      <c r="A26" s="37" t="s">
        <v>55</v>
      </c>
      <c r="B26" s="703">
        <f>[1]本部!$L$26</f>
        <v>328701</v>
      </c>
      <c r="C26" s="259" t="str">
        <f t="shared" si="45"/>
        <v/>
      </c>
      <c r="D26" s="728">
        <f t="shared" si="1"/>
        <v>328701</v>
      </c>
      <c r="E26" s="122" t="str">
        <f t="shared" si="46"/>
        <v/>
      </c>
      <c r="F26" s="352">
        <f>[1]本社営業!$L$26</f>
        <v>680</v>
      </c>
      <c r="G26" s="9">
        <f t="shared" si="47"/>
        <v>1.2716162300067123E-6</v>
      </c>
      <c r="H26" s="362">
        <f t="shared" si="20"/>
        <v>680</v>
      </c>
      <c r="I26" s="124">
        <f t="shared" si="21"/>
        <v>1.2716162300067123E-6</v>
      </c>
      <c r="J26" s="388">
        <f>[1]東大阪!$L$26</f>
        <v>7170</v>
      </c>
      <c r="K26" s="9">
        <f t="shared" si="22"/>
        <v>8.0762706327876309E-4</v>
      </c>
      <c r="L26" s="362">
        <f t="shared" si="23"/>
        <v>7170</v>
      </c>
      <c r="M26" s="124">
        <f t="shared" si="48"/>
        <v>8.0762706327876309E-4</v>
      </c>
      <c r="N26" s="403">
        <f>[1]南港工場!$L$26</f>
        <v>0</v>
      </c>
      <c r="O26" s="9">
        <f t="shared" si="49"/>
        <v>0</v>
      </c>
      <c r="P26" s="426">
        <f t="shared" si="24"/>
        <v>0</v>
      </c>
      <c r="Q26" s="204">
        <f t="shared" si="50"/>
        <v>0</v>
      </c>
      <c r="R26" s="437">
        <f>[1]南港事務!$L$26</f>
        <v>5520</v>
      </c>
      <c r="S26" s="9" t="str">
        <f t="shared" si="51"/>
        <v/>
      </c>
      <c r="T26" s="426">
        <f t="shared" si="25"/>
        <v>5520</v>
      </c>
      <c r="U26" s="204" t="str">
        <f t="shared" si="52"/>
        <v/>
      </c>
      <c r="V26" s="456">
        <f>N26+R26</f>
        <v>5520</v>
      </c>
      <c r="W26" s="171">
        <f t="shared" si="53"/>
        <v>1.9558882707329205E-4</v>
      </c>
      <c r="X26" s="426">
        <f t="shared" si="27"/>
        <v>5520</v>
      </c>
      <c r="Y26" s="225">
        <f t="shared" si="54"/>
        <v>1.9558882707329205E-4</v>
      </c>
      <c r="Z26" s="460">
        <f t="shared" si="28"/>
        <v>13370</v>
      </c>
      <c r="AA26" s="189">
        <f t="shared" si="55"/>
        <v>2.3380139965513927E-5</v>
      </c>
      <c r="AB26" s="564">
        <f t="shared" si="29"/>
        <v>13370</v>
      </c>
      <c r="AC26" s="123">
        <f t="shared" si="56"/>
        <v>2.3380139965513927E-5</v>
      </c>
      <c r="AD26" s="352">
        <f>[1]東京事務!$L$26</f>
        <v>7170</v>
      </c>
      <c r="AE26" s="9">
        <f t="shared" si="57"/>
        <v>2.9110699671768945E-5</v>
      </c>
      <c r="AF26" s="362">
        <f t="shared" si="30"/>
        <v>7170</v>
      </c>
      <c r="AG26" s="81">
        <f t="shared" si="58"/>
        <v>2.9110699671768945E-5</v>
      </c>
      <c r="AH26" s="388">
        <f>[1]東京工場!$L$26</f>
        <v>13000</v>
      </c>
      <c r="AI26" s="171">
        <f t="shared" si="31"/>
        <v>1.3251736614599235E-3</v>
      </c>
      <c r="AJ26" s="408">
        <f t="shared" si="32"/>
        <v>13000</v>
      </c>
      <c r="AK26" s="99">
        <f t="shared" si="44"/>
        <v>1.3251736614599235E-3</v>
      </c>
      <c r="AL26" s="547">
        <f t="shared" si="33"/>
        <v>20170</v>
      </c>
      <c r="AM26" s="314">
        <f t="shared" si="59"/>
        <v>7.8754845365505379E-5</v>
      </c>
      <c r="AN26" s="478">
        <f t="shared" si="34"/>
        <v>20170</v>
      </c>
      <c r="AO26" s="123">
        <f t="shared" si="60"/>
        <v>7.8754845365505379E-5</v>
      </c>
      <c r="AP26" s="527">
        <f t="shared" si="35"/>
        <v>362241</v>
      </c>
      <c r="AQ26" s="284">
        <f t="shared" si="61"/>
        <v>4.3750810497107429E-4</v>
      </c>
      <c r="AR26" s="487">
        <f t="shared" si="36"/>
        <v>362241</v>
      </c>
      <c r="AS26" s="285">
        <f t="shared" si="62"/>
        <v>4.3750810497107429E-4</v>
      </c>
      <c r="AT26" s="584">
        <f>[1]全社合計!$N$26</f>
        <v>377291</v>
      </c>
      <c r="AU26" s="124">
        <f t="shared" si="37"/>
        <v>3.9012300669156124E-4</v>
      </c>
      <c r="AV26" s="578">
        <f t="shared" si="38"/>
        <v>377291</v>
      </c>
      <c r="AW26" s="125">
        <f t="shared" si="39"/>
        <v>3.9012300669156124E-4</v>
      </c>
      <c r="AX26" s="584">
        <f t="shared" si="40"/>
        <v>-15050</v>
      </c>
      <c r="AY26" s="124">
        <f t="shared" si="41"/>
        <v>0.9601103657389124</v>
      </c>
      <c r="AZ26" s="578">
        <f t="shared" si="42"/>
        <v>-15050</v>
      </c>
      <c r="BA26" s="125">
        <f t="shared" si="43"/>
        <v>0.9601103657389124</v>
      </c>
      <c r="BB26" s="11"/>
    </row>
    <row r="27" spans="1:54" ht="15.95" customHeight="1">
      <c r="A27" s="37" t="s">
        <v>21</v>
      </c>
      <c r="B27" s="703">
        <f>[1]本部!$L$27</f>
        <v>0</v>
      </c>
      <c r="C27" s="259" t="str">
        <f t="shared" si="45"/>
        <v/>
      </c>
      <c r="D27" s="728">
        <f>B27</f>
        <v>0</v>
      </c>
      <c r="E27" s="122" t="str">
        <f t="shared" si="46"/>
        <v/>
      </c>
      <c r="F27" s="352">
        <f>[1]本社営業!$L$27</f>
        <v>0</v>
      </c>
      <c r="G27" s="9">
        <f t="shared" si="47"/>
        <v>0</v>
      </c>
      <c r="H27" s="362">
        <f t="shared" si="20"/>
        <v>0</v>
      </c>
      <c r="I27" s="124">
        <f t="shared" si="21"/>
        <v>0</v>
      </c>
      <c r="J27" s="388">
        <f>[1]東大阪!$L$27</f>
        <v>14400</v>
      </c>
      <c r="K27" s="9">
        <f t="shared" si="22"/>
        <v>1.6220125120242942E-3</v>
      </c>
      <c r="L27" s="362">
        <f t="shared" si="23"/>
        <v>14400</v>
      </c>
      <c r="M27" s="124">
        <f t="shared" si="48"/>
        <v>1.6220125120242942E-3</v>
      </c>
      <c r="N27" s="403">
        <f>[1]南港工場!$L$27</f>
        <v>55610</v>
      </c>
      <c r="O27" s="9">
        <f t="shared" si="49"/>
        <v>1.9704157017293063E-3</v>
      </c>
      <c r="P27" s="426">
        <f t="shared" si="24"/>
        <v>55610</v>
      </c>
      <c r="Q27" s="204">
        <f t="shared" si="50"/>
        <v>1.9704157017293063E-3</v>
      </c>
      <c r="R27" s="437">
        <f>[1]南港事務!$L$27</f>
        <v>0</v>
      </c>
      <c r="S27" s="9" t="str">
        <f t="shared" si="51"/>
        <v/>
      </c>
      <c r="T27" s="426">
        <f t="shared" si="25"/>
        <v>0</v>
      </c>
      <c r="U27" s="204" t="str">
        <f t="shared" si="52"/>
        <v/>
      </c>
      <c r="V27" s="456">
        <f>N27+R27</f>
        <v>55610</v>
      </c>
      <c r="W27" s="171">
        <f t="shared" si="53"/>
        <v>1.9704157017293063E-3</v>
      </c>
      <c r="X27" s="426">
        <f t="shared" si="27"/>
        <v>55610</v>
      </c>
      <c r="Y27" s="225">
        <f t="shared" si="54"/>
        <v>1.9704157017293063E-3</v>
      </c>
      <c r="Z27" s="460">
        <f t="shared" si="28"/>
        <v>70010</v>
      </c>
      <c r="AA27" s="189">
        <f t="shared" si="55"/>
        <v>1.2242659678276963E-4</v>
      </c>
      <c r="AB27" s="564">
        <f t="shared" si="29"/>
        <v>70010</v>
      </c>
      <c r="AC27" s="123">
        <f t="shared" si="56"/>
        <v>1.2242659678276963E-4</v>
      </c>
      <c r="AD27" s="352">
        <f>[1]東京事務!$L$27</f>
        <v>0</v>
      </c>
      <c r="AE27" s="9">
        <f t="shared" si="57"/>
        <v>0</v>
      </c>
      <c r="AF27" s="362">
        <f t="shared" si="30"/>
        <v>0</v>
      </c>
      <c r="AG27" s="81">
        <f t="shared" si="58"/>
        <v>0</v>
      </c>
      <c r="AH27" s="388">
        <f>[1]東京工場!$L$27</f>
        <v>45900</v>
      </c>
      <c r="AI27" s="171">
        <f t="shared" si="31"/>
        <v>4.6788823893084992E-3</v>
      </c>
      <c r="AJ27" s="408">
        <f t="shared" si="32"/>
        <v>45900</v>
      </c>
      <c r="AK27" s="99">
        <f t="shared" si="44"/>
        <v>4.6788823893084992E-3</v>
      </c>
      <c r="AL27" s="547">
        <f t="shared" si="33"/>
        <v>45900</v>
      </c>
      <c r="AM27" s="314">
        <f t="shared" si="59"/>
        <v>1.7921900854123434E-4</v>
      </c>
      <c r="AN27" s="478">
        <f t="shared" si="34"/>
        <v>45900</v>
      </c>
      <c r="AO27" s="123">
        <f t="shared" si="60"/>
        <v>1.7921900854123434E-4</v>
      </c>
      <c r="AP27" s="527">
        <f t="shared" si="35"/>
        <v>115910</v>
      </c>
      <c r="AQ27" s="284">
        <f t="shared" si="61"/>
        <v>1.3999399418397482E-4</v>
      </c>
      <c r="AR27" s="487">
        <f t="shared" si="36"/>
        <v>115910</v>
      </c>
      <c r="AS27" s="285">
        <f t="shared" si="62"/>
        <v>1.3999399418397482E-4</v>
      </c>
      <c r="AT27" s="584">
        <f>[1]全社合計!$N$27</f>
        <v>600000</v>
      </c>
      <c r="AU27" s="124">
        <f t="shared" si="37"/>
        <v>6.2040654034932377E-4</v>
      </c>
      <c r="AV27" s="578">
        <f t="shared" si="38"/>
        <v>600000</v>
      </c>
      <c r="AW27" s="125">
        <f t="shared" si="39"/>
        <v>6.2040654034932377E-4</v>
      </c>
      <c r="AX27" s="584">
        <f t="shared" si="40"/>
        <v>-484090</v>
      </c>
      <c r="AY27" s="124">
        <f t="shared" si="41"/>
        <v>0.19318333333333335</v>
      </c>
      <c r="AZ27" s="578">
        <f t="shared" si="42"/>
        <v>-484090</v>
      </c>
      <c r="BA27" s="125">
        <f t="shared" si="43"/>
        <v>0.19318333333333335</v>
      </c>
      <c r="BB27" s="11"/>
    </row>
    <row r="28" spans="1:54" ht="15.95" customHeight="1">
      <c r="A28" s="37" t="s">
        <v>22</v>
      </c>
      <c r="B28" s="703">
        <f>[1]本部!$L$28</f>
        <v>377326</v>
      </c>
      <c r="C28" s="259" t="str">
        <f t="shared" si="45"/>
        <v/>
      </c>
      <c r="D28" s="728">
        <f t="shared" si="1"/>
        <v>377326</v>
      </c>
      <c r="E28" s="122" t="str">
        <f t="shared" si="46"/>
        <v/>
      </c>
      <c r="F28" s="352">
        <f>[1]本社営業!$L$28</f>
        <v>104894</v>
      </c>
      <c r="G28" s="9">
        <f t="shared" si="47"/>
        <v>1.96154283574006E-4</v>
      </c>
      <c r="H28" s="362">
        <f t="shared" si="20"/>
        <v>104894</v>
      </c>
      <c r="I28" s="124">
        <f t="shared" si="21"/>
        <v>1.96154283574006E-4</v>
      </c>
      <c r="J28" s="388">
        <f>[1]東大阪!$L$28</f>
        <v>4120</v>
      </c>
      <c r="K28" s="9">
        <f t="shared" si="22"/>
        <v>4.6407580205139529E-4</v>
      </c>
      <c r="L28" s="362">
        <f t="shared" si="23"/>
        <v>4120</v>
      </c>
      <c r="M28" s="124">
        <f t="shared" si="48"/>
        <v>4.6407580205139529E-4</v>
      </c>
      <c r="N28" s="403">
        <f>[1]南港工場!$L$28</f>
        <v>0</v>
      </c>
      <c r="O28" s="9">
        <f t="shared" si="49"/>
        <v>0</v>
      </c>
      <c r="P28" s="426">
        <f t="shared" si="24"/>
        <v>0</v>
      </c>
      <c r="Q28" s="204">
        <f t="shared" si="50"/>
        <v>0</v>
      </c>
      <c r="R28" s="437">
        <f>[1]南港事務!$L$28</f>
        <v>4108</v>
      </c>
      <c r="S28" s="9" t="str">
        <f t="shared" si="51"/>
        <v/>
      </c>
      <c r="T28" s="426">
        <f t="shared" si="25"/>
        <v>4108</v>
      </c>
      <c r="U28" s="204" t="str">
        <f t="shared" si="52"/>
        <v/>
      </c>
      <c r="V28" s="456">
        <f>N28+R28</f>
        <v>4108</v>
      </c>
      <c r="W28" s="171">
        <f t="shared" si="53"/>
        <v>1.455577720320804E-4</v>
      </c>
      <c r="X28" s="426">
        <f t="shared" si="27"/>
        <v>4108</v>
      </c>
      <c r="Y28" s="225">
        <f t="shared" si="54"/>
        <v>1.455577720320804E-4</v>
      </c>
      <c r="Z28" s="460">
        <f t="shared" si="28"/>
        <v>113122</v>
      </c>
      <c r="AA28" s="189">
        <f t="shared" si="55"/>
        <v>1.978166187867514E-4</v>
      </c>
      <c r="AB28" s="564">
        <f t="shared" si="29"/>
        <v>113122</v>
      </c>
      <c r="AC28" s="123">
        <f t="shared" si="56"/>
        <v>1.978166187867514E-4</v>
      </c>
      <c r="AD28" s="352">
        <f>[1]東京事務!$L$28</f>
        <v>0</v>
      </c>
      <c r="AE28" s="9">
        <f t="shared" si="57"/>
        <v>0</v>
      </c>
      <c r="AF28" s="362">
        <f t="shared" si="30"/>
        <v>0</v>
      </c>
      <c r="AG28" s="81">
        <f t="shared" si="58"/>
        <v>0</v>
      </c>
      <c r="AH28" s="388">
        <f>[1]東京工場!$L$28</f>
        <v>0</v>
      </c>
      <c r="AI28" s="171">
        <f t="shared" si="31"/>
        <v>0</v>
      </c>
      <c r="AJ28" s="408">
        <f t="shared" si="32"/>
        <v>0</v>
      </c>
      <c r="AK28" s="99">
        <f t="shared" si="44"/>
        <v>0</v>
      </c>
      <c r="AL28" s="547">
        <f t="shared" si="33"/>
        <v>0</v>
      </c>
      <c r="AM28" s="314">
        <f t="shared" si="59"/>
        <v>0</v>
      </c>
      <c r="AN28" s="478">
        <f t="shared" si="34"/>
        <v>0</v>
      </c>
      <c r="AO28" s="123">
        <f t="shared" si="60"/>
        <v>0</v>
      </c>
      <c r="AP28" s="527">
        <f t="shared" si="35"/>
        <v>490448</v>
      </c>
      <c r="AQ28" s="284">
        <f t="shared" si="61"/>
        <v>5.9235419255924493E-4</v>
      </c>
      <c r="AR28" s="487">
        <f t="shared" si="36"/>
        <v>490448</v>
      </c>
      <c r="AS28" s="285">
        <f t="shared" si="62"/>
        <v>5.9235419255924493E-4</v>
      </c>
      <c r="AT28" s="584">
        <f>[1]全社合計!$N$28</f>
        <v>367814</v>
      </c>
      <c r="AU28" s="124">
        <f t="shared" si="37"/>
        <v>3.8032368538674363E-4</v>
      </c>
      <c r="AV28" s="578">
        <f t="shared" si="38"/>
        <v>367814</v>
      </c>
      <c r="AW28" s="125">
        <f t="shared" si="39"/>
        <v>3.8032368538674363E-4</v>
      </c>
      <c r="AX28" s="584">
        <f t="shared" si="40"/>
        <v>122634</v>
      </c>
      <c r="AY28" s="124">
        <f t="shared" si="41"/>
        <v>1.333413083786914</v>
      </c>
      <c r="AZ28" s="578">
        <f t="shared" si="42"/>
        <v>122634</v>
      </c>
      <c r="BA28" s="125">
        <f t="shared" si="43"/>
        <v>1.333413083786914</v>
      </c>
      <c r="BB28" s="11"/>
    </row>
    <row r="29" spans="1:54" ht="15.95" customHeight="1">
      <c r="A29" s="37" t="s">
        <v>23</v>
      </c>
      <c r="B29" s="703">
        <f>[1]本部!$L$29</f>
        <v>0</v>
      </c>
      <c r="C29" s="259" t="str">
        <f t="shared" si="45"/>
        <v/>
      </c>
      <c r="D29" s="728">
        <f t="shared" si="1"/>
        <v>0</v>
      </c>
      <c r="E29" s="122" t="str">
        <f t="shared" si="46"/>
        <v/>
      </c>
      <c r="F29" s="352">
        <f>[1]本社営業!$L$29</f>
        <v>22000</v>
      </c>
      <c r="G29" s="9">
        <f t="shared" si="47"/>
        <v>4.1140525088452458E-5</v>
      </c>
      <c r="H29" s="362">
        <f t="shared" si="20"/>
        <v>22000</v>
      </c>
      <c r="I29" s="124">
        <f t="shared" si="21"/>
        <v>4.1140525088452458E-5</v>
      </c>
      <c r="J29" s="388">
        <f>[1]東大阪!$L$29</f>
        <v>268490</v>
      </c>
      <c r="K29" s="9">
        <f t="shared" si="22"/>
        <v>3.0242648566208525E-2</v>
      </c>
      <c r="L29" s="362">
        <f t="shared" si="23"/>
        <v>268490</v>
      </c>
      <c r="M29" s="124">
        <f t="shared" si="48"/>
        <v>3.0242648566208525E-2</v>
      </c>
      <c r="N29" s="403">
        <f>[1]南港工場!$L$29</f>
        <v>809706</v>
      </c>
      <c r="O29" s="9">
        <f t="shared" si="49"/>
        <v>2.8690117176486778E-2</v>
      </c>
      <c r="P29" s="426">
        <f t="shared" si="24"/>
        <v>809706</v>
      </c>
      <c r="Q29" s="204">
        <f t="shared" si="50"/>
        <v>2.8690117176486778E-2</v>
      </c>
      <c r="R29" s="437">
        <f>[1]南港事務!$L$29</f>
        <v>0</v>
      </c>
      <c r="S29" s="9" t="str">
        <f t="shared" si="51"/>
        <v/>
      </c>
      <c r="T29" s="426">
        <f t="shared" si="25"/>
        <v>0</v>
      </c>
      <c r="U29" s="204" t="str">
        <f t="shared" si="52"/>
        <v/>
      </c>
      <c r="V29" s="456">
        <f t="shared" si="26"/>
        <v>809706</v>
      </c>
      <c r="W29" s="171">
        <f t="shared" si="53"/>
        <v>2.8690117176486778E-2</v>
      </c>
      <c r="X29" s="426">
        <f t="shared" si="27"/>
        <v>809706</v>
      </c>
      <c r="Y29" s="225">
        <f t="shared" si="54"/>
        <v>2.8690117176486778E-2</v>
      </c>
      <c r="Z29" s="460">
        <f t="shared" si="28"/>
        <v>1100196</v>
      </c>
      <c r="AA29" s="189">
        <f t="shared" si="55"/>
        <v>1.9239144704187405E-3</v>
      </c>
      <c r="AB29" s="564">
        <f t="shared" si="29"/>
        <v>1100196</v>
      </c>
      <c r="AC29" s="123">
        <f t="shared" si="56"/>
        <v>1.9239144704187405E-3</v>
      </c>
      <c r="AD29" s="352">
        <f>[1]東京事務!$L$29</f>
        <v>0</v>
      </c>
      <c r="AE29" s="9">
        <f t="shared" si="57"/>
        <v>0</v>
      </c>
      <c r="AF29" s="362">
        <f t="shared" si="30"/>
        <v>0</v>
      </c>
      <c r="AG29" s="81">
        <f t="shared" si="58"/>
        <v>0</v>
      </c>
      <c r="AH29" s="388">
        <f>[1]東京工場!$L$29</f>
        <v>228538</v>
      </c>
      <c r="AI29" s="171">
        <f t="shared" si="31"/>
        <v>2.329634909559446E-2</v>
      </c>
      <c r="AJ29" s="408">
        <f t="shared" si="32"/>
        <v>228538</v>
      </c>
      <c r="AK29" s="99">
        <f t="shared" si="44"/>
        <v>2.329634909559446E-2</v>
      </c>
      <c r="AL29" s="547">
        <f t="shared" si="33"/>
        <v>228538</v>
      </c>
      <c r="AM29" s="314">
        <f t="shared" si="59"/>
        <v>8.923388621785755E-4</v>
      </c>
      <c r="AN29" s="478">
        <f t="shared" si="34"/>
        <v>228538</v>
      </c>
      <c r="AO29" s="123">
        <f t="shared" si="60"/>
        <v>8.923388621785755E-4</v>
      </c>
      <c r="AP29" s="527">
        <f t="shared" si="35"/>
        <v>1328734</v>
      </c>
      <c r="AQ29" s="284">
        <f t="shared" si="61"/>
        <v>1.6048208081101683E-3</v>
      </c>
      <c r="AR29" s="487">
        <f t="shared" si="36"/>
        <v>1328734</v>
      </c>
      <c r="AS29" s="285">
        <f t="shared" si="62"/>
        <v>1.6048208081101683E-3</v>
      </c>
      <c r="AT29" s="584">
        <f>[1]全社合計!$N$29</f>
        <v>896717</v>
      </c>
      <c r="AU29" s="124">
        <f t="shared" si="37"/>
        <v>9.2721515273737429E-4</v>
      </c>
      <c r="AV29" s="578">
        <f t="shared" si="38"/>
        <v>896717</v>
      </c>
      <c r="AW29" s="125">
        <f t="shared" si="39"/>
        <v>9.2721515273737429E-4</v>
      </c>
      <c r="AX29" s="584">
        <f t="shared" si="40"/>
        <v>432017</v>
      </c>
      <c r="AY29" s="124">
        <f t="shared" si="41"/>
        <v>1.4817763017763688</v>
      </c>
      <c r="AZ29" s="578">
        <f t="shared" si="42"/>
        <v>432017</v>
      </c>
      <c r="BA29" s="125">
        <f t="shared" si="43"/>
        <v>1.4817763017763688</v>
      </c>
      <c r="BB29" s="11"/>
    </row>
    <row r="30" spans="1:54" ht="15.95" customHeight="1">
      <c r="A30" s="37" t="s">
        <v>24</v>
      </c>
      <c r="B30" s="703">
        <f>[1]本部!$L$30</f>
        <v>12910</v>
      </c>
      <c r="C30" s="259" t="str">
        <f t="shared" si="45"/>
        <v/>
      </c>
      <c r="D30" s="728">
        <f t="shared" si="1"/>
        <v>12910</v>
      </c>
      <c r="E30" s="122" t="str">
        <f t="shared" si="46"/>
        <v/>
      </c>
      <c r="F30" s="352">
        <f>[1]本社営業!$L$30</f>
        <v>25821</v>
      </c>
      <c r="G30" s="9">
        <f t="shared" si="47"/>
        <v>4.8285886286769584E-5</v>
      </c>
      <c r="H30" s="362">
        <f t="shared" si="20"/>
        <v>25821</v>
      </c>
      <c r="I30" s="124">
        <f t="shared" si="21"/>
        <v>4.8285886286769584E-5</v>
      </c>
      <c r="J30" s="388">
        <f>[1]東大阪!$L$30</f>
        <v>433946</v>
      </c>
      <c r="K30" s="9">
        <f t="shared" si="22"/>
        <v>4.8879572329367661E-2</v>
      </c>
      <c r="L30" s="362">
        <f t="shared" si="23"/>
        <v>433946</v>
      </c>
      <c r="M30" s="124">
        <f t="shared" si="48"/>
        <v>4.8879572329367661E-2</v>
      </c>
      <c r="N30" s="403">
        <f>[1]南港工場!$L$30</f>
        <v>586335</v>
      </c>
      <c r="O30" s="9">
        <f t="shared" si="49"/>
        <v>2.0775466471380198E-2</v>
      </c>
      <c r="P30" s="426">
        <f t="shared" si="24"/>
        <v>586335</v>
      </c>
      <c r="Q30" s="204">
        <f t="shared" si="50"/>
        <v>2.0775466471380198E-2</v>
      </c>
      <c r="R30" s="437">
        <f>[1]南港事務!$L$30</f>
        <v>21731</v>
      </c>
      <c r="S30" s="9" t="str">
        <f t="shared" si="51"/>
        <v/>
      </c>
      <c r="T30" s="426">
        <f t="shared" si="25"/>
        <v>21731</v>
      </c>
      <c r="U30" s="204" t="str">
        <f t="shared" si="52"/>
        <v/>
      </c>
      <c r="V30" s="456">
        <f t="shared" si="26"/>
        <v>608066</v>
      </c>
      <c r="W30" s="171">
        <f t="shared" si="53"/>
        <v>2.1545455746947176E-2</v>
      </c>
      <c r="X30" s="426">
        <f t="shared" si="27"/>
        <v>608066</v>
      </c>
      <c r="Y30" s="225">
        <f t="shared" si="54"/>
        <v>2.1545455746947176E-2</v>
      </c>
      <c r="Z30" s="460">
        <f t="shared" si="28"/>
        <v>1067833</v>
      </c>
      <c r="AA30" s="189">
        <f t="shared" si="55"/>
        <v>1.8673212415702791E-3</v>
      </c>
      <c r="AB30" s="564">
        <f t="shared" si="29"/>
        <v>1067833</v>
      </c>
      <c r="AC30" s="123">
        <f t="shared" si="56"/>
        <v>1.8673212415702791E-3</v>
      </c>
      <c r="AD30" s="352">
        <f>[1]東京事務!$L$30</f>
        <v>45961</v>
      </c>
      <c r="AE30" s="9">
        <f t="shared" si="57"/>
        <v>1.8660486298663492E-4</v>
      </c>
      <c r="AF30" s="362">
        <f t="shared" si="30"/>
        <v>45961</v>
      </c>
      <c r="AG30" s="81">
        <f t="shared" si="58"/>
        <v>1.8660486298663492E-4</v>
      </c>
      <c r="AH30" s="388">
        <f>[1]東京工場!$L$30</f>
        <v>199518</v>
      </c>
      <c r="AI30" s="171">
        <f t="shared" si="31"/>
        <v>2.0338153737473923E-2</v>
      </c>
      <c r="AJ30" s="408">
        <f t="shared" si="32"/>
        <v>199518</v>
      </c>
      <c r="AK30" s="99">
        <f t="shared" si="44"/>
        <v>2.0338153737473923E-2</v>
      </c>
      <c r="AL30" s="547">
        <f t="shared" si="33"/>
        <v>245479</v>
      </c>
      <c r="AM30" s="314">
        <f t="shared" si="59"/>
        <v>9.5848590408918668E-4</v>
      </c>
      <c r="AN30" s="478">
        <f t="shared" si="34"/>
        <v>245479</v>
      </c>
      <c r="AO30" s="123">
        <f t="shared" si="60"/>
        <v>9.5848590408918668E-4</v>
      </c>
      <c r="AP30" s="527">
        <f t="shared" si="35"/>
        <v>1326222</v>
      </c>
      <c r="AQ30" s="284">
        <f t="shared" si="61"/>
        <v>1.6017868601040414E-3</v>
      </c>
      <c r="AR30" s="487">
        <f t="shared" si="36"/>
        <v>1326222</v>
      </c>
      <c r="AS30" s="285">
        <f t="shared" si="62"/>
        <v>1.6017868601040414E-3</v>
      </c>
      <c r="AT30" s="584">
        <f>[1]全社合計!$N$30</f>
        <v>1323813</v>
      </c>
      <c r="AU30" s="124">
        <f t="shared" si="37"/>
        <v>1.3688370723324323E-3</v>
      </c>
      <c r="AV30" s="578">
        <f t="shared" si="38"/>
        <v>1323813</v>
      </c>
      <c r="AW30" s="125">
        <f t="shared" si="39"/>
        <v>1.3688370723324323E-3</v>
      </c>
      <c r="AX30" s="584">
        <f t="shared" si="40"/>
        <v>2409</v>
      </c>
      <c r="AY30" s="124">
        <f t="shared" si="41"/>
        <v>1.0018197434229759</v>
      </c>
      <c r="AZ30" s="578">
        <f t="shared" si="42"/>
        <v>2409</v>
      </c>
      <c r="BA30" s="125">
        <f t="shared" si="43"/>
        <v>1.0018197434229759</v>
      </c>
      <c r="BB30" s="11"/>
    </row>
    <row r="31" spans="1:54" ht="15.95" customHeight="1">
      <c r="A31" s="37" t="s">
        <v>25</v>
      </c>
      <c r="B31" s="703">
        <f>[1]本部!$L$31</f>
        <v>189304</v>
      </c>
      <c r="C31" s="259" t="str">
        <f t="shared" si="45"/>
        <v/>
      </c>
      <c r="D31" s="728">
        <f t="shared" si="1"/>
        <v>189304</v>
      </c>
      <c r="E31" s="122" t="str">
        <f t="shared" si="46"/>
        <v/>
      </c>
      <c r="F31" s="352">
        <f>[1]本社営業!$L$31</f>
        <v>715946</v>
      </c>
      <c r="G31" s="9">
        <f t="shared" si="47"/>
        <v>1.3388361079535083E-3</v>
      </c>
      <c r="H31" s="362">
        <f t="shared" si="20"/>
        <v>715946</v>
      </c>
      <c r="I31" s="124">
        <f t="shared" si="21"/>
        <v>1.3388361079535083E-3</v>
      </c>
      <c r="J31" s="388">
        <f>[1]東大阪!$L$31</f>
        <v>112818</v>
      </c>
      <c r="K31" s="9">
        <f t="shared" si="22"/>
        <v>1.2707792193163668E-2</v>
      </c>
      <c r="L31" s="362">
        <f t="shared" si="23"/>
        <v>112818</v>
      </c>
      <c r="M31" s="124">
        <f t="shared" si="48"/>
        <v>1.2707792193163668E-2</v>
      </c>
      <c r="N31" s="403">
        <f>[1]南港工場!$L$31</f>
        <v>265719</v>
      </c>
      <c r="O31" s="9">
        <f t="shared" si="49"/>
        <v>9.4151571632405968E-3</v>
      </c>
      <c r="P31" s="426">
        <f t="shared" si="24"/>
        <v>265719</v>
      </c>
      <c r="Q31" s="204">
        <f t="shared" si="50"/>
        <v>9.4151571632405968E-3</v>
      </c>
      <c r="R31" s="437">
        <f>[1]南港事務!$L$31</f>
        <v>130777</v>
      </c>
      <c r="S31" s="9" t="str">
        <f t="shared" si="51"/>
        <v/>
      </c>
      <c r="T31" s="426">
        <f t="shared" si="25"/>
        <v>130777</v>
      </c>
      <c r="U31" s="204" t="str">
        <f t="shared" si="52"/>
        <v/>
      </c>
      <c r="V31" s="456">
        <f t="shared" si="26"/>
        <v>396496</v>
      </c>
      <c r="W31" s="171">
        <f t="shared" si="53"/>
        <v>1.4048947025226813E-2</v>
      </c>
      <c r="X31" s="426">
        <f t="shared" si="27"/>
        <v>396496</v>
      </c>
      <c r="Y31" s="225">
        <f t="shared" si="54"/>
        <v>1.4048947025226813E-2</v>
      </c>
      <c r="Z31" s="460">
        <f t="shared" si="28"/>
        <v>1225260</v>
      </c>
      <c r="AA31" s="189">
        <f t="shared" si="55"/>
        <v>2.142614083331757E-3</v>
      </c>
      <c r="AB31" s="564">
        <f t="shared" si="29"/>
        <v>1225260</v>
      </c>
      <c r="AC31" s="123">
        <f t="shared" si="56"/>
        <v>2.142614083331757E-3</v>
      </c>
      <c r="AD31" s="352">
        <f>[1]東京事務!$L$31</f>
        <v>336941</v>
      </c>
      <c r="AE31" s="9">
        <f t="shared" si="57"/>
        <v>1.3680039411583683E-3</v>
      </c>
      <c r="AF31" s="362">
        <f t="shared" si="30"/>
        <v>336941</v>
      </c>
      <c r="AG31" s="81">
        <f t="shared" si="58"/>
        <v>1.3680039411583683E-3</v>
      </c>
      <c r="AH31" s="388">
        <f>[1]東京工場!$L$31</f>
        <v>174855</v>
      </c>
      <c r="AI31" s="171">
        <f t="shared" si="31"/>
        <v>1.7824095428813455E-2</v>
      </c>
      <c r="AJ31" s="408">
        <f t="shared" si="32"/>
        <v>174855</v>
      </c>
      <c r="AK31" s="99">
        <f t="shared" si="44"/>
        <v>1.7824095428813455E-2</v>
      </c>
      <c r="AL31" s="547">
        <f t="shared" si="33"/>
        <v>511796</v>
      </c>
      <c r="AM31" s="314">
        <f t="shared" si="59"/>
        <v>1.9983348953239556E-3</v>
      </c>
      <c r="AN31" s="478">
        <f t="shared" si="34"/>
        <v>511796</v>
      </c>
      <c r="AO31" s="123">
        <f t="shared" si="60"/>
        <v>1.9983348953239556E-3</v>
      </c>
      <c r="AP31" s="527">
        <f t="shared" si="35"/>
        <v>1926360</v>
      </c>
      <c r="AQ31" s="284">
        <f t="shared" si="61"/>
        <v>2.3266226437429188E-3</v>
      </c>
      <c r="AR31" s="487">
        <f t="shared" si="36"/>
        <v>1926360</v>
      </c>
      <c r="AS31" s="285">
        <f t="shared" si="62"/>
        <v>2.3266226437429188E-3</v>
      </c>
      <c r="AT31" s="584">
        <f>[1]全社合計!$N$31</f>
        <v>1486264</v>
      </c>
      <c r="AU31" s="124">
        <f t="shared" si="37"/>
        <v>1.5368131771429123E-3</v>
      </c>
      <c r="AV31" s="578">
        <f t="shared" si="38"/>
        <v>1486264</v>
      </c>
      <c r="AW31" s="125">
        <f t="shared" si="39"/>
        <v>1.5368131771429123E-3</v>
      </c>
      <c r="AX31" s="584">
        <f t="shared" si="40"/>
        <v>440096</v>
      </c>
      <c r="AY31" s="124">
        <f t="shared" si="41"/>
        <v>1.2961089012450009</v>
      </c>
      <c r="AZ31" s="578">
        <f t="shared" si="42"/>
        <v>440096</v>
      </c>
      <c r="BA31" s="125">
        <f t="shared" si="43"/>
        <v>1.2961089012450009</v>
      </c>
      <c r="BB31" s="11"/>
    </row>
    <row r="32" spans="1:54" ht="15.95" customHeight="1">
      <c r="A32" s="37" t="s">
        <v>26</v>
      </c>
      <c r="B32" s="703">
        <f>[1]本部!$L$32</f>
        <v>453880</v>
      </c>
      <c r="C32" s="259" t="str">
        <f t="shared" si="45"/>
        <v/>
      </c>
      <c r="D32" s="728">
        <f t="shared" si="1"/>
        <v>453880</v>
      </c>
      <c r="E32" s="122" t="str">
        <f t="shared" si="46"/>
        <v/>
      </c>
      <c r="F32" s="352">
        <f>[1]本社営業!$L$32</f>
        <v>903148</v>
      </c>
      <c r="G32" s="9">
        <f t="shared" si="47"/>
        <v>1.6889083160266209E-3</v>
      </c>
      <c r="H32" s="362">
        <f t="shared" si="20"/>
        <v>903148</v>
      </c>
      <c r="I32" s="124">
        <f t="shared" si="21"/>
        <v>1.6889083160266209E-3</v>
      </c>
      <c r="J32" s="388">
        <f>[1]東大阪!$L$32</f>
        <v>159200</v>
      </c>
      <c r="K32" s="9">
        <f t="shared" si="22"/>
        <v>1.7932249438490807E-2</v>
      </c>
      <c r="L32" s="362">
        <f t="shared" si="23"/>
        <v>159200</v>
      </c>
      <c r="M32" s="124">
        <f t="shared" si="48"/>
        <v>1.7932249438490807E-2</v>
      </c>
      <c r="N32" s="403">
        <f>[1]南港工場!$L$32</f>
        <v>133550</v>
      </c>
      <c r="O32" s="9">
        <f t="shared" si="49"/>
        <v>4.7320449013837232E-3</v>
      </c>
      <c r="P32" s="426">
        <f t="shared" si="24"/>
        <v>133550</v>
      </c>
      <c r="Q32" s="204">
        <f t="shared" si="50"/>
        <v>4.7320449013837232E-3</v>
      </c>
      <c r="R32" s="437">
        <f>[1]南港事務!$L$32</f>
        <v>150707</v>
      </c>
      <c r="S32" s="9" t="str">
        <f t="shared" si="51"/>
        <v/>
      </c>
      <c r="T32" s="426">
        <f t="shared" si="25"/>
        <v>150707</v>
      </c>
      <c r="U32" s="204" t="str">
        <f t="shared" si="52"/>
        <v/>
      </c>
      <c r="V32" s="456">
        <f t="shared" si="26"/>
        <v>284257</v>
      </c>
      <c r="W32" s="171">
        <f t="shared" si="53"/>
        <v>1.0072009640828402E-2</v>
      </c>
      <c r="X32" s="426">
        <f t="shared" si="27"/>
        <v>284257</v>
      </c>
      <c r="Y32" s="225">
        <f t="shared" si="54"/>
        <v>1.0072009640828402E-2</v>
      </c>
      <c r="Z32" s="460">
        <f t="shared" si="28"/>
        <v>1346605</v>
      </c>
      <c r="AA32" s="189">
        <f t="shared" si="55"/>
        <v>2.3548102751130054E-3</v>
      </c>
      <c r="AB32" s="564">
        <f t="shared" si="29"/>
        <v>1346605</v>
      </c>
      <c r="AC32" s="123">
        <f t="shared" si="56"/>
        <v>2.3548102751130054E-3</v>
      </c>
      <c r="AD32" s="352">
        <f>[1]東京事務!$L$32</f>
        <v>70000</v>
      </c>
      <c r="AE32" s="9">
        <f t="shared" si="57"/>
        <v>2.8420487824600086E-4</v>
      </c>
      <c r="AF32" s="362">
        <f t="shared" si="30"/>
        <v>70000</v>
      </c>
      <c r="AG32" s="81">
        <f t="shared" si="58"/>
        <v>2.8420487824600086E-4</v>
      </c>
      <c r="AH32" s="388">
        <f>[1]東京工場!$L$32</f>
        <v>37150</v>
      </c>
      <c r="AI32" s="171">
        <f t="shared" si="31"/>
        <v>3.7869385787104733E-3</v>
      </c>
      <c r="AJ32" s="408">
        <f t="shared" si="32"/>
        <v>37150</v>
      </c>
      <c r="AK32" s="99">
        <f t="shared" si="44"/>
        <v>3.7869385787104733E-3</v>
      </c>
      <c r="AL32" s="547">
        <f t="shared" si="33"/>
        <v>107150</v>
      </c>
      <c r="AM32" s="314">
        <f t="shared" si="59"/>
        <v>4.1837291427436295E-4</v>
      </c>
      <c r="AN32" s="478">
        <f t="shared" si="34"/>
        <v>107150</v>
      </c>
      <c r="AO32" s="123">
        <f t="shared" si="60"/>
        <v>4.1837291427436295E-4</v>
      </c>
      <c r="AP32" s="527">
        <f t="shared" si="35"/>
        <v>1907635</v>
      </c>
      <c r="AQ32" s="284">
        <f t="shared" si="61"/>
        <v>2.3040069286096696E-3</v>
      </c>
      <c r="AR32" s="487">
        <f t="shared" si="36"/>
        <v>1907635</v>
      </c>
      <c r="AS32" s="285">
        <f t="shared" si="62"/>
        <v>2.3040069286096696E-3</v>
      </c>
      <c r="AT32" s="584">
        <f>[1]全社合計!$N$32</f>
        <v>2887731</v>
      </c>
      <c r="AU32" s="124">
        <f t="shared" si="37"/>
        <v>2.9859453319491555E-3</v>
      </c>
      <c r="AV32" s="578">
        <f t="shared" si="38"/>
        <v>2887731</v>
      </c>
      <c r="AW32" s="125">
        <f t="shared" si="39"/>
        <v>2.9859453319491555E-3</v>
      </c>
      <c r="AX32" s="584">
        <f t="shared" si="40"/>
        <v>-980096</v>
      </c>
      <c r="AY32" s="124">
        <f t="shared" si="41"/>
        <v>0.66059996585554537</v>
      </c>
      <c r="AZ32" s="578">
        <f t="shared" si="42"/>
        <v>-980096</v>
      </c>
      <c r="BA32" s="125">
        <f t="shared" si="43"/>
        <v>0.66059996585554537</v>
      </c>
      <c r="BB32" s="11"/>
    </row>
    <row r="33" spans="1:54" ht="15.95" customHeight="1">
      <c r="A33" s="37" t="s">
        <v>27</v>
      </c>
      <c r="B33" s="703">
        <f>[1]本部!$L$33</f>
        <v>197626</v>
      </c>
      <c r="C33" s="259" t="str">
        <f t="shared" si="45"/>
        <v/>
      </c>
      <c r="D33" s="728">
        <f t="shared" si="1"/>
        <v>197626</v>
      </c>
      <c r="E33" s="122" t="str">
        <f t="shared" si="46"/>
        <v/>
      </c>
      <c r="F33" s="352">
        <f>[1]本社営業!$L$33</f>
        <v>55000</v>
      </c>
      <c r="G33" s="9">
        <f t="shared" si="47"/>
        <v>1.0285131272113114E-4</v>
      </c>
      <c r="H33" s="362">
        <f t="shared" si="20"/>
        <v>55000</v>
      </c>
      <c r="I33" s="124">
        <f t="shared" si="21"/>
        <v>1.0285131272113114E-4</v>
      </c>
      <c r="J33" s="388">
        <f>[1]東大阪!$L$33</f>
        <v>440000</v>
      </c>
      <c r="K33" s="9">
        <f t="shared" si="22"/>
        <v>4.9561493422964543E-2</v>
      </c>
      <c r="L33" s="362">
        <f t="shared" si="23"/>
        <v>440000</v>
      </c>
      <c r="M33" s="124">
        <f t="shared" si="48"/>
        <v>4.9561493422964543E-2</v>
      </c>
      <c r="N33" s="403">
        <f>[1]南港工場!$L$33</f>
        <v>525000</v>
      </c>
      <c r="O33" s="9">
        <f t="shared" si="49"/>
        <v>1.8602198227079408E-2</v>
      </c>
      <c r="P33" s="426">
        <f t="shared" si="24"/>
        <v>525000</v>
      </c>
      <c r="Q33" s="204">
        <f t="shared" si="50"/>
        <v>1.8602198227079408E-2</v>
      </c>
      <c r="R33" s="437">
        <f>[1]南港事務!$L$33</f>
        <v>20000</v>
      </c>
      <c r="S33" s="9" t="str">
        <f t="shared" si="51"/>
        <v/>
      </c>
      <c r="T33" s="426">
        <f t="shared" si="25"/>
        <v>20000</v>
      </c>
      <c r="U33" s="204" t="str">
        <f t="shared" si="52"/>
        <v/>
      </c>
      <c r="V33" s="456">
        <f t="shared" si="26"/>
        <v>545000</v>
      </c>
      <c r="W33" s="171">
        <f t="shared" si="53"/>
        <v>1.9310853397634813E-2</v>
      </c>
      <c r="X33" s="426">
        <f t="shared" si="27"/>
        <v>545000</v>
      </c>
      <c r="Y33" s="225">
        <f t="shared" si="54"/>
        <v>1.9310853397634813E-2</v>
      </c>
      <c r="Z33" s="460">
        <f t="shared" si="28"/>
        <v>1040000</v>
      </c>
      <c r="AA33" s="189">
        <f t="shared" si="55"/>
        <v>1.8186496308253166E-3</v>
      </c>
      <c r="AB33" s="564">
        <f t="shared" si="29"/>
        <v>1040000</v>
      </c>
      <c r="AC33" s="123">
        <f t="shared" si="56"/>
        <v>1.8186496308253166E-3</v>
      </c>
      <c r="AD33" s="352">
        <f>[1]東京事務!$L$33</f>
        <v>55000</v>
      </c>
      <c r="AE33" s="9">
        <f t="shared" si="57"/>
        <v>2.233038329075721E-4</v>
      </c>
      <c r="AF33" s="362">
        <f t="shared" si="30"/>
        <v>55000</v>
      </c>
      <c r="AG33" s="81">
        <f t="shared" si="58"/>
        <v>2.233038329075721E-4</v>
      </c>
      <c r="AH33" s="388">
        <f>[1]東京工場!$L$33</f>
        <v>325000</v>
      </c>
      <c r="AI33" s="171">
        <f t="shared" si="31"/>
        <v>3.3129341536498089E-2</v>
      </c>
      <c r="AJ33" s="408">
        <f t="shared" si="32"/>
        <v>325000</v>
      </c>
      <c r="AK33" s="99">
        <f t="shared" si="44"/>
        <v>3.3129341536498089E-2</v>
      </c>
      <c r="AL33" s="547">
        <f t="shared" si="33"/>
        <v>380000</v>
      </c>
      <c r="AM33" s="314">
        <f t="shared" si="59"/>
        <v>1.4837303539361449E-3</v>
      </c>
      <c r="AN33" s="478">
        <f t="shared" si="34"/>
        <v>380000</v>
      </c>
      <c r="AO33" s="123">
        <f t="shared" si="60"/>
        <v>1.4837303539361449E-3</v>
      </c>
      <c r="AP33" s="527">
        <f t="shared" si="35"/>
        <v>1617626</v>
      </c>
      <c r="AQ33" s="284">
        <f t="shared" si="61"/>
        <v>1.9537393221969327E-3</v>
      </c>
      <c r="AR33" s="487">
        <f t="shared" si="36"/>
        <v>1617626</v>
      </c>
      <c r="AS33" s="285">
        <f t="shared" si="62"/>
        <v>1.9537393221969327E-3</v>
      </c>
      <c r="AT33" s="584">
        <f>[1]全社合計!$N$33</f>
        <v>1613174</v>
      </c>
      <c r="AU33" s="124">
        <f t="shared" si="37"/>
        <v>1.6680395005358002E-3</v>
      </c>
      <c r="AV33" s="578">
        <f t="shared" si="38"/>
        <v>1613174</v>
      </c>
      <c r="AW33" s="125">
        <f t="shared" si="39"/>
        <v>1.6680395005358002E-3</v>
      </c>
      <c r="AX33" s="584">
        <f t="shared" si="40"/>
        <v>4452</v>
      </c>
      <c r="AY33" s="124">
        <f t="shared" si="41"/>
        <v>1.0027597766886895</v>
      </c>
      <c r="AZ33" s="578">
        <f t="shared" si="42"/>
        <v>4452</v>
      </c>
      <c r="BA33" s="125">
        <f t="shared" si="43"/>
        <v>1.0027597766886895</v>
      </c>
      <c r="BB33" s="11"/>
    </row>
    <row r="34" spans="1:54" ht="15.95" customHeight="1">
      <c r="A34" s="37" t="s">
        <v>28</v>
      </c>
      <c r="B34" s="703">
        <f>[1]本部!$L$34</f>
        <v>0</v>
      </c>
      <c r="C34" s="259" t="str">
        <f t="shared" si="45"/>
        <v/>
      </c>
      <c r="D34" s="728">
        <f t="shared" si="1"/>
        <v>0</v>
      </c>
      <c r="E34" s="122" t="str">
        <f t="shared" si="46"/>
        <v/>
      </c>
      <c r="F34" s="352">
        <f>[1]本社営業!$L$34</f>
        <v>277676</v>
      </c>
      <c r="G34" s="9">
        <f t="shared" si="47"/>
        <v>5.1926074747550566E-4</v>
      </c>
      <c r="H34" s="362">
        <f t="shared" si="20"/>
        <v>277676</v>
      </c>
      <c r="I34" s="124">
        <f t="shared" si="21"/>
        <v>5.1926074747550566E-4</v>
      </c>
      <c r="J34" s="388">
        <f>[1]東大阪!$L$34</f>
        <v>0</v>
      </c>
      <c r="K34" s="9">
        <f t="shared" si="22"/>
        <v>0</v>
      </c>
      <c r="L34" s="362">
        <f t="shared" si="23"/>
        <v>0</v>
      </c>
      <c r="M34" s="124">
        <f t="shared" si="48"/>
        <v>0</v>
      </c>
      <c r="N34" s="403">
        <f>[1]南港工場!$L$34</f>
        <v>0</v>
      </c>
      <c r="O34" s="9">
        <f t="shared" si="49"/>
        <v>0</v>
      </c>
      <c r="P34" s="426">
        <f t="shared" si="24"/>
        <v>0</v>
      </c>
      <c r="Q34" s="204">
        <f t="shared" si="50"/>
        <v>0</v>
      </c>
      <c r="R34" s="437">
        <f>[1]南港事務!$L$34</f>
        <v>0</v>
      </c>
      <c r="S34" s="9" t="str">
        <f t="shared" si="51"/>
        <v/>
      </c>
      <c r="T34" s="426">
        <f t="shared" si="25"/>
        <v>0</v>
      </c>
      <c r="U34" s="204" t="str">
        <f t="shared" si="52"/>
        <v/>
      </c>
      <c r="V34" s="456">
        <f t="shared" si="26"/>
        <v>0</v>
      </c>
      <c r="W34" s="171">
        <f t="shared" si="53"/>
        <v>0</v>
      </c>
      <c r="X34" s="426">
        <f t="shared" si="27"/>
        <v>0</v>
      </c>
      <c r="Y34" s="225">
        <f t="shared" si="54"/>
        <v>0</v>
      </c>
      <c r="Z34" s="460">
        <f t="shared" si="28"/>
        <v>277676</v>
      </c>
      <c r="AA34" s="189">
        <f t="shared" si="55"/>
        <v>4.8557245662408715E-4</v>
      </c>
      <c r="AB34" s="564">
        <f t="shared" si="29"/>
        <v>277676</v>
      </c>
      <c r="AC34" s="123">
        <f t="shared" si="56"/>
        <v>4.8557245662408715E-4</v>
      </c>
      <c r="AD34" s="352">
        <f>[1]東京事務!$L$34</f>
        <v>460664</v>
      </c>
      <c r="AE34" s="9">
        <f t="shared" si="57"/>
        <v>1.8703279433187963E-3</v>
      </c>
      <c r="AF34" s="362">
        <f t="shared" si="30"/>
        <v>460664</v>
      </c>
      <c r="AG34" s="81">
        <f t="shared" si="58"/>
        <v>1.8703279433187963E-3</v>
      </c>
      <c r="AH34" s="388">
        <f>[1]東京工場!$L$34</f>
        <v>0</v>
      </c>
      <c r="AI34" s="171">
        <f t="shared" si="31"/>
        <v>0</v>
      </c>
      <c r="AJ34" s="408">
        <f t="shared" si="32"/>
        <v>0</v>
      </c>
      <c r="AK34" s="99">
        <f t="shared" si="44"/>
        <v>0</v>
      </c>
      <c r="AL34" s="547">
        <f t="shared" si="33"/>
        <v>460664</v>
      </c>
      <c r="AM34" s="314">
        <f t="shared" si="59"/>
        <v>1.7986872625411585E-3</v>
      </c>
      <c r="AN34" s="478">
        <f t="shared" si="34"/>
        <v>460664</v>
      </c>
      <c r="AO34" s="123">
        <f t="shared" si="60"/>
        <v>1.7986872625411585E-3</v>
      </c>
      <c r="AP34" s="527">
        <f t="shared" si="35"/>
        <v>738340</v>
      </c>
      <c r="AQ34" s="284">
        <f t="shared" si="61"/>
        <v>8.9175365081352743E-4</v>
      </c>
      <c r="AR34" s="487">
        <f t="shared" si="36"/>
        <v>738340</v>
      </c>
      <c r="AS34" s="285">
        <f t="shared" si="62"/>
        <v>8.9175365081352743E-4</v>
      </c>
      <c r="AT34" s="584">
        <f>[1]全社合計!$N$34</f>
        <v>496966</v>
      </c>
      <c r="AU34" s="124">
        <f t="shared" si="37"/>
        <v>5.1386826121873675E-4</v>
      </c>
      <c r="AV34" s="578">
        <f t="shared" si="38"/>
        <v>496966</v>
      </c>
      <c r="AW34" s="125">
        <f t="shared" si="39"/>
        <v>5.1386826121873675E-4</v>
      </c>
      <c r="AX34" s="584">
        <f t="shared" si="40"/>
        <v>241374</v>
      </c>
      <c r="AY34" s="124">
        <f t="shared" si="41"/>
        <v>1.4856951984642812</v>
      </c>
      <c r="AZ34" s="578">
        <f t="shared" si="42"/>
        <v>241374</v>
      </c>
      <c r="BA34" s="125">
        <f t="shared" si="43"/>
        <v>1.4856951984642812</v>
      </c>
      <c r="BB34" s="11"/>
    </row>
    <row r="35" spans="1:54" ht="15.95" customHeight="1">
      <c r="A35" s="37" t="s">
        <v>29</v>
      </c>
      <c r="B35" s="703">
        <f>[1]本部!$L$35</f>
        <v>221520</v>
      </c>
      <c r="C35" s="259" t="str">
        <f t="shared" si="45"/>
        <v/>
      </c>
      <c r="D35" s="728">
        <f t="shared" si="1"/>
        <v>221520</v>
      </c>
      <c r="E35" s="122" t="str">
        <f t="shared" si="46"/>
        <v/>
      </c>
      <c r="F35" s="352">
        <f>[1]本社営業!$L$35</f>
        <v>0</v>
      </c>
      <c r="G35" s="9">
        <f t="shared" si="47"/>
        <v>0</v>
      </c>
      <c r="H35" s="362">
        <f t="shared" si="20"/>
        <v>0</v>
      </c>
      <c r="I35" s="124">
        <f t="shared" si="21"/>
        <v>0</v>
      </c>
      <c r="J35" s="388">
        <f>[1]東大阪!$L$35</f>
        <v>0</v>
      </c>
      <c r="K35" s="9">
        <f t="shared" si="22"/>
        <v>0</v>
      </c>
      <c r="L35" s="362">
        <f t="shared" si="23"/>
        <v>0</v>
      </c>
      <c r="M35" s="124">
        <f t="shared" si="48"/>
        <v>0</v>
      </c>
      <c r="N35" s="403">
        <f>[1]南港工場!$L$35</f>
        <v>0</v>
      </c>
      <c r="O35" s="9">
        <f t="shared" si="49"/>
        <v>0</v>
      </c>
      <c r="P35" s="426">
        <f t="shared" si="24"/>
        <v>0</v>
      </c>
      <c r="Q35" s="204">
        <f t="shared" si="50"/>
        <v>0</v>
      </c>
      <c r="R35" s="437">
        <f>[1]南港事務!$L$35</f>
        <v>0</v>
      </c>
      <c r="S35" s="9" t="str">
        <f t="shared" si="51"/>
        <v/>
      </c>
      <c r="T35" s="426">
        <f t="shared" si="25"/>
        <v>0</v>
      </c>
      <c r="U35" s="204" t="str">
        <f t="shared" si="52"/>
        <v/>
      </c>
      <c r="V35" s="456">
        <f t="shared" si="26"/>
        <v>0</v>
      </c>
      <c r="W35" s="171">
        <f t="shared" si="53"/>
        <v>0</v>
      </c>
      <c r="X35" s="426">
        <f t="shared" si="27"/>
        <v>0</v>
      </c>
      <c r="Y35" s="225">
        <f t="shared" si="54"/>
        <v>0</v>
      </c>
      <c r="Z35" s="460">
        <f t="shared" si="28"/>
        <v>0</v>
      </c>
      <c r="AA35" s="189">
        <f t="shared" si="55"/>
        <v>0</v>
      </c>
      <c r="AB35" s="564">
        <f t="shared" si="29"/>
        <v>0</v>
      </c>
      <c r="AC35" s="123">
        <f t="shared" si="56"/>
        <v>0</v>
      </c>
      <c r="AD35" s="352">
        <f>[1]東京事務!$L$35</f>
        <v>0</v>
      </c>
      <c r="AE35" s="9">
        <f t="shared" si="57"/>
        <v>0</v>
      </c>
      <c r="AF35" s="362">
        <f t="shared" si="30"/>
        <v>0</v>
      </c>
      <c r="AG35" s="81">
        <f t="shared" si="58"/>
        <v>0</v>
      </c>
      <c r="AH35" s="388">
        <f>[1]東京工場!$L$35</f>
        <v>0</v>
      </c>
      <c r="AI35" s="171">
        <f t="shared" si="31"/>
        <v>0</v>
      </c>
      <c r="AJ35" s="408">
        <f t="shared" si="32"/>
        <v>0</v>
      </c>
      <c r="AK35" s="99">
        <f t="shared" si="44"/>
        <v>0</v>
      </c>
      <c r="AL35" s="547">
        <f t="shared" si="33"/>
        <v>0</v>
      </c>
      <c r="AM35" s="314">
        <f t="shared" si="59"/>
        <v>0</v>
      </c>
      <c r="AN35" s="478">
        <f t="shared" si="34"/>
        <v>0</v>
      </c>
      <c r="AO35" s="123">
        <f t="shared" si="60"/>
        <v>0</v>
      </c>
      <c r="AP35" s="527">
        <f t="shared" si="35"/>
        <v>221520</v>
      </c>
      <c r="AQ35" s="284">
        <f t="shared" si="61"/>
        <v>2.6754783531735053E-4</v>
      </c>
      <c r="AR35" s="487">
        <f t="shared" si="36"/>
        <v>221520</v>
      </c>
      <c r="AS35" s="285">
        <f t="shared" si="62"/>
        <v>2.6754783531735053E-4</v>
      </c>
      <c r="AT35" s="584">
        <f>[1]全社合計!$N$35</f>
        <v>217865</v>
      </c>
      <c r="AU35" s="124">
        <f t="shared" si="37"/>
        <v>2.2527478485534239E-4</v>
      </c>
      <c r="AV35" s="578">
        <f t="shared" si="38"/>
        <v>217865</v>
      </c>
      <c r="AW35" s="125">
        <f t="shared" si="39"/>
        <v>2.2527478485534239E-4</v>
      </c>
      <c r="AX35" s="584">
        <f t="shared" si="40"/>
        <v>3655</v>
      </c>
      <c r="AY35" s="124">
        <f t="shared" si="41"/>
        <v>1.0167764441282445</v>
      </c>
      <c r="AZ35" s="578">
        <f t="shared" si="42"/>
        <v>3655</v>
      </c>
      <c r="BA35" s="125">
        <f t="shared" si="43"/>
        <v>1.0167764441282445</v>
      </c>
      <c r="BB35" s="11"/>
    </row>
    <row r="36" spans="1:54" ht="15.95" customHeight="1">
      <c r="A36" s="37" t="s">
        <v>30</v>
      </c>
      <c r="B36" s="703">
        <f>[1]本部!$L$36</f>
        <v>47881</v>
      </c>
      <c r="C36" s="259" t="str">
        <f t="shared" si="45"/>
        <v/>
      </c>
      <c r="D36" s="728">
        <f t="shared" si="1"/>
        <v>47881</v>
      </c>
      <c r="E36" s="122" t="str">
        <f t="shared" si="46"/>
        <v/>
      </c>
      <c r="F36" s="352">
        <f>[1]本社営業!$L$36</f>
        <v>25206</v>
      </c>
      <c r="G36" s="9">
        <f t="shared" si="47"/>
        <v>4.713582160816057E-5</v>
      </c>
      <c r="H36" s="362">
        <f t="shared" si="20"/>
        <v>25206</v>
      </c>
      <c r="I36" s="124">
        <f t="shared" si="21"/>
        <v>4.713582160816057E-5</v>
      </c>
      <c r="J36" s="388">
        <f>[1]東大阪!$L$36</f>
        <v>24911</v>
      </c>
      <c r="K36" s="9">
        <f t="shared" si="22"/>
        <v>2.8059690060442495E-3</v>
      </c>
      <c r="L36" s="362">
        <f t="shared" si="23"/>
        <v>24911</v>
      </c>
      <c r="M36" s="124">
        <f t="shared" si="48"/>
        <v>2.8059690060442495E-3</v>
      </c>
      <c r="N36" s="403">
        <f>[1]南港工場!$L$36</f>
        <v>9888</v>
      </c>
      <c r="O36" s="9">
        <f t="shared" si="49"/>
        <v>3.5035911632259274E-4</v>
      </c>
      <c r="P36" s="426">
        <f t="shared" si="24"/>
        <v>9888</v>
      </c>
      <c r="Q36" s="204">
        <f t="shared" si="50"/>
        <v>3.5035911632259274E-4</v>
      </c>
      <c r="R36" s="437">
        <f>[1]南港事務!$L$36</f>
        <v>35021</v>
      </c>
      <c r="S36" s="9" t="str">
        <f t="shared" si="51"/>
        <v/>
      </c>
      <c r="T36" s="426">
        <f t="shared" si="25"/>
        <v>35021</v>
      </c>
      <c r="U36" s="204" t="str">
        <f t="shared" si="52"/>
        <v/>
      </c>
      <c r="V36" s="456">
        <f t="shared" si="26"/>
        <v>44909</v>
      </c>
      <c r="W36" s="171">
        <f t="shared" si="53"/>
        <v>1.5912497527236363E-3</v>
      </c>
      <c r="X36" s="426">
        <f t="shared" si="27"/>
        <v>44909</v>
      </c>
      <c r="Y36" s="225">
        <f t="shared" si="54"/>
        <v>1.5912497527236363E-3</v>
      </c>
      <c r="Z36" s="460">
        <f t="shared" si="28"/>
        <v>95026</v>
      </c>
      <c r="AA36" s="189">
        <f t="shared" si="55"/>
        <v>1.6617211521039089E-4</v>
      </c>
      <c r="AB36" s="564">
        <f t="shared" si="29"/>
        <v>95026</v>
      </c>
      <c r="AC36" s="123">
        <f t="shared" si="56"/>
        <v>1.6617211521039089E-4</v>
      </c>
      <c r="AD36" s="352">
        <f>[1]東京事務!$L$36</f>
        <v>32981</v>
      </c>
      <c r="AE36" s="9">
        <f t="shared" si="57"/>
        <v>1.339051584204479E-4</v>
      </c>
      <c r="AF36" s="362">
        <f t="shared" si="30"/>
        <v>32981</v>
      </c>
      <c r="AG36" s="81">
        <f t="shared" si="58"/>
        <v>1.339051584204479E-4</v>
      </c>
      <c r="AH36" s="388">
        <f>[1]東京工場!$L$36</f>
        <v>3003</v>
      </c>
      <c r="AI36" s="171">
        <f t="shared" si="31"/>
        <v>3.0611511579724232E-4</v>
      </c>
      <c r="AJ36" s="408">
        <f t="shared" si="32"/>
        <v>3003</v>
      </c>
      <c r="AK36" s="99">
        <f t="shared" si="44"/>
        <v>3.0611511579724232E-4</v>
      </c>
      <c r="AL36" s="547">
        <f t="shared" si="33"/>
        <v>35984</v>
      </c>
      <c r="AM36" s="314">
        <f t="shared" si="59"/>
        <v>1.4050145541062695E-4</v>
      </c>
      <c r="AN36" s="478">
        <f t="shared" si="34"/>
        <v>35984</v>
      </c>
      <c r="AO36" s="123">
        <f t="shared" si="60"/>
        <v>1.4050145541062695E-4</v>
      </c>
      <c r="AP36" s="527">
        <f t="shared" si="35"/>
        <v>178891</v>
      </c>
      <c r="AQ36" s="284">
        <f t="shared" si="61"/>
        <v>2.1606130285191475E-4</v>
      </c>
      <c r="AR36" s="487">
        <f t="shared" si="36"/>
        <v>178891</v>
      </c>
      <c r="AS36" s="285">
        <f t="shared" si="62"/>
        <v>2.1606130285191475E-4</v>
      </c>
      <c r="AT36" s="584">
        <f>[1]全社合計!$N$36</f>
        <v>240058</v>
      </c>
      <c r="AU36" s="124">
        <f t="shared" si="37"/>
        <v>2.482225887719633E-4</v>
      </c>
      <c r="AV36" s="578">
        <f t="shared" si="38"/>
        <v>240058</v>
      </c>
      <c r="AW36" s="125">
        <f t="shared" si="39"/>
        <v>2.482225887719633E-4</v>
      </c>
      <c r="AX36" s="584">
        <f t="shared" si="40"/>
        <v>-61167</v>
      </c>
      <c r="AY36" s="124">
        <f t="shared" si="41"/>
        <v>0.74519907688975162</v>
      </c>
      <c r="AZ36" s="578">
        <f t="shared" si="42"/>
        <v>-61167</v>
      </c>
      <c r="BA36" s="125">
        <f t="shared" si="43"/>
        <v>0.74519907688975162</v>
      </c>
      <c r="BB36" s="11"/>
    </row>
    <row r="37" spans="1:54" ht="15.95" customHeight="1">
      <c r="A37" s="37" t="s">
        <v>31</v>
      </c>
      <c r="B37" s="703">
        <f>[1]本部!$L$37</f>
        <v>0</v>
      </c>
      <c r="C37" s="259" t="str">
        <f t="shared" si="45"/>
        <v/>
      </c>
      <c r="D37" s="728">
        <f t="shared" si="1"/>
        <v>0</v>
      </c>
      <c r="E37" s="122" t="str">
        <f t="shared" si="46"/>
        <v/>
      </c>
      <c r="F37" s="352">
        <f>[1]本社営業!$L$37</f>
        <v>0</v>
      </c>
      <c r="G37" s="9">
        <f t="shared" si="47"/>
        <v>0</v>
      </c>
      <c r="H37" s="362">
        <f t="shared" si="20"/>
        <v>0</v>
      </c>
      <c r="I37" s="124">
        <f t="shared" si="21"/>
        <v>0</v>
      </c>
      <c r="J37" s="388">
        <f>[1]東大阪!$L$37</f>
        <v>37692</v>
      </c>
      <c r="K37" s="9">
        <f t="shared" si="22"/>
        <v>4.24561775022359E-3</v>
      </c>
      <c r="L37" s="362">
        <f t="shared" si="23"/>
        <v>37692</v>
      </c>
      <c r="M37" s="124">
        <f t="shared" si="48"/>
        <v>4.24561775022359E-3</v>
      </c>
      <c r="N37" s="403">
        <f>[1]南港工場!$L$37</f>
        <v>0</v>
      </c>
      <c r="O37" s="9">
        <f t="shared" si="49"/>
        <v>0</v>
      </c>
      <c r="P37" s="426">
        <f t="shared" si="24"/>
        <v>0</v>
      </c>
      <c r="Q37" s="204">
        <f t="shared" si="50"/>
        <v>0</v>
      </c>
      <c r="R37" s="437">
        <f>[1]南港事務!$L$37</f>
        <v>0</v>
      </c>
      <c r="S37" s="9" t="str">
        <f t="shared" si="51"/>
        <v/>
      </c>
      <c r="T37" s="426">
        <f t="shared" si="25"/>
        <v>0</v>
      </c>
      <c r="U37" s="204" t="str">
        <f t="shared" si="52"/>
        <v/>
      </c>
      <c r="V37" s="456">
        <f t="shared" si="26"/>
        <v>0</v>
      </c>
      <c r="W37" s="171">
        <f t="shared" si="53"/>
        <v>0</v>
      </c>
      <c r="X37" s="426">
        <f t="shared" si="27"/>
        <v>0</v>
      </c>
      <c r="Y37" s="225">
        <f t="shared" si="54"/>
        <v>0</v>
      </c>
      <c r="Z37" s="460">
        <f t="shared" si="28"/>
        <v>37692</v>
      </c>
      <c r="AA37" s="189">
        <f t="shared" si="55"/>
        <v>6.5912059504872914E-5</v>
      </c>
      <c r="AB37" s="564">
        <f t="shared" si="29"/>
        <v>37692</v>
      </c>
      <c r="AC37" s="123">
        <f t="shared" si="56"/>
        <v>6.5912059504872914E-5</v>
      </c>
      <c r="AD37" s="352">
        <f>[1]東京事務!$L$37</f>
        <v>0</v>
      </c>
      <c r="AE37" s="9">
        <f t="shared" si="57"/>
        <v>0</v>
      </c>
      <c r="AF37" s="362">
        <f t="shared" si="30"/>
        <v>0</v>
      </c>
      <c r="AG37" s="81">
        <f t="shared" si="58"/>
        <v>0</v>
      </c>
      <c r="AH37" s="388">
        <f>[1]東京工場!$L$37</f>
        <v>7600</v>
      </c>
      <c r="AI37" s="171">
        <f t="shared" si="31"/>
        <v>7.7471690977657065E-4</v>
      </c>
      <c r="AJ37" s="408">
        <f t="shared" si="32"/>
        <v>7600</v>
      </c>
      <c r="AK37" s="99">
        <f t="shared" si="44"/>
        <v>7.7471690977657065E-4</v>
      </c>
      <c r="AL37" s="547">
        <f t="shared" si="33"/>
        <v>7600</v>
      </c>
      <c r="AM37" s="314">
        <f t="shared" si="59"/>
        <v>2.9674607078722898E-5</v>
      </c>
      <c r="AN37" s="478">
        <f t="shared" si="34"/>
        <v>7600</v>
      </c>
      <c r="AO37" s="123">
        <f t="shared" si="60"/>
        <v>2.9674607078722898E-5</v>
      </c>
      <c r="AP37" s="527">
        <f t="shared" si="35"/>
        <v>45292</v>
      </c>
      <c r="AQ37" s="284">
        <f t="shared" si="61"/>
        <v>5.470285553084796E-5</v>
      </c>
      <c r="AR37" s="487">
        <f t="shared" si="36"/>
        <v>45292</v>
      </c>
      <c r="AS37" s="285">
        <f t="shared" si="62"/>
        <v>5.470285553084796E-5</v>
      </c>
      <c r="AT37" s="584">
        <f>[1]全社合計!$N$37</f>
        <v>0</v>
      </c>
      <c r="AU37" s="124">
        <f t="shared" si="37"/>
        <v>0</v>
      </c>
      <c r="AV37" s="578">
        <f t="shared" si="38"/>
        <v>0</v>
      </c>
      <c r="AW37" s="125">
        <f t="shared" si="39"/>
        <v>0</v>
      </c>
      <c r="AX37" s="584">
        <f t="shared" si="40"/>
        <v>45292</v>
      </c>
      <c r="AY37" s="124" t="str">
        <f t="shared" si="41"/>
        <v/>
      </c>
      <c r="AZ37" s="578">
        <f t="shared" si="42"/>
        <v>45292</v>
      </c>
      <c r="BA37" s="125" t="str">
        <f t="shared" si="43"/>
        <v/>
      </c>
      <c r="BB37" s="11"/>
    </row>
    <row r="38" spans="1:54" ht="15.95" customHeight="1">
      <c r="A38" s="37" t="s">
        <v>32</v>
      </c>
      <c r="B38" s="703">
        <f>[1]本部!$L$38</f>
        <v>0</v>
      </c>
      <c r="C38" s="259" t="str">
        <f t="shared" si="45"/>
        <v/>
      </c>
      <c r="D38" s="728">
        <f t="shared" si="1"/>
        <v>0</v>
      </c>
      <c r="E38" s="122" t="str">
        <f t="shared" si="46"/>
        <v/>
      </c>
      <c r="F38" s="352">
        <f>[1]本社営業!$L$38</f>
        <v>35025</v>
      </c>
      <c r="G38" s="9">
        <f t="shared" si="47"/>
        <v>6.5497585964683974E-5</v>
      </c>
      <c r="H38" s="362">
        <f t="shared" si="20"/>
        <v>35025</v>
      </c>
      <c r="I38" s="124">
        <f t="shared" si="21"/>
        <v>6.5497585964683974E-5</v>
      </c>
      <c r="J38" s="388">
        <f>[1]東大阪!$L$38</f>
        <v>0</v>
      </c>
      <c r="K38" s="9">
        <f t="shared" si="22"/>
        <v>0</v>
      </c>
      <c r="L38" s="362">
        <f t="shared" si="23"/>
        <v>0</v>
      </c>
      <c r="M38" s="124">
        <f t="shared" si="48"/>
        <v>0</v>
      </c>
      <c r="N38" s="403">
        <f>[1]南港工場!$L$38</f>
        <v>0</v>
      </c>
      <c r="O38" s="9">
        <f t="shared" si="49"/>
        <v>0</v>
      </c>
      <c r="P38" s="426">
        <f t="shared" si="24"/>
        <v>0</v>
      </c>
      <c r="Q38" s="204">
        <f t="shared" si="50"/>
        <v>0</v>
      </c>
      <c r="R38" s="437">
        <f>[1]南港事務!$L$38</f>
        <v>0</v>
      </c>
      <c r="S38" s="9" t="str">
        <f t="shared" si="51"/>
        <v/>
      </c>
      <c r="T38" s="426">
        <f t="shared" si="25"/>
        <v>0</v>
      </c>
      <c r="U38" s="204" t="str">
        <f t="shared" si="52"/>
        <v/>
      </c>
      <c r="V38" s="456">
        <f t="shared" si="26"/>
        <v>0</v>
      </c>
      <c r="W38" s="171">
        <f t="shared" si="53"/>
        <v>0</v>
      </c>
      <c r="X38" s="426">
        <f t="shared" si="27"/>
        <v>0</v>
      </c>
      <c r="Y38" s="225">
        <f t="shared" si="54"/>
        <v>0</v>
      </c>
      <c r="Z38" s="460">
        <f t="shared" si="28"/>
        <v>35025</v>
      </c>
      <c r="AA38" s="189">
        <f t="shared" si="55"/>
        <v>6.1248272422746844E-5</v>
      </c>
      <c r="AB38" s="564">
        <f t="shared" si="29"/>
        <v>35025</v>
      </c>
      <c r="AC38" s="123">
        <f t="shared" si="56"/>
        <v>6.1248272422746844E-5</v>
      </c>
      <c r="AD38" s="352">
        <f>[1]東京事務!$L$38</f>
        <v>28697</v>
      </c>
      <c r="AE38" s="9">
        <f t="shared" si="57"/>
        <v>1.1651181987179266E-4</v>
      </c>
      <c r="AF38" s="362">
        <f t="shared" si="30"/>
        <v>28697</v>
      </c>
      <c r="AG38" s="81">
        <f t="shared" si="58"/>
        <v>1.1651181987179266E-4</v>
      </c>
      <c r="AH38" s="388">
        <f>[1]東京工場!$L$38</f>
        <v>3380</v>
      </c>
      <c r="AI38" s="171">
        <f t="shared" si="31"/>
        <v>3.445451519795801E-4</v>
      </c>
      <c r="AJ38" s="408">
        <f t="shared" si="32"/>
        <v>3380</v>
      </c>
      <c r="AK38" s="99">
        <f t="shared" si="44"/>
        <v>3.445451519795801E-4</v>
      </c>
      <c r="AL38" s="547">
        <f t="shared" si="33"/>
        <v>32077</v>
      </c>
      <c r="AM38" s="314">
        <f t="shared" si="59"/>
        <v>1.2524636464002559E-4</v>
      </c>
      <c r="AN38" s="478">
        <f t="shared" si="34"/>
        <v>32077</v>
      </c>
      <c r="AO38" s="123">
        <f t="shared" si="60"/>
        <v>1.2524636464002559E-4</v>
      </c>
      <c r="AP38" s="527">
        <f t="shared" si="35"/>
        <v>67102</v>
      </c>
      <c r="AQ38" s="284">
        <f t="shared" si="61"/>
        <v>8.104457767002914E-5</v>
      </c>
      <c r="AR38" s="487">
        <f t="shared" si="36"/>
        <v>67102</v>
      </c>
      <c r="AS38" s="285">
        <f t="shared" si="62"/>
        <v>8.104457767002914E-5</v>
      </c>
      <c r="AT38" s="584">
        <f>[1]全社合計!$N$38</f>
        <v>83588</v>
      </c>
      <c r="AU38" s="124">
        <f t="shared" si="37"/>
        <v>8.6430903157865468E-5</v>
      </c>
      <c r="AV38" s="578">
        <f t="shared" si="38"/>
        <v>83588</v>
      </c>
      <c r="AW38" s="125">
        <f t="shared" si="39"/>
        <v>8.6430903157865468E-5</v>
      </c>
      <c r="AX38" s="584">
        <f t="shared" si="40"/>
        <v>-16486</v>
      </c>
      <c r="AY38" s="124">
        <f t="shared" si="41"/>
        <v>0.80277073264104892</v>
      </c>
      <c r="AZ38" s="578">
        <f t="shared" si="42"/>
        <v>-16486</v>
      </c>
      <c r="BA38" s="125">
        <f t="shared" si="43"/>
        <v>0.80277073264104892</v>
      </c>
      <c r="BB38" s="11"/>
    </row>
    <row r="39" spans="1:54" ht="15.95" customHeight="1">
      <c r="A39" s="37" t="s">
        <v>56</v>
      </c>
      <c r="B39" s="703">
        <f>[1]本部!$L$39</f>
        <v>4445</v>
      </c>
      <c r="C39" s="259" t="str">
        <f t="shared" si="45"/>
        <v/>
      </c>
      <c r="D39" s="728">
        <f t="shared" si="1"/>
        <v>4445</v>
      </c>
      <c r="E39" s="122" t="str">
        <f t="shared" si="46"/>
        <v/>
      </c>
      <c r="F39" s="352">
        <f>[1]本社営業!$L$39</f>
        <v>0</v>
      </c>
      <c r="G39" s="9">
        <f t="shared" si="47"/>
        <v>0</v>
      </c>
      <c r="H39" s="362">
        <f t="shared" si="20"/>
        <v>0</v>
      </c>
      <c r="I39" s="124">
        <f t="shared" si="21"/>
        <v>0</v>
      </c>
      <c r="J39" s="388">
        <f>[1]東大阪!$L$39</f>
        <v>0</v>
      </c>
      <c r="K39" s="9">
        <f t="shared" si="22"/>
        <v>0</v>
      </c>
      <c r="L39" s="362">
        <f t="shared" si="23"/>
        <v>0</v>
      </c>
      <c r="M39" s="124">
        <f t="shared" si="48"/>
        <v>0</v>
      </c>
      <c r="N39" s="403">
        <f>[1]南港工場!$L$39</f>
        <v>0</v>
      </c>
      <c r="O39" s="9">
        <f t="shared" si="49"/>
        <v>0</v>
      </c>
      <c r="P39" s="426">
        <f t="shared" si="24"/>
        <v>0</v>
      </c>
      <c r="Q39" s="204">
        <f t="shared" si="50"/>
        <v>0</v>
      </c>
      <c r="R39" s="437">
        <f>[1]南港事務!$L$39</f>
        <v>0</v>
      </c>
      <c r="S39" s="9" t="str">
        <f t="shared" si="51"/>
        <v/>
      </c>
      <c r="T39" s="426">
        <f t="shared" si="25"/>
        <v>0</v>
      </c>
      <c r="U39" s="204" t="str">
        <f t="shared" si="52"/>
        <v/>
      </c>
      <c r="V39" s="456">
        <f t="shared" si="26"/>
        <v>0</v>
      </c>
      <c r="W39" s="171">
        <f t="shared" si="53"/>
        <v>0</v>
      </c>
      <c r="X39" s="426">
        <f t="shared" si="27"/>
        <v>0</v>
      </c>
      <c r="Y39" s="225">
        <f t="shared" si="54"/>
        <v>0</v>
      </c>
      <c r="Z39" s="460">
        <f t="shared" si="28"/>
        <v>0</v>
      </c>
      <c r="AA39" s="189">
        <f t="shared" si="55"/>
        <v>0</v>
      </c>
      <c r="AB39" s="564">
        <f t="shared" si="29"/>
        <v>0</v>
      </c>
      <c r="AC39" s="123">
        <f t="shared" si="56"/>
        <v>0</v>
      </c>
      <c r="AD39" s="352">
        <f>[1]東京事務!$L$39</f>
        <v>0</v>
      </c>
      <c r="AE39" s="9">
        <f t="shared" si="57"/>
        <v>0</v>
      </c>
      <c r="AF39" s="362">
        <f t="shared" si="30"/>
        <v>0</v>
      </c>
      <c r="AG39" s="81">
        <f t="shared" si="58"/>
        <v>0</v>
      </c>
      <c r="AH39" s="388">
        <f>[1]東京工場!$L$39</f>
        <v>0</v>
      </c>
      <c r="AI39" s="171">
        <f t="shared" si="31"/>
        <v>0</v>
      </c>
      <c r="AJ39" s="408">
        <f t="shared" si="32"/>
        <v>0</v>
      </c>
      <c r="AK39" s="99">
        <f t="shared" si="44"/>
        <v>0</v>
      </c>
      <c r="AL39" s="547">
        <f t="shared" si="33"/>
        <v>0</v>
      </c>
      <c r="AM39" s="314">
        <f t="shared" si="59"/>
        <v>0</v>
      </c>
      <c r="AN39" s="478">
        <f t="shared" si="34"/>
        <v>0</v>
      </c>
      <c r="AO39" s="123">
        <f t="shared" si="60"/>
        <v>0</v>
      </c>
      <c r="AP39" s="527">
        <f t="shared" si="35"/>
        <v>4445</v>
      </c>
      <c r="AQ39" s="284">
        <f t="shared" si="61"/>
        <v>5.3685903213507729E-6</v>
      </c>
      <c r="AR39" s="487">
        <f t="shared" si="36"/>
        <v>4445</v>
      </c>
      <c r="AS39" s="285">
        <f t="shared" si="62"/>
        <v>5.3685903213507729E-6</v>
      </c>
      <c r="AT39" s="584">
        <f>[1]全社合計!$N$39</f>
        <v>4445</v>
      </c>
      <c r="AU39" s="124">
        <f t="shared" si="37"/>
        <v>4.5961784530879074E-6</v>
      </c>
      <c r="AV39" s="578">
        <f t="shared" si="38"/>
        <v>4445</v>
      </c>
      <c r="AW39" s="125">
        <f t="shared" si="39"/>
        <v>4.5961784530879074E-6</v>
      </c>
      <c r="AX39" s="584">
        <f t="shared" si="40"/>
        <v>0</v>
      </c>
      <c r="AY39" s="124">
        <f t="shared" si="41"/>
        <v>1</v>
      </c>
      <c r="AZ39" s="578">
        <f t="shared" si="42"/>
        <v>0</v>
      </c>
      <c r="BA39" s="125">
        <f t="shared" si="43"/>
        <v>1</v>
      </c>
      <c r="BB39" s="11"/>
    </row>
    <row r="40" spans="1:54" ht="15.95" customHeight="1">
      <c r="A40" s="37" t="s">
        <v>33</v>
      </c>
      <c r="B40" s="703">
        <f>[1]本部!$L$40</f>
        <v>0</v>
      </c>
      <c r="C40" s="259" t="str">
        <f t="shared" si="45"/>
        <v/>
      </c>
      <c r="D40" s="728">
        <f t="shared" si="1"/>
        <v>0</v>
      </c>
      <c r="E40" s="122" t="str">
        <f t="shared" si="46"/>
        <v/>
      </c>
      <c r="F40" s="352">
        <f>[1]本社営業!$L$40</f>
        <v>19547</v>
      </c>
      <c r="G40" s="9">
        <f t="shared" si="47"/>
        <v>3.6553356541090008E-5</v>
      </c>
      <c r="H40" s="362">
        <f t="shared" si="20"/>
        <v>19547</v>
      </c>
      <c r="I40" s="124">
        <f t="shared" si="21"/>
        <v>3.6553356541090008E-5</v>
      </c>
      <c r="J40" s="388">
        <f>[1]東大阪!$L$40</f>
        <v>0</v>
      </c>
      <c r="K40" s="9">
        <f t="shared" si="22"/>
        <v>0</v>
      </c>
      <c r="L40" s="362">
        <f t="shared" si="23"/>
        <v>0</v>
      </c>
      <c r="M40" s="124">
        <f t="shared" si="48"/>
        <v>0</v>
      </c>
      <c r="N40" s="403">
        <f>[1]南港工場!$L$40</f>
        <v>0</v>
      </c>
      <c r="O40" s="9">
        <f t="shared" si="49"/>
        <v>0</v>
      </c>
      <c r="P40" s="426">
        <f t="shared" si="24"/>
        <v>0</v>
      </c>
      <c r="Q40" s="204">
        <f t="shared" si="50"/>
        <v>0</v>
      </c>
      <c r="R40" s="437">
        <f>[1]南港事務!$L$40</f>
        <v>0</v>
      </c>
      <c r="S40" s="9" t="str">
        <f t="shared" si="51"/>
        <v/>
      </c>
      <c r="T40" s="426">
        <f t="shared" si="25"/>
        <v>0</v>
      </c>
      <c r="U40" s="204" t="str">
        <f t="shared" si="52"/>
        <v/>
      </c>
      <c r="V40" s="456">
        <f t="shared" si="26"/>
        <v>0</v>
      </c>
      <c r="W40" s="171">
        <f t="shared" si="53"/>
        <v>0</v>
      </c>
      <c r="X40" s="426">
        <f t="shared" si="27"/>
        <v>0</v>
      </c>
      <c r="Y40" s="225">
        <f t="shared" si="54"/>
        <v>0</v>
      </c>
      <c r="Z40" s="460">
        <f t="shared" si="28"/>
        <v>19547</v>
      </c>
      <c r="AA40" s="189">
        <f t="shared" si="55"/>
        <v>3.4181869551675446E-5</v>
      </c>
      <c r="AB40" s="564">
        <f t="shared" si="29"/>
        <v>19547</v>
      </c>
      <c r="AC40" s="123">
        <f t="shared" si="56"/>
        <v>3.4181869551675446E-5</v>
      </c>
      <c r="AD40" s="352">
        <f>[1]東京事務!$L$40</f>
        <v>0</v>
      </c>
      <c r="AE40" s="9">
        <f t="shared" si="57"/>
        <v>0</v>
      </c>
      <c r="AF40" s="362">
        <f t="shared" si="30"/>
        <v>0</v>
      </c>
      <c r="AG40" s="81">
        <f t="shared" si="58"/>
        <v>0</v>
      </c>
      <c r="AH40" s="388">
        <f>[1]東京工場!$L$40</f>
        <v>0</v>
      </c>
      <c r="AI40" s="171">
        <f t="shared" si="31"/>
        <v>0</v>
      </c>
      <c r="AJ40" s="408">
        <f t="shared" si="32"/>
        <v>0</v>
      </c>
      <c r="AK40" s="99">
        <f t="shared" si="44"/>
        <v>0</v>
      </c>
      <c r="AL40" s="547">
        <f t="shared" si="33"/>
        <v>0</v>
      </c>
      <c r="AM40" s="314">
        <f t="shared" si="59"/>
        <v>0</v>
      </c>
      <c r="AN40" s="478">
        <f t="shared" si="34"/>
        <v>0</v>
      </c>
      <c r="AO40" s="123">
        <f t="shared" si="60"/>
        <v>0</v>
      </c>
      <c r="AP40" s="527">
        <f t="shared" si="35"/>
        <v>19547</v>
      </c>
      <c r="AQ40" s="284">
        <f t="shared" si="61"/>
        <v>2.36085118135981E-5</v>
      </c>
      <c r="AR40" s="487">
        <f t="shared" si="36"/>
        <v>19547</v>
      </c>
      <c r="AS40" s="285">
        <f t="shared" si="62"/>
        <v>2.36085118135981E-5</v>
      </c>
      <c r="AT40" s="584">
        <f>[1]全社合計!$N$40</f>
        <v>28958</v>
      </c>
      <c r="AU40" s="124">
        <f t="shared" si="37"/>
        <v>2.9942887659059533E-5</v>
      </c>
      <c r="AV40" s="578">
        <f t="shared" si="38"/>
        <v>28958</v>
      </c>
      <c r="AW40" s="125">
        <f t="shared" si="39"/>
        <v>2.9942887659059533E-5</v>
      </c>
      <c r="AX40" s="584">
        <f t="shared" si="40"/>
        <v>-9411</v>
      </c>
      <c r="AY40" s="124">
        <f t="shared" si="41"/>
        <v>0.67501208647006006</v>
      </c>
      <c r="AZ40" s="578">
        <f t="shared" si="42"/>
        <v>-9411</v>
      </c>
      <c r="BA40" s="125">
        <f t="shared" si="43"/>
        <v>0.67501208647006006</v>
      </c>
      <c r="BB40" s="11"/>
    </row>
    <row r="41" spans="1:54" ht="15.95" customHeight="1">
      <c r="A41" s="37" t="s">
        <v>34</v>
      </c>
      <c r="B41" s="703">
        <f>[1]本部!$L$41</f>
        <v>33800</v>
      </c>
      <c r="C41" s="259" t="str">
        <f t="shared" si="45"/>
        <v/>
      </c>
      <c r="D41" s="728">
        <f t="shared" si="1"/>
        <v>33800</v>
      </c>
      <c r="E41" s="122" t="str">
        <f t="shared" si="46"/>
        <v/>
      </c>
      <c r="F41" s="352">
        <f>[1]本社営業!$L$41</f>
        <v>67000</v>
      </c>
      <c r="G41" s="9">
        <f t="shared" si="47"/>
        <v>1.2529159913301431E-4</v>
      </c>
      <c r="H41" s="362">
        <f t="shared" si="20"/>
        <v>67000</v>
      </c>
      <c r="I41" s="124">
        <f t="shared" si="21"/>
        <v>1.2529159913301431E-4</v>
      </c>
      <c r="J41" s="388">
        <f>[1]東大阪!$L$41</f>
        <v>10000</v>
      </c>
      <c r="K41" s="9">
        <f t="shared" si="22"/>
        <v>1.1263975777946486E-3</v>
      </c>
      <c r="L41" s="362">
        <f t="shared" si="23"/>
        <v>10000</v>
      </c>
      <c r="M41" s="124">
        <f t="shared" si="48"/>
        <v>1.1263975777946486E-3</v>
      </c>
      <c r="N41" s="403">
        <f>[1]南港工場!$L$41</f>
        <v>0</v>
      </c>
      <c r="O41" s="9">
        <f t="shared" si="49"/>
        <v>0</v>
      </c>
      <c r="P41" s="426">
        <f t="shared" si="24"/>
        <v>0</v>
      </c>
      <c r="Q41" s="204">
        <f t="shared" si="50"/>
        <v>0</v>
      </c>
      <c r="R41" s="437">
        <f>[1]南港事務!$L$41</f>
        <v>0</v>
      </c>
      <c r="S41" s="9" t="str">
        <f t="shared" si="51"/>
        <v/>
      </c>
      <c r="T41" s="426">
        <f t="shared" si="25"/>
        <v>0</v>
      </c>
      <c r="U41" s="204" t="str">
        <f t="shared" si="52"/>
        <v/>
      </c>
      <c r="V41" s="456">
        <f t="shared" si="26"/>
        <v>0</v>
      </c>
      <c r="W41" s="171">
        <f t="shared" si="53"/>
        <v>0</v>
      </c>
      <c r="X41" s="426">
        <f t="shared" si="27"/>
        <v>0</v>
      </c>
      <c r="Y41" s="225">
        <f t="shared" si="54"/>
        <v>0</v>
      </c>
      <c r="Z41" s="460">
        <f t="shared" si="28"/>
        <v>77000</v>
      </c>
      <c r="AA41" s="189">
        <f t="shared" si="55"/>
        <v>1.3465002074379749E-4</v>
      </c>
      <c r="AB41" s="564">
        <f t="shared" si="29"/>
        <v>77000</v>
      </c>
      <c r="AC41" s="123">
        <f t="shared" si="56"/>
        <v>1.3465002074379749E-4</v>
      </c>
      <c r="AD41" s="352">
        <f>[1]東京事務!$L$41</f>
        <v>143000</v>
      </c>
      <c r="AE41" s="9">
        <f t="shared" si="57"/>
        <v>5.805899655596875E-4</v>
      </c>
      <c r="AF41" s="362">
        <f t="shared" si="30"/>
        <v>143000</v>
      </c>
      <c r="AG41" s="81">
        <f t="shared" si="58"/>
        <v>5.805899655596875E-4</v>
      </c>
      <c r="AH41" s="388">
        <f>[1]東京工場!$L$41</f>
        <v>0</v>
      </c>
      <c r="AI41" s="171">
        <f t="shared" si="31"/>
        <v>0</v>
      </c>
      <c r="AJ41" s="408">
        <f t="shared" si="32"/>
        <v>0</v>
      </c>
      <c r="AK41" s="99">
        <f t="shared" si="44"/>
        <v>0</v>
      </c>
      <c r="AL41" s="547">
        <f t="shared" si="33"/>
        <v>143000</v>
      </c>
      <c r="AM41" s="314">
        <f t="shared" si="59"/>
        <v>5.5835115950754932E-4</v>
      </c>
      <c r="AN41" s="478">
        <f t="shared" si="34"/>
        <v>143000</v>
      </c>
      <c r="AO41" s="123">
        <f t="shared" si="60"/>
        <v>5.5835115950754932E-4</v>
      </c>
      <c r="AP41" s="527">
        <f t="shared" si="35"/>
        <v>253800</v>
      </c>
      <c r="AQ41" s="284">
        <f t="shared" si="61"/>
        <v>3.065350334215582E-4</v>
      </c>
      <c r="AR41" s="487">
        <f t="shared" si="36"/>
        <v>253800</v>
      </c>
      <c r="AS41" s="285">
        <f t="shared" si="62"/>
        <v>3.065350334215582E-4</v>
      </c>
      <c r="AT41" s="584">
        <f>[1]全社合計!$N$41</f>
        <v>335073</v>
      </c>
      <c r="AU41" s="124">
        <f t="shared" si="37"/>
        <v>3.4646913449078165E-4</v>
      </c>
      <c r="AV41" s="578">
        <f t="shared" si="38"/>
        <v>335073</v>
      </c>
      <c r="AW41" s="125">
        <f t="shared" si="39"/>
        <v>3.4646913449078165E-4</v>
      </c>
      <c r="AX41" s="584">
        <f t="shared" si="40"/>
        <v>-81273</v>
      </c>
      <c r="AY41" s="124">
        <f t="shared" si="41"/>
        <v>0.75744688470870525</v>
      </c>
      <c r="AZ41" s="578">
        <f t="shared" si="42"/>
        <v>-81273</v>
      </c>
      <c r="BA41" s="125">
        <f t="shared" si="43"/>
        <v>0.75744688470870525</v>
      </c>
      <c r="BB41" s="11"/>
    </row>
    <row r="42" spans="1:54" ht="15.95" customHeight="1">
      <c r="A42" s="37" t="s">
        <v>35</v>
      </c>
      <c r="B42" s="703">
        <f>[1]本部!$L$42</f>
        <v>0</v>
      </c>
      <c r="C42" s="259" t="str">
        <f t="shared" si="45"/>
        <v/>
      </c>
      <c r="D42" s="728">
        <f t="shared" si="1"/>
        <v>0</v>
      </c>
      <c r="E42" s="122" t="str">
        <f t="shared" si="46"/>
        <v/>
      </c>
      <c r="F42" s="352">
        <f>[1]本社営業!$L$42</f>
        <v>510000</v>
      </c>
      <c r="G42" s="9">
        <f t="shared" si="47"/>
        <v>9.5371217250503424E-4</v>
      </c>
      <c r="H42" s="362">
        <f t="shared" si="20"/>
        <v>510000</v>
      </c>
      <c r="I42" s="124">
        <f t="shared" si="21"/>
        <v>9.5371217250503424E-4</v>
      </c>
      <c r="J42" s="388">
        <f>[1]東大阪!$L$42</f>
        <v>0</v>
      </c>
      <c r="K42" s="9">
        <f t="shared" si="22"/>
        <v>0</v>
      </c>
      <c r="L42" s="362">
        <f t="shared" si="23"/>
        <v>0</v>
      </c>
      <c r="M42" s="124">
        <f t="shared" si="48"/>
        <v>0</v>
      </c>
      <c r="N42" s="403">
        <f>[1]南港工場!$L$42</f>
        <v>0</v>
      </c>
      <c r="O42" s="9">
        <f t="shared" si="49"/>
        <v>0</v>
      </c>
      <c r="P42" s="426">
        <f t="shared" si="24"/>
        <v>0</v>
      </c>
      <c r="Q42" s="204">
        <f t="shared" si="50"/>
        <v>0</v>
      </c>
      <c r="R42" s="437">
        <f>[1]南港事務!$L$42</f>
        <v>0</v>
      </c>
      <c r="S42" s="9" t="str">
        <f t="shared" si="51"/>
        <v/>
      </c>
      <c r="T42" s="426">
        <f t="shared" si="25"/>
        <v>0</v>
      </c>
      <c r="U42" s="204" t="str">
        <f t="shared" si="52"/>
        <v/>
      </c>
      <c r="V42" s="456">
        <f t="shared" si="26"/>
        <v>0</v>
      </c>
      <c r="W42" s="171">
        <f t="shared" si="53"/>
        <v>0</v>
      </c>
      <c r="X42" s="426">
        <f t="shared" si="27"/>
        <v>0</v>
      </c>
      <c r="Y42" s="225">
        <f t="shared" si="54"/>
        <v>0</v>
      </c>
      <c r="Z42" s="460">
        <f t="shared" si="28"/>
        <v>510000</v>
      </c>
      <c r="AA42" s="189">
        <f t="shared" si="55"/>
        <v>8.9183779973164563E-4</v>
      </c>
      <c r="AB42" s="564">
        <f t="shared" si="29"/>
        <v>510000</v>
      </c>
      <c r="AC42" s="123">
        <f t="shared" si="56"/>
        <v>8.9183779973164563E-4</v>
      </c>
      <c r="AD42" s="352">
        <f>[1]東京事務!$L$42</f>
        <v>0</v>
      </c>
      <c r="AE42" s="9">
        <f t="shared" si="57"/>
        <v>0</v>
      </c>
      <c r="AF42" s="362">
        <f t="shared" si="30"/>
        <v>0</v>
      </c>
      <c r="AG42" s="81">
        <f t="shared" si="58"/>
        <v>0</v>
      </c>
      <c r="AH42" s="388">
        <f>[1]東京工場!$L$42</f>
        <v>0</v>
      </c>
      <c r="AI42" s="171">
        <f t="shared" si="31"/>
        <v>0</v>
      </c>
      <c r="AJ42" s="408">
        <f t="shared" si="32"/>
        <v>0</v>
      </c>
      <c r="AK42" s="99">
        <f t="shared" si="44"/>
        <v>0</v>
      </c>
      <c r="AL42" s="547">
        <f t="shared" si="33"/>
        <v>0</v>
      </c>
      <c r="AM42" s="314">
        <f t="shared" si="59"/>
        <v>0</v>
      </c>
      <c r="AN42" s="478">
        <f t="shared" si="34"/>
        <v>0</v>
      </c>
      <c r="AO42" s="123">
        <f t="shared" si="60"/>
        <v>0</v>
      </c>
      <c r="AP42" s="527">
        <f t="shared" si="35"/>
        <v>510000</v>
      </c>
      <c r="AQ42" s="284">
        <f t="shared" si="61"/>
        <v>6.1596874328209087E-4</v>
      </c>
      <c r="AR42" s="487">
        <f t="shared" si="36"/>
        <v>510000</v>
      </c>
      <c r="AS42" s="285">
        <f t="shared" si="62"/>
        <v>6.1596874328209087E-4</v>
      </c>
      <c r="AT42" s="584">
        <f>[1]全社合計!$N$42</f>
        <v>0</v>
      </c>
      <c r="AU42" s="124">
        <f t="shared" si="37"/>
        <v>0</v>
      </c>
      <c r="AV42" s="578">
        <f t="shared" si="38"/>
        <v>0</v>
      </c>
      <c r="AW42" s="125">
        <f t="shared" si="39"/>
        <v>0</v>
      </c>
      <c r="AX42" s="584">
        <f t="shared" si="40"/>
        <v>510000</v>
      </c>
      <c r="AY42" s="124" t="str">
        <f t="shared" si="41"/>
        <v/>
      </c>
      <c r="AZ42" s="578">
        <f t="shared" si="42"/>
        <v>510000</v>
      </c>
      <c r="BA42" s="125" t="str">
        <f t="shared" si="43"/>
        <v/>
      </c>
      <c r="BB42" s="11"/>
    </row>
    <row r="43" spans="1:54" ht="15.95" customHeight="1">
      <c r="A43" s="37" t="s">
        <v>36</v>
      </c>
      <c r="B43" s="703">
        <f>[1]本部!$L$43</f>
        <v>0</v>
      </c>
      <c r="C43" s="259" t="str">
        <f t="shared" si="45"/>
        <v/>
      </c>
      <c r="D43" s="728">
        <f t="shared" si="1"/>
        <v>0</v>
      </c>
      <c r="E43" s="122" t="str">
        <f t="shared" si="46"/>
        <v/>
      </c>
      <c r="F43" s="352">
        <f>[1]本社営業!$L$43</f>
        <v>9330033</v>
      </c>
      <c r="G43" s="9">
        <f t="shared" si="47"/>
        <v>1.7447384396026788E-2</v>
      </c>
      <c r="H43" s="362">
        <f t="shared" si="20"/>
        <v>9330033</v>
      </c>
      <c r="I43" s="124">
        <f t="shared" si="21"/>
        <v>1.7447384396026788E-2</v>
      </c>
      <c r="J43" s="388">
        <f>[1]東大阪!$L$43</f>
        <v>-510100</v>
      </c>
      <c r="K43" s="9">
        <f t="shared" si="22"/>
        <v>-5.7457540443305033E-2</v>
      </c>
      <c r="L43" s="362">
        <f t="shared" si="23"/>
        <v>-510100</v>
      </c>
      <c r="M43" s="124">
        <f t="shared" si="48"/>
        <v>-5.7457540443305033E-2</v>
      </c>
      <c r="N43" s="403">
        <f>[1]南港工場!$L$43</f>
        <v>1233535</v>
      </c>
      <c r="O43" s="9">
        <f t="shared" si="49"/>
        <v>4.3707547790553136E-2</v>
      </c>
      <c r="P43" s="426">
        <f t="shared" si="24"/>
        <v>1233535</v>
      </c>
      <c r="Q43" s="204">
        <f t="shared" si="50"/>
        <v>4.3707547790553136E-2</v>
      </c>
      <c r="R43" s="437">
        <f>[1]南港事務!$L$43</f>
        <v>0</v>
      </c>
      <c r="S43" s="9" t="str">
        <f t="shared" si="51"/>
        <v/>
      </c>
      <c r="T43" s="426">
        <f t="shared" si="25"/>
        <v>0</v>
      </c>
      <c r="U43" s="204" t="str">
        <f t="shared" si="52"/>
        <v/>
      </c>
      <c r="V43" s="456">
        <f t="shared" si="26"/>
        <v>1233535</v>
      </c>
      <c r="W43" s="171">
        <f t="shared" si="53"/>
        <v>4.3707547790553136E-2</v>
      </c>
      <c r="X43" s="426">
        <f t="shared" si="27"/>
        <v>1233535</v>
      </c>
      <c r="Y43" s="225">
        <f t="shared" si="54"/>
        <v>4.3707547790553136E-2</v>
      </c>
      <c r="Z43" s="460">
        <f t="shared" si="28"/>
        <v>10053468</v>
      </c>
      <c r="AA43" s="189">
        <f t="shared" si="55"/>
        <v>1.75805152564559E-2</v>
      </c>
      <c r="AB43" s="564">
        <f t="shared" si="29"/>
        <v>10053468</v>
      </c>
      <c r="AC43" s="123">
        <f t="shared" si="56"/>
        <v>1.75805152564559E-2</v>
      </c>
      <c r="AD43" s="352">
        <f>[1]東京事務!$L$43</f>
        <v>3011525</v>
      </c>
      <c r="AE43" s="9">
        <f t="shared" si="57"/>
        <v>1.2227001370854111E-2</v>
      </c>
      <c r="AF43" s="362">
        <f t="shared" si="30"/>
        <v>3011525</v>
      </c>
      <c r="AG43" s="81">
        <f t="shared" si="58"/>
        <v>1.2227001370854111E-2</v>
      </c>
      <c r="AH43" s="388">
        <f>[1]東京工場!$L$43</f>
        <v>0</v>
      </c>
      <c r="AI43" s="171">
        <f t="shared" si="31"/>
        <v>0</v>
      </c>
      <c r="AJ43" s="408">
        <f t="shared" si="32"/>
        <v>0</v>
      </c>
      <c r="AK43" s="99">
        <f t="shared" si="44"/>
        <v>0</v>
      </c>
      <c r="AL43" s="547">
        <f t="shared" si="33"/>
        <v>3011525</v>
      </c>
      <c r="AM43" s="314">
        <f t="shared" si="59"/>
        <v>1.1758660668783023E-2</v>
      </c>
      <c r="AN43" s="478">
        <f t="shared" si="34"/>
        <v>3011525</v>
      </c>
      <c r="AO43" s="123">
        <f t="shared" si="60"/>
        <v>1.1758660668783023E-2</v>
      </c>
      <c r="AP43" s="527">
        <f t="shared" si="35"/>
        <v>13064993</v>
      </c>
      <c r="AQ43" s="284">
        <f t="shared" si="61"/>
        <v>1.5779661410194733E-2</v>
      </c>
      <c r="AR43" s="487">
        <f t="shared" si="36"/>
        <v>13064993</v>
      </c>
      <c r="AS43" s="285">
        <f t="shared" si="62"/>
        <v>1.5779661410194733E-2</v>
      </c>
      <c r="AT43" s="584">
        <f>[1]全社合計!$N$43</f>
        <v>12762673</v>
      </c>
      <c r="AU43" s="124">
        <f t="shared" si="37"/>
        <v>1.319674300256621E-2</v>
      </c>
      <c r="AV43" s="578">
        <f t="shared" si="38"/>
        <v>12762673</v>
      </c>
      <c r="AW43" s="125">
        <f t="shared" si="39"/>
        <v>1.319674300256621E-2</v>
      </c>
      <c r="AX43" s="584">
        <f t="shared" si="40"/>
        <v>302320</v>
      </c>
      <c r="AY43" s="124">
        <f t="shared" si="41"/>
        <v>1.0236878277771435</v>
      </c>
      <c r="AZ43" s="578">
        <f t="shared" si="42"/>
        <v>302320</v>
      </c>
      <c r="BA43" s="125">
        <f t="shared" si="43"/>
        <v>1.0236878277771435</v>
      </c>
      <c r="BB43" s="11"/>
    </row>
    <row r="44" spans="1:54" ht="15.95" customHeight="1">
      <c r="A44" s="37" t="s">
        <v>37</v>
      </c>
      <c r="B44" s="703">
        <f>[1]本部!$L$44</f>
        <v>-165000</v>
      </c>
      <c r="C44" s="259" t="str">
        <f t="shared" si="45"/>
        <v/>
      </c>
      <c r="D44" s="728">
        <f t="shared" si="1"/>
        <v>-165000</v>
      </c>
      <c r="E44" s="122" t="str">
        <f t="shared" si="46"/>
        <v/>
      </c>
      <c r="F44" s="352">
        <f>[1]本社営業!$L$44</f>
        <v>475000</v>
      </c>
      <c r="G44" s="9">
        <f t="shared" si="47"/>
        <v>8.882613371370417E-4</v>
      </c>
      <c r="H44" s="362">
        <f t="shared" si="20"/>
        <v>475000</v>
      </c>
      <c r="I44" s="124">
        <f t="shared" si="21"/>
        <v>8.882613371370417E-4</v>
      </c>
      <c r="J44" s="388">
        <f>[1]東大阪!$L$44</f>
        <v>375000</v>
      </c>
      <c r="K44" s="9">
        <f t="shared" si="22"/>
        <v>4.2239909167299326E-2</v>
      </c>
      <c r="L44" s="362">
        <f t="shared" si="23"/>
        <v>375000</v>
      </c>
      <c r="M44" s="124">
        <f t="shared" si="48"/>
        <v>4.2239909167299326E-2</v>
      </c>
      <c r="N44" s="403">
        <f>[1]南港工場!$L$44</f>
        <v>360000</v>
      </c>
      <c r="O44" s="9">
        <f t="shared" si="49"/>
        <v>1.2755793069997308E-2</v>
      </c>
      <c r="P44" s="426">
        <f t="shared" si="24"/>
        <v>360000</v>
      </c>
      <c r="Q44" s="204">
        <f t="shared" si="50"/>
        <v>1.2755793069997308E-2</v>
      </c>
      <c r="R44" s="437">
        <f>[1]南港事務!$L$44</f>
        <v>80000</v>
      </c>
      <c r="S44" s="9" t="str">
        <f t="shared" si="51"/>
        <v/>
      </c>
      <c r="T44" s="426">
        <f t="shared" si="25"/>
        <v>80000</v>
      </c>
      <c r="U44" s="204" t="str">
        <f t="shared" si="52"/>
        <v/>
      </c>
      <c r="V44" s="456">
        <f t="shared" si="26"/>
        <v>440000</v>
      </c>
      <c r="W44" s="171">
        <f t="shared" si="53"/>
        <v>1.5590413752218932E-2</v>
      </c>
      <c r="X44" s="426">
        <f t="shared" si="27"/>
        <v>440000</v>
      </c>
      <c r="Y44" s="225">
        <f t="shared" si="54"/>
        <v>1.5590413752218932E-2</v>
      </c>
      <c r="Z44" s="460">
        <f t="shared" si="28"/>
        <v>1290000</v>
      </c>
      <c r="AA44" s="189">
        <f t="shared" si="55"/>
        <v>2.2558250228506332E-3</v>
      </c>
      <c r="AB44" s="564">
        <f t="shared" si="29"/>
        <v>1290000</v>
      </c>
      <c r="AC44" s="123">
        <f t="shared" si="56"/>
        <v>2.2558250228506332E-3</v>
      </c>
      <c r="AD44" s="352">
        <f>[1]東京事務!$L$44</f>
        <v>55000</v>
      </c>
      <c r="AE44" s="9">
        <f t="shared" si="57"/>
        <v>2.233038329075721E-4</v>
      </c>
      <c r="AF44" s="362">
        <f t="shared" si="30"/>
        <v>55000</v>
      </c>
      <c r="AG44" s="81">
        <f t="shared" si="58"/>
        <v>2.233038329075721E-4</v>
      </c>
      <c r="AH44" s="388">
        <f>[1]東京工場!$L$44</f>
        <v>275000</v>
      </c>
      <c r="AI44" s="171">
        <f t="shared" si="31"/>
        <v>2.8032519761652226E-2</v>
      </c>
      <c r="AJ44" s="408">
        <f t="shared" si="32"/>
        <v>275000</v>
      </c>
      <c r="AK44" s="99">
        <f t="shared" si="44"/>
        <v>2.8032519761652226E-2</v>
      </c>
      <c r="AL44" s="547">
        <f t="shared" si="33"/>
        <v>330000</v>
      </c>
      <c r="AM44" s="314">
        <f t="shared" si="59"/>
        <v>1.2885026757866521E-3</v>
      </c>
      <c r="AN44" s="478">
        <f t="shared" si="34"/>
        <v>330000</v>
      </c>
      <c r="AO44" s="123">
        <f t="shared" si="60"/>
        <v>1.2885026757866521E-3</v>
      </c>
      <c r="AP44" s="527">
        <f t="shared" si="35"/>
        <v>1455000</v>
      </c>
      <c r="AQ44" s="284">
        <f t="shared" si="61"/>
        <v>1.7573225911283181E-3</v>
      </c>
      <c r="AR44" s="487">
        <f t="shared" si="36"/>
        <v>1455000</v>
      </c>
      <c r="AS44" s="285">
        <f t="shared" si="62"/>
        <v>1.7573225911283181E-3</v>
      </c>
      <c r="AT44" s="584">
        <f>[1]全社合計!$N$44</f>
        <v>1280000</v>
      </c>
      <c r="AU44" s="124">
        <f t="shared" si="37"/>
        <v>1.3235339527452241E-3</v>
      </c>
      <c r="AV44" s="578">
        <f t="shared" si="38"/>
        <v>1280000</v>
      </c>
      <c r="AW44" s="125">
        <f t="shared" si="39"/>
        <v>1.3235339527452241E-3</v>
      </c>
      <c r="AX44" s="584">
        <f t="shared" si="40"/>
        <v>175000</v>
      </c>
      <c r="AY44" s="124">
        <f t="shared" si="41"/>
        <v>1.13671875</v>
      </c>
      <c r="AZ44" s="578">
        <f t="shared" si="42"/>
        <v>175000</v>
      </c>
      <c r="BA44" s="125">
        <f t="shared" si="43"/>
        <v>1.13671875</v>
      </c>
      <c r="BB44" s="14"/>
    </row>
    <row r="45" spans="1:54" ht="15.95" customHeight="1">
      <c r="A45" s="37" t="s">
        <v>57</v>
      </c>
      <c r="B45" s="703">
        <f>[1]本部!$L$45</f>
        <v>0</v>
      </c>
      <c r="C45" s="259" t="str">
        <f t="shared" si="45"/>
        <v/>
      </c>
      <c r="D45" s="728">
        <f t="shared" si="1"/>
        <v>0</v>
      </c>
      <c r="E45" s="122" t="str">
        <f t="shared" si="46"/>
        <v/>
      </c>
      <c r="F45" s="352">
        <f>[1]本社営業!$L$45</f>
        <v>0</v>
      </c>
      <c r="G45" s="9">
        <f t="shared" si="47"/>
        <v>0</v>
      </c>
      <c r="H45" s="362">
        <f t="shared" si="20"/>
        <v>0</v>
      </c>
      <c r="I45" s="124">
        <f t="shared" si="21"/>
        <v>0</v>
      </c>
      <c r="J45" s="388">
        <f>[1]東大阪!$L$45</f>
        <v>0</v>
      </c>
      <c r="K45" s="9">
        <f t="shared" si="22"/>
        <v>0</v>
      </c>
      <c r="L45" s="362">
        <f t="shared" si="23"/>
        <v>0</v>
      </c>
      <c r="M45" s="124">
        <f t="shared" si="48"/>
        <v>0</v>
      </c>
      <c r="N45" s="403">
        <f>[1]南港工場!$L$45</f>
        <v>0</v>
      </c>
      <c r="O45" s="9">
        <f t="shared" si="49"/>
        <v>0</v>
      </c>
      <c r="P45" s="426">
        <f t="shared" si="24"/>
        <v>0</v>
      </c>
      <c r="Q45" s="204">
        <f t="shared" si="50"/>
        <v>0</v>
      </c>
      <c r="R45" s="437">
        <f>[1]南港事務!$L$45</f>
        <v>0</v>
      </c>
      <c r="S45" s="9" t="str">
        <f t="shared" si="51"/>
        <v/>
      </c>
      <c r="T45" s="426">
        <f t="shared" si="25"/>
        <v>0</v>
      </c>
      <c r="U45" s="204" t="str">
        <f t="shared" si="52"/>
        <v/>
      </c>
      <c r="V45" s="456">
        <f t="shared" si="26"/>
        <v>0</v>
      </c>
      <c r="W45" s="171">
        <f t="shared" si="53"/>
        <v>0</v>
      </c>
      <c r="X45" s="426">
        <f t="shared" si="27"/>
        <v>0</v>
      </c>
      <c r="Y45" s="225">
        <f t="shared" si="54"/>
        <v>0</v>
      </c>
      <c r="Z45" s="460">
        <f t="shared" si="28"/>
        <v>0</v>
      </c>
      <c r="AA45" s="189">
        <f t="shared" si="55"/>
        <v>0</v>
      </c>
      <c r="AB45" s="564">
        <f t="shared" si="29"/>
        <v>0</v>
      </c>
      <c r="AC45" s="123">
        <f t="shared" si="56"/>
        <v>0</v>
      </c>
      <c r="AD45" s="352">
        <f>[1]東京事務!$L$45</f>
        <v>0</v>
      </c>
      <c r="AE45" s="9">
        <f t="shared" si="57"/>
        <v>0</v>
      </c>
      <c r="AF45" s="362">
        <f t="shared" si="30"/>
        <v>0</v>
      </c>
      <c r="AG45" s="81">
        <f t="shared" si="58"/>
        <v>0</v>
      </c>
      <c r="AH45" s="388">
        <f>[1]東京工場!$L$45</f>
        <v>0</v>
      </c>
      <c r="AI45" s="171">
        <f t="shared" si="31"/>
        <v>0</v>
      </c>
      <c r="AJ45" s="408">
        <f t="shared" si="32"/>
        <v>0</v>
      </c>
      <c r="AK45" s="99">
        <f t="shared" si="44"/>
        <v>0</v>
      </c>
      <c r="AL45" s="547">
        <f t="shared" si="33"/>
        <v>0</v>
      </c>
      <c r="AM45" s="314">
        <f t="shared" si="59"/>
        <v>0</v>
      </c>
      <c r="AN45" s="478">
        <f t="shared" si="34"/>
        <v>0</v>
      </c>
      <c r="AO45" s="123">
        <f t="shared" si="60"/>
        <v>0</v>
      </c>
      <c r="AP45" s="527">
        <f t="shared" si="35"/>
        <v>0</v>
      </c>
      <c r="AQ45" s="284">
        <f t="shared" si="61"/>
        <v>0</v>
      </c>
      <c r="AR45" s="487">
        <f t="shared" si="36"/>
        <v>0</v>
      </c>
      <c r="AS45" s="285">
        <f t="shared" si="62"/>
        <v>0</v>
      </c>
      <c r="AT45" s="584">
        <f>[1]全社合計!$N$45</f>
        <v>0</v>
      </c>
      <c r="AU45" s="124">
        <f t="shared" si="37"/>
        <v>0</v>
      </c>
      <c r="AV45" s="578">
        <f t="shared" si="38"/>
        <v>0</v>
      </c>
      <c r="AW45" s="125">
        <f t="shared" si="39"/>
        <v>0</v>
      </c>
      <c r="AX45" s="584">
        <f t="shared" si="40"/>
        <v>0</v>
      </c>
      <c r="AY45" s="124" t="str">
        <f t="shared" si="41"/>
        <v/>
      </c>
      <c r="AZ45" s="578">
        <f t="shared" si="42"/>
        <v>0</v>
      </c>
      <c r="BA45" s="125" t="str">
        <f t="shared" si="43"/>
        <v/>
      </c>
      <c r="BB45" s="11"/>
    </row>
    <row r="46" spans="1:54" ht="15.95" customHeight="1">
      <c r="A46" s="36" t="s">
        <v>38</v>
      </c>
      <c r="B46" s="704">
        <f>[1]本部!$L$46</f>
        <v>30000</v>
      </c>
      <c r="C46" s="260" t="str">
        <f t="shared" si="45"/>
        <v/>
      </c>
      <c r="D46" s="729">
        <f t="shared" si="1"/>
        <v>30000</v>
      </c>
      <c r="E46" s="126" t="str">
        <f t="shared" si="46"/>
        <v/>
      </c>
      <c r="F46" s="353">
        <f>[1]本社営業!$L$46</f>
        <v>0</v>
      </c>
      <c r="G46" s="12">
        <f t="shared" si="47"/>
        <v>0</v>
      </c>
      <c r="H46" s="363">
        <f t="shared" si="20"/>
        <v>0</v>
      </c>
      <c r="I46" s="128">
        <f t="shared" si="21"/>
        <v>0</v>
      </c>
      <c r="J46" s="389">
        <f>[1]東大阪!$L$46</f>
        <v>0</v>
      </c>
      <c r="K46" s="12">
        <f t="shared" si="22"/>
        <v>0</v>
      </c>
      <c r="L46" s="363">
        <f t="shared" si="23"/>
        <v>0</v>
      </c>
      <c r="M46" s="128">
        <f t="shared" si="48"/>
        <v>0</v>
      </c>
      <c r="N46" s="403">
        <f>[1]南港工場!$L$46</f>
        <v>0</v>
      </c>
      <c r="O46" s="12">
        <f t="shared" si="49"/>
        <v>0</v>
      </c>
      <c r="P46" s="427">
        <f t="shared" si="24"/>
        <v>0</v>
      </c>
      <c r="Q46" s="205">
        <f t="shared" si="50"/>
        <v>0</v>
      </c>
      <c r="R46" s="438">
        <f>[1]南港事務!$L$46</f>
        <v>0</v>
      </c>
      <c r="S46" s="12" t="str">
        <f t="shared" si="51"/>
        <v/>
      </c>
      <c r="T46" s="427">
        <f t="shared" si="25"/>
        <v>0</v>
      </c>
      <c r="U46" s="205" t="str">
        <f t="shared" si="52"/>
        <v/>
      </c>
      <c r="V46" s="457">
        <f t="shared" si="26"/>
        <v>0</v>
      </c>
      <c r="W46" s="172">
        <f t="shared" si="53"/>
        <v>0</v>
      </c>
      <c r="X46" s="427">
        <f t="shared" si="27"/>
        <v>0</v>
      </c>
      <c r="Y46" s="226">
        <f t="shared" si="54"/>
        <v>0</v>
      </c>
      <c r="Z46" s="461">
        <f t="shared" si="28"/>
        <v>0</v>
      </c>
      <c r="AA46" s="190">
        <f t="shared" si="55"/>
        <v>0</v>
      </c>
      <c r="AB46" s="565">
        <f t="shared" si="29"/>
        <v>0</v>
      </c>
      <c r="AC46" s="127">
        <f t="shared" si="56"/>
        <v>0</v>
      </c>
      <c r="AD46" s="353">
        <f>[1]東京事務!$L$46</f>
        <v>0</v>
      </c>
      <c r="AE46" s="12">
        <f t="shared" si="57"/>
        <v>0</v>
      </c>
      <c r="AF46" s="363">
        <f t="shared" si="30"/>
        <v>0</v>
      </c>
      <c r="AG46" s="82">
        <f t="shared" si="58"/>
        <v>0</v>
      </c>
      <c r="AH46" s="389">
        <f>[1]東京工場!$L$46</f>
        <v>0</v>
      </c>
      <c r="AI46" s="172">
        <f t="shared" si="31"/>
        <v>0</v>
      </c>
      <c r="AJ46" s="409">
        <f t="shared" si="32"/>
        <v>0</v>
      </c>
      <c r="AK46" s="100">
        <f t="shared" ref="AK46:AK78" si="63">IF(ISERR(AJ46/$AJ$11),"",AJ46/$AJ$11)</f>
        <v>0</v>
      </c>
      <c r="AL46" s="548">
        <f t="shared" si="33"/>
        <v>0</v>
      </c>
      <c r="AM46" s="315">
        <f t="shared" si="59"/>
        <v>0</v>
      </c>
      <c r="AN46" s="479">
        <f t="shared" si="34"/>
        <v>0</v>
      </c>
      <c r="AO46" s="127">
        <f t="shared" si="60"/>
        <v>0</v>
      </c>
      <c r="AP46" s="528">
        <f t="shared" si="35"/>
        <v>30000</v>
      </c>
      <c r="AQ46" s="286">
        <f t="shared" si="61"/>
        <v>3.6233455487181816E-5</v>
      </c>
      <c r="AR46" s="488">
        <f t="shared" si="36"/>
        <v>30000</v>
      </c>
      <c r="AS46" s="287">
        <f t="shared" si="62"/>
        <v>3.6233455487181816E-5</v>
      </c>
      <c r="AT46" s="585">
        <f>[1]全社合計!$N$46</f>
        <v>30000</v>
      </c>
      <c r="AU46" s="128">
        <f t="shared" si="37"/>
        <v>3.1020327017466191E-5</v>
      </c>
      <c r="AV46" s="579">
        <f t="shared" si="38"/>
        <v>30000</v>
      </c>
      <c r="AW46" s="129">
        <f t="shared" si="39"/>
        <v>3.1020327017466191E-5</v>
      </c>
      <c r="AX46" s="585">
        <f t="shared" si="40"/>
        <v>0</v>
      </c>
      <c r="AY46" s="128">
        <f t="shared" si="41"/>
        <v>1</v>
      </c>
      <c r="AZ46" s="579">
        <f t="shared" si="42"/>
        <v>0</v>
      </c>
      <c r="BA46" s="129">
        <f t="shared" si="43"/>
        <v>1</v>
      </c>
      <c r="BB46" s="11"/>
    </row>
    <row r="47" spans="1:54" ht="19.899999999999999" customHeight="1">
      <c r="A47" s="62" t="s">
        <v>39</v>
      </c>
      <c r="B47" s="708">
        <f>SUM(B19:B46)</f>
        <v>8255470</v>
      </c>
      <c r="C47" s="141" t="str">
        <f t="shared" si="45"/>
        <v/>
      </c>
      <c r="D47" s="401">
        <f t="shared" si="1"/>
        <v>8255470</v>
      </c>
      <c r="E47" s="139" t="str">
        <f t="shared" si="46"/>
        <v/>
      </c>
      <c r="F47" s="466">
        <f>SUM(F19:F46)</f>
        <v>24003531</v>
      </c>
      <c r="G47" s="64">
        <f t="shared" si="47"/>
        <v>4.4887175878043015E-2</v>
      </c>
      <c r="H47" s="359">
        <f t="shared" si="20"/>
        <v>24003531</v>
      </c>
      <c r="I47" s="141">
        <f t="shared" si="21"/>
        <v>4.4887175878043015E-2</v>
      </c>
      <c r="J47" s="390">
        <f>SUM(J19:J46)</f>
        <v>5491350</v>
      </c>
      <c r="K47" s="64">
        <f t="shared" si="22"/>
        <v>0.61854433388226437</v>
      </c>
      <c r="L47" s="401">
        <f t="shared" si="23"/>
        <v>5491350</v>
      </c>
      <c r="M47" s="141">
        <f t="shared" si="48"/>
        <v>0.61854433388226437</v>
      </c>
      <c r="N47" s="405">
        <f>SUM(N19:N46)</f>
        <v>11311174</v>
      </c>
      <c r="O47" s="64">
        <f t="shared" si="49"/>
        <v>0.40078609700759371</v>
      </c>
      <c r="P47" s="428">
        <f t="shared" si="24"/>
        <v>11311174</v>
      </c>
      <c r="Q47" s="177">
        <f t="shared" si="50"/>
        <v>0.40078609700759371</v>
      </c>
      <c r="R47" s="442">
        <f>SUM(R19:R46)</f>
        <v>3387710</v>
      </c>
      <c r="S47" s="64" t="str">
        <f t="shared" si="51"/>
        <v/>
      </c>
      <c r="T47" s="428">
        <f t="shared" si="25"/>
        <v>3387710</v>
      </c>
      <c r="U47" s="209" t="str">
        <f t="shared" si="52"/>
        <v/>
      </c>
      <c r="V47" s="458">
        <f t="shared" si="26"/>
        <v>14698884</v>
      </c>
      <c r="W47" s="177">
        <f t="shared" si="53"/>
        <v>0.52082200739970641</v>
      </c>
      <c r="X47" s="428">
        <f t="shared" si="27"/>
        <v>14698884</v>
      </c>
      <c r="Y47" s="230">
        <f t="shared" si="54"/>
        <v>0.52082200739970641</v>
      </c>
      <c r="Z47" s="458">
        <f t="shared" si="28"/>
        <v>44193765</v>
      </c>
      <c r="AA47" s="194">
        <f t="shared" si="55"/>
        <v>7.7281706155798852E-2</v>
      </c>
      <c r="AB47" s="428">
        <f t="shared" si="29"/>
        <v>44193765</v>
      </c>
      <c r="AC47" s="140">
        <f t="shared" si="56"/>
        <v>7.7281706155798852E-2</v>
      </c>
      <c r="AD47" s="466">
        <f>SUM(AD19:AD46)</f>
        <v>9102098</v>
      </c>
      <c r="AE47" s="64">
        <f t="shared" si="57"/>
        <v>3.695515219818811E-2</v>
      </c>
      <c r="AF47" s="401">
        <f t="shared" si="30"/>
        <v>9102098</v>
      </c>
      <c r="AG47" s="141">
        <f t="shared" si="58"/>
        <v>3.695515219818811E-2</v>
      </c>
      <c r="AH47" s="560">
        <f>SUM(AH19:AH46)</f>
        <v>6078963</v>
      </c>
      <c r="AI47" s="177">
        <f t="shared" si="31"/>
        <v>0.61966781973764617</v>
      </c>
      <c r="AJ47" s="471">
        <f t="shared" si="32"/>
        <v>6078963</v>
      </c>
      <c r="AK47" s="105">
        <f t="shared" si="63"/>
        <v>0.61966781973764617</v>
      </c>
      <c r="AL47" s="549">
        <f t="shared" si="33"/>
        <v>15181061</v>
      </c>
      <c r="AM47" s="319">
        <f t="shared" si="59"/>
        <v>5.9275265817516333E-2</v>
      </c>
      <c r="AN47" s="480">
        <f t="shared" si="34"/>
        <v>15181061</v>
      </c>
      <c r="AO47" s="140">
        <f t="shared" si="60"/>
        <v>5.9275265817516333E-2</v>
      </c>
      <c r="AP47" s="529">
        <f t="shared" si="35"/>
        <v>67630296</v>
      </c>
      <c r="AQ47" s="141">
        <f t="shared" si="61"/>
        <v>8.1682643990031015E-2</v>
      </c>
      <c r="AR47" s="428">
        <f t="shared" si="36"/>
        <v>67630296</v>
      </c>
      <c r="AS47" s="140">
        <f t="shared" si="62"/>
        <v>8.1682643990031015E-2</v>
      </c>
      <c r="AT47" s="529">
        <f>SUM(AT19:AT46)</f>
        <v>65260383</v>
      </c>
      <c r="AU47" s="141">
        <f t="shared" si="37"/>
        <v>6.7479947398169704E-2</v>
      </c>
      <c r="AV47" s="410">
        <f t="shared" si="38"/>
        <v>65260383</v>
      </c>
      <c r="AW47" s="140">
        <f t="shared" si="39"/>
        <v>6.7479947398169704E-2</v>
      </c>
      <c r="AX47" s="529">
        <f t="shared" si="40"/>
        <v>2369913</v>
      </c>
      <c r="AY47" s="141">
        <f t="shared" si="41"/>
        <v>1.0363147271139981</v>
      </c>
      <c r="AZ47" s="410">
        <f t="shared" si="42"/>
        <v>2369913</v>
      </c>
      <c r="BA47" s="140">
        <f t="shared" si="43"/>
        <v>1.0363147271139981</v>
      </c>
      <c r="BB47" s="14"/>
    </row>
    <row r="48" spans="1:54" ht="19.899999999999999" customHeight="1">
      <c r="A48" s="55" t="s">
        <v>40</v>
      </c>
      <c r="B48" s="709">
        <f>+B18-B47</f>
        <v>-8255470</v>
      </c>
      <c r="C48" s="138" t="str">
        <f t="shared" ref="C48:C69" si="64">IF(ISERR(B48/$B$11),"",B48/$B$11)</f>
        <v/>
      </c>
      <c r="D48" s="376">
        <f t="shared" si="1"/>
        <v>-8255470</v>
      </c>
      <c r="E48" s="136" t="str">
        <f t="shared" ref="E48:E69" si="65">IF(ISERR(D48/$D$11),"",D48/$D$11)</f>
        <v/>
      </c>
      <c r="F48" s="375">
        <f>F18-F47</f>
        <v>47284497</v>
      </c>
      <c r="G48" s="56">
        <f t="shared" ref="G48:G69" si="66">IF(ISERR(F48/$F$11),"",F48/$F$11)</f>
        <v>8.8423137960152498E-2</v>
      </c>
      <c r="H48" s="376">
        <f t="shared" si="20"/>
        <v>47284497</v>
      </c>
      <c r="I48" s="138">
        <f t="shared" si="21"/>
        <v>8.8423137960152498E-2</v>
      </c>
      <c r="J48" s="392">
        <f>J18-J47</f>
        <v>2890625</v>
      </c>
      <c r="K48" s="56">
        <f t="shared" si="22"/>
        <v>0.32559929983126562</v>
      </c>
      <c r="L48" s="376">
        <f t="shared" si="23"/>
        <v>2890625</v>
      </c>
      <c r="M48" s="138">
        <f t="shared" ref="M48:M69" si="67">IF(ISERR(L48/$L$11),"",L48/$L$11)</f>
        <v>0.32559929983126562</v>
      </c>
      <c r="N48" s="412">
        <f>N18-N47</f>
        <v>14769958</v>
      </c>
      <c r="O48" s="56">
        <f t="shared" ref="O48:O69" si="68">IF(ISERR(N48/$N$11),"",N48/$N$11)</f>
        <v>0.52334035527930922</v>
      </c>
      <c r="P48" s="424">
        <f t="shared" si="24"/>
        <v>14769958</v>
      </c>
      <c r="Q48" s="176">
        <f t="shared" ref="Q48:Q69" si="69">IF(ISERR(P48/$P$11),"",P48/$P$11)</f>
        <v>0.52334035527930922</v>
      </c>
      <c r="R48" s="443">
        <f>R18-R47</f>
        <v>-3387710</v>
      </c>
      <c r="S48" s="56" t="str">
        <f t="shared" ref="S48:S69" si="70">IF(ISERR(R48/$R$11),"",R48/$R$11)</f>
        <v/>
      </c>
      <c r="T48" s="424">
        <f t="shared" si="25"/>
        <v>-3387710</v>
      </c>
      <c r="U48" s="208" t="str">
        <f t="shared" ref="U48:U69" si="71">IF(ISERR(T48/$T$11),"",T48/$T$11)</f>
        <v/>
      </c>
      <c r="V48" s="490">
        <f t="shared" si="26"/>
        <v>11382248</v>
      </c>
      <c r="W48" s="176">
        <f t="shared" ref="W48:W69" si="72">IF(ISERR(V48/$V$11),"",V48/$V$11)</f>
        <v>0.40330444488719647</v>
      </c>
      <c r="X48" s="424">
        <f t="shared" si="27"/>
        <v>11382248</v>
      </c>
      <c r="Y48" s="229">
        <f t="shared" ref="Y48:Y69" si="73">IF(ISERR(X48/$X$11),"",X48/$X$11)</f>
        <v>0.40330444488719647</v>
      </c>
      <c r="Z48" s="490">
        <f t="shared" si="28"/>
        <v>61557370</v>
      </c>
      <c r="AA48" s="193">
        <f t="shared" ref="AA48:AA69" si="74">IF(ISERR(Z48/$Z$11),"",Z48/$Z$11)</f>
        <v>0.10764546944718983</v>
      </c>
      <c r="AB48" s="424">
        <f t="shared" si="29"/>
        <v>61557370</v>
      </c>
      <c r="AC48" s="137">
        <f t="shared" ref="AC48:AC69" si="75">IF(ISERR(AB48/$AB$11),"",AB48/$AB$11)</f>
        <v>0.10764546944718983</v>
      </c>
      <c r="AD48" s="375">
        <f>AD18-AD47</f>
        <v>12259108</v>
      </c>
      <c r="AE48" s="56">
        <f t="shared" ref="AE48:AE69" si="76">IF(ISERR(AD48/$AD$11),"",AD48/$AD$11)</f>
        <v>4.9772832807779645E-2</v>
      </c>
      <c r="AF48" s="376">
        <f t="shared" si="30"/>
        <v>12259108</v>
      </c>
      <c r="AG48" s="138">
        <f t="shared" ref="AG48:AG69" si="77">IF(ISERR(AF48/$AF$11),"",AF48/$AF$11)</f>
        <v>4.9772832807779645E-2</v>
      </c>
      <c r="AH48" s="398">
        <f>AH18-AH47</f>
        <v>3731072</v>
      </c>
      <c r="AI48" s="176">
        <f t="shared" si="31"/>
        <v>0.38033218026235383</v>
      </c>
      <c r="AJ48" s="556">
        <f t="shared" si="32"/>
        <v>3731072</v>
      </c>
      <c r="AK48" s="104">
        <f t="shared" si="63"/>
        <v>0.38033218026235383</v>
      </c>
      <c r="AL48" s="545">
        <f t="shared" si="33"/>
        <v>15990180</v>
      </c>
      <c r="AM48" s="318">
        <f t="shared" ref="AM48:AM67" si="78">IF(ISERR(AL48/$AL$11),"",AL48/AL$11)</f>
        <v>6.2434514291849118E-2</v>
      </c>
      <c r="AN48" s="537">
        <f t="shared" si="34"/>
        <v>15990180</v>
      </c>
      <c r="AO48" s="137">
        <f t="shared" ref="AO48:AO69" si="79">IF(ISERR(AN48/$AN$11),"",AN48/$AN$11)</f>
        <v>6.2434514291849118E-2</v>
      </c>
      <c r="AP48" s="525">
        <f t="shared" si="35"/>
        <v>69292080</v>
      </c>
      <c r="AQ48" s="305">
        <f t="shared" ref="AQ48:AQ69" si="80">IF(ISERR(AP48/$AP$11),"",AP48/$AP$11)</f>
        <v>8.3689716543141376E-2</v>
      </c>
      <c r="AR48" s="517">
        <f t="shared" si="36"/>
        <v>69292080</v>
      </c>
      <c r="AS48" s="304">
        <f t="shared" ref="AS48:AS69" si="81">IF(ISERR(AR48/$AR$11),"",AR48/$AR$11)</f>
        <v>8.3689716543141376E-2</v>
      </c>
      <c r="AT48" s="582">
        <f>AT18-AT47</f>
        <v>81831966</v>
      </c>
      <c r="AU48" s="138">
        <f t="shared" si="37"/>
        <v>8.4615144860072489E-2</v>
      </c>
      <c r="AV48" s="597">
        <f t="shared" si="38"/>
        <v>81831966</v>
      </c>
      <c r="AW48" s="137">
        <f t="shared" si="39"/>
        <v>8.4615144860072489E-2</v>
      </c>
      <c r="AX48" s="582">
        <f t="shared" si="40"/>
        <v>-12539886</v>
      </c>
      <c r="AY48" s="138">
        <f t="shared" si="41"/>
        <v>0.84676054342871343</v>
      </c>
      <c r="AZ48" s="597">
        <f t="shared" si="42"/>
        <v>-12539886</v>
      </c>
      <c r="BA48" s="137">
        <f t="shared" si="43"/>
        <v>0.84676054342871343</v>
      </c>
      <c r="BB48" s="11"/>
    </row>
    <row r="49" spans="1:54" ht="15.95" customHeight="1">
      <c r="A49" s="37" t="s">
        <v>41</v>
      </c>
      <c r="B49" s="710">
        <f>[1]本部!$L$49</f>
        <v>1441751</v>
      </c>
      <c r="C49" s="258" t="str">
        <f t="shared" si="64"/>
        <v/>
      </c>
      <c r="D49" s="727">
        <f t="shared" si="1"/>
        <v>1441751</v>
      </c>
      <c r="E49" s="118" t="str">
        <f t="shared" si="65"/>
        <v/>
      </c>
      <c r="F49" s="351">
        <f>[1]本社営業!$L$49</f>
        <v>0</v>
      </c>
      <c r="G49" s="7">
        <f t="shared" si="66"/>
        <v>0</v>
      </c>
      <c r="H49" s="364">
        <f t="shared" si="20"/>
        <v>0</v>
      </c>
      <c r="I49" s="120">
        <f t="shared" si="21"/>
        <v>0</v>
      </c>
      <c r="J49" s="387">
        <f>[1]東大阪!$L$49</f>
        <v>0</v>
      </c>
      <c r="K49" s="7">
        <f t="shared" si="22"/>
        <v>0</v>
      </c>
      <c r="L49" s="364">
        <f t="shared" si="23"/>
        <v>0</v>
      </c>
      <c r="M49" s="120">
        <f t="shared" si="67"/>
        <v>0</v>
      </c>
      <c r="N49" s="402">
        <f>[1]南港工場!$L$49</f>
        <v>0</v>
      </c>
      <c r="O49" s="7">
        <f t="shared" si="68"/>
        <v>0</v>
      </c>
      <c r="P49" s="429">
        <f t="shared" si="24"/>
        <v>0</v>
      </c>
      <c r="Q49" s="174">
        <f t="shared" si="69"/>
        <v>0</v>
      </c>
      <c r="R49" s="444">
        <f>[1]南港事務!$L$49</f>
        <v>0</v>
      </c>
      <c r="S49" s="7" t="str">
        <f t="shared" si="70"/>
        <v/>
      </c>
      <c r="T49" s="429">
        <f t="shared" si="25"/>
        <v>0</v>
      </c>
      <c r="U49" s="203" t="str">
        <f t="shared" si="71"/>
        <v/>
      </c>
      <c r="V49" s="455">
        <f t="shared" si="26"/>
        <v>0</v>
      </c>
      <c r="W49" s="174">
        <f t="shared" si="72"/>
        <v>0</v>
      </c>
      <c r="X49" s="429">
        <f t="shared" si="27"/>
        <v>0</v>
      </c>
      <c r="Y49" s="224">
        <f t="shared" si="73"/>
        <v>0</v>
      </c>
      <c r="Z49" s="459">
        <f t="shared" si="28"/>
        <v>0</v>
      </c>
      <c r="AA49" s="188">
        <f t="shared" si="74"/>
        <v>0</v>
      </c>
      <c r="AB49" s="563">
        <f t="shared" si="29"/>
        <v>0</v>
      </c>
      <c r="AC49" s="119">
        <f t="shared" si="75"/>
        <v>0</v>
      </c>
      <c r="AD49" s="351">
        <f>[1]東京事務!$L$49</f>
        <v>0</v>
      </c>
      <c r="AE49" s="7">
        <f t="shared" si="76"/>
        <v>0</v>
      </c>
      <c r="AF49" s="364">
        <f t="shared" si="30"/>
        <v>0</v>
      </c>
      <c r="AG49" s="80">
        <f t="shared" si="77"/>
        <v>0</v>
      </c>
      <c r="AH49" s="387">
        <f>[1]東京工場!$L$49</f>
        <v>0</v>
      </c>
      <c r="AI49" s="174">
        <f t="shared" si="31"/>
        <v>0</v>
      </c>
      <c r="AJ49" s="421">
        <f t="shared" si="32"/>
        <v>0</v>
      </c>
      <c r="AK49" s="102">
        <f t="shared" si="63"/>
        <v>0</v>
      </c>
      <c r="AL49" s="546">
        <f t="shared" si="33"/>
        <v>0</v>
      </c>
      <c r="AM49" s="313">
        <f t="shared" si="78"/>
        <v>0</v>
      </c>
      <c r="AN49" s="477">
        <f t="shared" si="34"/>
        <v>0</v>
      </c>
      <c r="AO49" s="119">
        <f t="shared" si="79"/>
        <v>0</v>
      </c>
      <c r="AP49" s="526">
        <f t="shared" si="35"/>
        <v>1441751</v>
      </c>
      <c r="AQ49" s="282">
        <f t="shared" si="80"/>
        <v>1.7413206894033291E-3</v>
      </c>
      <c r="AR49" s="486">
        <f t="shared" si="36"/>
        <v>1441751</v>
      </c>
      <c r="AS49" s="283">
        <f t="shared" si="81"/>
        <v>1.7413206894033291E-3</v>
      </c>
      <c r="AT49" s="586">
        <f>[1]全社合計!$N$49</f>
        <v>1178102</v>
      </c>
      <c r="AU49" s="120">
        <f t="shared" si="37"/>
        <v>1.2181703099976985E-3</v>
      </c>
      <c r="AV49" s="577">
        <f t="shared" si="38"/>
        <v>1178102</v>
      </c>
      <c r="AW49" s="121">
        <f t="shared" si="39"/>
        <v>1.2181703099976985E-3</v>
      </c>
      <c r="AX49" s="586">
        <f t="shared" si="40"/>
        <v>263649</v>
      </c>
      <c r="AY49" s="120">
        <f t="shared" si="41"/>
        <v>1.2237913185785272</v>
      </c>
      <c r="AZ49" s="577">
        <f t="shared" si="42"/>
        <v>263649</v>
      </c>
      <c r="BA49" s="121">
        <f t="shared" si="43"/>
        <v>1.2237913185785272</v>
      </c>
      <c r="BB49" s="11"/>
    </row>
    <row r="50" spans="1:54" ht="15.95" customHeight="1">
      <c r="A50" s="37" t="s">
        <v>42</v>
      </c>
      <c r="B50" s="703">
        <f>[1]本部!$L$50</f>
        <v>0</v>
      </c>
      <c r="C50" s="259" t="str">
        <f t="shared" si="64"/>
        <v/>
      </c>
      <c r="D50" s="728">
        <f t="shared" si="1"/>
        <v>0</v>
      </c>
      <c r="E50" s="122" t="str">
        <f t="shared" si="65"/>
        <v/>
      </c>
      <c r="F50" s="352">
        <f>[1]本社営業!$L$50</f>
        <v>0</v>
      </c>
      <c r="G50" s="9">
        <f t="shared" si="66"/>
        <v>0</v>
      </c>
      <c r="H50" s="362">
        <f t="shared" si="20"/>
        <v>0</v>
      </c>
      <c r="I50" s="124">
        <f t="shared" si="21"/>
        <v>0</v>
      </c>
      <c r="J50" s="388">
        <f>[1]東大阪!$L$50</f>
        <v>0</v>
      </c>
      <c r="K50" s="9">
        <f t="shared" si="22"/>
        <v>0</v>
      </c>
      <c r="L50" s="362">
        <f t="shared" si="23"/>
        <v>0</v>
      </c>
      <c r="M50" s="124">
        <f t="shared" si="67"/>
        <v>0</v>
      </c>
      <c r="N50" s="403">
        <f>[1]南港工場!$L$50</f>
        <v>0</v>
      </c>
      <c r="O50" s="9">
        <f t="shared" si="68"/>
        <v>0</v>
      </c>
      <c r="P50" s="426">
        <f t="shared" si="24"/>
        <v>0</v>
      </c>
      <c r="Q50" s="171">
        <f t="shared" si="69"/>
        <v>0</v>
      </c>
      <c r="R50" s="445">
        <f>[1]南港事務!$L$50</f>
        <v>0</v>
      </c>
      <c r="S50" s="9" t="str">
        <f t="shared" si="70"/>
        <v/>
      </c>
      <c r="T50" s="454">
        <f t="shared" si="25"/>
        <v>0</v>
      </c>
      <c r="U50" s="204" t="str">
        <f t="shared" si="71"/>
        <v/>
      </c>
      <c r="V50" s="456">
        <f t="shared" si="26"/>
        <v>0</v>
      </c>
      <c r="W50" s="171">
        <f t="shared" si="72"/>
        <v>0</v>
      </c>
      <c r="X50" s="426">
        <f t="shared" si="27"/>
        <v>0</v>
      </c>
      <c r="Y50" s="225">
        <f t="shared" si="73"/>
        <v>0</v>
      </c>
      <c r="Z50" s="460">
        <f t="shared" si="28"/>
        <v>0</v>
      </c>
      <c r="AA50" s="189">
        <f t="shared" si="74"/>
        <v>0</v>
      </c>
      <c r="AB50" s="564">
        <f t="shared" si="29"/>
        <v>0</v>
      </c>
      <c r="AC50" s="123">
        <f t="shared" si="75"/>
        <v>0</v>
      </c>
      <c r="AD50" s="352">
        <f>[1]東京事務!$L$50</f>
        <v>0</v>
      </c>
      <c r="AE50" s="9">
        <f t="shared" si="76"/>
        <v>0</v>
      </c>
      <c r="AF50" s="362">
        <f t="shared" si="30"/>
        <v>0</v>
      </c>
      <c r="AG50" s="81">
        <f t="shared" si="77"/>
        <v>0</v>
      </c>
      <c r="AH50" s="388">
        <f>[1]東京工場!$L$50</f>
        <v>0</v>
      </c>
      <c r="AI50" s="171">
        <f t="shared" si="31"/>
        <v>0</v>
      </c>
      <c r="AJ50" s="408">
        <f t="shared" si="32"/>
        <v>0</v>
      </c>
      <c r="AK50" s="99">
        <f t="shared" si="63"/>
        <v>0</v>
      </c>
      <c r="AL50" s="547">
        <f t="shared" si="33"/>
        <v>0</v>
      </c>
      <c r="AM50" s="314">
        <f t="shared" si="78"/>
        <v>0</v>
      </c>
      <c r="AN50" s="478">
        <f t="shared" si="34"/>
        <v>0</v>
      </c>
      <c r="AO50" s="123">
        <f t="shared" si="79"/>
        <v>0</v>
      </c>
      <c r="AP50" s="527">
        <f t="shared" si="35"/>
        <v>0</v>
      </c>
      <c r="AQ50" s="284">
        <f t="shared" si="80"/>
        <v>0</v>
      </c>
      <c r="AR50" s="487">
        <f t="shared" si="36"/>
        <v>0</v>
      </c>
      <c r="AS50" s="285">
        <f t="shared" si="81"/>
        <v>0</v>
      </c>
      <c r="AT50" s="584">
        <f>[1]全社合計!$N$50</f>
        <v>0</v>
      </c>
      <c r="AU50" s="124">
        <f t="shared" si="37"/>
        <v>0</v>
      </c>
      <c r="AV50" s="578">
        <f t="shared" si="38"/>
        <v>0</v>
      </c>
      <c r="AW50" s="125">
        <f t="shared" si="39"/>
        <v>0</v>
      </c>
      <c r="AX50" s="584">
        <f t="shared" si="40"/>
        <v>0</v>
      </c>
      <c r="AY50" s="124" t="str">
        <f t="shared" si="41"/>
        <v/>
      </c>
      <c r="AZ50" s="578">
        <f t="shared" si="42"/>
        <v>0</v>
      </c>
      <c r="BA50" s="125" t="str">
        <f t="shared" si="43"/>
        <v/>
      </c>
      <c r="BB50" s="11"/>
    </row>
    <row r="51" spans="1:54" ht="15.95" customHeight="1">
      <c r="A51" s="37" t="s">
        <v>43</v>
      </c>
      <c r="B51" s="703">
        <f>[1]本部!$L$51</f>
        <v>1063000</v>
      </c>
      <c r="C51" s="259" t="str">
        <f t="shared" si="64"/>
        <v/>
      </c>
      <c r="D51" s="728">
        <f t="shared" si="1"/>
        <v>1063000</v>
      </c>
      <c r="E51" s="122" t="str">
        <f t="shared" si="65"/>
        <v/>
      </c>
      <c r="F51" s="352">
        <f>[1]本社営業!$L$51</f>
        <v>0</v>
      </c>
      <c r="G51" s="9">
        <f t="shared" si="66"/>
        <v>0</v>
      </c>
      <c r="H51" s="362">
        <f t="shared" si="20"/>
        <v>0</v>
      </c>
      <c r="I51" s="124">
        <f t="shared" si="21"/>
        <v>0</v>
      </c>
      <c r="J51" s="388">
        <f>[1]東大阪!$L$51</f>
        <v>850000</v>
      </c>
      <c r="K51" s="9">
        <f t="shared" si="22"/>
        <v>9.5743794112545147E-2</v>
      </c>
      <c r="L51" s="362">
        <f t="shared" si="23"/>
        <v>850000</v>
      </c>
      <c r="M51" s="124">
        <f t="shared" si="67"/>
        <v>9.5743794112545147E-2</v>
      </c>
      <c r="N51" s="403">
        <f>[1]南港工場!$L$51</f>
        <v>100000</v>
      </c>
      <c r="O51" s="9">
        <f t="shared" si="68"/>
        <v>3.5432758527770302E-3</v>
      </c>
      <c r="P51" s="426">
        <f t="shared" si="24"/>
        <v>100000</v>
      </c>
      <c r="Q51" s="171">
        <f t="shared" si="69"/>
        <v>3.5432758527770302E-3</v>
      </c>
      <c r="R51" s="445">
        <f>[1]南港事務!$L$51</f>
        <v>0</v>
      </c>
      <c r="S51" s="9" t="str">
        <f t="shared" si="70"/>
        <v/>
      </c>
      <c r="T51" s="426">
        <f t="shared" si="25"/>
        <v>0</v>
      </c>
      <c r="U51" s="204" t="str">
        <f t="shared" si="71"/>
        <v/>
      </c>
      <c r="V51" s="456">
        <f t="shared" si="26"/>
        <v>100000</v>
      </c>
      <c r="W51" s="171">
        <f t="shared" si="72"/>
        <v>3.5432758527770302E-3</v>
      </c>
      <c r="X51" s="426">
        <f t="shared" si="27"/>
        <v>100000</v>
      </c>
      <c r="Y51" s="225">
        <f t="shared" si="73"/>
        <v>3.5432758527770302E-3</v>
      </c>
      <c r="Z51" s="460">
        <f t="shared" si="28"/>
        <v>950000</v>
      </c>
      <c r="AA51" s="189">
        <f t="shared" si="74"/>
        <v>1.6612664896962026E-3</v>
      </c>
      <c r="AB51" s="564">
        <f t="shared" si="29"/>
        <v>950000</v>
      </c>
      <c r="AC51" s="123">
        <f t="shared" si="75"/>
        <v>1.6612664896962026E-3</v>
      </c>
      <c r="AD51" s="352">
        <f>[1]東京事務!$L$51</f>
        <v>0</v>
      </c>
      <c r="AE51" s="9">
        <f t="shared" si="76"/>
        <v>0</v>
      </c>
      <c r="AF51" s="362">
        <f t="shared" si="30"/>
        <v>0</v>
      </c>
      <c r="AG51" s="81">
        <f t="shared" si="77"/>
        <v>0</v>
      </c>
      <c r="AH51" s="388">
        <f>[1]東京工場!$L$51</f>
        <v>0</v>
      </c>
      <c r="AI51" s="171">
        <f t="shared" si="31"/>
        <v>0</v>
      </c>
      <c r="AJ51" s="408">
        <f t="shared" si="32"/>
        <v>0</v>
      </c>
      <c r="AK51" s="99">
        <f t="shared" si="63"/>
        <v>0</v>
      </c>
      <c r="AL51" s="547">
        <f t="shared" si="33"/>
        <v>0</v>
      </c>
      <c r="AM51" s="314">
        <f t="shared" si="78"/>
        <v>0</v>
      </c>
      <c r="AN51" s="478">
        <f t="shared" si="34"/>
        <v>0</v>
      </c>
      <c r="AO51" s="123">
        <f t="shared" si="79"/>
        <v>0</v>
      </c>
      <c r="AP51" s="527">
        <f t="shared" si="35"/>
        <v>2013000</v>
      </c>
      <c r="AQ51" s="284">
        <f t="shared" si="80"/>
        <v>2.4312648631899E-3</v>
      </c>
      <c r="AR51" s="487">
        <f t="shared" si="36"/>
        <v>2013000</v>
      </c>
      <c r="AS51" s="285">
        <f t="shared" si="81"/>
        <v>2.4312648631899E-3</v>
      </c>
      <c r="AT51" s="584">
        <f>[1]全社合計!$N$51</f>
        <v>1910000</v>
      </c>
      <c r="AU51" s="124">
        <f t="shared" si="37"/>
        <v>1.9749608201120143E-3</v>
      </c>
      <c r="AV51" s="578">
        <f t="shared" si="38"/>
        <v>1910000</v>
      </c>
      <c r="AW51" s="125">
        <f t="shared" si="39"/>
        <v>1.9749608201120143E-3</v>
      </c>
      <c r="AX51" s="584">
        <f t="shared" si="40"/>
        <v>103000</v>
      </c>
      <c r="AY51" s="124">
        <f t="shared" si="41"/>
        <v>1.0539267015706806</v>
      </c>
      <c r="AZ51" s="578">
        <f t="shared" si="42"/>
        <v>103000</v>
      </c>
      <c r="BA51" s="125">
        <f t="shared" si="43"/>
        <v>1.0539267015706806</v>
      </c>
      <c r="BB51" s="11"/>
    </row>
    <row r="52" spans="1:54" ht="15.95" customHeight="1">
      <c r="A52" s="37" t="s">
        <v>44</v>
      </c>
      <c r="B52" s="703">
        <f>[1]本部!$L$52</f>
        <v>0</v>
      </c>
      <c r="C52" s="259" t="str">
        <f t="shared" si="64"/>
        <v/>
      </c>
      <c r="D52" s="728">
        <f t="shared" si="1"/>
        <v>0</v>
      </c>
      <c r="E52" s="122" t="str">
        <f t="shared" si="65"/>
        <v/>
      </c>
      <c r="F52" s="352">
        <f>[1]本社営業!$L$52</f>
        <v>0</v>
      </c>
      <c r="G52" s="9">
        <f t="shared" si="66"/>
        <v>0</v>
      </c>
      <c r="H52" s="362">
        <f t="shared" si="20"/>
        <v>0</v>
      </c>
      <c r="I52" s="124">
        <f t="shared" si="21"/>
        <v>0</v>
      </c>
      <c r="J52" s="388">
        <f>[1]東大阪!$L$52</f>
        <v>0</v>
      </c>
      <c r="K52" s="9">
        <f t="shared" si="22"/>
        <v>0</v>
      </c>
      <c r="L52" s="362">
        <f t="shared" si="23"/>
        <v>0</v>
      </c>
      <c r="M52" s="124">
        <f t="shared" si="67"/>
        <v>0</v>
      </c>
      <c r="N52" s="403">
        <f>[1]南港工場!$L$52</f>
        <v>0</v>
      </c>
      <c r="O52" s="9">
        <f t="shared" si="68"/>
        <v>0</v>
      </c>
      <c r="P52" s="426">
        <f t="shared" si="24"/>
        <v>0</v>
      </c>
      <c r="Q52" s="171">
        <f t="shared" si="69"/>
        <v>0</v>
      </c>
      <c r="R52" s="445">
        <f>[1]南港事務!$L$52</f>
        <v>0</v>
      </c>
      <c r="S52" s="9" t="str">
        <f t="shared" si="70"/>
        <v/>
      </c>
      <c r="T52" s="426">
        <f t="shared" si="25"/>
        <v>0</v>
      </c>
      <c r="U52" s="204" t="str">
        <f t="shared" si="71"/>
        <v/>
      </c>
      <c r="V52" s="456">
        <f t="shared" si="26"/>
        <v>0</v>
      </c>
      <c r="W52" s="171">
        <f t="shared" si="72"/>
        <v>0</v>
      </c>
      <c r="X52" s="426">
        <f t="shared" si="27"/>
        <v>0</v>
      </c>
      <c r="Y52" s="225">
        <f t="shared" si="73"/>
        <v>0</v>
      </c>
      <c r="Z52" s="460">
        <f t="shared" si="28"/>
        <v>0</v>
      </c>
      <c r="AA52" s="189">
        <f t="shared" si="74"/>
        <v>0</v>
      </c>
      <c r="AB52" s="564">
        <f t="shared" si="29"/>
        <v>0</v>
      </c>
      <c r="AC52" s="123">
        <f t="shared" si="75"/>
        <v>0</v>
      </c>
      <c r="AD52" s="352">
        <f>[1]東京事務!$L$52</f>
        <v>0</v>
      </c>
      <c r="AE52" s="9">
        <f t="shared" si="76"/>
        <v>0</v>
      </c>
      <c r="AF52" s="362">
        <f t="shared" si="30"/>
        <v>0</v>
      </c>
      <c r="AG52" s="81">
        <f t="shared" si="77"/>
        <v>0</v>
      </c>
      <c r="AH52" s="388">
        <f>[1]東京工場!$L$52</f>
        <v>0</v>
      </c>
      <c r="AI52" s="171">
        <f t="shared" si="31"/>
        <v>0</v>
      </c>
      <c r="AJ52" s="408">
        <f t="shared" si="32"/>
        <v>0</v>
      </c>
      <c r="AK52" s="99">
        <f t="shared" si="63"/>
        <v>0</v>
      </c>
      <c r="AL52" s="547">
        <f t="shared" si="33"/>
        <v>0</v>
      </c>
      <c r="AM52" s="314">
        <f t="shared" si="78"/>
        <v>0</v>
      </c>
      <c r="AN52" s="478">
        <f t="shared" si="34"/>
        <v>0</v>
      </c>
      <c r="AO52" s="123">
        <f t="shared" si="79"/>
        <v>0</v>
      </c>
      <c r="AP52" s="527">
        <f t="shared" si="35"/>
        <v>0</v>
      </c>
      <c r="AQ52" s="284">
        <f t="shared" si="80"/>
        <v>0</v>
      </c>
      <c r="AR52" s="487">
        <f t="shared" si="36"/>
        <v>0</v>
      </c>
      <c r="AS52" s="285">
        <f t="shared" si="81"/>
        <v>0</v>
      </c>
      <c r="AT52" s="584">
        <f>[1]全社合計!$N$52</f>
        <v>0</v>
      </c>
      <c r="AU52" s="124">
        <f t="shared" si="37"/>
        <v>0</v>
      </c>
      <c r="AV52" s="578">
        <f t="shared" si="38"/>
        <v>0</v>
      </c>
      <c r="AW52" s="125">
        <f t="shared" si="39"/>
        <v>0</v>
      </c>
      <c r="AX52" s="584">
        <f t="shared" si="40"/>
        <v>0</v>
      </c>
      <c r="AY52" s="124" t="str">
        <f t="shared" si="41"/>
        <v/>
      </c>
      <c r="AZ52" s="578">
        <f t="shared" si="42"/>
        <v>0</v>
      </c>
      <c r="BA52" s="125" t="str">
        <f t="shared" si="43"/>
        <v/>
      </c>
      <c r="BB52" s="11"/>
    </row>
    <row r="53" spans="1:54" ht="15.95" customHeight="1">
      <c r="A53" s="35" t="s">
        <v>45</v>
      </c>
      <c r="B53" s="704">
        <f>[1]本部!$L$53</f>
        <v>0</v>
      </c>
      <c r="C53" s="260" t="str">
        <f t="shared" si="64"/>
        <v/>
      </c>
      <c r="D53" s="729">
        <f t="shared" si="1"/>
        <v>0</v>
      </c>
      <c r="E53" s="126" t="str">
        <f t="shared" si="65"/>
        <v/>
      </c>
      <c r="F53" s="353">
        <f>[1]本社営業!$L$53</f>
        <v>33831115</v>
      </c>
      <c r="G53" s="12">
        <f t="shared" si="66"/>
        <v>6.3264992519446367E-2</v>
      </c>
      <c r="H53" s="363">
        <f t="shared" si="20"/>
        <v>33831115</v>
      </c>
      <c r="I53" s="128">
        <f t="shared" si="21"/>
        <v>6.3264992519446367E-2</v>
      </c>
      <c r="J53" s="389">
        <f>[1]東大阪!$L$53</f>
        <v>50000</v>
      </c>
      <c r="K53" s="12">
        <f t="shared" si="22"/>
        <v>5.6319878889732437E-3</v>
      </c>
      <c r="L53" s="363">
        <f t="shared" si="23"/>
        <v>50000</v>
      </c>
      <c r="M53" s="128">
        <f t="shared" si="67"/>
        <v>5.6319878889732437E-3</v>
      </c>
      <c r="N53" s="404">
        <f>[1]南港工場!$L$53</f>
        <v>19</v>
      </c>
      <c r="O53" s="12">
        <f t="shared" si="68"/>
        <v>6.7322241202763567E-7</v>
      </c>
      <c r="P53" s="427">
        <f t="shared" si="24"/>
        <v>19</v>
      </c>
      <c r="Q53" s="172">
        <f t="shared" si="69"/>
        <v>6.7322241202763567E-7</v>
      </c>
      <c r="R53" s="446">
        <f>[1]南港事務!$L$53</f>
        <v>0</v>
      </c>
      <c r="S53" s="12" t="str">
        <f t="shared" si="70"/>
        <v/>
      </c>
      <c r="T53" s="427">
        <f t="shared" si="25"/>
        <v>0</v>
      </c>
      <c r="U53" s="205" t="str">
        <f t="shared" si="71"/>
        <v/>
      </c>
      <c r="V53" s="457">
        <f t="shared" si="26"/>
        <v>19</v>
      </c>
      <c r="W53" s="172">
        <f t="shared" si="72"/>
        <v>6.7322241202763567E-7</v>
      </c>
      <c r="X53" s="427">
        <f t="shared" si="27"/>
        <v>19</v>
      </c>
      <c r="Y53" s="226">
        <f t="shared" si="73"/>
        <v>6.7322241202763567E-7</v>
      </c>
      <c r="Z53" s="461">
        <f t="shared" si="28"/>
        <v>33881134</v>
      </c>
      <c r="AA53" s="190">
        <f t="shared" si="74"/>
        <v>5.9247992154849119E-2</v>
      </c>
      <c r="AB53" s="565">
        <f t="shared" si="29"/>
        <v>33881134</v>
      </c>
      <c r="AC53" s="127">
        <f t="shared" si="75"/>
        <v>5.9247992154849119E-2</v>
      </c>
      <c r="AD53" s="353">
        <f>[1]東京事務!$L$53</f>
        <v>7</v>
      </c>
      <c r="AE53" s="12">
        <f t="shared" si="76"/>
        <v>2.8420487824600086E-8</v>
      </c>
      <c r="AF53" s="363">
        <f t="shared" si="30"/>
        <v>7</v>
      </c>
      <c r="AG53" s="82">
        <f t="shared" si="77"/>
        <v>2.8420487824600086E-8</v>
      </c>
      <c r="AH53" s="389">
        <f>[1]東京工場!$L$53</f>
        <v>0</v>
      </c>
      <c r="AI53" s="172">
        <f t="shared" si="31"/>
        <v>0</v>
      </c>
      <c r="AJ53" s="409">
        <f t="shared" si="32"/>
        <v>0</v>
      </c>
      <c r="AK53" s="100">
        <f t="shared" si="63"/>
        <v>0</v>
      </c>
      <c r="AL53" s="548">
        <f t="shared" si="33"/>
        <v>7</v>
      </c>
      <c r="AM53" s="315">
        <f t="shared" si="78"/>
        <v>2.7331874940928984E-8</v>
      </c>
      <c r="AN53" s="479">
        <f t="shared" si="34"/>
        <v>7</v>
      </c>
      <c r="AO53" s="127">
        <f t="shared" si="79"/>
        <v>2.7331874940928984E-8</v>
      </c>
      <c r="AP53" s="528">
        <f t="shared" si="35"/>
        <v>33881141</v>
      </c>
      <c r="AQ53" s="286">
        <f t="shared" si="80"/>
        <v>4.0921027142614363E-2</v>
      </c>
      <c r="AR53" s="488">
        <f t="shared" si="36"/>
        <v>33881141</v>
      </c>
      <c r="AS53" s="287">
        <f t="shared" si="81"/>
        <v>4.0921027142614363E-2</v>
      </c>
      <c r="AT53" s="585">
        <f>[1]全社合計!$N$53</f>
        <v>8952836</v>
      </c>
      <c r="AU53" s="128">
        <f t="shared" si="37"/>
        <v>9.2573300151247984E-3</v>
      </c>
      <c r="AV53" s="579">
        <f t="shared" si="38"/>
        <v>8952836</v>
      </c>
      <c r="AW53" s="129">
        <f t="shared" si="39"/>
        <v>9.2573300151247984E-3</v>
      </c>
      <c r="AX53" s="585">
        <f t="shared" si="40"/>
        <v>24928305</v>
      </c>
      <c r="AY53" s="128">
        <f t="shared" si="41"/>
        <v>3.7844031768257569</v>
      </c>
      <c r="AZ53" s="579">
        <f t="shared" si="42"/>
        <v>24928305</v>
      </c>
      <c r="BA53" s="129">
        <f t="shared" si="43"/>
        <v>3.7844031768257569</v>
      </c>
      <c r="BB53" s="11"/>
    </row>
    <row r="54" spans="1:54" ht="15.95" customHeight="1">
      <c r="A54" s="62" t="s">
        <v>46</v>
      </c>
      <c r="B54" s="708">
        <f>SUM(B49:B53)</f>
        <v>2504751</v>
      </c>
      <c r="C54" s="141" t="str">
        <f t="shared" si="64"/>
        <v/>
      </c>
      <c r="D54" s="730">
        <f t="shared" si="1"/>
        <v>2504751</v>
      </c>
      <c r="E54" s="139" t="str">
        <f t="shared" si="65"/>
        <v/>
      </c>
      <c r="F54" s="466">
        <f>SUM(F49:F53)</f>
        <v>33831115</v>
      </c>
      <c r="G54" s="64">
        <f t="shared" si="66"/>
        <v>6.3264992519446367E-2</v>
      </c>
      <c r="H54" s="401">
        <f t="shared" si="20"/>
        <v>33831115</v>
      </c>
      <c r="I54" s="141">
        <f t="shared" si="21"/>
        <v>6.3264992519446367E-2</v>
      </c>
      <c r="J54" s="390">
        <f>SUM(J49:J53)</f>
        <v>900000</v>
      </c>
      <c r="K54" s="64">
        <f t="shared" si="22"/>
        <v>0.10137578200151838</v>
      </c>
      <c r="L54" s="401">
        <f t="shared" si="23"/>
        <v>900000</v>
      </c>
      <c r="M54" s="141">
        <f t="shared" si="67"/>
        <v>0.10137578200151838</v>
      </c>
      <c r="N54" s="405">
        <f>SUM(N49:N53)</f>
        <v>100019</v>
      </c>
      <c r="O54" s="64">
        <f t="shared" si="68"/>
        <v>3.5439490751890575E-3</v>
      </c>
      <c r="P54" s="428">
        <f t="shared" si="24"/>
        <v>100019</v>
      </c>
      <c r="Q54" s="177">
        <f t="shared" si="69"/>
        <v>3.5439490751890575E-3</v>
      </c>
      <c r="R54" s="442">
        <f>SUM(R49:R53)</f>
        <v>0</v>
      </c>
      <c r="S54" s="64" t="str">
        <f t="shared" si="70"/>
        <v/>
      </c>
      <c r="T54" s="428">
        <f t="shared" si="25"/>
        <v>0</v>
      </c>
      <c r="U54" s="209" t="str">
        <f t="shared" si="71"/>
        <v/>
      </c>
      <c r="V54" s="458">
        <f t="shared" si="26"/>
        <v>100019</v>
      </c>
      <c r="W54" s="177">
        <f t="shared" si="72"/>
        <v>3.5439490751890575E-3</v>
      </c>
      <c r="X54" s="428">
        <f t="shared" si="27"/>
        <v>100019</v>
      </c>
      <c r="Y54" s="230">
        <f t="shared" si="73"/>
        <v>3.5439490751890575E-3</v>
      </c>
      <c r="Z54" s="458">
        <f t="shared" si="28"/>
        <v>34831134</v>
      </c>
      <c r="AA54" s="194">
        <f t="shared" si="74"/>
        <v>6.0909258644545321E-2</v>
      </c>
      <c r="AB54" s="428">
        <f t="shared" si="29"/>
        <v>34831134</v>
      </c>
      <c r="AC54" s="140">
        <f t="shared" si="75"/>
        <v>6.0909258644545321E-2</v>
      </c>
      <c r="AD54" s="466">
        <f>SUM(AD49:AD53)</f>
        <v>7</v>
      </c>
      <c r="AE54" s="64">
        <f t="shared" si="76"/>
        <v>2.8420487824600086E-8</v>
      </c>
      <c r="AF54" s="401">
        <f t="shared" si="30"/>
        <v>7</v>
      </c>
      <c r="AG54" s="85">
        <f t="shared" si="77"/>
        <v>2.8420487824600086E-8</v>
      </c>
      <c r="AH54" s="390">
        <f>SUM(AH49:AH53)</f>
        <v>0</v>
      </c>
      <c r="AI54" s="177">
        <f t="shared" si="31"/>
        <v>0</v>
      </c>
      <c r="AJ54" s="471">
        <f t="shared" si="32"/>
        <v>0</v>
      </c>
      <c r="AK54" s="105">
        <f t="shared" si="63"/>
        <v>0</v>
      </c>
      <c r="AL54" s="549">
        <f t="shared" si="33"/>
        <v>7</v>
      </c>
      <c r="AM54" s="319">
        <f t="shared" si="78"/>
        <v>2.7331874940928984E-8</v>
      </c>
      <c r="AN54" s="480">
        <f t="shared" si="34"/>
        <v>7</v>
      </c>
      <c r="AO54" s="140">
        <f t="shared" si="79"/>
        <v>2.7331874940928984E-8</v>
      </c>
      <c r="AP54" s="529">
        <f t="shared" si="35"/>
        <v>37335892</v>
      </c>
      <c r="AQ54" s="141">
        <f t="shared" si="80"/>
        <v>4.5093612695207591E-2</v>
      </c>
      <c r="AR54" s="428">
        <f t="shared" si="36"/>
        <v>37335892</v>
      </c>
      <c r="AS54" s="140">
        <f t="shared" si="81"/>
        <v>4.5093612695207591E-2</v>
      </c>
      <c r="AT54" s="529">
        <f>SUM(AT49:AT53)</f>
        <v>12040938</v>
      </c>
      <c r="AU54" s="141">
        <f t="shared" si="37"/>
        <v>1.2450461145234511E-2</v>
      </c>
      <c r="AV54" s="410">
        <f t="shared" si="38"/>
        <v>12040938</v>
      </c>
      <c r="AW54" s="140">
        <f t="shared" si="39"/>
        <v>1.2450461145234511E-2</v>
      </c>
      <c r="AX54" s="529">
        <f t="shared" si="40"/>
        <v>25294954</v>
      </c>
      <c r="AY54" s="141">
        <f t="shared" si="41"/>
        <v>3.100746137883942</v>
      </c>
      <c r="AZ54" s="410">
        <f t="shared" si="42"/>
        <v>25294954</v>
      </c>
      <c r="BA54" s="140">
        <f t="shared" si="43"/>
        <v>3.100746137883942</v>
      </c>
      <c r="BB54" s="11"/>
    </row>
    <row r="55" spans="1:54" ht="15.95" customHeight="1">
      <c r="A55" s="37" t="s">
        <v>47</v>
      </c>
      <c r="B55" s="710">
        <f>[1]本部!$L$55</f>
        <v>635280</v>
      </c>
      <c r="C55" s="258" t="str">
        <f t="shared" si="64"/>
        <v/>
      </c>
      <c r="D55" s="727">
        <f t="shared" si="1"/>
        <v>635280</v>
      </c>
      <c r="E55" s="118" t="str">
        <f t="shared" si="65"/>
        <v/>
      </c>
      <c r="F55" s="351">
        <f>[1]本社営業!$L$55</f>
        <v>177708</v>
      </c>
      <c r="G55" s="7">
        <f t="shared" si="66"/>
        <v>3.3231820147357769E-4</v>
      </c>
      <c r="H55" s="361">
        <f t="shared" si="20"/>
        <v>177708</v>
      </c>
      <c r="I55" s="120">
        <f t="shared" si="21"/>
        <v>3.3231820147357769E-4</v>
      </c>
      <c r="J55" s="387">
        <f>[1]東大阪!$L$55</f>
        <v>0</v>
      </c>
      <c r="K55" s="7">
        <f t="shared" si="22"/>
        <v>0</v>
      </c>
      <c r="L55" s="361">
        <f t="shared" si="23"/>
        <v>0</v>
      </c>
      <c r="M55" s="120">
        <f t="shared" si="67"/>
        <v>0</v>
      </c>
      <c r="N55" s="402">
        <f>[1]南港工場!$L$55</f>
        <v>0</v>
      </c>
      <c r="O55" s="7">
        <f t="shared" si="68"/>
        <v>0</v>
      </c>
      <c r="P55" s="425">
        <f t="shared" si="24"/>
        <v>0</v>
      </c>
      <c r="Q55" s="174">
        <f t="shared" si="69"/>
        <v>0</v>
      </c>
      <c r="R55" s="444">
        <f>[1]南港事務!$L$55</f>
        <v>0</v>
      </c>
      <c r="S55" s="7" t="str">
        <f t="shared" si="70"/>
        <v/>
      </c>
      <c r="T55" s="425">
        <f t="shared" si="25"/>
        <v>0</v>
      </c>
      <c r="U55" s="203" t="str">
        <f t="shared" si="71"/>
        <v/>
      </c>
      <c r="V55" s="455">
        <f t="shared" si="26"/>
        <v>0</v>
      </c>
      <c r="W55" s="174">
        <f t="shared" si="72"/>
        <v>0</v>
      </c>
      <c r="X55" s="425">
        <f t="shared" si="27"/>
        <v>0</v>
      </c>
      <c r="Y55" s="224">
        <f t="shared" si="73"/>
        <v>0</v>
      </c>
      <c r="Z55" s="459">
        <f t="shared" si="28"/>
        <v>177708</v>
      </c>
      <c r="AA55" s="188">
        <f t="shared" si="74"/>
        <v>3.1075825826413979E-4</v>
      </c>
      <c r="AB55" s="563">
        <f t="shared" si="29"/>
        <v>177708</v>
      </c>
      <c r="AC55" s="119">
        <f t="shared" si="75"/>
        <v>3.1075825826413979E-4</v>
      </c>
      <c r="AD55" s="351">
        <f>[1]東京事務!$L$55</f>
        <v>0</v>
      </c>
      <c r="AE55" s="7">
        <f t="shared" si="76"/>
        <v>0</v>
      </c>
      <c r="AF55" s="361">
        <f t="shared" si="30"/>
        <v>0</v>
      </c>
      <c r="AG55" s="80">
        <f t="shared" si="77"/>
        <v>0</v>
      </c>
      <c r="AH55" s="387">
        <f>[1]東京工場!$L$55</f>
        <v>0</v>
      </c>
      <c r="AI55" s="174">
        <f t="shared" si="31"/>
        <v>0</v>
      </c>
      <c r="AJ55" s="421">
        <f t="shared" si="32"/>
        <v>0</v>
      </c>
      <c r="AK55" s="102">
        <f t="shared" si="63"/>
        <v>0</v>
      </c>
      <c r="AL55" s="546">
        <f t="shared" si="33"/>
        <v>0</v>
      </c>
      <c r="AM55" s="313">
        <f t="shared" si="78"/>
        <v>0</v>
      </c>
      <c r="AN55" s="477">
        <f t="shared" si="34"/>
        <v>0</v>
      </c>
      <c r="AO55" s="119">
        <f t="shared" si="79"/>
        <v>0</v>
      </c>
      <c r="AP55" s="526">
        <f t="shared" si="35"/>
        <v>812988</v>
      </c>
      <c r="AQ55" s="282">
        <f t="shared" si="80"/>
        <v>9.8191215032043247E-4</v>
      </c>
      <c r="AR55" s="486">
        <f t="shared" si="36"/>
        <v>812988</v>
      </c>
      <c r="AS55" s="283">
        <f t="shared" si="81"/>
        <v>9.8191215032043247E-4</v>
      </c>
      <c r="AT55" s="583">
        <f>[1]全社合計!$N$55</f>
        <v>649639</v>
      </c>
      <c r="AU55" s="120">
        <f t="shared" si="37"/>
        <v>6.71733807443324E-4</v>
      </c>
      <c r="AV55" s="577">
        <f t="shared" si="38"/>
        <v>649639</v>
      </c>
      <c r="AW55" s="121">
        <f t="shared" si="39"/>
        <v>6.71733807443324E-4</v>
      </c>
      <c r="AX55" s="583">
        <f t="shared" si="40"/>
        <v>163349</v>
      </c>
      <c r="AY55" s="120">
        <f t="shared" si="41"/>
        <v>1.2514458029767301</v>
      </c>
      <c r="AZ55" s="577">
        <f t="shared" si="42"/>
        <v>163349</v>
      </c>
      <c r="BA55" s="121">
        <f t="shared" si="43"/>
        <v>1.2514458029767301</v>
      </c>
      <c r="BB55" s="11"/>
    </row>
    <row r="56" spans="1:54" ht="15.95" customHeight="1">
      <c r="A56" s="37" t="s">
        <v>96</v>
      </c>
      <c r="B56" s="711">
        <f>[1]本部!$L$56</f>
        <v>0</v>
      </c>
      <c r="C56" s="336" t="str">
        <f>IF(ISERR(B56/$B$11),"",B56/$B$11)</f>
        <v/>
      </c>
      <c r="D56" s="731">
        <f>B56</f>
        <v>0</v>
      </c>
      <c r="E56" s="337" t="str">
        <f>IF(ISERR(D56/$D$11),"",D56/$D$11)</f>
        <v/>
      </c>
      <c r="F56" s="365">
        <f>[1]本社営業!$L$56</f>
        <v>0</v>
      </c>
      <c r="G56" s="338">
        <f>IF(ISERR(F56/$F$11),"",F56/$F$11)</f>
        <v>0</v>
      </c>
      <c r="H56" s="366">
        <f>F56</f>
        <v>0</v>
      </c>
      <c r="I56" s="339">
        <f>IF(ISERR(H56/$H$11),"",H56/$H$11)</f>
        <v>0</v>
      </c>
      <c r="J56" s="393">
        <f>[1]東大阪!$L$56</f>
        <v>0</v>
      </c>
      <c r="K56" s="338">
        <f>IF(ISERR(J56/$J$11),"",J56/$J$11)</f>
        <v>0</v>
      </c>
      <c r="L56" s="366">
        <f>J56</f>
        <v>0</v>
      </c>
      <c r="M56" s="339">
        <f>IF(ISERR(L56/$L$11),"",L56/$L$11)</f>
        <v>0</v>
      </c>
      <c r="N56" s="413">
        <f>[1]南港工場!$L$56</f>
        <v>0</v>
      </c>
      <c r="O56" s="338">
        <f>IF(ISERR(N56/$N$11),"",N56/$N$11)</f>
        <v>0</v>
      </c>
      <c r="P56" s="430">
        <f>N56</f>
        <v>0</v>
      </c>
      <c r="Q56" s="340">
        <f>IF(ISERR(P56/$P$11),"",P56/$P$11)</f>
        <v>0</v>
      </c>
      <c r="R56" s="447">
        <f>[1]南港事務!$L$56</f>
        <v>0</v>
      </c>
      <c r="S56" s="338" t="str">
        <f>IF(ISERR(R56/$R$11),"",R56/$R$11)</f>
        <v/>
      </c>
      <c r="T56" s="430">
        <f>R56</f>
        <v>0</v>
      </c>
      <c r="U56" s="341" t="str">
        <f>IF(ISERR(T56/$T$11),"",T56/$T$11)</f>
        <v/>
      </c>
      <c r="V56" s="491">
        <f>N56+R56</f>
        <v>0</v>
      </c>
      <c r="W56" s="340">
        <f>IF(ISERR(V56/$V$11),"",V56/$V$11)</f>
        <v>0</v>
      </c>
      <c r="X56" s="430">
        <f>P56+T56</f>
        <v>0</v>
      </c>
      <c r="Y56" s="342">
        <f>IF(ISERR(X56/$X$11),"",X56/$X$11)</f>
        <v>0</v>
      </c>
      <c r="Z56" s="570">
        <f>F56+J56+N56+R56</f>
        <v>0</v>
      </c>
      <c r="AA56" s="343">
        <f>IF(ISERR(Z56/$Z$11),"",Z56/$Z$11)</f>
        <v>0</v>
      </c>
      <c r="AB56" s="566">
        <f>H56+L56+P56+T56</f>
        <v>0</v>
      </c>
      <c r="AC56" s="344">
        <f>IF(ISERR(AB56/$AB$11),"",AB56/$AB$11)</f>
        <v>0</v>
      </c>
      <c r="AD56" s="365">
        <f>[1]東京事務!$L$56</f>
        <v>0</v>
      </c>
      <c r="AE56" s="338">
        <f>IF(ISERR(AD56/$AD$11),"",AD56/$AD$11)</f>
        <v>0</v>
      </c>
      <c r="AF56" s="366">
        <f>AD56</f>
        <v>0</v>
      </c>
      <c r="AG56" s="345">
        <f>IF(ISERR(AF56/$AF$11),"",AF56/$AF$11)</f>
        <v>0</v>
      </c>
      <c r="AH56" s="393">
        <f>[1]東京工場!$L$56</f>
        <v>0</v>
      </c>
      <c r="AI56" s="340">
        <f>IF(ISERR(AH56/$AH$11),"",AH56/$AH$11)</f>
        <v>0</v>
      </c>
      <c r="AJ56" s="557">
        <f>AH56</f>
        <v>0</v>
      </c>
      <c r="AK56" s="346">
        <f>IF(ISERR(AJ56/$AJ$11),"",AJ56/$AJ$11)</f>
        <v>0</v>
      </c>
      <c r="AL56" s="550">
        <f>AD56+AH56</f>
        <v>0</v>
      </c>
      <c r="AM56" s="347">
        <f>IF(ISERR(AL56/$AL$11),"",AL56/AL$11)</f>
        <v>0</v>
      </c>
      <c r="AN56" s="538">
        <f>AF56+AJ56</f>
        <v>0</v>
      </c>
      <c r="AO56" s="344">
        <f>IF(ISERR(AN56/$AN$11),"",AN56/$AN$11)</f>
        <v>0</v>
      </c>
      <c r="AP56" s="530">
        <f>B56+Z56+AL56</f>
        <v>0</v>
      </c>
      <c r="AQ56" s="348">
        <f>IF(ISERR(AP56/$AP$11),"",AP56/$AP$11)</f>
        <v>0</v>
      </c>
      <c r="AR56" s="518">
        <f>D56+AB56+AN56</f>
        <v>0</v>
      </c>
      <c r="AS56" s="349">
        <f>IF(ISERR(AR56/$AR$11),"",AR56/$AR$11)</f>
        <v>0</v>
      </c>
      <c r="AT56" s="587">
        <f>[1]全社合計!$N$56</f>
        <v>0</v>
      </c>
      <c r="AU56" s="339">
        <f>IF(ISERR(AT56/$AT$11),"",AT56/$AT$11)</f>
        <v>0</v>
      </c>
      <c r="AV56" s="598">
        <f>AT56</f>
        <v>0</v>
      </c>
      <c r="AW56" s="350">
        <f>IF(ISERR(AV56/$AV$11),"",AV56/$AV$11)</f>
        <v>0</v>
      </c>
      <c r="AX56" s="587">
        <f>AP56-AT56</f>
        <v>0</v>
      </c>
      <c r="AY56" s="339" t="str">
        <f>IF(ISERROR(AP56/AT56),"",AP56/AT56)</f>
        <v/>
      </c>
      <c r="AZ56" s="598">
        <f>AR56-AV56</f>
        <v>0</v>
      </c>
      <c r="BA56" s="350" t="str">
        <f>IF(ISERROR(AR56/AV56),"",AR56/AV56)</f>
        <v/>
      </c>
      <c r="BB56" s="11"/>
    </row>
    <row r="57" spans="1:54" ht="15.95" customHeight="1">
      <c r="A57" s="37" t="s">
        <v>58</v>
      </c>
      <c r="B57" s="703">
        <f>[1]本部!$L$57</f>
        <v>0</v>
      </c>
      <c r="C57" s="259" t="str">
        <f>IF(ISERR(B57/$B$11),"",B57/$B$11)</f>
        <v/>
      </c>
      <c r="D57" s="728">
        <f>B57</f>
        <v>0</v>
      </c>
      <c r="E57" s="122" t="str">
        <f t="shared" si="65"/>
        <v/>
      </c>
      <c r="F57" s="352">
        <f>[1]本社営業!$L$57</f>
        <v>0</v>
      </c>
      <c r="G57" s="9">
        <f t="shared" si="66"/>
        <v>0</v>
      </c>
      <c r="H57" s="362">
        <f>F57</f>
        <v>0</v>
      </c>
      <c r="I57" s="124">
        <f t="shared" si="21"/>
        <v>0</v>
      </c>
      <c r="J57" s="388">
        <f>[1]東大阪!$L$57</f>
        <v>0</v>
      </c>
      <c r="K57" s="9">
        <f t="shared" si="22"/>
        <v>0</v>
      </c>
      <c r="L57" s="362">
        <f t="shared" si="23"/>
        <v>0</v>
      </c>
      <c r="M57" s="124">
        <f t="shared" si="67"/>
        <v>0</v>
      </c>
      <c r="N57" s="403">
        <f>[1]南港工場!$L$57</f>
        <v>0</v>
      </c>
      <c r="O57" s="9">
        <f t="shared" si="68"/>
        <v>0</v>
      </c>
      <c r="P57" s="426">
        <f t="shared" si="24"/>
        <v>0</v>
      </c>
      <c r="Q57" s="171">
        <f t="shared" si="69"/>
        <v>0</v>
      </c>
      <c r="R57" s="445">
        <f>[1]南港事務!$L$57</f>
        <v>0</v>
      </c>
      <c r="S57" s="9" t="str">
        <f t="shared" si="70"/>
        <v/>
      </c>
      <c r="T57" s="426">
        <f t="shared" si="25"/>
        <v>0</v>
      </c>
      <c r="U57" s="204" t="str">
        <f t="shared" si="71"/>
        <v/>
      </c>
      <c r="V57" s="456">
        <f t="shared" si="26"/>
        <v>0</v>
      </c>
      <c r="W57" s="171">
        <f t="shared" si="72"/>
        <v>0</v>
      </c>
      <c r="X57" s="426">
        <f t="shared" si="27"/>
        <v>0</v>
      </c>
      <c r="Y57" s="225">
        <f t="shared" si="73"/>
        <v>0</v>
      </c>
      <c r="Z57" s="460">
        <f t="shared" si="28"/>
        <v>0</v>
      </c>
      <c r="AA57" s="189">
        <f t="shared" si="74"/>
        <v>0</v>
      </c>
      <c r="AB57" s="564">
        <f t="shared" si="29"/>
        <v>0</v>
      </c>
      <c r="AC57" s="123">
        <f t="shared" si="75"/>
        <v>0</v>
      </c>
      <c r="AD57" s="352">
        <f>[1]東京事務!$L$57</f>
        <v>0</v>
      </c>
      <c r="AE57" s="9">
        <f t="shared" si="76"/>
        <v>0</v>
      </c>
      <c r="AF57" s="362">
        <f t="shared" si="30"/>
        <v>0</v>
      </c>
      <c r="AG57" s="81">
        <f t="shared" si="77"/>
        <v>0</v>
      </c>
      <c r="AH57" s="388">
        <f>[1]東京工場!$L$57</f>
        <v>0</v>
      </c>
      <c r="AI57" s="171">
        <f t="shared" si="31"/>
        <v>0</v>
      </c>
      <c r="AJ57" s="408">
        <f t="shared" si="32"/>
        <v>0</v>
      </c>
      <c r="AK57" s="99">
        <f t="shared" si="63"/>
        <v>0</v>
      </c>
      <c r="AL57" s="547">
        <f t="shared" si="33"/>
        <v>0</v>
      </c>
      <c r="AM57" s="314">
        <f t="shared" si="78"/>
        <v>0</v>
      </c>
      <c r="AN57" s="478">
        <f t="shared" si="34"/>
        <v>0</v>
      </c>
      <c r="AO57" s="123">
        <f t="shared" si="79"/>
        <v>0</v>
      </c>
      <c r="AP57" s="527">
        <f>B57+Z57+AL57</f>
        <v>0</v>
      </c>
      <c r="AQ57" s="284">
        <f t="shared" si="80"/>
        <v>0</v>
      </c>
      <c r="AR57" s="487">
        <f t="shared" si="36"/>
        <v>0</v>
      </c>
      <c r="AS57" s="285">
        <f t="shared" si="81"/>
        <v>0</v>
      </c>
      <c r="AT57" s="584">
        <f>[1]全社合計!$N$57</f>
        <v>0</v>
      </c>
      <c r="AU57" s="124">
        <f t="shared" si="37"/>
        <v>0</v>
      </c>
      <c r="AV57" s="578">
        <f t="shared" si="38"/>
        <v>0</v>
      </c>
      <c r="AW57" s="125">
        <f t="shared" si="39"/>
        <v>0</v>
      </c>
      <c r="AX57" s="584">
        <f t="shared" si="40"/>
        <v>0</v>
      </c>
      <c r="AY57" s="124" t="str">
        <f t="shared" si="41"/>
        <v/>
      </c>
      <c r="AZ57" s="578">
        <f t="shared" si="42"/>
        <v>0</v>
      </c>
      <c r="BA57" s="125" t="str">
        <f t="shared" si="43"/>
        <v/>
      </c>
      <c r="BB57" s="11"/>
    </row>
    <row r="58" spans="1:54" ht="15.95" customHeight="1">
      <c r="A58" s="37" t="s">
        <v>98</v>
      </c>
      <c r="B58" s="703">
        <f>[1]本部!$L$58</f>
        <v>0</v>
      </c>
      <c r="C58" s="259" t="str">
        <f t="shared" si="64"/>
        <v/>
      </c>
      <c r="D58" s="728">
        <f t="shared" si="1"/>
        <v>0</v>
      </c>
      <c r="E58" s="122" t="str">
        <f t="shared" si="65"/>
        <v/>
      </c>
      <c r="F58" s="352">
        <f>[1]本社営業!$L$58</f>
        <v>0</v>
      </c>
      <c r="G58" s="9">
        <f t="shared" si="66"/>
        <v>0</v>
      </c>
      <c r="H58" s="362">
        <f>F58</f>
        <v>0</v>
      </c>
      <c r="I58" s="124">
        <f t="shared" si="21"/>
        <v>0</v>
      </c>
      <c r="J58" s="388">
        <f>[1]東大阪!$L$58</f>
        <v>0</v>
      </c>
      <c r="K58" s="9">
        <f t="shared" si="22"/>
        <v>0</v>
      </c>
      <c r="L58" s="362"/>
      <c r="M58" s="124">
        <f t="shared" si="67"/>
        <v>0</v>
      </c>
      <c r="N58" s="403">
        <f>[1]南港工場!$L$58</f>
        <v>0</v>
      </c>
      <c r="O58" s="9">
        <f t="shared" si="68"/>
        <v>0</v>
      </c>
      <c r="P58" s="426">
        <f t="shared" si="24"/>
        <v>0</v>
      </c>
      <c r="Q58" s="171">
        <f t="shared" si="69"/>
        <v>0</v>
      </c>
      <c r="R58" s="445">
        <f>[1]南港事務!$L$58</f>
        <v>0</v>
      </c>
      <c r="S58" s="9" t="str">
        <f t="shared" si="70"/>
        <v/>
      </c>
      <c r="T58" s="426">
        <f t="shared" si="25"/>
        <v>0</v>
      </c>
      <c r="U58" s="204" t="str">
        <f t="shared" si="71"/>
        <v/>
      </c>
      <c r="V58" s="456">
        <f t="shared" si="26"/>
        <v>0</v>
      </c>
      <c r="W58" s="171">
        <f t="shared" si="72"/>
        <v>0</v>
      </c>
      <c r="X58" s="426">
        <f t="shared" si="27"/>
        <v>0</v>
      </c>
      <c r="Y58" s="225">
        <f t="shared" si="73"/>
        <v>0</v>
      </c>
      <c r="Z58" s="460">
        <f>F58+J58+N58+R58</f>
        <v>0</v>
      </c>
      <c r="AA58" s="189">
        <f>IF(ISERR(Z58/$Z$11),"",Z58/$Z$11)</f>
        <v>0</v>
      </c>
      <c r="AB58" s="564">
        <f>H58+L58+P58+T58</f>
        <v>0</v>
      </c>
      <c r="AC58" s="123">
        <f>IF(ISERR(AB58/$AB$11),"",AB58/$AB$11)</f>
        <v>0</v>
      </c>
      <c r="AD58" s="352">
        <f>[1]東京事務!$L$58</f>
        <v>0</v>
      </c>
      <c r="AE58" s="9">
        <f>IF(ISERR(AD58/$AD$11),"",AD58/$AD$11)</f>
        <v>0</v>
      </c>
      <c r="AF58" s="362">
        <f>AD58</f>
        <v>0</v>
      </c>
      <c r="AG58" s="81">
        <f>IF(ISERR(AF58/$AF$11),"",AF58/$AF$11)</f>
        <v>0</v>
      </c>
      <c r="AH58" s="388">
        <f>[1]東京工場!$L$58</f>
        <v>0</v>
      </c>
      <c r="AI58" s="171">
        <f>IF(ISERR(AH58/$AH$11),"",AH58/$AH$11)</f>
        <v>0</v>
      </c>
      <c r="AJ58" s="408">
        <f>AH58</f>
        <v>0</v>
      </c>
      <c r="AK58" s="99">
        <f>IF(ISERR(AJ58/$AJ$11),"",AJ58/$AJ$11)</f>
        <v>0</v>
      </c>
      <c r="AL58" s="547">
        <f>AD58+AH58</f>
        <v>0</v>
      </c>
      <c r="AM58" s="314">
        <f>IF(ISERR(AL58/$AL$11),"",AL58/AL$11)</f>
        <v>0</v>
      </c>
      <c r="AN58" s="478">
        <f>AF58+AJ58</f>
        <v>0</v>
      </c>
      <c r="AO58" s="123">
        <f>IF(ISERR(AN58/$AN$11),"",AN58/$AN$11)</f>
        <v>0</v>
      </c>
      <c r="AP58" s="527">
        <f>B58+Z58+AL58</f>
        <v>0</v>
      </c>
      <c r="AQ58" s="284">
        <f>IF(ISERR(AP58/$AP$11),"",AP58/$AP$11)</f>
        <v>0</v>
      </c>
      <c r="AR58" s="487">
        <f>D58+AB58+AN58</f>
        <v>0</v>
      </c>
      <c r="AS58" s="285">
        <f>IF(ISERR(AR58/$AR$11),"",AR58/$AR$11)</f>
        <v>0</v>
      </c>
      <c r="AT58" s="584">
        <f>[1]全社合計!$N$58</f>
        <v>0</v>
      </c>
      <c r="AU58" s="124">
        <f>IF(ISERR(AT58/$AT$11),"",AT58/$AT$11)</f>
        <v>0</v>
      </c>
      <c r="AV58" s="578">
        <f>AT58</f>
        <v>0</v>
      </c>
      <c r="AW58" s="125">
        <f>IF(ISERR(AV58/$AV$11),"",AV58/$AV$11)</f>
        <v>0</v>
      </c>
      <c r="AX58" s="584">
        <f t="shared" si="40"/>
        <v>0</v>
      </c>
      <c r="AY58" s="124" t="str">
        <f>IF(ISERROR(AP58/AT58),"",AP58/AT58)</f>
        <v/>
      </c>
      <c r="AZ58" s="578">
        <f>AR58-AV58</f>
        <v>0</v>
      </c>
      <c r="BA58" s="125" t="str">
        <f>IF(ISERROR(AR58/AV58),"",AR58/AV58)</f>
        <v/>
      </c>
      <c r="BB58" s="11"/>
    </row>
    <row r="59" spans="1:54" ht="15.95" customHeight="1">
      <c r="A59" s="37" t="s">
        <v>94</v>
      </c>
      <c r="B59" s="703">
        <f>[1]本部!$L$59</f>
        <v>0</v>
      </c>
      <c r="C59" s="259" t="str">
        <f t="shared" si="64"/>
        <v/>
      </c>
      <c r="D59" s="728"/>
      <c r="E59" s="122" t="str">
        <f t="shared" si="65"/>
        <v/>
      </c>
      <c r="F59" s="352">
        <f>[1]本社営業!$L$59</f>
        <v>0</v>
      </c>
      <c r="G59" s="9">
        <f t="shared" si="66"/>
        <v>0</v>
      </c>
      <c r="H59" s="362">
        <f>F59</f>
        <v>0</v>
      </c>
      <c r="I59" s="124">
        <f t="shared" si="21"/>
        <v>0</v>
      </c>
      <c r="J59" s="388">
        <f>[1]東大阪!$L$59</f>
        <v>0</v>
      </c>
      <c r="K59" s="9">
        <f t="shared" si="22"/>
        <v>0</v>
      </c>
      <c r="L59" s="362"/>
      <c r="M59" s="124">
        <f t="shared" si="67"/>
        <v>0</v>
      </c>
      <c r="N59" s="403">
        <f>[1]南港工場!$L$59</f>
        <v>0</v>
      </c>
      <c r="O59" s="9">
        <f t="shared" si="68"/>
        <v>0</v>
      </c>
      <c r="P59" s="426"/>
      <c r="Q59" s="171">
        <f t="shared" si="69"/>
        <v>0</v>
      </c>
      <c r="R59" s="445">
        <f>[1]南港事務!$L$59</f>
        <v>0</v>
      </c>
      <c r="S59" s="9" t="str">
        <f t="shared" si="70"/>
        <v/>
      </c>
      <c r="T59" s="426"/>
      <c r="U59" s="204" t="str">
        <f t="shared" si="71"/>
        <v/>
      </c>
      <c r="V59" s="456">
        <f t="shared" si="26"/>
        <v>0</v>
      </c>
      <c r="W59" s="171">
        <f t="shared" si="72"/>
        <v>0</v>
      </c>
      <c r="X59" s="426">
        <f t="shared" si="27"/>
        <v>0</v>
      </c>
      <c r="Y59" s="225">
        <f t="shared" si="73"/>
        <v>0</v>
      </c>
      <c r="Z59" s="460">
        <f>F59+J59+N59+R59</f>
        <v>0</v>
      </c>
      <c r="AA59" s="189">
        <f>IF(ISERR(Z59/$Z$11),"",Z59/$Z$11)</f>
        <v>0</v>
      </c>
      <c r="AB59" s="564">
        <f>H59+L59+P59+T59</f>
        <v>0</v>
      </c>
      <c r="AC59" s="123">
        <f>IF(ISERR(AB59/$AB$11),"",AB59/$AB$11)</f>
        <v>0</v>
      </c>
      <c r="AD59" s="352">
        <f>[1]東京事務!$L$59</f>
        <v>0</v>
      </c>
      <c r="AE59" s="9">
        <f>IF(ISERR(AD59/$AD$11),"",AD59/$AD$11)</f>
        <v>0</v>
      </c>
      <c r="AF59" s="362"/>
      <c r="AG59" s="81">
        <f>IF(ISERR(AF59/$AF$11),"",AF59/$AF$11)</f>
        <v>0</v>
      </c>
      <c r="AH59" s="388">
        <f>[1]東京工場!$L$59</f>
        <v>0</v>
      </c>
      <c r="AI59" s="171">
        <f>IF(ISERR(AH59/$AH$11),"",AH59/$AH$11)</f>
        <v>0</v>
      </c>
      <c r="AJ59" s="408"/>
      <c r="AK59" s="99">
        <f>IF(ISERR(AJ59/$AJ$11),"",AJ59/$AJ$11)</f>
        <v>0</v>
      </c>
      <c r="AL59" s="547">
        <f>AD59+AH59</f>
        <v>0</v>
      </c>
      <c r="AM59" s="314">
        <f>IF(ISERR(AL59/$AL$11),"",AL59/AL$11)</f>
        <v>0</v>
      </c>
      <c r="AN59" s="478">
        <f>AF59+AJ59</f>
        <v>0</v>
      </c>
      <c r="AO59" s="123">
        <f>IF(ISERR(AN59/$AN$11),"",AN59/$AN$11)</f>
        <v>0</v>
      </c>
      <c r="AP59" s="527">
        <f>B59+Z59+AL59</f>
        <v>0</v>
      </c>
      <c r="AQ59" s="284">
        <f>IF(ISERR(AP59/$AP$11),"",AP59/$AP$11)</f>
        <v>0</v>
      </c>
      <c r="AR59" s="487">
        <f>D59+AB59+AN59</f>
        <v>0</v>
      </c>
      <c r="AS59" s="285">
        <f>IF(ISERR(AR59/$AR$11),"",AR59/$AR$11)</f>
        <v>0</v>
      </c>
      <c r="AT59" s="584">
        <f>[1]全社合計!$N$59</f>
        <v>0</v>
      </c>
      <c r="AU59" s="124">
        <f>IF(ISERR(AT59/$AT$11),"",AT59/$AT$11)</f>
        <v>0</v>
      </c>
      <c r="AV59" s="578"/>
      <c r="AW59" s="125">
        <f>IF(ISERR(AV59/$AV$11),"",AV59/$AV$11)</f>
        <v>0</v>
      </c>
      <c r="AX59" s="584">
        <f t="shared" si="40"/>
        <v>0</v>
      </c>
      <c r="AY59" s="124" t="str">
        <f>IF(ISERROR(AP59/AT59),"",AP59/AT59)</f>
        <v/>
      </c>
      <c r="AZ59" s="578">
        <f>AR59-AV59</f>
        <v>0</v>
      </c>
      <c r="BA59" s="125" t="str">
        <f>IF(ISERROR(AR59/AV59),"",AR59/AV59)</f>
        <v/>
      </c>
      <c r="BB59" s="11"/>
    </row>
    <row r="60" spans="1:54" ht="15.95" customHeight="1">
      <c r="A60" s="37" t="s">
        <v>93</v>
      </c>
      <c r="B60" s="703">
        <f>[1]本部!$L$60</f>
        <v>500000</v>
      </c>
      <c r="C60" s="259" t="str">
        <f>IF(ISERR(B60/$B$11),"",B60/$B$11)</f>
        <v/>
      </c>
      <c r="D60" s="728">
        <f>B60</f>
        <v>500000</v>
      </c>
      <c r="E60" s="122" t="str">
        <f t="shared" si="65"/>
        <v/>
      </c>
      <c r="F60" s="352">
        <f>[1]本社営業!$L$60</f>
        <v>0</v>
      </c>
      <c r="G60" s="9">
        <f t="shared" si="66"/>
        <v>0</v>
      </c>
      <c r="H60" s="362">
        <f t="shared" si="20"/>
        <v>0</v>
      </c>
      <c r="I60" s="124">
        <f t="shared" si="21"/>
        <v>0</v>
      </c>
      <c r="J60" s="388">
        <f>[1]東大阪!$L$60</f>
        <v>0</v>
      </c>
      <c r="K60" s="9">
        <f t="shared" si="22"/>
        <v>0</v>
      </c>
      <c r="L60" s="362">
        <f t="shared" si="23"/>
        <v>0</v>
      </c>
      <c r="M60" s="124">
        <f t="shared" si="67"/>
        <v>0</v>
      </c>
      <c r="N60" s="403">
        <f>[1]南港工場!$L$60</f>
        <v>0</v>
      </c>
      <c r="O60" s="9">
        <f t="shared" si="68"/>
        <v>0</v>
      </c>
      <c r="P60" s="426">
        <f t="shared" si="24"/>
        <v>0</v>
      </c>
      <c r="Q60" s="171">
        <f t="shared" si="69"/>
        <v>0</v>
      </c>
      <c r="R60" s="445">
        <f>[1]南港事務!$L$60</f>
        <v>0</v>
      </c>
      <c r="S60" s="9" t="str">
        <f t="shared" si="70"/>
        <v/>
      </c>
      <c r="T60" s="426">
        <f t="shared" si="25"/>
        <v>0</v>
      </c>
      <c r="U60" s="204" t="str">
        <f t="shared" si="71"/>
        <v/>
      </c>
      <c r="V60" s="456">
        <f t="shared" si="26"/>
        <v>0</v>
      </c>
      <c r="W60" s="171">
        <f t="shared" si="72"/>
        <v>0</v>
      </c>
      <c r="X60" s="426">
        <f t="shared" si="27"/>
        <v>0</v>
      </c>
      <c r="Y60" s="225">
        <f t="shared" si="73"/>
        <v>0</v>
      </c>
      <c r="Z60" s="460">
        <f t="shared" si="28"/>
        <v>0</v>
      </c>
      <c r="AA60" s="189">
        <f t="shared" si="74"/>
        <v>0</v>
      </c>
      <c r="AB60" s="564">
        <f t="shared" si="29"/>
        <v>0</v>
      </c>
      <c r="AC60" s="123">
        <f t="shared" si="75"/>
        <v>0</v>
      </c>
      <c r="AD60" s="352">
        <f>[1]東京事務!$L$60</f>
        <v>0</v>
      </c>
      <c r="AE60" s="9">
        <f t="shared" si="76"/>
        <v>0</v>
      </c>
      <c r="AF60" s="362">
        <f>AD60</f>
        <v>0</v>
      </c>
      <c r="AG60" s="81">
        <f t="shared" si="77"/>
        <v>0</v>
      </c>
      <c r="AH60" s="388">
        <f>[1]東京工場!$L$60</f>
        <v>0</v>
      </c>
      <c r="AI60" s="171">
        <f t="shared" si="31"/>
        <v>0</v>
      </c>
      <c r="AJ60" s="408">
        <f t="shared" si="32"/>
        <v>0</v>
      </c>
      <c r="AK60" s="99">
        <f t="shared" si="63"/>
        <v>0</v>
      </c>
      <c r="AL60" s="547">
        <f t="shared" si="33"/>
        <v>0</v>
      </c>
      <c r="AM60" s="314">
        <f t="shared" si="78"/>
        <v>0</v>
      </c>
      <c r="AN60" s="478">
        <f t="shared" si="34"/>
        <v>0</v>
      </c>
      <c r="AO60" s="123">
        <f t="shared" si="79"/>
        <v>0</v>
      </c>
      <c r="AP60" s="527">
        <f>B60+Z60+AL60</f>
        <v>500000</v>
      </c>
      <c r="AQ60" s="284">
        <f t="shared" si="80"/>
        <v>6.0389092478636364E-4</v>
      </c>
      <c r="AR60" s="487">
        <f t="shared" si="36"/>
        <v>500000</v>
      </c>
      <c r="AS60" s="285">
        <f t="shared" si="81"/>
        <v>6.0389092478636364E-4</v>
      </c>
      <c r="AT60" s="584">
        <f>[1]全社合計!$N$60</f>
        <v>500000</v>
      </c>
      <c r="AU60" s="124">
        <f t="shared" si="37"/>
        <v>5.1700545029110319E-4</v>
      </c>
      <c r="AV60" s="578">
        <f t="shared" si="38"/>
        <v>500000</v>
      </c>
      <c r="AW60" s="125">
        <f t="shared" si="39"/>
        <v>5.1700545029110319E-4</v>
      </c>
      <c r="AX60" s="584">
        <f t="shared" si="40"/>
        <v>0</v>
      </c>
      <c r="AY60" s="124">
        <f t="shared" si="41"/>
        <v>1</v>
      </c>
      <c r="AZ60" s="578">
        <f t="shared" si="42"/>
        <v>0</v>
      </c>
      <c r="BA60" s="125">
        <f t="shared" si="43"/>
        <v>1</v>
      </c>
      <c r="BB60" s="11"/>
    </row>
    <row r="61" spans="1:54" ht="15.95" customHeight="1">
      <c r="A61" s="35" t="s">
        <v>48</v>
      </c>
      <c r="B61" s="704">
        <f>[1]本部!$L$61</f>
        <v>0</v>
      </c>
      <c r="C61" s="260" t="str">
        <f t="shared" si="64"/>
        <v/>
      </c>
      <c r="D61" s="729">
        <f t="shared" si="1"/>
        <v>0</v>
      </c>
      <c r="E61" s="126" t="str">
        <f t="shared" si="65"/>
        <v/>
      </c>
      <c r="F61" s="353">
        <f>[1]本社営業!$L$61</f>
        <v>44784</v>
      </c>
      <c r="G61" s="12">
        <f t="shared" si="66"/>
        <v>8.3747148889147942E-5</v>
      </c>
      <c r="H61" s="363">
        <f t="shared" si="20"/>
        <v>44784</v>
      </c>
      <c r="I61" s="128">
        <f t="shared" si="21"/>
        <v>8.3747148889147942E-5</v>
      </c>
      <c r="J61" s="389">
        <f>[1]東大阪!$L$61</f>
        <v>0</v>
      </c>
      <c r="K61" s="12">
        <f t="shared" si="22"/>
        <v>0</v>
      </c>
      <c r="L61" s="363">
        <f t="shared" si="23"/>
        <v>0</v>
      </c>
      <c r="M61" s="128">
        <f t="shared" si="67"/>
        <v>0</v>
      </c>
      <c r="N61" s="404">
        <f>[1]南港工場!$L$61</f>
        <v>1</v>
      </c>
      <c r="O61" s="12">
        <f t="shared" si="68"/>
        <v>3.5432758527770301E-8</v>
      </c>
      <c r="P61" s="427">
        <f t="shared" si="24"/>
        <v>1</v>
      </c>
      <c r="Q61" s="172">
        <f t="shared" si="69"/>
        <v>3.5432758527770301E-8</v>
      </c>
      <c r="R61" s="446">
        <f>[1]南港事務!$L$61</f>
        <v>0</v>
      </c>
      <c r="S61" s="12" t="str">
        <f t="shared" si="70"/>
        <v/>
      </c>
      <c r="T61" s="427">
        <f t="shared" si="25"/>
        <v>0</v>
      </c>
      <c r="U61" s="205" t="str">
        <f t="shared" si="71"/>
        <v/>
      </c>
      <c r="V61" s="457">
        <f t="shared" si="26"/>
        <v>1</v>
      </c>
      <c r="W61" s="172">
        <f t="shared" si="72"/>
        <v>3.5432758527770301E-8</v>
      </c>
      <c r="X61" s="427">
        <f t="shared" si="27"/>
        <v>1</v>
      </c>
      <c r="Y61" s="226">
        <f t="shared" si="73"/>
        <v>3.5432758527770301E-8</v>
      </c>
      <c r="Z61" s="461">
        <f t="shared" si="28"/>
        <v>44785</v>
      </c>
      <c r="AA61" s="190">
        <f t="shared" si="74"/>
        <v>7.8315599727415202E-5</v>
      </c>
      <c r="AB61" s="565">
        <f t="shared" si="29"/>
        <v>44785</v>
      </c>
      <c r="AC61" s="127">
        <f t="shared" si="75"/>
        <v>7.8315599727415202E-5</v>
      </c>
      <c r="AD61" s="353">
        <f>[1]東京事務!$L$61</f>
        <v>28</v>
      </c>
      <c r="AE61" s="12">
        <f t="shared" si="76"/>
        <v>1.1368195129840034E-7</v>
      </c>
      <c r="AF61" s="363">
        <f t="shared" si="30"/>
        <v>28</v>
      </c>
      <c r="AG61" s="82">
        <f t="shared" si="77"/>
        <v>1.1368195129840034E-7</v>
      </c>
      <c r="AH61" s="389">
        <f>[1]東京工場!$L$61</f>
        <v>0</v>
      </c>
      <c r="AI61" s="172">
        <f t="shared" si="31"/>
        <v>0</v>
      </c>
      <c r="AJ61" s="409">
        <f t="shared" si="32"/>
        <v>0</v>
      </c>
      <c r="AK61" s="100">
        <f t="shared" si="63"/>
        <v>0</v>
      </c>
      <c r="AL61" s="548">
        <f t="shared" si="33"/>
        <v>28</v>
      </c>
      <c r="AM61" s="315">
        <f t="shared" si="78"/>
        <v>1.0932749976371593E-7</v>
      </c>
      <c r="AN61" s="479">
        <f t="shared" si="34"/>
        <v>28</v>
      </c>
      <c r="AO61" s="127">
        <f t="shared" si="79"/>
        <v>1.0932749976371593E-7</v>
      </c>
      <c r="AP61" s="528">
        <f t="shared" si="35"/>
        <v>44813</v>
      </c>
      <c r="AQ61" s="286">
        <f t="shared" si="80"/>
        <v>5.4124328024902629E-5</v>
      </c>
      <c r="AR61" s="488">
        <f t="shared" si="36"/>
        <v>44813</v>
      </c>
      <c r="AS61" s="287">
        <f t="shared" si="81"/>
        <v>5.4124328024902629E-5</v>
      </c>
      <c r="AT61" s="585">
        <f>[1]全社合計!$N$61</f>
        <v>9223</v>
      </c>
      <c r="AU61" s="128">
        <f t="shared" si="37"/>
        <v>9.5366825360696886E-6</v>
      </c>
      <c r="AV61" s="579">
        <f t="shared" si="38"/>
        <v>9223</v>
      </c>
      <c r="AW61" s="129">
        <f t="shared" si="39"/>
        <v>9.5366825360696886E-6</v>
      </c>
      <c r="AX61" s="585">
        <f t="shared" si="40"/>
        <v>35590</v>
      </c>
      <c r="AY61" s="128">
        <f>IF(ISERROR(AP61/AT61),"",AP61/AT61)</f>
        <v>4.8588311829122848</v>
      </c>
      <c r="AZ61" s="579">
        <f t="shared" si="42"/>
        <v>35590</v>
      </c>
      <c r="BA61" s="129">
        <f t="shared" si="43"/>
        <v>4.8588311829122848</v>
      </c>
      <c r="BB61" s="14"/>
    </row>
    <row r="62" spans="1:54" ht="15.95" customHeight="1">
      <c r="A62" s="62" t="s">
        <v>49</v>
      </c>
      <c r="B62" s="708">
        <f>SUM(B55:B61)</f>
        <v>1135280</v>
      </c>
      <c r="C62" s="141" t="str">
        <f t="shared" si="64"/>
        <v/>
      </c>
      <c r="D62" s="401">
        <f t="shared" si="1"/>
        <v>1135280</v>
      </c>
      <c r="E62" s="139" t="str">
        <f t="shared" si="65"/>
        <v/>
      </c>
      <c r="F62" s="466">
        <f>SUM(F55:F61)</f>
        <v>222492</v>
      </c>
      <c r="G62" s="64">
        <f t="shared" si="66"/>
        <v>4.1606535036272562E-4</v>
      </c>
      <c r="H62" s="401">
        <f t="shared" si="20"/>
        <v>222492</v>
      </c>
      <c r="I62" s="141">
        <f t="shared" si="21"/>
        <v>4.1606535036272562E-4</v>
      </c>
      <c r="J62" s="390">
        <f>SUM(J55:J61)</f>
        <v>0</v>
      </c>
      <c r="K62" s="64">
        <f t="shared" si="22"/>
        <v>0</v>
      </c>
      <c r="L62" s="401">
        <f t="shared" si="23"/>
        <v>0</v>
      </c>
      <c r="M62" s="141">
        <f t="shared" si="67"/>
        <v>0</v>
      </c>
      <c r="N62" s="405">
        <f>SUM(N55:N61)</f>
        <v>1</v>
      </c>
      <c r="O62" s="64">
        <f t="shared" si="68"/>
        <v>3.5432758527770301E-8</v>
      </c>
      <c r="P62" s="428">
        <f t="shared" si="24"/>
        <v>1</v>
      </c>
      <c r="Q62" s="177">
        <f t="shared" si="69"/>
        <v>3.5432758527770301E-8</v>
      </c>
      <c r="R62" s="442">
        <f>SUM(R55:R61)</f>
        <v>0</v>
      </c>
      <c r="S62" s="64" t="str">
        <f t="shared" si="70"/>
        <v/>
      </c>
      <c r="T62" s="428">
        <f t="shared" si="25"/>
        <v>0</v>
      </c>
      <c r="U62" s="209" t="str">
        <f t="shared" si="71"/>
        <v/>
      </c>
      <c r="V62" s="458">
        <f t="shared" si="26"/>
        <v>1</v>
      </c>
      <c r="W62" s="177">
        <f t="shared" si="72"/>
        <v>3.5432758527770301E-8</v>
      </c>
      <c r="X62" s="428">
        <f t="shared" si="27"/>
        <v>1</v>
      </c>
      <c r="Y62" s="230">
        <f t="shared" si="73"/>
        <v>3.5432758527770301E-8</v>
      </c>
      <c r="Z62" s="458">
        <f t="shared" si="28"/>
        <v>222493</v>
      </c>
      <c r="AA62" s="194">
        <f t="shared" si="74"/>
        <v>3.8907385799155495E-4</v>
      </c>
      <c r="AB62" s="428">
        <f t="shared" si="29"/>
        <v>222493</v>
      </c>
      <c r="AC62" s="140">
        <f t="shared" si="75"/>
        <v>3.8907385799155495E-4</v>
      </c>
      <c r="AD62" s="466">
        <f>SUM(AD55:AD61)</f>
        <v>28</v>
      </c>
      <c r="AE62" s="64">
        <f t="shared" si="76"/>
        <v>1.1368195129840034E-7</v>
      </c>
      <c r="AF62" s="401">
        <f t="shared" si="30"/>
        <v>28</v>
      </c>
      <c r="AG62" s="85">
        <f t="shared" si="77"/>
        <v>1.1368195129840034E-7</v>
      </c>
      <c r="AH62" s="390">
        <f>SUM(AH55:AH61)</f>
        <v>0</v>
      </c>
      <c r="AI62" s="177">
        <f t="shared" si="31"/>
        <v>0</v>
      </c>
      <c r="AJ62" s="471">
        <f t="shared" si="32"/>
        <v>0</v>
      </c>
      <c r="AK62" s="105">
        <f t="shared" si="63"/>
        <v>0</v>
      </c>
      <c r="AL62" s="549">
        <f t="shared" si="33"/>
        <v>28</v>
      </c>
      <c r="AM62" s="319">
        <f t="shared" si="78"/>
        <v>1.0932749976371593E-7</v>
      </c>
      <c r="AN62" s="480">
        <f t="shared" si="34"/>
        <v>28</v>
      </c>
      <c r="AO62" s="140">
        <f t="shared" si="79"/>
        <v>1.0932749976371593E-7</v>
      </c>
      <c r="AP62" s="529">
        <f t="shared" si="35"/>
        <v>1357801</v>
      </c>
      <c r="AQ62" s="141">
        <f t="shared" si="80"/>
        <v>1.6399274031316986E-3</v>
      </c>
      <c r="AR62" s="428">
        <f t="shared" si="36"/>
        <v>1357801</v>
      </c>
      <c r="AS62" s="140">
        <f t="shared" si="81"/>
        <v>1.6399274031316986E-3</v>
      </c>
      <c r="AT62" s="529">
        <f>SUM(AT55:AT61)</f>
        <v>1158862</v>
      </c>
      <c r="AU62" s="141">
        <f t="shared" si="37"/>
        <v>1.1982759402704968E-3</v>
      </c>
      <c r="AV62" s="410">
        <f t="shared" si="38"/>
        <v>1158862</v>
      </c>
      <c r="AW62" s="140">
        <f t="shared" si="39"/>
        <v>1.1982759402704968E-3</v>
      </c>
      <c r="AX62" s="529">
        <f t="shared" si="40"/>
        <v>198939</v>
      </c>
      <c r="AY62" s="141">
        <f t="shared" si="41"/>
        <v>1.1716675497168774</v>
      </c>
      <c r="AZ62" s="410">
        <f t="shared" si="42"/>
        <v>198939</v>
      </c>
      <c r="BA62" s="140">
        <f t="shared" si="43"/>
        <v>1.1716675497168774</v>
      </c>
      <c r="BB62" s="11"/>
    </row>
    <row r="63" spans="1:54" ht="15.95" customHeight="1">
      <c r="A63" s="38" t="s">
        <v>59</v>
      </c>
      <c r="B63" s="712">
        <f>[1]本部!$L$63</f>
        <v>-6885999</v>
      </c>
      <c r="C63" s="221" t="str">
        <f t="shared" si="64"/>
        <v/>
      </c>
      <c r="D63" s="732">
        <f t="shared" si="1"/>
        <v>-6885999</v>
      </c>
      <c r="E63" s="142" t="str">
        <f t="shared" si="65"/>
        <v/>
      </c>
      <c r="F63" s="365">
        <f>[1]本社営業!$L$63</f>
        <v>3387911</v>
      </c>
      <c r="G63" s="15">
        <f t="shared" si="66"/>
        <v>6.3354744314974565E-3</v>
      </c>
      <c r="H63" s="367">
        <f t="shared" si="20"/>
        <v>3387911</v>
      </c>
      <c r="I63" s="144">
        <f t="shared" si="21"/>
        <v>6.3354744314974565E-3</v>
      </c>
      <c r="J63" s="393">
        <f>[1]東大阪!$L$63</f>
        <v>426932</v>
      </c>
      <c r="K63" s="15">
        <f t="shared" si="22"/>
        <v>4.8089517068302494E-2</v>
      </c>
      <c r="L63" s="367">
        <f t="shared" si="23"/>
        <v>426932</v>
      </c>
      <c r="M63" s="144">
        <f t="shared" si="67"/>
        <v>4.8089517068302494E-2</v>
      </c>
      <c r="N63" s="413">
        <f>[1]南港工場!$L$63</f>
        <v>1005356</v>
      </c>
      <c r="O63" s="15">
        <f t="shared" si="68"/>
        <v>3.5622536382445037E-2</v>
      </c>
      <c r="P63" s="431">
        <f t="shared" si="24"/>
        <v>1005356</v>
      </c>
      <c r="Q63" s="178">
        <f t="shared" si="69"/>
        <v>3.5622536382445037E-2</v>
      </c>
      <c r="R63" s="447">
        <f>[1]南港事務!$L$63</f>
        <v>192808</v>
      </c>
      <c r="S63" s="15" t="str">
        <f t="shared" si="70"/>
        <v/>
      </c>
      <c r="T63" s="431">
        <f t="shared" si="25"/>
        <v>192808</v>
      </c>
      <c r="U63" s="210" t="str">
        <f t="shared" si="71"/>
        <v/>
      </c>
      <c r="V63" s="491">
        <f t="shared" si="26"/>
        <v>1198164</v>
      </c>
      <c r="W63" s="178">
        <f t="shared" si="72"/>
        <v>4.2454255688667376E-2</v>
      </c>
      <c r="X63" s="431">
        <f t="shared" si="27"/>
        <v>1198164</v>
      </c>
      <c r="Y63" s="231">
        <f t="shared" si="73"/>
        <v>4.2454255688667376E-2</v>
      </c>
      <c r="Z63" s="570">
        <f t="shared" si="28"/>
        <v>5013007</v>
      </c>
      <c r="AA63" s="195">
        <f t="shared" si="74"/>
        <v>8.7662532018026231E-3</v>
      </c>
      <c r="AB63" s="567">
        <f t="shared" si="29"/>
        <v>5013007</v>
      </c>
      <c r="AC63" s="143">
        <f t="shared" si="75"/>
        <v>8.7662532018026231E-3</v>
      </c>
      <c r="AD63" s="365">
        <f>[1]東京事務!$L$63</f>
        <v>1356542</v>
      </c>
      <c r="AE63" s="15">
        <f t="shared" si="76"/>
        <v>5.5076550563655209E-3</v>
      </c>
      <c r="AF63" s="367">
        <f t="shared" si="30"/>
        <v>1356542</v>
      </c>
      <c r="AG63" s="86">
        <f t="shared" si="77"/>
        <v>5.5076550563655209E-3</v>
      </c>
      <c r="AH63" s="393">
        <f>[1]東京工場!$L$63</f>
        <v>516450</v>
      </c>
      <c r="AI63" s="178">
        <f t="shared" si="31"/>
        <v>5.2645072112382882E-2</v>
      </c>
      <c r="AJ63" s="557">
        <f t="shared" si="32"/>
        <v>516450</v>
      </c>
      <c r="AK63" s="106">
        <f t="shared" si="63"/>
        <v>5.2645072112382882E-2</v>
      </c>
      <c r="AL63" s="551">
        <f t="shared" si="33"/>
        <v>1872992</v>
      </c>
      <c r="AM63" s="320">
        <f t="shared" si="78"/>
        <v>7.3131975870514947E-3</v>
      </c>
      <c r="AN63" s="538">
        <f t="shared" si="34"/>
        <v>1872992</v>
      </c>
      <c r="AO63" s="143">
        <f t="shared" si="79"/>
        <v>7.3131975870514947E-3</v>
      </c>
      <c r="AP63" s="531">
        <f t="shared" si="35"/>
        <v>0</v>
      </c>
      <c r="AQ63" s="288">
        <f t="shared" si="80"/>
        <v>0</v>
      </c>
      <c r="AR63" s="518">
        <f t="shared" si="36"/>
        <v>0</v>
      </c>
      <c r="AS63" s="289">
        <f t="shared" si="81"/>
        <v>0</v>
      </c>
      <c r="AT63" s="588">
        <f>[1]全社合計!$N$63</f>
        <v>0</v>
      </c>
      <c r="AU63" s="144">
        <f t="shared" si="37"/>
        <v>0</v>
      </c>
      <c r="AV63" s="598">
        <f t="shared" si="38"/>
        <v>0</v>
      </c>
      <c r="AW63" s="145">
        <f t="shared" si="39"/>
        <v>0</v>
      </c>
      <c r="AX63" s="588">
        <f t="shared" si="40"/>
        <v>0</v>
      </c>
      <c r="AY63" s="144" t="str">
        <f t="shared" si="41"/>
        <v/>
      </c>
      <c r="AZ63" s="598">
        <f t="shared" si="42"/>
        <v>0</v>
      </c>
      <c r="BA63" s="145" t="str">
        <f t="shared" si="43"/>
        <v/>
      </c>
      <c r="BB63" s="11"/>
    </row>
    <row r="64" spans="1:54" ht="19.899999999999999" customHeight="1">
      <c r="A64" s="57" t="s">
        <v>50</v>
      </c>
      <c r="B64" s="713">
        <f>+B48+B54-B62-B63</f>
        <v>0</v>
      </c>
      <c r="C64" s="146" t="str">
        <f t="shared" si="64"/>
        <v/>
      </c>
      <c r="D64" s="376">
        <f t="shared" si="1"/>
        <v>0</v>
      </c>
      <c r="E64" s="136" t="str">
        <f t="shared" si="65"/>
        <v/>
      </c>
      <c r="F64" s="375">
        <f>F48+F54-F62-F63</f>
        <v>77505209</v>
      </c>
      <c r="G64" s="56">
        <f t="shared" si="66"/>
        <v>0.14493659069773868</v>
      </c>
      <c r="H64" s="376">
        <f>F64</f>
        <v>77505209</v>
      </c>
      <c r="I64" s="146">
        <f t="shared" si="21"/>
        <v>0.14493659069773868</v>
      </c>
      <c r="J64" s="392">
        <f>J48+J54-J62-J63</f>
        <v>3363693</v>
      </c>
      <c r="K64" s="56">
        <f t="shared" si="22"/>
        <v>0.37888556476448154</v>
      </c>
      <c r="L64" s="376">
        <f t="shared" si="23"/>
        <v>3363693</v>
      </c>
      <c r="M64" s="146">
        <f t="shared" si="67"/>
        <v>0.37888556476448154</v>
      </c>
      <c r="N64" s="412">
        <f>N48+N54-N62-N63</f>
        <v>13864620</v>
      </c>
      <c r="O64" s="56">
        <f t="shared" si="68"/>
        <v>0.49126173253929467</v>
      </c>
      <c r="P64" s="424">
        <f t="shared" si="24"/>
        <v>13864620</v>
      </c>
      <c r="Q64" s="176">
        <f t="shared" si="69"/>
        <v>0.49126173253929467</v>
      </c>
      <c r="R64" s="443">
        <f>R48+R54-R62-R63</f>
        <v>-3580518</v>
      </c>
      <c r="S64" s="56" t="str">
        <f t="shared" si="70"/>
        <v/>
      </c>
      <c r="T64" s="424">
        <f t="shared" si="25"/>
        <v>-3580518</v>
      </c>
      <c r="U64" s="211" t="str">
        <f t="shared" si="71"/>
        <v/>
      </c>
      <c r="V64" s="490">
        <f t="shared" si="26"/>
        <v>10284102</v>
      </c>
      <c r="W64" s="176">
        <f t="shared" si="72"/>
        <v>0.36439410284095958</v>
      </c>
      <c r="X64" s="424">
        <f t="shared" si="27"/>
        <v>10284102</v>
      </c>
      <c r="Y64" s="232">
        <f t="shared" si="73"/>
        <v>0.36439410284095958</v>
      </c>
      <c r="Z64" s="490">
        <f t="shared" si="28"/>
        <v>91153004</v>
      </c>
      <c r="AA64" s="193">
        <f t="shared" si="74"/>
        <v>0.15939940103194097</v>
      </c>
      <c r="AB64" s="424">
        <f t="shared" si="29"/>
        <v>91153004</v>
      </c>
      <c r="AC64" s="185">
        <f t="shared" si="75"/>
        <v>0.15939940103194097</v>
      </c>
      <c r="AD64" s="375">
        <f>AD48+AD54-AD62-AD63</f>
        <v>10902545</v>
      </c>
      <c r="AE64" s="56">
        <f t="shared" si="76"/>
        <v>4.4265092489950648E-2</v>
      </c>
      <c r="AF64" s="376">
        <f t="shared" si="30"/>
        <v>10902545</v>
      </c>
      <c r="AG64" s="87">
        <f t="shared" si="77"/>
        <v>4.4265092489950648E-2</v>
      </c>
      <c r="AH64" s="392">
        <f>AH48+AH54-AH62-AH63</f>
        <v>3214622</v>
      </c>
      <c r="AI64" s="176">
        <f t="shared" si="31"/>
        <v>0.32768710814997093</v>
      </c>
      <c r="AJ64" s="556">
        <f t="shared" si="32"/>
        <v>3214622</v>
      </c>
      <c r="AK64" s="104">
        <f t="shared" si="63"/>
        <v>0.32768710814997093</v>
      </c>
      <c r="AL64" s="545">
        <f t="shared" si="33"/>
        <v>14117167</v>
      </c>
      <c r="AM64" s="321">
        <f t="shared" si="78"/>
        <v>5.5121234709172802E-2</v>
      </c>
      <c r="AN64" s="537">
        <f t="shared" si="34"/>
        <v>14117167</v>
      </c>
      <c r="AO64" s="137">
        <f t="shared" si="79"/>
        <v>5.5121234709172802E-2</v>
      </c>
      <c r="AP64" s="525">
        <f t="shared" si="35"/>
        <v>105270171</v>
      </c>
      <c r="AQ64" s="303">
        <f t="shared" si="80"/>
        <v>0.12714340183521727</v>
      </c>
      <c r="AR64" s="517">
        <f t="shared" si="36"/>
        <v>105270171</v>
      </c>
      <c r="AS64" s="304">
        <f t="shared" si="81"/>
        <v>0.12714340183521727</v>
      </c>
      <c r="AT64" s="582">
        <f>AT48+AT54-AT62-AT63</f>
        <v>92714042</v>
      </c>
      <c r="AU64" s="146">
        <f t="shared" si="37"/>
        <v>9.5867330065036505E-2</v>
      </c>
      <c r="AV64" s="597">
        <f t="shared" si="38"/>
        <v>92714042</v>
      </c>
      <c r="AW64" s="137">
        <f t="shared" si="39"/>
        <v>9.5867330065036505E-2</v>
      </c>
      <c r="AX64" s="582">
        <f t="shared" si="40"/>
        <v>12556129</v>
      </c>
      <c r="AY64" s="146">
        <f t="shared" si="41"/>
        <v>1.1354285578445604</v>
      </c>
      <c r="AZ64" s="597">
        <f t="shared" si="42"/>
        <v>12556129</v>
      </c>
      <c r="BA64" s="137">
        <f t="shared" si="43"/>
        <v>1.1354285578445604</v>
      </c>
      <c r="BB64" s="11"/>
    </row>
    <row r="65" spans="1:54" ht="15.95" customHeight="1">
      <c r="A65" s="39" t="s">
        <v>51</v>
      </c>
      <c r="B65" s="714">
        <f>[1]本部!$L$65</f>
        <v>0</v>
      </c>
      <c r="C65" s="261" t="str">
        <f t="shared" si="64"/>
        <v/>
      </c>
      <c r="D65" s="733">
        <f t="shared" si="1"/>
        <v>0</v>
      </c>
      <c r="E65" s="142" t="str">
        <f t="shared" si="65"/>
        <v/>
      </c>
      <c r="F65" s="368">
        <f>[1]本社営業!$L$65</f>
        <v>0</v>
      </c>
      <c r="G65" s="15">
        <f t="shared" si="66"/>
        <v>0</v>
      </c>
      <c r="H65" s="370">
        <f t="shared" si="20"/>
        <v>0</v>
      </c>
      <c r="I65" s="144">
        <f t="shared" si="21"/>
        <v>0</v>
      </c>
      <c r="J65" s="394">
        <f>[1]東大阪!$L$65</f>
        <v>0</v>
      </c>
      <c r="K65" s="15">
        <f t="shared" si="22"/>
        <v>0</v>
      </c>
      <c r="L65" s="370">
        <f t="shared" si="23"/>
        <v>0</v>
      </c>
      <c r="M65" s="144">
        <f t="shared" si="67"/>
        <v>0</v>
      </c>
      <c r="N65" s="414">
        <f>[1]南港工場!$L$65</f>
        <v>0</v>
      </c>
      <c r="O65" s="15">
        <f t="shared" si="68"/>
        <v>0</v>
      </c>
      <c r="P65" s="432">
        <f t="shared" si="24"/>
        <v>0</v>
      </c>
      <c r="Q65" s="178">
        <f t="shared" si="69"/>
        <v>0</v>
      </c>
      <c r="R65" s="448">
        <f>[1]南港事務!$L$65</f>
        <v>0</v>
      </c>
      <c r="S65" s="15" t="str">
        <f t="shared" si="70"/>
        <v/>
      </c>
      <c r="T65" s="432">
        <f t="shared" si="25"/>
        <v>0</v>
      </c>
      <c r="U65" s="210" t="str">
        <f t="shared" si="71"/>
        <v/>
      </c>
      <c r="V65" s="492">
        <f t="shared" si="26"/>
        <v>0</v>
      </c>
      <c r="W65" s="178">
        <f t="shared" si="72"/>
        <v>0</v>
      </c>
      <c r="X65" s="432">
        <f t="shared" si="27"/>
        <v>0</v>
      </c>
      <c r="Y65" s="231">
        <f t="shared" si="73"/>
        <v>0</v>
      </c>
      <c r="Z65" s="571">
        <f t="shared" si="28"/>
        <v>0</v>
      </c>
      <c r="AA65" s="195">
        <f t="shared" si="74"/>
        <v>0</v>
      </c>
      <c r="AB65" s="568">
        <f t="shared" si="29"/>
        <v>0</v>
      </c>
      <c r="AC65" s="143">
        <f t="shared" si="75"/>
        <v>0</v>
      </c>
      <c r="AD65" s="368">
        <f>[1]東京事務!$L$65</f>
        <v>0</v>
      </c>
      <c r="AE65" s="15">
        <f t="shared" si="76"/>
        <v>0</v>
      </c>
      <c r="AF65" s="370">
        <f t="shared" si="30"/>
        <v>0</v>
      </c>
      <c r="AG65" s="86">
        <f t="shared" si="77"/>
        <v>0</v>
      </c>
      <c r="AH65" s="394">
        <f>[1]東京工場!$L$65</f>
        <v>0</v>
      </c>
      <c r="AI65" s="178">
        <f t="shared" si="31"/>
        <v>0</v>
      </c>
      <c r="AJ65" s="432">
        <f t="shared" si="32"/>
        <v>0</v>
      </c>
      <c r="AK65" s="106">
        <f t="shared" si="63"/>
        <v>0</v>
      </c>
      <c r="AL65" s="552">
        <f t="shared" si="33"/>
        <v>0</v>
      </c>
      <c r="AM65" s="320">
        <f t="shared" si="78"/>
        <v>0</v>
      </c>
      <c r="AN65" s="539">
        <f t="shared" si="34"/>
        <v>0</v>
      </c>
      <c r="AO65" s="143">
        <f t="shared" si="79"/>
        <v>0</v>
      </c>
      <c r="AP65" s="532">
        <f t="shared" si="35"/>
        <v>0</v>
      </c>
      <c r="AQ65" s="288">
        <f t="shared" si="80"/>
        <v>0</v>
      </c>
      <c r="AR65" s="519">
        <f t="shared" si="36"/>
        <v>0</v>
      </c>
      <c r="AS65" s="289">
        <f t="shared" si="81"/>
        <v>0</v>
      </c>
      <c r="AT65" s="589">
        <f>[1]全社合計!$N$65</f>
        <v>0</v>
      </c>
      <c r="AU65" s="144">
        <f t="shared" si="37"/>
        <v>0</v>
      </c>
      <c r="AV65" s="599">
        <f t="shared" si="38"/>
        <v>0</v>
      </c>
      <c r="AW65" s="145">
        <f t="shared" si="39"/>
        <v>0</v>
      </c>
      <c r="AX65" s="589">
        <f t="shared" si="40"/>
        <v>0</v>
      </c>
      <c r="AY65" s="144" t="str">
        <f t="shared" si="41"/>
        <v/>
      </c>
      <c r="AZ65" s="599">
        <f t="shared" si="42"/>
        <v>0</v>
      </c>
      <c r="BA65" s="145" t="str">
        <f t="shared" si="43"/>
        <v/>
      </c>
      <c r="BB65" s="11"/>
    </row>
    <row r="66" spans="1:54" ht="15.95" customHeight="1">
      <c r="A66" s="40" t="s">
        <v>52</v>
      </c>
      <c r="B66" s="715">
        <f>[1]本部!$L$66</f>
        <v>0</v>
      </c>
      <c r="C66" s="262" t="str">
        <f t="shared" si="64"/>
        <v/>
      </c>
      <c r="D66" s="734">
        <f t="shared" si="1"/>
        <v>0</v>
      </c>
      <c r="E66" s="147" t="str">
        <f t="shared" si="65"/>
        <v/>
      </c>
      <c r="F66" s="369">
        <f>[1]本社営業!$L$66</f>
        <v>0</v>
      </c>
      <c r="G66" s="16">
        <f t="shared" si="66"/>
        <v>0</v>
      </c>
      <c r="H66" s="371">
        <f t="shared" si="20"/>
        <v>0</v>
      </c>
      <c r="I66" s="149">
        <f t="shared" si="21"/>
        <v>0</v>
      </c>
      <c r="J66" s="395">
        <f>[1]東大阪!$L$66</f>
        <v>0</v>
      </c>
      <c r="K66" s="16">
        <f t="shared" si="22"/>
        <v>0</v>
      </c>
      <c r="L66" s="371">
        <f t="shared" si="23"/>
        <v>0</v>
      </c>
      <c r="M66" s="149">
        <f t="shared" si="67"/>
        <v>0</v>
      </c>
      <c r="N66" s="415">
        <f>[1]南港工場!$L$66</f>
        <v>0</v>
      </c>
      <c r="O66" s="16">
        <f t="shared" si="68"/>
        <v>0</v>
      </c>
      <c r="P66" s="433">
        <f t="shared" si="24"/>
        <v>0</v>
      </c>
      <c r="Q66" s="179">
        <f t="shared" si="69"/>
        <v>0</v>
      </c>
      <c r="R66" s="449">
        <f>[1]南港事務!$L$66</f>
        <v>0</v>
      </c>
      <c r="S66" s="16" t="str">
        <f t="shared" si="70"/>
        <v/>
      </c>
      <c r="T66" s="433">
        <f t="shared" si="25"/>
        <v>0</v>
      </c>
      <c r="U66" s="212" t="str">
        <f t="shared" si="71"/>
        <v/>
      </c>
      <c r="V66" s="493">
        <f t="shared" si="26"/>
        <v>0</v>
      </c>
      <c r="W66" s="179">
        <f t="shared" si="72"/>
        <v>0</v>
      </c>
      <c r="X66" s="433">
        <f t="shared" si="27"/>
        <v>0</v>
      </c>
      <c r="Y66" s="233">
        <f t="shared" si="73"/>
        <v>0</v>
      </c>
      <c r="Z66" s="572">
        <f t="shared" si="28"/>
        <v>0</v>
      </c>
      <c r="AA66" s="196">
        <f t="shared" si="74"/>
        <v>0</v>
      </c>
      <c r="AB66" s="569">
        <f t="shared" si="29"/>
        <v>0</v>
      </c>
      <c r="AC66" s="148">
        <f t="shared" si="75"/>
        <v>0</v>
      </c>
      <c r="AD66" s="369">
        <f>[1]東京事務!$L$66</f>
        <v>0</v>
      </c>
      <c r="AE66" s="16">
        <f t="shared" si="76"/>
        <v>0</v>
      </c>
      <c r="AF66" s="371">
        <f t="shared" si="30"/>
        <v>0</v>
      </c>
      <c r="AG66" s="88">
        <f t="shared" si="77"/>
        <v>0</v>
      </c>
      <c r="AH66" s="395">
        <f>[1]東京工場!$L$66</f>
        <v>0</v>
      </c>
      <c r="AI66" s="179">
        <f t="shared" si="31"/>
        <v>0</v>
      </c>
      <c r="AJ66" s="433">
        <f t="shared" si="32"/>
        <v>0</v>
      </c>
      <c r="AK66" s="107">
        <f t="shared" si="63"/>
        <v>0</v>
      </c>
      <c r="AL66" s="553">
        <f t="shared" si="33"/>
        <v>0</v>
      </c>
      <c r="AM66" s="322">
        <f t="shared" si="78"/>
        <v>0</v>
      </c>
      <c r="AN66" s="540">
        <f t="shared" si="34"/>
        <v>0</v>
      </c>
      <c r="AO66" s="148">
        <f t="shared" si="79"/>
        <v>0</v>
      </c>
      <c r="AP66" s="533">
        <f t="shared" si="35"/>
        <v>0</v>
      </c>
      <c r="AQ66" s="290">
        <f t="shared" si="80"/>
        <v>0</v>
      </c>
      <c r="AR66" s="520">
        <f t="shared" si="36"/>
        <v>0</v>
      </c>
      <c r="AS66" s="291">
        <f t="shared" si="81"/>
        <v>0</v>
      </c>
      <c r="AT66" s="590">
        <f>[1]全社合計!$N$66</f>
        <v>0</v>
      </c>
      <c r="AU66" s="149">
        <f t="shared" si="37"/>
        <v>0</v>
      </c>
      <c r="AV66" s="600">
        <f t="shared" si="38"/>
        <v>0</v>
      </c>
      <c r="AW66" s="150">
        <f t="shared" si="39"/>
        <v>0</v>
      </c>
      <c r="AX66" s="590">
        <f t="shared" si="40"/>
        <v>0</v>
      </c>
      <c r="AY66" s="149" t="str">
        <f t="shared" si="41"/>
        <v/>
      </c>
      <c r="AZ66" s="600">
        <f t="shared" si="42"/>
        <v>0</v>
      </c>
      <c r="BA66" s="150" t="str">
        <f t="shared" si="43"/>
        <v/>
      </c>
      <c r="BB66" s="11"/>
    </row>
    <row r="67" spans="1:54" ht="18" customHeight="1">
      <c r="A67" s="68" t="s">
        <v>60</v>
      </c>
      <c r="B67" s="716">
        <f>+B64+B65-B66</f>
        <v>0</v>
      </c>
      <c r="C67" s="152" t="str">
        <f t="shared" si="64"/>
        <v/>
      </c>
      <c r="D67" s="377">
        <f t="shared" si="1"/>
        <v>0</v>
      </c>
      <c r="E67" s="218" t="str">
        <f t="shared" si="65"/>
        <v/>
      </c>
      <c r="F67" s="372">
        <f>F64+F65-F66</f>
        <v>77505209</v>
      </c>
      <c r="G67" s="69">
        <f t="shared" si="66"/>
        <v>0.14493659069773868</v>
      </c>
      <c r="H67" s="377">
        <f t="shared" si="20"/>
        <v>77505209</v>
      </c>
      <c r="I67" s="152">
        <f t="shared" si="21"/>
        <v>0.14493659069773868</v>
      </c>
      <c r="J67" s="396">
        <f>J64+J65-J66</f>
        <v>3363693</v>
      </c>
      <c r="K67" s="69">
        <f t="shared" si="22"/>
        <v>0.37888556476448154</v>
      </c>
      <c r="L67" s="377">
        <f t="shared" si="23"/>
        <v>3363693</v>
      </c>
      <c r="M67" s="152">
        <f t="shared" si="67"/>
        <v>0.37888556476448154</v>
      </c>
      <c r="N67" s="416">
        <f>N64+N65-N66</f>
        <v>13864620</v>
      </c>
      <c r="O67" s="69">
        <f t="shared" si="68"/>
        <v>0.49126173253929467</v>
      </c>
      <c r="P67" s="434">
        <f t="shared" si="24"/>
        <v>13864620</v>
      </c>
      <c r="Q67" s="180">
        <f t="shared" si="69"/>
        <v>0.49126173253929467</v>
      </c>
      <c r="R67" s="450">
        <f>R64+R65-R66</f>
        <v>-3580518</v>
      </c>
      <c r="S67" s="69" t="str">
        <f t="shared" si="70"/>
        <v/>
      </c>
      <c r="T67" s="434">
        <f t="shared" si="25"/>
        <v>-3580518</v>
      </c>
      <c r="U67" s="213" t="str">
        <f t="shared" si="71"/>
        <v/>
      </c>
      <c r="V67" s="494">
        <f t="shared" si="26"/>
        <v>10284102</v>
      </c>
      <c r="W67" s="180">
        <f t="shared" si="72"/>
        <v>0.36439410284095958</v>
      </c>
      <c r="X67" s="434">
        <f t="shared" si="27"/>
        <v>10284102</v>
      </c>
      <c r="Y67" s="234">
        <f t="shared" si="73"/>
        <v>0.36439410284095958</v>
      </c>
      <c r="Z67" s="494">
        <f t="shared" si="28"/>
        <v>91153004</v>
      </c>
      <c r="AA67" s="197">
        <f t="shared" si="74"/>
        <v>0.15939940103194097</v>
      </c>
      <c r="AB67" s="434">
        <f t="shared" si="29"/>
        <v>91153004</v>
      </c>
      <c r="AC67" s="186">
        <f t="shared" si="75"/>
        <v>0.15939940103194097</v>
      </c>
      <c r="AD67" s="372">
        <f>AD64+AD65-AD66</f>
        <v>10902545</v>
      </c>
      <c r="AE67" s="69">
        <f t="shared" si="76"/>
        <v>4.4265092489950648E-2</v>
      </c>
      <c r="AF67" s="377">
        <f t="shared" si="30"/>
        <v>10902545</v>
      </c>
      <c r="AG67" s="89">
        <f t="shared" si="77"/>
        <v>4.4265092489950648E-2</v>
      </c>
      <c r="AH67" s="396">
        <f>AH64+AH65-AH66</f>
        <v>3214622</v>
      </c>
      <c r="AI67" s="180">
        <f t="shared" si="31"/>
        <v>0.32768710814997093</v>
      </c>
      <c r="AJ67" s="558">
        <f t="shared" si="32"/>
        <v>3214622</v>
      </c>
      <c r="AK67" s="108">
        <f t="shared" si="63"/>
        <v>0.32768710814997093</v>
      </c>
      <c r="AL67" s="554">
        <f t="shared" si="33"/>
        <v>14117167</v>
      </c>
      <c r="AM67" s="323">
        <f t="shared" si="78"/>
        <v>5.5121234709172802E-2</v>
      </c>
      <c r="AN67" s="541">
        <f t="shared" si="34"/>
        <v>14117167</v>
      </c>
      <c r="AO67" s="151">
        <f t="shared" si="79"/>
        <v>5.5121234709172802E-2</v>
      </c>
      <c r="AP67" s="534">
        <f t="shared" si="35"/>
        <v>105270171</v>
      </c>
      <c r="AQ67" s="152">
        <f t="shared" si="80"/>
        <v>0.12714340183521727</v>
      </c>
      <c r="AR67" s="521">
        <f t="shared" si="36"/>
        <v>105270171</v>
      </c>
      <c r="AS67" s="151">
        <f t="shared" si="81"/>
        <v>0.12714340183521727</v>
      </c>
      <c r="AT67" s="534">
        <f>AT64+AT65-AT66</f>
        <v>92714042</v>
      </c>
      <c r="AU67" s="152">
        <f t="shared" si="37"/>
        <v>9.5867330065036505E-2</v>
      </c>
      <c r="AV67" s="601">
        <f t="shared" si="38"/>
        <v>92714042</v>
      </c>
      <c r="AW67" s="151">
        <f t="shared" si="39"/>
        <v>9.5867330065036505E-2</v>
      </c>
      <c r="AX67" s="534">
        <f t="shared" si="40"/>
        <v>12556129</v>
      </c>
      <c r="AY67" s="152">
        <f t="shared" si="41"/>
        <v>1.1354285578445604</v>
      </c>
      <c r="AZ67" s="601">
        <f t="shared" si="42"/>
        <v>12556129</v>
      </c>
      <c r="BA67" s="151">
        <f t="shared" si="43"/>
        <v>1.1354285578445604</v>
      </c>
      <c r="BB67" s="11"/>
    </row>
    <row r="68" spans="1:54" ht="18" customHeight="1">
      <c r="A68" s="70" t="s">
        <v>61</v>
      </c>
      <c r="B68" s="717"/>
      <c r="C68" s="155" t="str">
        <f t="shared" si="64"/>
        <v/>
      </c>
      <c r="D68" s="378">
        <f t="shared" si="1"/>
        <v>0</v>
      </c>
      <c r="E68" s="153" t="str">
        <f t="shared" si="65"/>
        <v/>
      </c>
      <c r="F68" s="373"/>
      <c r="G68" s="71">
        <f t="shared" si="66"/>
        <v>0</v>
      </c>
      <c r="H68" s="378">
        <f t="shared" si="20"/>
        <v>0</v>
      </c>
      <c r="I68" s="155">
        <f t="shared" si="21"/>
        <v>0</v>
      </c>
      <c r="J68" s="397"/>
      <c r="K68" s="71">
        <f t="shared" si="22"/>
        <v>0</v>
      </c>
      <c r="L68" s="378">
        <f t="shared" si="23"/>
        <v>0</v>
      </c>
      <c r="M68" s="155">
        <f t="shared" si="67"/>
        <v>0</v>
      </c>
      <c r="N68" s="417"/>
      <c r="O68" s="71">
        <f t="shared" si="68"/>
        <v>0</v>
      </c>
      <c r="P68" s="435">
        <f t="shared" si="24"/>
        <v>0</v>
      </c>
      <c r="Q68" s="181">
        <f t="shared" si="69"/>
        <v>0</v>
      </c>
      <c r="R68" s="451"/>
      <c r="S68" s="71" t="str">
        <f t="shared" si="70"/>
        <v/>
      </c>
      <c r="T68" s="435">
        <f t="shared" si="25"/>
        <v>0</v>
      </c>
      <c r="U68" s="214" t="str">
        <f t="shared" si="71"/>
        <v/>
      </c>
      <c r="V68" s="495">
        <f t="shared" si="26"/>
        <v>0</v>
      </c>
      <c r="W68" s="181">
        <f t="shared" si="72"/>
        <v>0</v>
      </c>
      <c r="X68" s="435">
        <f t="shared" si="27"/>
        <v>0</v>
      </c>
      <c r="Y68" s="235">
        <f t="shared" si="73"/>
        <v>0</v>
      </c>
      <c r="Z68" s="495">
        <f t="shared" si="28"/>
        <v>0</v>
      </c>
      <c r="AA68" s="198">
        <f t="shared" si="74"/>
        <v>0</v>
      </c>
      <c r="AB68" s="435">
        <f t="shared" si="29"/>
        <v>0</v>
      </c>
      <c r="AC68" s="154">
        <f t="shared" si="75"/>
        <v>0</v>
      </c>
      <c r="AD68" s="373"/>
      <c r="AE68" s="71">
        <f t="shared" si="76"/>
        <v>0</v>
      </c>
      <c r="AF68" s="378">
        <f t="shared" si="30"/>
        <v>0</v>
      </c>
      <c r="AG68" s="90">
        <f t="shared" si="77"/>
        <v>0</v>
      </c>
      <c r="AH68" s="561"/>
      <c r="AI68" s="181">
        <f t="shared" si="31"/>
        <v>0</v>
      </c>
      <c r="AJ68" s="435">
        <f t="shared" si="32"/>
        <v>0</v>
      </c>
      <c r="AK68" s="109">
        <f t="shared" si="63"/>
        <v>0</v>
      </c>
      <c r="AL68" s="555">
        <f t="shared" si="33"/>
        <v>0</v>
      </c>
      <c r="AM68" s="324"/>
      <c r="AN68" s="542">
        <f t="shared" si="34"/>
        <v>0</v>
      </c>
      <c r="AO68" s="154">
        <f t="shared" si="79"/>
        <v>0</v>
      </c>
      <c r="AP68" s="535">
        <f t="shared" si="35"/>
        <v>0</v>
      </c>
      <c r="AQ68" s="293">
        <f t="shared" si="80"/>
        <v>0</v>
      </c>
      <c r="AR68" s="522">
        <f t="shared" si="36"/>
        <v>0</v>
      </c>
      <c r="AS68" s="292">
        <f t="shared" si="81"/>
        <v>0</v>
      </c>
      <c r="AT68" s="591"/>
      <c r="AU68" s="155">
        <f t="shared" si="37"/>
        <v>0</v>
      </c>
      <c r="AV68" s="602">
        <f t="shared" si="38"/>
        <v>0</v>
      </c>
      <c r="AW68" s="154">
        <f t="shared" si="39"/>
        <v>0</v>
      </c>
      <c r="AX68" s="591">
        <f t="shared" si="40"/>
        <v>0</v>
      </c>
      <c r="AY68" s="155" t="str">
        <f t="shared" si="41"/>
        <v/>
      </c>
      <c r="AZ68" s="602">
        <f t="shared" si="42"/>
        <v>0</v>
      </c>
      <c r="BA68" s="154" t="str">
        <f t="shared" si="43"/>
        <v/>
      </c>
      <c r="BB68" s="11"/>
    </row>
    <row r="69" spans="1:54" ht="18" customHeight="1">
      <c r="A69" s="58" t="s">
        <v>62</v>
      </c>
      <c r="B69" s="718">
        <f>+B67-B68</f>
        <v>0</v>
      </c>
      <c r="C69" s="157" t="str">
        <f t="shared" si="64"/>
        <v/>
      </c>
      <c r="D69" s="376">
        <f t="shared" si="1"/>
        <v>0</v>
      </c>
      <c r="E69" s="219" t="str">
        <f t="shared" si="65"/>
        <v/>
      </c>
      <c r="F69" s="374">
        <f>F67-F68</f>
        <v>77505209</v>
      </c>
      <c r="G69" s="59">
        <f t="shared" si="66"/>
        <v>0.14493659069773868</v>
      </c>
      <c r="H69" s="376">
        <f t="shared" si="20"/>
        <v>77505209</v>
      </c>
      <c r="I69" s="157">
        <f t="shared" si="21"/>
        <v>0.14493659069773868</v>
      </c>
      <c r="J69" s="398">
        <f>J67-J68</f>
        <v>3363693</v>
      </c>
      <c r="K69" s="59">
        <f t="shared" si="22"/>
        <v>0.37888556476448154</v>
      </c>
      <c r="L69" s="376">
        <f t="shared" si="23"/>
        <v>3363693</v>
      </c>
      <c r="M69" s="157">
        <f t="shared" si="67"/>
        <v>0.37888556476448154</v>
      </c>
      <c r="N69" s="418">
        <f>N67-N68</f>
        <v>13864620</v>
      </c>
      <c r="O69" s="59">
        <f t="shared" si="68"/>
        <v>0.49126173253929467</v>
      </c>
      <c r="P69" s="424">
        <f t="shared" si="24"/>
        <v>13864620</v>
      </c>
      <c r="Q69" s="182">
        <f t="shared" si="69"/>
        <v>0.49126173253929467</v>
      </c>
      <c r="R69" s="443">
        <f>R67-R68</f>
        <v>-3580518</v>
      </c>
      <c r="S69" s="59" t="str">
        <f t="shared" si="70"/>
        <v/>
      </c>
      <c r="T69" s="424">
        <f t="shared" si="25"/>
        <v>-3580518</v>
      </c>
      <c r="U69" s="215" t="str">
        <f t="shared" si="71"/>
        <v/>
      </c>
      <c r="V69" s="496">
        <f t="shared" si="26"/>
        <v>10284102</v>
      </c>
      <c r="W69" s="182">
        <f t="shared" si="72"/>
        <v>0.36439410284095958</v>
      </c>
      <c r="X69" s="424">
        <f t="shared" si="27"/>
        <v>10284102</v>
      </c>
      <c r="Y69" s="236">
        <f t="shared" si="73"/>
        <v>0.36439410284095958</v>
      </c>
      <c r="Z69" s="490">
        <f t="shared" si="28"/>
        <v>91153004</v>
      </c>
      <c r="AA69" s="199">
        <f t="shared" si="74"/>
        <v>0.15939940103194097</v>
      </c>
      <c r="AB69" s="424">
        <f t="shared" si="29"/>
        <v>91153004</v>
      </c>
      <c r="AC69" s="187">
        <f t="shared" si="75"/>
        <v>0.15939940103194097</v>
      </c>
      <c r="AD69" s="374">
        <f>AD67-AD68</f>
        <v>10902545</v>
      </c>
      <c r="AE69" s="59">
        <f t="shared" si="76"/>
        <v>4.4265092489950648E-2</v>
      </c>
      <c r="AF69" s="376">
        <f t="shared" si="30"/>
        <v>10902545</v>
      </c>
      <c r="AG69" s="91">
        <f t="shared" si="77"/>
        <v>4.4265092489950648E-2</v>
      </c>
      <c r="AH69" s="398">
        <f>+AH67-AH68</f>
        <v>3214622</v>
      </c>
      <c r="AI69" s="182">
        <f t="shared" si="31"/>
        <v>0.32768710814997093</v>
      </c>
      <c r="AJ69" s="559">
        <f t="shared" si="32"/>
        <v>3214622</v>
      </c>
      <c r="AK69" s="110">
        <f t="shared" si="63"/>
        <v>0.32768710814997093</v>
      </c>
      <c r="AL69" s="545">
        <f t="shared" si="33"/>
        <v>14117167</v>
      </c>
      <c r="AM69" s="325"/>
      <c r="AN69" s="543">
        <f t="shared" si="34"/>
        <v>14117167</v>
      </c>
      <c r="AO69" s="156">
        <f t="shared" si="79"/>
        <v>5.5121234709172802E-2</v>
      </c>
      <c r="AP69" s="525">
        <f t="shared" si="35"/>
        <v>105270171</v>
      </c>
      <c r="AQ69" s="152">
        <f t="shared" si="80"/>
        <v>0.12714340183521727</v>
      </c>
      <c r="AR69" s="523">
        <f t="shared" si="36"/>
        <v>105270171</v>
      </c>
      <c r="AS69" s="151">
        <f t="shared" si="81"/>
        <v>0.12714340183521727</v>
      </c>
      <c r="AT69" s="582">
        <f>AT67-AT68</f>
        <v>92714042</v>
      </c>
      <c r="AU69" s="157">
        <f t="shared" si="37"/>
        <v>9.5867330065036505E-2</v>
      </c>
      <c r="AV69" s="603">
        <f t="shared" si="38"/>
        <v>92714042</v>
      </c>
      <c r="AW69" s="156">
        <f t="shared" si="39"/>
        <v>9.5867330065036505E-2</v>
      </c>
      <c r="AX69" s="582">
        <f t="shared" si="40"/>
        <v>12556129</v>
      </c>
      <c r="AY69" s="157">
        <f t="shared" si="41"/>
        <v>1.1354285578445604</v>
      </c>
      <c r="AZ69" s="603">
        <f t="shared" si="42"/>
        <v>12556129</v>
      </c>
      <c r="BA69" s="156">
        <f t="shared" si="43"/>
        <v>1.1354285578445604</v>
      </c>
      <c r="BB69" s="11"/>
    </row>
    <row r="70" spans="1:54" ht="15.95" customHeight="1" thickBot="1">
      <c r="A70" s="41" t="s">
        <v>84</v>
      </c>
      <c r="B70" s="263">
        <f>[1]本部!$L$68</f>
        <v>6</v>
      </c>
      <c r="C70" s="264"/>
      <c r="D70" s="248">
        <f t="shared" si="1"/>
        <v>6</v>
      </c>
      <c r="E70" s="46"/>
      <c r="F70" s="28">
        <f>[1]本社営業!$L$68</f>
        <v>19</v>
      </c>
      <c r="G70" s="19"/>
      <c r="H70" s="249">
        <f t="shared" si="20"/>
        <v>19</v>
      </c>
      <c r="I70" s="20"/>
      <c r="J70" s="31">
        <f>[1]東大阪!$L$68</f>
        <v>15</v>
      </c>
      <c r="K70" s="19"/>
      <c r="L70" s="249">
        <f t="shared" si="23"/>
        <v>15</v>
      </c>
      <c r="M70" s="20"/>
      <c r="N70" s="237">
        <f>[1]南港工場!$L$68</f>
        <v>17</v>
      </c>
      <c r="O70" s="19"/>
      <c r="P70" s="250">
        <f t="shared" si="24"/>
        <v>17</v>
      </c>
      <c r="Q70" s="246"/>
      <c r="R70" s="247">
        <f>[1]南港事務!$L$68</f>
        <v>6</v>
      </c>
      <c r="S70" s="19"/>
      <c r="T70" s="250">
        <f t="shared" si="25"/>
        <v>6</v>
      </c>
      <c r="U70" s="73"/>
      <c r="V70" s="18">
        <f t="shared" si="26"/>
        <v>23</v>
      </c>
      <c r="W70" s="19"/>
      <c r="X70" s="250">
        <f t="shared" si="27"/>
        <v>23</v>
      </c>
      <c r="Y70" s="238"/>
      <c r="Z70" s="53">
        <f t="shared" si="28"/>
        <v>57</v>
      </c>
      <c r="AA70" s="75"/>
      <c r="AB70" s="251">
        <f t="shared" si="29"/>
        <v>57</v>
      </c>
      <c r="AC70" s="333"/>
      <c r="AD70" s="28">
        <f>[1]東京事務!$L$68</f>
        <v>8</v>
      </c>
      <c r="AE70" s="19"/>
      <c r="AF70" s="249">
        <f t="shared" si="30"/>
        <v>8</v>
      </c>
      <c r="AG70" s="32"/>
      <c r="AH70" s="31">
        <f>[1]東京工場!$L$68</f>
        <v>12</v>
      </c>
      <c r="AI70" s="19"/>
      <c r="AJ70" s="250">
        <f t="shared" si="32"/>
        <v>12</v>
      </c>
      <c r="AK70" s="45"/>
      <c r="AL70" s="48">
        <f t="shared" si="33"/>
        <v>20</v>
      </c>
      <c r="AM70" s="326"/>
      <c r="AN70" s="252">
        <f t="shared" si="34"/>
        <v>20</v>
      </c>
      <c r="AO70" s="54"/>
      <c r="AP70" s="294">
        <f t="shared" si="35"/>
        <v>83</v>
      </c>
      <c r="AQ70" s="295"/>
      <c r="AR70" s="296">
        <f t="shared" si="36"/>
        <v>83</v>
      </c>
      <c r="AS70" s="297"/>
      <c r="AT70" s="17">
        <f>[1]全社合計!$N$68</f>
        <v>78</v>
      </c>
      <c r="AU70" s="20"/>
      <c r="AV70" s="257">
        <f t="shared" si="38"/>
        <v>78</v>
      </c>
      <c r="AW70" s="34"/>
      <c r="AX70" s="17">
        <f t="shared" si="40"/>
        <v>5</v>
      </c>
      <c r="AY70" s="311"/>
      <c r="AZ70" s="257">
        <f t="shared" si="42"/>
        <v>5</v>
      </c>
      <c r="BA70" s="34"/>
      <c r="BB70" s="11"/>
    </row>
    <row r="71" spans="1:54" ht="16.149999999999999" customHeight="1" thickTop="1">
      <c r="A71" s="42" t="s">
        <v>63</v>
      </c>
      <c r="B71" s="705">
        <f>[1]本部!$L$71</f>
        <v>850000</v>
      </c>
      <c r="C71" s="265" t="str">
        <f t="shared" ref="C71:C79" si="82">IF(ISERR(B71/$B$11),"",B71/$B$11)</f>
        <v/>
      </c>
      <c r="D71" s="725">
        <f t="shared" si="1"/>
        <v>850000</v>
      </c>
      <c r="E71" s="158" t="str">
        <f t="shared" ref="E71:E76" si="83">IF(ISERR(D72/$D$11),"",D72/$D$11)</f>
        <v/>
      </c>
      <c r="F71" s="379">
        <f>[1]本社営業!$L$71</f>
        <v>2050000</v>
      </c>
      <c r="G71" s="307">
        <f t="shared" ref="G71:G78" si="84">IF(ISERR(F71/$F$11),"",F71/$F$11)</f>
        <v>3.8335489286967063E-3</v>
      </c>
      <c r="H71" s="360">
        <f t="shared" si="20"/>
        <v>2050000</v>
      </c>
      <c r="I71" s="160">
        <f t="shared" si="21"/>
        <v>3.8335489286967063E-3</v>
      </c>
      <c r="J71" s="399">
        <f>[1]東大阪!$L$71</f>
        <v>750000</v>
      </c>
      <c r="K71" s="308">
        <f t="shared" si="22"/>
        <v>8.4479818334598653E-2</v>
      </c>
      <c r="L71" s="360">
        <f t="shared" si="23"/>
        <v>750000</v>
      </c>
      <c r="M71" s="160">
        <f t="shared" ref="M71:M79" si="85">IF(ISERR(L71/$L$11),"",L71/$L$11)</f>
        <v>8.4479818334598653E-2</v>
      </c>
      <c r="N71" s="419">
        <f>[1]南港工場!$L$71</f>
        <v>1550000</v>
      </c>
      <c r="O71" s="79">
        <f t="shared" ref="O71:O78" si="86">IF(ISERR(N71/$N$11),"",N71/$N$11)</f>
        <v>5.4920775718043963E-2</v>
      </c>
      <c r="P71" s="421">
        <f t="shared" si="24"/>
        <v>1550000</v>
      </c>
      <c r="Q71" s="169">
        <f t="shared" ref="Q71:Q79" si="87">IF(ISERR(P71/$P$11),"",P71/$P$11)</f>
        <v>5.4920775718043963E-2</v>
      </c>
      <c r="R71" s="452">
        <f>[1]南港事務!$L$71</f>
        <v>520000</v>
      </c>
      <c r="S71" s="21" t="str">
        <f t="shared" ref="S71:S78" si="88">IF(ISERR(R71/$R$11),"",R71/$R$11)</f>
        <v/>
      </c>
      <c r="T71" s="421">
        <f t="shared" si="25"/>
        <v>520000</v>
      </c>
      <c r="U71" s="216" t="str">
        <f t="shared" ref="U71:U79" si="89">IF(ISERR(T71/$T$11),"",T71/$T$11)</f>
        <v/>
      </c>
      <c r="V71" s="497">
        <f t="shared" si="26"/>
        <v>2070000</v>
      </c>
      <c r="W71" s="21">
        <f t="shared" ref="W71:W78" si="90">IF(ISERR(V71/$V$11),"",V71/$V$11)</f>
        <v>7.3345810152484522E-2</v>
      </c>
      <c r="X71" s="421">
        <f t="shared" si="27"/>
        <v>2070000</v>
      </c>
      <c r="Y71" s="239">
        <f t="shared" ref="Y71:Y79" si="91">IF(ISERR(X71/$X$11),"",X71/$X$11)</f>
        <v>7.3345810152484522E-2</v>
      </c>
      <c r="Z71" s="500">
        <f t="shared" si="28"/>
        <v>4870000</v>
      </c>
      <c r="AA71" s="200">
        <f t="shared" ref="AA71:AA78" si="92">IF(ISERR(Z71/$Z$11),"",Z71/$Z$11)</f>
        <v>8.5161766366531663E-3</v>
      </c>
      <c r="AB71" s="502">
        <f t="shared" si="29"/>
        <v>4870000</v>
      </c>
      <c r="AC71" s="334">
        <f t="shared" ref="AC71:AC79" si="93">IF(ISERR(AB71/$AB$11),"",AB71/$AB$11)</f>
        <v>8.5161766366531663E-3</v>
      </c>
      <c r="AD71" s="379">
        <f>[1]東京事務!$L$71</f>
        <v>750000</v>
      </c>
      <c r="AE71" s="22">
        <f t="shared" ref="AE71:AE79" si="94">IF(ISERR(AD71/$AD$11),"",AD71/$AD$11)</f>
        <v>3.0450522669214376E-3</v>
      </c>
      <c r="AF71" s="360">
        <f t="shared" si="30"/>
        <v>750000</v>
      </c>
      <c r="AG71" s="92">
        <f t="shared" ref="AG71:AG79" si="95">IF(ISERR(AF71/$AF$11),"",AF71/$AF$11)</f>
        <v>3.0450522669214376E-3</v>
      </c>
      <c r="AH71" s="399">
        <f>[1]東京工場!$L$71</f>
        <v>920000</v>
      </c>
      <c r="AI71" s="183">
        <f t="shared" si="31"/>
        <v>9.3781520657163817E-2</v>
      </c>
      <c r="AJ71" s="504">
        <f t="shared" si="32"/>
        <v>920000</v>
      </c>
      <c r="AK71" s="111">
        <f t="shared" si="63"/>
        <v>9.3781520657163817E-2</v>
      </c>
      <c r="AL71" s="506">
        <f t="shared" si="33"/>
        <v>1670000</v>
      </c>
      <c r="AM71" s="327">
        <f t="shared" ref="AM71:AM79" si="96">IF(ISERR(AL71/$AL$11),"",AL71/AL$11)</f>
        <v>6.5206044501930583E-3</v>
      </c>
      <c r="AN71" s="508">
        <f t="shared" si="34"/>
        <v>1670000</v>
      </c>
      <c r="AO71" s="159">
        <f t="shared" ref="AO71:AO78" si="97">IF(ISERR(AN71/$AN$11),"",AN71/$AN$11)</f>
        <v>6.5206044501930583E-3</v>
      </c>
      <c r="AP71" s="511">
        <f t="shared" si="35"/>
        <v>7390000</v>
      </c>
      <c r="AQ71" s="298">
        <f t="shared" ref="AQ71:AQ79" si="98">IF(ISERR(AP71/$AP$11),"",AP71/$AP$11)</f>
        <v>8.9255078683424544E-3</v>
      </c>
      <c r="AR71" s="513">
        <f t="shared" si="36"/>
        <v>7390000</v>
      </c>
      <c r="AS71" s="310">
        <f t="shared" ref="AS71:AS78" si="99">IF(ISERR(AR71/$AR$11),"",AR71/$AR$11)</f>
        <v>8.9255078683424544E-3</v>
      </c>
      <c r="AT71" s="592">
        <f>[1]全社合計!$N$71</f>
        <v>7095000</v>
      </c>
      <c r="AU71" s="160">
        <f t="shared" si="37"/>
        <v>7.3363073396307543E-3</v>
      </c>
      <c r="AV71" s="594">
        <f t="shared" si="38"/>
        <v>7095000</v>
      </c>
      <c r="AW71" s="306">
        <f t="shared" si="39"/>
        <v>7.3363073396307543E-3</v>
      </c>
      <c r="AX71" s="592">
        <f t="shared" si="40"/>
        <v>295000</v>
      </c>
      <c r="AY71" s="160">
        <f t="shared" si="41"/>
        <v>1.0415785764622973</v>
      </c>
      <c r="AZ71" s="594">
        <f t="shared" si="42"/>
        <v>295000</v>
      </c>
      <c r="BA71" s="306">
        <f t="shared" si="43"/>
        <v>1.0415785764622973</v>
      </c>
      <c r="BB71" s="11"/>
    </row>
    <row r="72" spans="1:54" ht="16.149999999999999" customHeight="1">
      <c r="A72" s="43" t="s">
        <v>64</v>
      </c>
      <c r="B72" s="706">
        <f>[1]本部!$L$72</f>
        <v>115000</v>
      </c>
      <c r="C72" s="266" t="str">
        <f t="shared" si="82"/>
        <v/>
      </c>
      <c r="D72" s="723">
        <f t="shared" si="1"/>
        <v>115000</v>
      </c>
      <c r="E72" s="161" t="str">
        <f t="shared" si="83"/>
        <v/>
      </c>
      <c r="F72" s="352">
        <f>[1]本社営業!$L$72</f>
        <v>55000</v>
      </c>
      <c r="G72" s="10">
        <f t="shared" si="84"/>
        <v>1.0285131272113114E-4</v>
      </c>
      <c r="H72" s="356">
        <f t="shared" si="20"/>
        <v>55000</v>
      </c>
      <c r="I72" s="163">
        <f t="shared" si="21"/>
        <v>1.0285131272113114E-4</v>
      </c>
      <c r="J72" s="388">
        <f>[1]東大阪!$L$72</f>
        <v>440000</v>
      </c>
      <c r="K72" s="77">
        <f t="shared" si="22"/>
        <v>4.9561493422964543E-2</v>
      </c>
      <c r="L72" s="356">
        <f t="shared" si="23"/>
        <v>440000</v>
      </c>
      <c r="M72" s="163">
        <f t="shared" si="85"/>
        <v>4.9561493422964543E-2</v>
      </c>
      <c r="N72" s="403">
        <f>[1]南港工場!$L$72</f>
        <v>525000</v>
      </c>
      <c r="O72" s="77">
        <f t="shared" si="86"/>
        <v>1.8602198227079408E-2</v>
      </c>
      <c r="P72" s="408">
        <f t="shared" si="24"/>
        <v>525000</v>
      </c>
      <c r="Q72" s="170">
        <f t="shared" si="87"/>
        <v>1.8602198227079408E-2</v>
      </c>
      <c r="R72" s="445">
        <f>[1]南港事務!$L$72</f>
        <v>20000</v>
      </c>
      <c r="S72" s="10" t="str">
        <f t="shared" si="88"/>
        <v/>
      </c>
      <c r="T72" s="408">
        <f t="shared" si="25"/>
        <v>20000</v>
      </c>
      <c r="U72" s="217" t="str">
        <f t="shared" si="89"/>
        <v/>
      </c>
      <c r="V72" s="456">
        <f t="shared" si="26"/>
        <v>545000</v>
      </c>
      <c r="W72" s="170">
        <f t="shared" si="90"/>
        <v>1.9310853397634813E-2</v>
      </c>
      <c r="X72" s="408">
        <f t="shared" si="27"/>
        <v>545000</v>
      </c>
      <c r="Y72" s="240">
        <f t="shared" si="91"/>
        <v>1.9310853397634813E-2</v>
      </c>
      <c r="Z72" s="460">
        <f t="shared" si="28"/>
        <v>1040000</v>
      </c>
      <c r="AA72" s="201">
        <f t="shared" si="92"/>
        <v>1.8186496308253166E-3</v>
      </c>
      <c r="AB72" s="464">
        <f t="shared" si="29"/>
        <v>1040000</v>
      </c>
      <c r="AC72" s="162">
        <f t="shared" si="93"/>
        <v>1.8186496308253166E-3</v>
      </c>
      <c r="AD72" s="352">
        <f>[1]東京事務!$L$72</f>
        <v>55000</v>
      </c>
      <c r="AE72" s="10">
        <f t="shared" si="94"/>
        <v>2.233038329075721E-4</v>
      </c>
      <c r="AF72" s="356">
        <f t="shared" si="30"/>
        <v>55000</v>
      </c>
      <c r="AG72" s="93">
        <f t="shared" si="95"/>
        <v>2.233038329075721E-4</v>
      </c>
      <c r="AH72" s="388">
        <f>[1]東京工場!$L$72</f>
        <v>325000</v>
      </c>
      <c r="AI72" s="170">
        <f t="shared" si="31"/>
        <v>3.3129341536498089E-2</v>
      </c>
      <c r="AJ72" s="408">
        <f t="shared" si="32"/>
        <v>325000</v>
      </c>
      <c r="AK72" s="98">
        <f t="shared" si="63"/>
        <v>3.3129341536498089E-2</v>
      </c>
      <c r="AL72" s="474">
        <f t="shared" si="33"/>
        <v>380000</v>
      </c>
      <c r="AM72" s="328">
        <f t="shared" si="96"/>
        <v>1.4837303539361449E-3</v>
      </c>
      <c r="AN72" s="478">
        <f t="shared" si="34"/>
        <v>380000</v>
      </c>
      <c r="AO72" s="162">
        <f t="shared" si="97"/>
        <v>1.4837303539361449E-3</v>
      </c>
      <c r="AP72" s="483">
        <f t="shared" si="35"/>
        <v>1535000</v>
      </c>
      <c r="AQ72" s="299">
        <f t="shared" si="98"/>
        <v>1.8539451390941362E-3</v>
      </c>
      <c r="AR72" s="487">
        <f t="shared" si="36"/>
        <v>1535000</v>
      </c>
      <c r="AS72" s="300">
        <f t="shared" si="99"/>
        <v>1.8539451390941362E-3</v>
      </c>
      <c r="AT72" s="575">
        <f>[1]全社合計!$N$72</f>
        <v>1495000</v>
      </c>
      <c r="AU72" s="163">
        <f t="shared" si="37"/>
        <v>1.5458462963703985E-3</v>
      </c>
      <c r="AV72" s="578">
        <f t="shared" si="38"/>
        <v>1495000</v>
      </c>
      <c r="AW72" s="164">
        <f t="shared" si="39"/>
        <v>1.5458462963703985E-3</v>
      </c>
      <c r="AX72" s="575">
        <f t="shared" si="40"/>
        <v>40000</v>
      </c>
      <c r="AY72" s="163">
        <f t="shared" si="41"/>
        <v>1.0267558528428093</v>
      </c>
      <c r="AZ72" s="578">
        <f t="shared" si="42"/>
        <v>40000</v>
      </c>
      <c r="BA72" s="164">
        <f t="shared" si="43"/>
        <v>1.0267558528428093</v>
      </c>
      <c r="BB72" s="11"/>
    </row>
    <row r="73" spans="1:54" ht="16.149999999999999" customHeight="1">
      <c r="A73" s="43" t="s">
        <v>65</v>
      </c>
      <c r="B73" s="706">
        <f>[1]本部!$L$70</f>
        <v>0</v>
      </c>
      <c r="C73" s="266" t="str">
        <f t="shared" si="82"/>
        <v/>
      </c>
      <c r="D73" s="723">
        <f t="shared" si="1"/>
        <v>0</v>
      </c>
      <c r="E73" s="161" t="str">
        <f t="shared" si="83"/>
        <v/>
      </c>
      <c r="F73" s="352">
        <f>[1]本社営業!$L$70</f>
        <v>0</v>
      </c>
      <c r="G73" s="10">
        <f t="shared" si="84"/>
        <v>0</v>
      </c>
      <c r="H73" s="356">
        <f t="shared" si="20"/>
        <v>0</v>
      </c>
      <c r="I73" s="163">
        <f t="shared" si="21"/>
        <v>0</v>
      </c>
      <c r="J73" s="388">
        <f>[1]東大阪!$L$70</f>
        <v>0</v>
      </c>
      <c r="K73" s="77">
        <f t="shared" si="22"/>
        <v>0</v>
      </c>
      <c r="L73" s="356">
        <f t="shared" si="23"/>
        <v>0</v>
      </c>
      <c r="M73" s="163">
        <f t="shared" si="85"/>
        <v>0</v>
      </c>
      <c r="N73" s="403">
        <f>[1]南港工場!$L$70</f>
        <v>0</v>
      </c>
      <c r="O73" s="77">
        <f t="shared" si="86"/>
        <v>0</v>
      </c>
      <c r="P73" s="408">
        <f t="shared" si="24"/>
        <v>0</v>
      </c>
      <c r="Q73" s="170">
        <f t="shared" si="87"/>
        <v>0</v>
      </c>
      <c r="R73" s="445">
        <f>[1]南港事務!$L$70</f>
        <v>0</v>
      </c>
      <c r="S73" s="10" t="str">
        <f t="shared" si="88"/>
        <v/>
      </c>
      <c r="T73" s="408">
        <f t="shared" si="25"/>
        <v>0</v>
      </c>
      <c r="U73" s="217" t="str">
        <f t="shared" si="89"/>
        <v/>
      </c>
      <c r="V73" s="456">
        <f t="shared" si="26"/>
        <v>0</v>
      </c>
      <c r="W73" s="170">
        <f t="shared" si="90"/>
        <v>0</v>
      </c>
      <c r="X73" s="408">
        <f t="shared" si="27"/>
        <v>0</v>
      </c>
      <c r="Y73" s="240">
        <f t="shared" si="91"/>
        <v>0</v>
      </c>
      <c r="Z73" s="460">
        <f t="shared" si="28"/>
        <v>0</v>
      </c>
      <c r="AA73" s="201">
        <f t="shared" si="92"/>
        <v>0</v>
      </c>
      <c r="AB73" s="464">
        <f t="shared" si="29"/>
        <v>0</v>
      </c>
      <c r="AC73" s="162">
        <f t="shared" si="93"/>
        <v>0</v>
      </c>
      <c r="AD73" s="352">
        <f>[1]東京事務!$L$70</f>
        <v>0</v>
      </c>
      <c r="AE73" s="10">
        <f t="shared" si="94"/>
        <v>0</v>
      </c>
      <c r="AF73" s="356">
        <f t="shared" si="30"/>
        <v>0</v>
      </c>
      <c r="AG73" s="93">
        <f t="shared" si="95"/>
        <v>0</v>
      </c>
      <c r="AH73" s="388">
        <f>[1]東京工場!$L$70</f>
        <v>0</v>
      </c>
      <c r="AI73" s="170">
        <f t="shared" si="31"/>
        <v>0</v>
      </c>
      <c r="AJ73" s="408">
        <f t="shared" si="32"/>
        <v>0</v>
      </c>
      <c r="AK73" s="98">
        <f t="shared" si="63"/>
        <v>0</v>
      </c>
      <c r="AL73" s="474">
        <f t="shared" si="33"/>
        <v>0</v>
      </c>
      <c r="AM73" s="328">
        <f t="shared" si="96"/>
        <v>0</v>
      </c>
      <c r="AN73" s="478">
        <f t="shared" si="34"/>
        <v>0</v>
      </c>
      <c r="AO73" s="162">
        <f t="shared" si="97"/>
        <v>0</v>
      </c>
      <c r="AP73" s="483">
        <f t="shared" si="35"/>
        <v>0</v>
      </c>
      <c r="AQ73" s="299">
        <f t="shared" si="98"/>
        <v>0</v>
      </c>
      <c r="AR73" s="487">
        <f t="shared" si="36"/>
        <v>0</v>
      </c>
      <c r="AS73" s="300">
        <f t="shared" si="99"/>
        <v>0</v>
      </c>
      <c r="AT73" s="575">
        <f>[1]全社合計!$N$70</f>
        <v>0</v>
      </c>
      <c r="AU73" s="163">
        <f t="shared" si="37"/>
        <v>0</v>
      </c>
      <c r="AV73" s="578">
        <f t="shared" si="38"/>
        <v>0</v>
      </c>
      <c r="AW73" s="164">
        <f t="shared" si="39"/>
        <v>0</v>
      </c>
      <c r="AX73" s="575">
        <f t="shared" si="40"/>
        <v>0</v>
      </c>
      <c r="AY73" s="163" t="str">
        <f t="shared" si="41"/>
        <v/>
      </c>
      <c r="AZ73" s="578">
        <f t="shared" si="42"/>
        <v>0</v>
      </c>
      <c r="BA73" s="164" t="str">
        <f t="shared" si="43"/>
        <v/>
      </c>
      <c r="BB73" s="11"/>
    </row>
    <row r="74" spans="1:54" ht="16.149999999999999" customHeight="1">
      <c r="A74" s="43" t="s">
        <v>66</v>
      </c>
      <c r="B74" s="706">
        <f>[1]本部!$L$74</f>
        <v>0</v>
      </c>
      <c r="C74" s="266" t="str">
        <f t="shared" si="82"/>
        <v/>
      </c>
      <c r="D74" s="723">
        <f>B74</f>
        <v>0</v>
      </c>
      <c r="E74" s="161" t="str">
        <f t="shared" si="83"/>
        <v/>
      </c>
      <c r="F74" s="352">
        <f>[1]本社営業!$L$74</f>
        <v>0</v>
      </c>
      <c r="G74" s="10">
        <f t="shared" si="84"/>
        <v>0</v>
      </c>
      <c r="H74" s="356">
        <f>F74</f>
        <v>0</v>
      </c>
      <c r="I74" s="163">
        <f t="shared" ref="I74:I79" si="100">IF(ISERR(H74/$H$11),"",H74/$H$11)</f>
        <v>0</v>
      </c>
      <c r="J74" s="388">
        <f>[1]東大阪!$L$74</f>
        <v>0</v>
      </c>
      <c r="K74" s="77">
        <f t="shared" ref="K74:K79" si="101">IF(ISERR(J74/$J$11),"",J74/$J$11)</f>
        <v>0</v>
      </c>
      <c r="L74" s="356">
        <f t="shared" ref="L74:L79" si="102">J74</f>
        <v>0</v>
      </c>
      <c r="M74" s="163">
        <f t="shared" si="85"/>
        <v>0</v>
      </c>
      <c r="N74" s="403">
        <f>[1]南港工場!$L$74</f>
        <v>0</v>
      </c>
      <c r="O74" s="77">
        <f t="shared" si="86"/>
        <v>0</v>
      </c>
      <c r="P74" s="408">
        <f t="shared" ref="P74:P79" si="103">N74</f>
        <v>0</v>
      </c>
      <c r="Q74" s="170">
        <f t="shared" si="87"/>
        <v>0</v>
      </c>
      <c r="R74" s="445">
        <f>[1]南港事務!$L$74</f>
        <v>0</v>
      </c>
      <c r="S74" s="10" t="str">
        <f t="shared" si="88"/>
        <v/>
      </c>
      <c r="T74" s="408">
        <f t="shared" ref="T74:T79" si="104">R74</f>
        <v>0</v>
      </c>
      <c r="U74" s="217" t="str">
        <f t="shared" si="89"/>
        <v/>
      </c>
      <c r="V74" s="456">
        <f t="shared" ref="V74:V79" si="105">N74+R74</f>
        <v>0</v>
      </c>
      <c r="W74" s="170">
        <f t="shared" si="90"/>
        <v>0</v>
      </c>
      <c r="X74" s="408">
        <f t="shared" ref="X74:X79" si="106">P74+T74</f>
        <v>0</v>
      </c>
      <c r="Y74" s="240">
        <f t="shared" si="91"/>
        <v>0</v>
      </c>
      <c r="Z74" s="460">
        <f>F74+J74+N74+R74</f>
        <v>0</v>
      </c>
      <c r="AA74" s="201">
        <f t="shared" si="92"/>
        <v>0</v>
      </c>
      <c r="AB74" s="464">
        <f t="shared" ref="AB74:AB83" si="107">H74+L74+P74+T74</f>
        <v>0</v>
      </c>
      <c r="AC74" s="162">
        <f t="shared" si="93"/>
        <v>0</v>
      </c>
      <c r="AD74" s="352">
        <f>[1]東京事務!$L$70</f>
        <v>0</v>
      </c>
      <c r="AE74" s="10">
        <f t="shared" si="94"/>
        <v>0</v>
      </c>
      <c r="AF74" s="356">
        <f t="shared" ref="AF74:AF79" si="108">AD74</f>
        <v>0</v>
      </c>
      <c r="AG74" s="93">
        <f t="shared" si="95"/>
        <v>0</v>
      </c>
      <c r="AH74" s="388">
        <f>[1]東京工場!$L$74</f>
        <v>0</v>
      </c>
      <c r="AI74" s="170">
        <f t="shared" ref="AI74:AI79" si="109">IF(ISERR(AH74/$AH$11),"",AH74/$AH$11)</f>
        <v>0</v>
      </c>
      <c r="AJ74" s="408">
        <f t="shared" ref="AJ74:AJ79" si="110">AH74</f>
        <v>0</v>
      </c>
      <c r="AK74" s="98">
        <f t="shared" si="63"/>
        <v>0</v>
      </c>
      <c r="AL74" s="474">
        <f t="shared" ref="AL74:AL79" si="111">AD74+AH74</f>
        <v>0</v>
      </c>
      <c r="AM74" s="328">
        <f t="shared" si="96"/>
        <v>0</v>
      </c>
      <c r="AN74" s="478">
        <f t="shared" ref="AN74:AN79" si="112">AF74+AJ74</f>
        <v>0</v>
      </c>
      <c r="AO74" s="162">
        <f t="shared" si="97"/>
        <v>0</v>
      </c>
      <c r="AP74" s="483">
        <f t="shared" ref="AP74:AP79" si="113">B74+Z74+AL74</f>
        <v>0</v>
      </c>
      <c r="AQ74" s="299">
        <f t="shared" si="98"/>
        <v>0</v>
      </c>
      <c r="AR74" s="487">
        <f t="shared" ref="AR74:AR79" si="114">D74+AB74+AN74</f>
        <v>0</v>
      </c>
      <c r="AS74" s="300">
        <f t="shared" si="99"/>
        <v>0</v>
      </c>
      <c r="AT74" s="575">
        <f>[1]全社合計!$N$74</f>
        <v>0</v>
      </c>
      <c r="AU74" s="163">
        <f t="shared" ref="AU74:AU79" si="115">IF(ISERR(AT74/$AT$11),"",AT74/$AT$11)</f>
        <v>0</v>
      </c>
      <c r="AV74" s="578">
        <f t="shared" ref="AV74:AV79" si="116">AT74</f>
        <v>0</v>
      </c>
      <c r="AW74" s="164">
        <f t="shared" ref="AW74:AW79" si="117">IF(ISERR(AV74/$AV$11),"",AV74/$AV$11)</f>
        <v>0</v>
      </c>
      <c r="AX74" s="575">
        <f t="shared" ref="AX74:AX79" si="118">AP74-AT74</f>
        <v>0</v>
      </c>
      <c r="AY74" s="163" t="str">
        <f t="shared" ref="AY74:AY79" si="119">IF(ISERROR(AP74/AT74),"",AP74/AT74)</f>
        <v/>
      </c>
      <c r="AZ74" s="578">
        <f t="shared" ref="AZ74:AZ79" si="120">AR74-AV74</f>
        <v>0</v>
      </c>
      <c r="BA74" s="164" t="str">
        <f t="shared" ref="BA74:BA79" si="121">IF(ISERROR(AR74/AV74),"",AR74/AV74)</f>
        <v/>
      </c>
      <c r="BB74" s="11"/>
    </row>
    <row r="75" spans="1:54" ht="16.149999999999999" customHeight="1">
      <c r="A75" s="43" t="s">
        <v>67</v>
      </c>
      <c r="B75" s="706">
        <f>[1]本部!$L$73</f>
        <v>0</v>
      </c>
      <c r="C75" s="266" t="str">
        <f t="shared" si="82"/>
        <v/>
      </c>
      <c r="D75" s="723">
        <f>B75</f>
        <v>0</v>
      </c>
      <c r="E75" s="161" t="str">
        <f t="shared" si="83"/>
        <v/>
      </c>
      <c r="F75" s="352">
        <f>[1]本社営業!$L$73</f>
        <v>0</v>
      </c>
      <c r="G75" s="10">
        <f t="shared" si="84"/>
        <v>0</v>
      </c>
      <c r="H75" s="356">
        <f>F75</f>
        <v>0</v>
      </c>
      <c r="I75" s="163">
        <f t="shared" si="100"/>
        <v>0</v>
      </c>
      <c r="J75" s="388">
        <f>[1]東大阪!$L$73</f>
        <v>0</v>
      </c>
      <c r="K75" s="77">
        <f t="shared" si="101"/>
        <v>0</v>
      </c>
      <c r="L75" s="356">
        <f t="shared" si="102"/>
        <v>0</v>
      </c>
      <c r="M75" s="163">
        <f t="shared" si="85"/>
        <v>0</v>
      </c>
      <c r="N75" s="403">
        <f>[1]南港工場!$L$73</f>
        <v>0</v>
      </c>
      <c r="O75" s="77">
        <f t="shared" si="86"/>
        <v>0</v>
      </c>
      <c r="P75" s="408">
        <f t="shared" si="103"/>
        <v>0</v>
      </c>
      <c r="Q75" s="170">
        <f t="shared" si="87"/>
        <v>0</v>
      </c>
      <c r="R75" s="445">
        <f>[1]南港事務!$L$73</f>
        <v>0</v>
      </c>
      <c r="S75" s="10" t="str">
        <f t="shared" si="88"/>
        <v/>
      </c>
      <c r="T75" s="408">
        <f t="shared" si="104"/>
        <v>0</v>
      </c>
      <c r="U75" s="217" t="str">
        <f t="shared" si="89"/>
        <v/>
      </c>
      <c r="V75" s="456">
        <f t="shared" si="105"/>
        <v>0</v>
      </c>
      <c r="W75" s="170">
        <f t="shared" si="90"/>
        <v>0</v>
      </c>
      <c r="X75" s="408">
        <f t="shared" si="106"/>
        <v>0</v>
      </c>
      <c r="Y75" s="240">
        <f t="shared" si="91"/>
        <v>0</v>
      </c>
      <c r="Z75" s="460">
        <f>F75+J75+N75+R75</f>
        <v>0</v>
      </c>
      <c r="AA75" s="201">
        <f t="shared" si="92"/>
        <v>0</v>
      </c>
      <c r="AB75" s="464">
        <f t="shared" si="107"/>
        <v>0</v>
      </c>
      <c r="AC75" s="162">
        <f t="shared" si="93"/>
        <v>0</v>
      </c>
      <c r="AD75" s="352">
        <f>[1]東京事務!$L$73</f>
        <v>229861</v>
      </c>
      <c r="AE75" s="10">
        <f t="shared" si="94"/>
        <v>9.3325167883577141E-4</v>
      </c>
      <c r="AF75" s="356">
        <f t="shared" si="108"/>
        <v>229861</v>
      </c>
      <c r="AG75" s="93">
        <f t="shared" si="95"/>
        <v>9.3325167883577141E-4</v>
      </c>
      <c r="AH75" s="388">
        <f>[1]東京工場!$L$73</f>
        <v>0</v>
      </c>
      <c r="AI75" s="170">
        <f t="shared" si="109"/>
        <v>0</v>
      </c>
      <c r="AJ75" s="408">
        <f t="shared" si="110"/>
        <v>0</v>
      </c>
      <c r="AK75" s="98">
        <f t="shared" si="63"/>
        <v>0</v>
      </c>
      <c r="AL75" s="474">
        <f t="shared" si="111"/>
        <v>229861</v>
      </c>
      <c r="AM75" s="328">
        <f t="shared" si="96"/>
        <v>8.9750458654241103E-4</v>
      </c>
      <c r="AN75" s="478">
        <f t="shared" si="112"/>
        <v>229861</v>
      </c>
      <c r="AO75" s="162">
        <f t="shared" si="97"/>
        <v>8.9750458654241103E-4</v>
      </c>
      <c r="AP75" s="483">
        <f t="shared" si="113"/>
        <v>229861</v>
      </c>
      <c r="AQ75" s="299">
        <f t="shared" si="98"/>
        <v>2.7762194372463666E-4</v>
      </c>
      <c r="AR75" s="487">
        <f t="shared" si="114"/>
        <v>229861</v>
      </c>
      <c r="AS75" s="300">
        <f t="shared" si="99"/>
        <v>2.7762194372463666E-4</v>
      </c>
      <c r="AT75" s="575">
        <f>[1]全社合計!$N$73</f>
        <v>26778</v>
      </c>
      <c r="AU75" s="163">
        <f t="shared" si="115"/>
        <v>2.7688743895790321E-5</v>
      </c>
      <c r="AV75" s="578">
        <f t="shared" si="116"/>
        <v>26778</v>
      </c>
      <c r="AW75" s="164">
        <f t="shared" si="117"/>
        <v>2.7688743895790321E-5</v>
      </c>
      <c r="AX75" s="575">
        <f t="shared" si="118"/>
        <v>203083</v>
      </c>
      <c r="AY75" s="163">
        <f t="shared" si="119"/>
        <v>8.5839495107924417</v>
      </c>
      <c r="AZ75" s="578">
        <f t="shared" si="120"/>
        <v>203083</v>
      </c>
      <c r="BA75" s="164">
        <f t="shared" si="121"/>
        <v>8.5839495107924417</v>
      </c>
      <c r="BB75" s="11"/>
    </row>
    <row r="76" spans="1:54" ht="16.149999999999999" customHeight="1">
      <c r="A76" s="43" t="s">
        <v>68</v>
      </c>
      <c r="B76" s="706"/>
      <c r="C76" s="266" t="str">
        <f t="shared" si="82"/>
        <v/>
      </c>
      <c r="D76" s="723">
        <f>B76</f>
        <v>0</v>
      </c>
      <c r="E76" s="161" t="str">
        <f t="shared" si="83"/>
        <v/>
      </c>
      <c r="F76" s="352"/>
      <c r="G76" s="10">
        <f t="shared" si="84"/>
        <v>0</v>
      </c>
      <c r="H76" s="356">
        <f>F76</f>
        <v>0</v>
      </c>
      <c r="I76" s="163">
        <f t="shared" si="100"/>
        <v>0</v>
      </c>
      <c r="J76" s="388"/>
      <c r="K76" s="77">
        <f t="shared" si="101"/>
        <v>0</v>
      </c>
      <c r="L76" s="356">
        <f t="shared" si="102"/>
        <v>0</v>
      </c>
      <c r="M76" s="163">
        <f t="shared" si="85"/>
        <v>0</v>
      </c>
      <c r="N76" s="403"/>
      <c r="O76" s="77">
        <f t="shared" si="86"/>
        <v>0</v>
      </c>
      <c r="P76" s="408">
        <f t="shared" si="103"/>
        <v>0</v>
      </c>
      <c r="Q76" s="170">
        <f t="shared" si="87"/>
        <v>0</v>
      </c>
      <c r="R76" s="445"/>
      <c r="S76" s="10" t="str">
        <f t="shared" si="88"/>
        <v/>
      </c>
      <c r="T76" s="408">
        <f t="shared" si="104"/>
        <v>0</v>
      </c>
      <c r="U76" s="217" t="str">
        <f t="shared" si="89"/>
        <v/>
      </c>
      <c r="V76" s="456">
        <f t="shared" si="105"/>
        <v>0</v>
      </c>
      <c r="W76" s="170">
        <f t="shared" si="90"/>
        <v>0</v>
      </c>
      <c r="X76" s="408">
        <f t="shared" si="106"/>
        <v>0</v>
      </c>
      <c r="Y76" s="240">
        <f t="shared" si="91"/>
        <v>0</v>
      </c>
      <c r="Z76" s="460">
        <f>F76+J76+N76+R76</f>
        <v>0</v>
      </c>
      <c r="AA76" s="201">
        <f t="shared" si="92"/>
        <v>0</v>
      </c>
      <c r="AB76" s="464">
        <f t="shared" si="107"/>
        <v>0</v>
      </c>
      <c r="AC76" s="162">
        <f t="shared" si="93"/>
        <v>0</v>
      </c>
      <c r="AD76" s="352"/>
      <c r="AE76" s="10">
        <f t="shared" si="94"/>
        <v>0</v>
      </c>
      <c r="AF76" s="356">
        <f t="shared" si="108"/>
        <v>0</v>
      </c>
      <c r="AG76" s="93">
        <f t="shared" si="95"/>
        <v>0</v>
      </c>
      <c r="AH76" s="388"/>
      <c r="AI76" s="170">
        <f t="shared" si="109"/>
        <v>0</v>
      </c>
      <c r="AJ76" s="408">
        <f t="shared" si="110"/>
        <v>0</v>
      </c>
      <c r="AK76" s="98">
        <f t="shared" si="63"/>
        <v>0</v>
      </c>
      <c r="AL76" s="474">
        <f t="shared" si="111"/>
        <v>0</v>
      </c>
      <c r="AM76" s="328">
        <f t="shared" si="96"/>
        <v>0</v>
      </c>
      <c r="AN76" s="478">
        <f t="shared" si="112"/>
        <v>0</v>
      </c>
      <c r="AO76" s="162">
        <f t="shared" si="97"/>
        <v>0</v>
      </c>
      <c r="AP76" s="483">
        <f t="shared" si="113"/>
        <v>0</v>
      </c>
      <c r="AQ76" s="299">
        <f t="shared" si="98"/>
        <v>0</v>
      </c>
      <c r="AR76" s="487">
        <f t="shared" si="114"/>
        <v>0</v>
      </c>
      <c r="AS76" s="300">
        <f t="shared" si="99"/>
        <v>0</v>
      </c>
      <c r="AT76" s="575">
        <v>0</v>
      </c>
      <c r="AU76" s="163">
        <f t="shared" si="115"/>
        <v>0</v>
      </c>
      <c r="AV76" s="578">
        <f t="shared" si="116"/>
        <v>0</v>
      </c>
      <c r="AW76" s="164">
        <f t="shared" si="117"/>
        <v>0</v>
      </c>
      <c r="AX76" s="575">
        <f t="shared" si="118"/>
        <v>0</v>
      </c>
      <c r="AY76" s="163" t="str">
        <f t="shared" si="119"/>
        <v/>
      </c>
      <c r="AZ76" s="578">
        <f t="shared" si="120"/>
        <v>0</v>
      </c>
      <c r="BA76" s="164" t="str">
        <f t="shared" si="121"/>
        <v/>
      </c>
      <c r="BB76" s="11"/>
    </row>
    <row r="77" spans="1:54" ht="16.149999999999999" customHeight="1">
      <c r="A77" s="43" t="s">
        <v>69</v>
      </c>
      <c r="B77" s="706"/>
      <c r="C77" s="266" t="str">
        <f t="shared" si="82"/>
        <v/>
      </c>
      <c r="D77" s="723">
        <f>B77</f>
        <v>0</v>
      </c>
      <c r="E77" s="161" t="str">
        <f>IF(ISERR(#REF!/$D$11),"",#REF!/$D$11)</f>
        <v/>
      </c>
      <c r="F77" s="352">
        <f>[1]本社営業!$L$75</f>
        <v>672000</v>
      </c>
      <c r="G77" s="10">
        <f t="shared" si="84"/>
        <v>1.2566560390654569E-3</v>
      </c>
      <c r="H77" s="356">
        <f>F77</f>
        <v>672000</v>
      </c>
      <c r="I77" s="163">
        <f t="shared" si="100"/>
        <v>1.2566560390654569E-3</v>
      </c>
      <c r="J77" s="388"/>
      <c r="K77" s="77">
        <f t="shared" si="101"/>
        <v>0</v>
      </c>
      <c r="L77" s="356">
        <f t="shared" si="102"/>
        <v>0</v>
      </c>
      <c r="M77" s="163">
        <f t="shared" si="85"/>
        <v>0</v>
      </c>
      <c r="N77" s="403"/>
      <c r="O77" s="77">
        <f t="shared" si="86"/>
        <v>0</v>
      </c>
      <c r="P77" s="408">
        <f t="shared" si="103"/>
        <v>0</v>
      </c>
      <c r="Q77" s="170">
        <f t="shared" si="87"/>
        <v>0</v>
      </c>
      <c r="R77" s="445"/>
      <c r="S77" s="10" t="str">
        <f t="shared" si="88"/>
        <v/>
      </c>
      <c r="T77" s="408">
        <f t="shared" si="104"/>
        <v>0</v>
      </c>
      <c r="U77" s="217" t="str">
        <f t="shared" si="89"/>
        <v/>
      </c>
      <c r="V77" s="456">
        <f t="shared" si="105"/>
        <v>0</v>
      </c>
      <c r="W77" s="170">
        <f t="shared" si="90"/>
        <v>0</v>
      </c>
      <c r="X77" s="408">
        <f t="shared" si="106"/>
        <v>0</v>
      </c>
      <c r="Y77" s="240">
        <f t="shared" si="91"/>
        <v>0</v>
      </c>
      <c r="Z77" s="460">
        <f>F77+J77+N77+R77</f>
        <v>672000</v>
      </c>
      <c r="AA77" s="201">
        <f t="shared" si="92"/>
        <v>1.1751274537640508E-3</v>
      </c>
      <c r="AB77" s="464">
        <f t="shared" si="107"/>
        <v>672000</v>
      </c>
      <c r="AC77" s="162">
        <f t="shared" si="93"/>
        <v>1.1751274537640508E-3</v>
      </c>
      <c r="AD77" s="352"/>
      <c r="AE77" s="10">
        <f t="shared" si="94"/>
        <v>0</v>
      </c>
      <c r="AF77" s="356">
        <f t="shared" si="108"/>
        <v>0</v>
      </c>
      <c r="AG77" s="93">
        <f t="shared" si="95"/>
        <v>0</v>
      </c>
      <c r="AH77" s="388"/>
      <c r="AI77" s="170">
        <f t="shared" si="109"/>
        <v>0</v>
      </c>
      <c r="AJ77" s="408">
        <f t="shared" si="110"/>
        <v>0</v>
      </c>
      <c r="AK77" s="98">
        <f t="shared" si="63"/>
        <v>0</v>
      </c>
      <c r="AL77" s="474">
        <f t="shared" si="111"/>
        <v>0</v>
      </c>
      <c r="AM77" s="328">
        <f t="shared" si="96"/>
        <v>0</v>
      </c>
      <c r="AN77" s="478">
        <f t="shared" si="112"/>
        <v>0</v>
      </c>
      <c r="AO77" s="162">
        <f t="shared" si="97"/>
        <v>0</v>
      </c>
      <c r="AP77" s="483">
        <f t="shared" si="113"/>
        <v>672000</v>
      </c>
      <c r="AQ77" s="299">
        <f t="shared" si="98"/>
        <v>8.1162940291287268E-4</v>
      </c>
      <c r="AR77" s="487">
        <f t="shared" si="114"/>
        <v>672000</v>
      </c>
      <c r="AS77" s="300">
        <f t="shared" si="99"/>
        <v>8.1162940291287268E-4</v>
      </c>
      <c r="AT77" s="575">
        <f>[1]全社合計!$N$75</f>
        <v>672000</v>
      </c>
      <c r="AU77" s="163">
        <f t="shared" si="115"/>
        <v>6.9485532519124272E-4</v>
      </c>
      <c r="AV77" s="578">
        <f t="shared" si="116"/>
        <v>672000</v>
      </c>
      <c r="AW77" s="164">
        <f t="shared" si="117"/>
        <v>6.9485532519124272E-4</v>
      </c>
      <c r="AX77" s="575">
        <f t="shared" si="118"/>
        <v>0</v>
      </c>
      <c r="AY77" s="163">
        <f t="shared" si="119"/>
        <v>1</v>
      </c>
      <c r="AZ77" s="578">
        <f t="shared" si="120"/>
        <v>0</v>
      </c>
      <c r="BA77" s="164">
        <f t="shared" si="121"/>
        <v>1</v>
      </c>
      <c r="BB77" s="11"/>
    </row>
    <row r="78" spans="1:54" ht="16.149999999999999" customHeight="1" thickBot="1">
      <c r="A78" s="44"/>
      <c r="B78" s="707"/>
      <c r="C78" s="267" t="str">
        <f t="shared" si="82"/>
        <v/>
      </c>
      <c r="D78" s="735">
        <f>B78</f>
        <v>0</v>
      </c>
      <c r="E78" s="165" t="str">
        <f>IF(ISERR(#REF!/$D$11),"",#REF!/$D$11)</f>
        <v/>
      </c>
      <c r="F78" s="380"/>
      <c r="G78" s="23">
        <f t="shared" si="84"/>
        <v>0</v>
      </c>
      <c r="H78" s="381">
        <f>F78</f>
        <v>0</v>
      </c>
      <c r="I78" s="167">
        <f t="shared" si="100"/>
        <v>0</v>
      </c>
      <c r="J78" s="400"/>
      <c r="K78" s="78">
        <f t="shared" si="101"/>
        <v>0</v>
      </c>
      <c r="L78" s="381">
        <f t="shared" si="102"/>
        <v>0</v>
      </c>
      <c r="M78" s="167">
        <f t="shared" si="85"/>
        <v>0</v>
      </c>
      <c r="N78" s="420"/>
      <c r="O78" s="241">
        <f t="shared" si="86"/>
        <v>0</v>
      </c>
      <c r="P78" s="422">
        <f t="shared" si="103"/>
        <v>0</v>
      </c>
      <c r="Q78" s="244">
        <f t="shared" si="87"/>
        <v>0</v>
      </c>
      <c r="R78" s="453"/>
      <c r="S78" s="243" t="str">
        <f t="shared" si="88"/>
        <v/>
      </c>
      <c r="T78" s="422">
        <f t="shared" si="104"/>
        <v>0</v>
      </c>
      <c r="U78" s="242" t="str">
        <f t="shared" si="89"/>
        <v/>
      </c>
      <c r="V78" s="498">
        <f t="shared" si="105"/>
        <v>0</v>
      </c>
      <c r="W78" s="244">
        <f t="shared" si="90"/>
        <v>0</v>
      </c>
      <c r="X78" s="422">
        <f t="shared" si="106"/>
        <v>0</v>
      </c>
      <c r="Y78" s="245">
        <f t="shared" si="91"/>
        <v>0</v>
      </c>
      <c r="Z78" s="501">
        <f>F78+J78+N78+R78</f>
        <v>0</v>
      </c>
      <c r="AA78" s="202">
        <f t="shared" si="92"/>
        <v>0</v>
      </c>
      <c r="AB78" s="503">
        <f t="shared" si="107"/>
        <v>0</v>
      </c>
      <c r="AC78" s="166">
        <f t="shared" si="93"/>
        <v>0</v>
      </c>
      <c r="AD78" s="380"/>
      <c r="AE78" s="23">
        <f t="shared" si="94"/>
        <v>0</v>
      </c>
      <c r="AF78" s="381">
        <f t="shared" si="108"/>
        <v>0</v>
      </c>
      <c r="AG78" s="94">
        <f t="shared" si="95"/>
        <v>0</v>
      </c>
      <c r="AH78" s="400"/>
      <c r="AI78" s="184">
        <f t="shared" si="109"/>
        <v>0</v>
      </c>
      <c r="AJ78" s="505">
        <f t="shared" si="110"/>
        <v>0</v>
      </c>
      <c r="AK78" s="112">
        <f t="shared" si="63"/>
        <v>0</v>
      </c>
      <c r="AL78" s="507">
        <f t="shared" si="111"/>
        <v>0</v>
      </c>
      <c r="AM78" s="329">
        <f t="shared" si="96"/>
        <v>0</v>
      </c>
      <c r="AN78" s="509">
        <f t="shared" si="112"/>
        <v>0</v>
      </c>
      <c r="AO78" s="166">
        <f t="shared" si="97"/>
        <v>0</v>
      </c>
      <c r="AP78" s="512">
        <f t="shared" si="113"/>
        <v>0</v>
      </c>
      <c r="AQ78" s="301">
        <f t="shared" si="98"/>
        <v>0</v>
      </c>
      <c r="AR78" s="514">
        <f t="shared" si="114"/>
        <v>0</v>
      </c>
      <c r="AS78" s="302">
        <f t="shared" si="99"/>
        <v>0</v>
      </c>
      <c r="AT78" s="593">
        <v>0</v>
      </c>
      <c r="AU78" s="167">
        <f t="shared" si="115"/>
        <v>0</v>
      </c>
      <c r="AV78" s="595">
        <f t="shared" si="116"/>
        <v>0</v>
      </c>
      <c r="AW78" s="168">
        <f t="shared" si="117"/>
        <v>0</v>
      </c>
      <c r="AX78" s="593">
        <f t="shared" si="118"/>
        <v>0</v>
      </c>
      <c r="AY78" s="167" t="str">
        <f t="shared" si="119"/>
        <v/>
      </c>
      <c r="AZ78" s="595">
        <f t="shared" si="120"/>
        <v>0</v>
      </c>
      <c r="BA78" s="168" t="str">
        <f t="shared" si="121"/>
        <v/>
      </c>
      <c r="BB78" s="11"/>
    </row>
    <row r="79" spans="1:54" s="25" customFormat="1" ht="15.75" thickTop="1">
      <c r="A79" s="24" t="s">
        <v>70</v>
      </c>
      <c r="B79" s="737">
        <f>+B18-B67</f>
        <v>0</v>
      </c>
      <c r="C79" s="220" t="str">
        <f t="shared" si="82"/>
        <v/>
      </c>
      <c r="D79" s="736">
        <f>+D18-D67</f>
        <v>0</v>
      </c>
      <c r="E79" s="220" t="str">
        <f>IF(ISERR(#REF!/$D$11),"",#REF!/$D$11)</f>
        <v/>
      </c>
      <c r="F79" s="382">
        <f>F18-F67</f>
        <v>-6217181</v>
      </c>
      <c r="G79" s="309">
        <f>IF(ISERR(F79/$F$11),"",F79/$F$11)</f>
        <v>-1.1626276859543179E-2</v>
      </c>
      <c r="H79" s="383">
        <f>H18-H67</f>
        <v>-6217181</v>
      </c>
      <c r="I79" s="95">
        <f t="shared" si="100"/>
        <v>-1.1626276859543179E-2</v>
      </c>
      <c r="J79" s="382">
        <f>J18-J67</f>
        <v>5018282</v>
      </c>
      <c r="K79" s="309">
        <f t="shared" si="101"/>
        <v>0.56525806894904851</v>
      </c>
      <c r="L79" s="383">
        <f t="shared" si="102"/>
        <v>5018282</v>
      </c>
      <c r="M79" s="95">
        <f t="shared" si="85"/>
        <v>0.56525806894904851</v>
      </c>
      <c r="N79" s="382">
        <f>N18-N67</f>
        <v>12216512</v>
      </c>
      <c r="O79" s="95">
        <f>IF(ISERR(N79/$N$11),"",N79/$N$11)</f>
        <v>0.43286471974760821</v>
      </c>
      <c r="P79" s="383">
        <f t="shared" si="103"/>
        <v>12216512</v>
      </c>
      <c r="Q79" s="95">
        <f t="shared" si="87"/>
        <v>0.43286471974760821</v>
      </c>
      <c r="R79" s="382">
        <f>R18-R67</f>
        <v>3580518</v>
      </c>
      <c r="S79" s="113"/>
      <c r="T79" s="383">
        <f t="shared" si="104"/>
        <v>3580518</v>
      </c>
      <c r="U79" s="95" t="str">
        <f t="shared" si="89"/>
        <v/>
      </c>
      <c r="V79" s="499">
        <f t="shared" si="105"/>
        <v>15797030</v>
      </c>
      <c r="W79" s="95">
        <f>IF(ISERR(V79/$V$11),"",V79/$V$11)</f>
        <v>0.5597323494459433</v>
      </c>
      <c r="X79" s="383">
        <f t="shared" si="106"/>
        <v>15797030</v>
      </c>
      <c r="Y79" s="95">
        <f t="shared" si="91"/>
        <v>0.5597323494459433</v>
      </c>
      <c r="Z79" s="499">
        <f>F79+J79+V79</f>
        <v>14598131</v>
      </c>
      <c r="AA79" s="95">
        <f>IF(ISERR(Z79/$Z$11),"",Z79/$Z$11)</f>
        <v>2.5527774571047702E-2</v>
      </c>
      <c r="AB79" s="383">
        <f t="shared" si="107"/>
        <v>14598131</v>
      </c>
      <c r="AC79" s="95">
        <f t="shared" si="93"/>
        <v>2.5527774571047702E-2</v>
      </c>
      <c r="AD79" s="382">
        <f>AD18-AD67</f>
        <v>10458661</v>
      </c>
      <c r="AE79" s="309">
        <f t="shared" si="94"/>
        <v>4.2462892516017106E-2</v>
      </c>
      <c r="AF79" s="383">
        <f t="shared" si="108"/>
        <v>10458661</v>
      </c>
      <c r="AG79" s="95">
        <f t="shared" si="95"/>
        <v>4.2462892516017106E-2</v>
      </c>
      <c r="AH79" s="382">
        <f>AH18-AH67</f>
        <v>6595413</v>
      </c>
      <c r="AI79" s="309">
        <f t="shared" si="109"/>
        <v>0.67231289185002907</v>
      </c>
      <c r="AJ79" s="383">
        <f t="shared" si="110"/>
        <v>6595413</v>
      </c>
      <c r="AK79" s="309">
        <f>IF(ISERR(AJ79/$AJ$11),"",AJ79/$AJ$11)</f>
        <v>0.67231289185002907</v>
      </c>
      <c r="AL79" s="382">
        <f t="shared" si="111"/>
        <v>17054074</v>
      </c>
      <c r="AM79" s="95">
        <f t="shared" si="96"/>
        <v>6.6588545400192656E-2</v>
      </c>
      <c r="AN79" s="510">
        <f t="shared" si="112"/>
        <v>17054074</v>
      </c>
      <c r="AO79" s="113"/>
      <c r="AP79" s="382">
        <f t="shared" si="113"/>
        <v>31652205</v>
      </c>
      <c r="AQ79" s="95">
        <f t="shared" si="98"/>
        <v>3.8228958697955125E-2</v>
      </c>
      <c r="AR79" s="515">
        <f t="shared" si="114"/>
        <v>31652205</v>
      </c>
      <c r="AS79" s="95">
        <f>IF(ISERR(AR79/$AR$11),"",AR79/$AR$11)</f>
        <v>3.8228958697955125E-2</v>
      </c>
      <c r="AT79" s="382">
        <f>AT18-AT67</f>
        <v>54378307</v>
      </c>
      <c r="AU79" s="95">
        <f t="shared" si="115"/>
        <v>5.6227762193205695E-2</v>
      </c>
      <c r="AV79" s="383">
        <f t="shared" si="116"/>
        <v>54378307</v>
      </c>
      <c r="AW79" s="309">
        <f t="shared" si="117"/>
        <v>5.6227762193205695E-2</v>
      </c>
      <c r="AX79" s="382">
        <f t="shared" si="118"/>
        <v>-22726102</v>
      </c>
      <c r="AY79" s="95">
        <f t="shared" si="119"/>
        <v>0.58207411643028906</v>
      </c>
      <c r="AZ79" s="383">
        <f t="shared" si="120"/>
        <v>-22726102</v>
      </c>
      <c r="BA79" s="309">
        <f t="shared" si="121"/>
        <v>0.58207411643028906</v>
      </c>
    </row>
    <row r="80" spans="1:54">
      <c r="A80" s="26"/>
      <c r="B80" s="26"/>
      <c r="AX80" s="604"/>
    </row>
    <row r="81" spans="1:53" s="679" customFormat="1">
      <c r="A81" s="664" t="s">
        <v>85</v>
      </c>
      <c r="B81" s="665"/>
      <c r="C81" s="666"/>
      <c r="D81" s="773"/>
      <c r="E81" s="774"/>
      <c r="F81" s="773">
        <v>6712201</v>
      </c>
      <c r="G81" s="774"/>
      <c r="H81" s="669">
        <f>+F81</f>
        <v>6712201</v>
      </c>
      <c r="I81" s="670"/>
      <c r="J81" s="667"/>
      <c r="K81" s="668"/>
      <c r="L81" s="669">
        <f>+J81</f>
        <v>0</v>
      </c>
      <c r="M81" s="670"/>
      <c r="N81" s="667"/>
      <c r="O81" s="668"/>
      <c r="P81" s="669">
        <f>+N81</f>
        <v>0</v>
      </c>
      <c r="Q81" s="670"/>
      <c r="R81" s="671"/>
      <c r="S81" s="672"/>
      <c r="T81" s="669">
        <f>+R81</f>
        <v>0</v>
      </c>
      <c r="U81" s="670"/>
      <c r="V81" s="667">
        <f>N81+R81</f>
        <v>0</v>
      </c>
      <c r="W81" s="668"/>
      <c r="X81" s="673">
        <f>P81+T81</f>
        <v>0</v>
      </c>
      <c r="Y81" s="674"/>
      <c r="Z81" s="667">
        <f>F81+J81+N81+R81</f>
        <v>6712201</v>
      </c>
      <c r="AA81" s="668"/>
      <c r="AB81" s="675">
        <f t="shared" si="107"/>
        <v>6712201</v>
      </c>
      <c r="AC81" s="676"/>
      <c r="AD81" s="671">
        <v>4214746</v>
      </c>
      <c r="AE81" s="672"/>
      <c r="AF81" s="669">
        <f>+AD81</f>
        <v>4214746</v>
      </c>
      <c r="AG81" s="670"/>
      <c r="AH81" s="671"/>
      <c r="AI81" s="672"/>
      <c r="AJ81" s="669">
        <f>+AH81</f>
        <v>0</v>
      </c>
      <c r="AK81" s="670"/>
      <c r="AL81" s="671">
        <f>+AD81+AH81</f>
        <v>4214746</v>
      </c>
      <c r="AM81" s="672"/>
      <c r="AN81" s="669">
        <f>+AL81</f>
        <v>4214746</v>
      </c>
      <c r="AO81" s="670"/>
      <c r="AP81" s="671">
        <f>+AB81+AL81</f>
        <v>10926947</v>
      </c>
      <c r="AQ81" s="672"/>
      <c r="AR81" s="669">
        <f>+AP81</f>
        <v>10926947</v>
      </c>
      <c r="AS81" s="670"/>
      <c r="AT81" s="671">
        <v>10388772</v>
      </c>
      <c r="AU81" s="672"/>
      <c r="AV81" s="669">
        <f>+AT81</f>
        <v>10388772</v>
      </c>
      <c r="AW81" s="670"/>
      <c r="AX81" s="671">
        <f>AP81-AT81</f>
        <v>538175</v>
      </c>
      <c r="AY81" s="677">
        <f>IF(ISERROR(AP81/AT81),"",AP81/AT81)</f>
        <v>1.051803524035372</v>
      </c>
      <c r="AZ81" s="669">
        <f>AR81-AV81</f>
        <v>538175</v>
      </c>
      <c r="BA81" s="678">
        <f>IF(ISERROR(AR81/AV81),"",AR81/AV81)</f>
        <v>1.051803524035372</v>
      </c>
    </row>
    <row r="82" spans="1:53" s="679" customFormat="1">
      <c r="A82" s="680" t="s">
        <v>86</v>
      </c>
      <c r="B82" s="681"/>
      <c r="C82" s="682"/>
      <c r="D82" s="771"/>
      <c r="E82" s="772"/>
      <c r="F82" s="771">
        <v>2620536</v>
      </c>
      <c r="G82" s="772"/>
      <c r="H82" s="685">
        <f>+F82</f>
        <v>2620536</v>
      </c>
      <c r="I82" s="686"/>
      <c r="J82" s="683">
        <v>17050</v>
      </c>
      <c r="K82" s="684"/>
      <c r="L82" s="685">
        <f>+J82</f>
        <v>17050</v>
      </c>
      <c r="M82" s="686"/>
      <c r="N82" s="683">
        <v>74042</v>
      </c>
      <c r="O82" s="684"/>
      <c r="P82" s="685">
        <f>+N82</f>
        <v>74042</v>
      </c>
      <c r="Q82" s="686"/>
      <c r="R82" s="683"/>
      <c r="S82" s="684"/>
      <c r="T82" s="685">
        <f>+R82</f>
        <v>0</v>
      </c>
      <c r="U82" s="686"/>
      <c r="V82" s="683">
        <f>N82+R82</f>
        <v>74042</v>
      </c>
      <c r="W82" s="684"/>
      <c r="X82" s="687">
        <f>P82+T82</f>
        <v>74042</v>
      </c>
      <c r="Y82" s="688"/>
      <c r="Z82" s="683">
        <f>F82+J82+N82+R82</f>
        <v>2711628</v>
      </c>
      <c r="AA82" s="684"/>
      <c r="AB82" s="687">
        <f t="shared" si="107"/>
        <v>2711628</v>
      </c>
      <c r="AC82" s="688"/>
      <c r="AD82" s="683">
        <v>816898</v>
      </c>
      <c r="AE82" s="684"/>
      <c r="AF82" s="685">
        <f>+AD82</f>
        <v>816898</v>
      </c>
      <c r="AG82" s="686"/>
      <c r="AH82" s="683"/>
      <c r="AI82" s="684"/>
      <c r="AJ82" s="685">
        <f>+AH82</f>
        <v>0</v>
      </c>
      <c r="AK82" s="686"/>
      <c r="AL82" s="683">
        <f>+AD82+AH82</f>
        <v>816898</v>
      </c>
      <c r="AM82" s="684"/>
      <c r="AN82" s="685">
        <f>+AL82</f>
        <v>816898</v>
      </c>
      <c r="AO82" s="686"/>
      <c r="AP82" s="683">
        <f>+AL82+Z82</f>
        <v>3528526</v>
      </c>
      <c r="AQ82" s="684"/>
      <c r="AR82" s="685">
        <f>+AP82</f>
        <v>3528526</v>
      </c>
      <c r="AS82" s="686"/>
      <c r="AT82" s="683">
        <v>4366781</v>
      </c>
      <c r="AU82" s="684"/>
      <c r="AV82" s="685">
        <f>+AT82</f>
        <v>4366781</v>
      </c>
      <c r="AW82" s="686"/>
      <c r="AX82" s="683">
        <f>AP82-AT82</f>
        <v>-838255</v>
      </c>
      <c r="AY82" s="689">
        <f>IF(ISERROR(AP82/AT82),"",AP82/AT82)</f>
        <v>0.80803823228139904</v>
      </c>
      <c r="AZ82" s="685">
        <f>AR82-AV82</f>
        <v>-838255</v>
      </c>
      <c r="BA82" s="690">
        <f>IF(ISERROR(AR82/AV82),"",AR82/AV82)</f>
        <v>0.80803823228139904</v>
      </c>
    </row>
    <row r="83" spans="1:53" s="679" customFormat="1" ht="14.25" thickBot="1">
      <c r="A83" s="691" t="s">
        <v>87</v>
      </c>
      <c r="B83" s="692"/>
      <c r="C83" s="693"/>
      <c r="D83" s="769"/>
      <c r="E83" s="770"/>
      <c r="F83" s="769">
        <f>[1]本社営業!$L$13</f>
        <v>6865951</v>
      </c>
      <c r="G83" s="770"/>
      <c r="H83" s="696">
        <f>+F83</f>
        <v>6865951</v>
      </c>
      <c r="I83" s="697"/>
      <c r="J83" s="694"/>
      <c r="K83" s="695"/>
      <c r="L83" s="696">
        <f>+J83</f>
        <v>0</v>
      </c>
      <c r="M83" s="697"/>
      <c r="N83" s="694"/>
      <c r="O83" s="695"/>
      <c r="P83" s="696">
        <f>+N83</f>
        <v>0</v>
      </c>
      <c r="Q83" s="697"/>
      <c r="R83" s="694"/>
      <c r="S83" s="695"/>
      <c r="T83" s="696">
        <f>+R83</f>
        <v>0</v>
      </c>
      <c r="U83" s="697"/>
      <c r="V83" s="694">
        <f>N83+R83</f>
        <v>0</v>
      </c>
      <c r="W83" s="695"/>
      <c r="X83" s="698">
        <f>P83+T83</f>
        <v>0</v>
      </c>
      <c r="Y83" s="699"/>
      <c r="Z83" s="694">
        <f>F83+J83+N83+R83</f>
        <v>6865951</v>
      </c>
      <c r="AA83" s="695"/>
      <c r="AB83" s="698">
        <f t="shared" si="107"/>
        <v>6865951</v>
      </c>
      <c r="AC83" s="699"/>
      <c r="AD83" s="694">
        <f>[1]東京事務!$L$13</f>
        <v>4129816</v>
      </c>
      <c r="AE83" s="695"/>
      <c r="AF83" s="696">
        <f>+AD83</f>
        <v>4129816</v>
      </c>
      <c r="AG83" s="697"/>
      <c r="AH83" s="694"/>
      <c r="AI83" s="695"/>
      <c r="AJ83" s="696">
        <f>+AH83</f>
        <v>0</v>
      </c>
      <c r="AK83" s="697"/>
      <c r="AL83" s="694">
        <f>+AD83+AH83</f>
        <v>4129816</v>
      </c>
      <c r="AM83" s="695"/>
      <c r="AN83" s="696">
        <f>+AL83</f>
        <v>4129816</v>
      </c>
      <c r="AO83" s="697"/>
      <c r="AP83" s="694">
        <f>+AB83+AL83</f>
        <v>10995767</v>
      </c>
      <c r="AQ83" s="695"/>
      <c r="AR83" s="696">
        <f>+AP83</f>
        <v>10995767</v>
      </c>
      <c r="AS83" s="697"/>
      <c r="AT83" s="694">
        <f>[1]全社合計!$N$13</f>
        <v>10538573</v>
      </c>
      <c r="AU83" s="695"/>
      <c r="AV83" s="696">
        <f>+AT83</f>
        <v>10538573</v>
      </c>
      <c r="AW83" s="697"/>
      <c r="AX83" s="694">
        <f>AP83-AT83</f>
        <v>457194</v>
      </c>
      <c r="AY83" s="700">
        <f>IF(ISERROR(AP83/AT83),"",AP83/AT83)</f>
        <v>1.043382913417215</v>
      </c>
      <c r="AZ83" s="696">
        <f>AR83-AV83</f>
        <v>457194</v>
      </c>
      <c r="BA83" s="701">
        <f>IF(ISERROR(AR83/AV83),"",AR83/AV83)</f>
        <v>1.043382913417215</v>
      </c>
    </row>
    <row r="84" spans="1:53" ht="14.25" thickTop="1">
      <c r="D84" s="26"/>
      <c r="H84" s="26"/>
      <c r="L84" s="26"/>
      <c r="P84" s="26"/>
      <c r="T84" s="26"/>
      <c r="AL84" s="26"/>
      <c r="AP84" s="26"/>
      <c r="AT84" s="26"/>
      <c r="AX84" s="26"/>
    </row>
    <row r="85" spans="1:53">
      <c r="AL85" s="26"/>
    </row>
    <row r="89" spans="1:53">
      <c r="B89" s="27"/>
      <c r="D89" s="27"/>
      <c r="H89" s="27"/>
      <c r="L89" s="27"/>
      <c r="P89" s="27"/>
      <c r="T89" s="27"/>
      <c r="X89" s="27"/>
      <c r="AB89" s="27"/>
      <c r="AF89" s="27"/>
      <c r="AL89" s="27"/>
      <c r="AP89" s="27"/>
      <c r="AT89" s="27"/>
      <c r="AX89" s="27"/>
    </row>
    <row r="90" spans="1:53">
      <c r="B90" s="27"/>
      <c r="D90" s="27"/>
      <c r="H90" s="27"/>
      <c r="L90" s="27"/>
      <c r="P90" s="27"/>
      <c r="T90" s="27"/>
      <c r="X90" s="27"/>
      <c r="AB90" s="27"/>
      <c r="AF90" s="27"/>
      <c r="AL90" s="27"/>
      <c r="AP90" s="27"/>
      <c r="AT90" s="27"/>
      <c r="AX90" s="27"/>
    </row>
    <row r="91" spans="1:53">
      <c r="B91" s="27"/>
      <c r="D91" s="27"/>
      <c r="H91" s="27"/>
      <c r="L91" s="27"/>
      <c r="P91" s="27"/>
      <c r="T91" s="27"/>
      <c r="X91" s="27"/>
      <c r="AB91" s="27"/>
      <c r="AF91" s="27"/>
      <c r="AL91" s="27"/>
      <c r="AP91" s="27"/>
      <c r="AT91" s="27"/>
      <c r="AX91" s="27"/>
    </row>
    <row r="92" spans="1:53">
      <c r="B92" s="27"/>
      <c r="D92" s="27"/>
      <c r="H92" s="27"/>
      <c r="L92" s="27"/>
      <c r="P92" s="27"/>
      <c r="T92" s="27"/>
      <c r="X92" s="27"/>
      <c r="AB92" s="27"/>
      <c r="AF92" s="27"/>
      <c r="AL92" s="27"/>
      <c r="AP92" s="27"/>
      <c r="AT92" s="27"/>
      <c r="AX92" s="27"/>
    </row>
    <row r="93" spans="1:53">
      <c r="B93" s="27"/>
      <c r="D93" s="27"/>
      <c r="H93" s="27"/>
      <c r="L93" s="27"/>
      <c r="P93" s="27"/>
      <c r="T93" s="27"/>
      <c r="X93" s="27"/>
      <c r="AB93" s="27"/>
      <c r="AF93" s="27"/>
      <c r="AL93" s="27"/>
      <c r="AP93" s="27"/>
      <c r="AT93" s="27"/>
      <c r="AX93" s="27"/>
    </row>
    <row r="94" spans="1:53">
      <c r="B94" s="27"/>
    </row>
    <row r="95" spans="1:53">
      <c r="B95" s="27"/>
    </row>
  </sheetData>
  <mergeCells count="48">
    <mergeCell ref="A2:A5"/>
    <mergeCell ref="AP2:AS3"/>
    <mergeCell ref="AR4:AS4"/>
    <mergeCell ref="AN4:AO4"/>
    <mergeCell ref="AH3:AK3"/>
    <mergeCell ref="AD2:AO2"/>
    <mergeCell ref="AH4:AI4"/>
    <mergeCell ref="AJ4:AK4"/>
    <mergeCell ref="AL3:AO3"/>
    <mergeCell ref="F2:AC2"/>
    <mergeCell ref="Z4:AA4"/>
    <mergeCell ref="AD4:AE4"/>
    <mergeCell ref="Z3:AC3"/>
    <mergeCell ref="AD3:AG3"/>
    <mergeCell ref="R3:U3"/>
    <mergeCell ref="V3:Y3"/>
    <mergeCell ref="F3:I3"/>
    <mergeCell ref="J3:M3"/>
    <mergeCell ref="N3:Q3"/>
    <mergeCell ref="B2:E3"/>
    <mergeCell ref="AF4:AG4"/>
    <mergeCell ref="X4:Y4"/>
    <mergeCell ref="AB4:AC4"/>
    <mergeCell ref="F4:G4"/>
    <mergeCell ref="J4:K4"/>
    <mergeCell ref="N4:O4"/>
    <mergeCell ref="R4:S4"/>
    <mergeCell ref="V4:W4"/>
    <mergeCell ref="AL4:AM4"/>
    <mergeCell ref="AP4:AQ4"/>
    <mergeCell ref="B4:C4"/>
    <mergeCell ref="D4:E4"/>
    <mergeCell ref="H4:I4"/>
    <mergeCell ref="L4:M4"/>
    <mergeCell ref="P4:Q4"/>
    <mergeCell ref="T4:U4"/>
    <mergeCell ref="F83:G83"/>
    <mergeCell ref="F82:G82"/>
    <mergeCell ref="F81:G81"/>
    <mergeCell ref="D83:E83"/>
    <mergeCell ref="D82:E82"/>
    <mergeCell ref="D81:E81"/>
    <mergeCell ref="AT2:AW3"/>
    <mergeCell ref="AT4:AU4"/>
    <mergeCell ref="AV4:AW4"/>
    <mergeCell ref="AX2:BA3"/>
    <mergeCell ref="AX4:AY4"/>
    <mergeCell ref="AZ4:BA4"/>
  </mergeCells>
  <phoneticPr fontId="19"/>
  <dataValidations count="2">
    <dataValidation imeMode="off" allowBlank="1" showInputMessage="1" showErrorMessage="1" sqref="B1 AP1 AV1:AX1 AZ1:BA1 AR1:AT1 B6:BA65536" xr:uid="{5F59183A-E1BE-4169-83A7-263CB2EC69AA}"/>
    <dataValidation imeMode="on" allowBlank="1" showInputMessage="1" showErrorMessage="1" sqref="A2:BA5" xr:uid="{0134DD58-875C-4C7C-81F4-977246C1E2E9}"/>
  </dataValidations>
  <printOptions gridLinesSet="0"/>
  <pageMargins left="0.39370078740157483" right="0.19685039370078741" top="0.39370078740157483" bottom="0.19685039370078741" header="0" footer="0"/>
  <pageSetup paperSize="8" scale="68" orientation="landscape" r:id="rId1"/>
  <headerFooter alignWithMargins="0">
    <oddHeader>&amp;L&amp;D&amp;T&amp;C&amp;"明朝,太字"&amp;16&amp;F&amp;R&amp;"明朝,太字"&amp;A</oddHeader>
    <oddFooter>&amp;C&amp;"明朝,太字"&amp;14&amp;F&amp;R&amp;"明朝,太字"&amp;14&amp;A</oddFooter>
  </headerFooter>
  <colBreaks count="1" manualBreakCount="1">
    <brk id="29" min="1" max="7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65F0-6B81-4CB9-8486-2AE3B058C86B}">
  <dimension ref="A1:BB95"/>
  <sheetViews>
    <sheetView view="pageBreakPreview" zoomScale="80" zoomScaleNormal="80" zoomScaleSheetLayoutView="80" workbookViewId="0">
      <pane xSplit="1" ySplit="5" topLeftCell="AT64" activePane="bottomRight" state="frozen"/>
      <selection activeCell="B4" sqref="A4:XFD4"/>
      <selection pane="topRight" activeCell="B4" sqref="A4:XFD4"/>
      <selection pane="bottomLeft" activeCell="B4" sqref="A4:XFD4"/>
      <selection pane="bottomRight" activeCell="AT83" sqref="AT83"/>
    </sheetView>
  </sheetViews>
  <sheetFormatPr defaultRowHeight="13.5"/>
  <cols>
    <col min="1" max="1" width="23.625" style="1" customWidth="1"/>
    <col min="2" max="2" width="11.625" style="1" customWidth="1"/>
    <col min="3" max="3" width="7.875" style="1" customWidth="1"/>
    <col min="4" max="4" width="12.5" style="1" customWidth="1"/>
    <col min="5" max="5" width="7.75" style="1" customWidth="1"/>
    <col min="6" max="6" width="11.625" style="1" customWidth="1"/>
    <col min="7" max="7" width="8.375" style="1" customWidth="1"/>
    <col min="8" max="8" width="12.5" style="1" customWidth="1"/>
    <col min="9" max="9" width="7.375" style="1" customWidth="1"/>
    <col min="10" max="10" width="11.625" style="1" customWidth="1"/>
    <col min="11" max="11" width="8.375" style="1" customWidth="1"/>
    <col min="12" max="12" width="12.5" style="1" customWidth="1"/>
    <col min="13" max="13" width="7.25" style="1" customWidth="1"/>
    <col min="14" max="14" width="11.625" style="1" customWidth="1"/>
    <col min="15" max="15" width="8.375" style="1" customWidth="1"/>
    <col min="16" max="16" width="12.5" style="1" customWidth="1"/>
    <col min="17" max="17" width="7.375" style="1" customWidth="1"/>
    <col min="18" max="18" width="11.625" style="1" customWidth="1"/>
    <col min="19" max="19" width="8.375" style="1" customWidth="1"/>
    <col min="20" max="20" width="12.625" style="1" customWidth="1"/>
    <col min="21" max="21" width="7.25" style="1" customWidth="1"/>
    <col min="22" max="22" width="11.625" style="1" customWidth="1"/>
    <col min="23" max="23" width="8.375" style="1" customWidth="1"/>
    <col min="24" max="24" width="12.625" style="1" customWidth="1"/>
    <col min="25" max="25" width="7.375" style="1" customWidth="1"/>
    <col min="26" max="26" width="11.625" style="1" customWidth="1"/>
    <col min="27" max="27" width="8.375" style="1" customWidth="1"/>
    <col min="28" max="28" width="12.625" style="1" customWidth="1"/>
    <col min="29" max="29" width="7.375" style="1" customWidth="1"/>
    <col min="30" max="30" width="11.625" style="1" customWidth="1"/>
    <col min="31" max="31" width="8.375" style="1" customWidth="1"/>
    <col min="32" max="32" width="12.625" style="1" customWidth="1"/>
    <col min="33" max="33" width="7.375" style="1" customWidth="1"/>
    <col min="34" max="34" width="11.625" style="1" customWidth="1"/>
    <col min="35" max="35" width="8.375" style="1" customWidth="1"/>
    <col min="36" max="36" width="12.625" style="1" customWidth="1"/>
    <col min="37" max="37" width="8.375" style="1" customWidth="1"/>
    <col min="38" max="38" width="11.625" style="1" customWidth="1"/>
    <col min="39" max="39" width="7.375" style="1" customWidth="1"/>
    <col min="40" max="40" width="12.625" style="1" customWidth="1"/>
    <col min="41" max="41" width="8.125" style="1" customWidth="1"/>
    <col min="42" max="42" width="13.625" style="1" customWidth="1"/>
    <col min="43" max="43" width="7.375" style="1" customWidth="1"/>
    <col min="44" max="44" width="13.625" style="1" customWidth="1"/>
    <col min="45" max="45" width="8.375" style="1" customWidth="1"/>
    <col min="46" max="46" width="13.625" style="1" customWidth="1"/>
    <col min="47" max="47" width="7.375" style="1" customWidth="1"/>
    <col min="48" max="48" width="13.625" style="1" customWidth="1"/>
    <col min="49" max="49" width="8.375" style="1" customWidth="1"/>
    <col min="50" max="50" width="13.625" style="1" customWidth="1"/>
    <col min="51" max="51" width="8.75" style="1" bestFit="1" customWidth="1"/>
    <col min="52" max="52" width="13.625" style="1" customWidth="1"/>
    <col min="53" max="53" width="8.375" style="1" customWidth="1"/>
  </cols>
  <sheetData>
    <row r="1" spans="1:54" ht="8.25" customHeight="1" thickBot="1"/>
    <row r="2" spans="1:54" ht="14.25" customHeight="1" thickTop="1">
      <c r="A2" s="798" t="s">
        <v>0</v>
      </c>
      <c r="B2" s="759" t="s">
        <v>71</v>
      </c>
      <c r="C2" s="760"/>
      <c r="D2" s="760"/>
      <c r="E2" s="761"/>
      <c r="F2" s="812" t="s">
        <v>82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4"/>
      <c r="AD2" s="807" t="s">
        <v>83</v>
      </c>
      <c r="AE2" s="808"/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759" t="s">
        <v>81</v>
      </c>
      <c r="AQ2" s="760"/>
      <c r="AR2" s="760"/>
      <c r="AS2" s="761"/>
      <c r="AT2" s="759" t="s">
        <v>88</v>
      </c>
      <c r="AU2" s="760"/>
      <c r="AV2" s="760"/>
      <c r="AW2" s="761"/>
      <c r="AX2" s="759" t="s">
        <v>89</v>
      </c>
      <c r="AY2" s="760"/>
      <c r="AZ2" s="760"/>
      <c r="BA2" s="761"/>
    </row>
    <row r="3" spans="1:54">
      <c r="A3" s="799"/>
      <c r="B3" s="762"/>
      <c r="C3" s="763"/>
      <c r="D3" s="763"/>
      <c r="E3" s="764"/>
      <c r="F3" s="784" t="s">
        <v>73</v>
      </c>
      <c r="G3" s="785"/>
      <c r="H3" s="785"/>
      <c r="I3" s="785"/>
      <c r="J3" s="786" t="s">
        <v>74</v>
      </c>
      <c r="K3" s="787"/>
      <c r="L3" s="787"/>
      <c r="M3" s="787"/>
      <c r="N3" s="788" t="s">
        <v>92</v>
      </c>
      <c r="O3" s="789"/>
      <c r="P3" s="789"/>
      <c r="Q3" s="790"/>
      <c r="R3" s="820" t="s">
        <v>75</v>
      </c>
      <c r="S3" s="789"/>
      <c r="T3" s="789"/>
      <c r="U3" s="790"/>
      <c r="V3" s="789" t="s">
        <v>76</v>
      </c>
      <c r="W3" s="789"/>
      <c r="X3" s="789"/>
      <c r="Y3" s="821"/>
      <c r="Z3" s="816" t="s">
        <v>79</v>
      </c>
      <c r="AA3" s="817"/>
      <c r="AB3" s="817"/>
      <c r="AC3" s="818"/>
      <c r="AD3" s="819" t="s">
        <v>77</v>
      </c>
      <c r="AE3" s="805"/>
      <c r="AF3" s="805"/>
      <c r="AG3" s="805"/>
      <c r="AH3" s="804" t="s">
        <v>78</v>
      </c>
      <c r="AI3" s="805"/>
      <c r="AJ3" s="805"/>
      <c r="AK3" s="806"/>
      <c r="AL3" s="805" t="s">
        <v>80</v>
      </c>
      <c r="AM3" s="805"/>
      <c r="AN3" s="805"/>
      <c r="AO3" s="811"/>
      <c r="AP3" s="762"/>
      <c r="AQ3" s="763"/>
      <c r="AR3" s="763"/>
      <c r="AS3" s="764"/>
      <c r="AT3" s="762"/>
      <c r="AU3" s="763"/>
      <c r="AV3" s="763"/>
      <c r="AW3" s="764"/>
      <c r="AX3" s="762"/>
      <c r="AY3" s="763"/>
      <c r="AZ3" s="763"/>
      <c r="BA3" s="764"/>
    </row>
    <row r="4" spans="1:54" ht="15.95" customHeight="1">
      <c r="A4" s="799"/>
      <c r="B4" s="779">
        <v>45869</v>
      </c>
      <c r="C4" s="776"/>
      <c r="D4" s="780" t="s">
        <v>72</v>
      </c>
      <c r="E4" s="781"/>
      <c r="F4" s="765">
        <v>45869</v>
      </c>
      <c r="G4" s="766"/>
      <c r="H4" s="767" t="s">
        <v>72</v>
      </c>
      <c r="I4" s="782"/>
      <c r="J4" s="794">
        <v>45869</v>
      </c>
      <c r="K4" s="766"/>
      <c r="L4" s="767" t="s">
        <v>72</v>
      </c>
      <c r="M4" s="782"/>
      <c r="N4" s="795">
        <v>45869</v>
      </c>
      <c r="O4" s="766"/>
      <c r="P4" s="767" t="s">
        <v>72</v>
      </c>
      <c r="Q4" s="783"/>
      <c r="R4" s="796">
        <v>45869</v>
      </c>
      <c r="S4" s="766"/>
      <c r="T4" s="767" t="s">
        <v>72</v>
      </c>
      <c r="U4" s="783"/>
      <c r="V4" s="797">
        <v>45869</v>
      </c>
      <c r="W4" s="766"/>
      <c r="X4" s="767" t="s">
        <v>72</v>
      </c>
      <c r="Y4" s="793"/>
      <c r="Z4" s="775">
        <v>45869</v>
      </c>
      <c r="AA4" s="815"/>
      <c r="AB4" s="780" t="s">
        <v>72</v>
      </c>
      <c r="AC4" s="781"/>
      <c r="AD4" s="765">
        <v>45869</v>
      </c>
      <c r="AE4" s="766"/>
      <c r="AF4" s="791" t="s">
        <v>72</v>
      </c>
      <c r="AG4" s="792"/>
      <c r="AH4" s="797">
        <v>45869</v>
      </c>
      <c r="AI4" s="766"/>
      <c r="AJ4" s="767" t="s">
        <v>72</v>
      </c>
      <c r="AK4" s="810"/>
      <c r="AL4" s="775">
        <v>45869</v>
      </c>
      <c r="AM4" s="776"/>
      <c r="AN4" s="780" t="s">
        <v>72</v>
      </c>
      <c r="AO4" s="803"/>
      <c r="AP4" s="777">
        <v>45869</v>
      </c>
      <c r="AQ4" s="778"/>
      <c r="AR4" s="801" t="s">
        <v>72</v>
      </c>
      <c r="AS4" s="802"/>
      <c r="AT4" s="765">
        <v>45504</v>
      </c>
      <c r="AU4" s="766"/>
      <c r="AV4" s="767" t="s">
        <v>72</v>
      </c>
      <c r="AW4" s="768"/>
      <c r="AX4" s="765" t="s">
        <v>90</v>
      </c>
      <c r="AY4" s="766"/>
      <c r="AZ4" s="767" t="s">
        <v>91</v>
      </c>
      <c r="BA4" s="768"/>
    </row>
    <row r="5" spans="1:54" ht="15.95" customHeight="1">
      <c r="A5" s="800"/>
      <c r="B5" s="49" t="s">
        <v>1</v>
      </c>
      <c r="C5" s="50" t="s">
        <v>2</v>
      </c>
      <c r="D5" s="47" t="s">
        <v>1</v>
      </c>
      <c r="E5" s="51" t="s">
        <v>2</v>
      </c>
      <c r="F5" s="2" t="s">
        <v>1</v>
      </c>
      <c r="G5" s="4" t="s">
        <v>2</v>
      </c>
      <c r="H5" s="29" t="s">
        <v>1</v>
      </c>
      <c r="I5" s="5" t="s">
        <v>2</v>
      </c>
      <c r="J5" s="30" t="s">
        <v>1</v>
      </c>
      <c r="K5" s="4" t="s">
        <v>2</v>
      </c>
      <c r="L5" s="29" t="s">
        <v>1</v>
      </c>
      <c r="M5" s="5" t="s">
        <v>2</v>
      </c>
      <c r="N5" s="222" t="s">
        <v>1</v>
      </c>
      <c r="O5" s="4" t="s">
        <v>2</v>
      </c>
      <c r="P5" s="33" t="s">
        <v>1</v>
      </c>
      <c r="Q5" s="72" t="s">
        <v>2</v>
      </c>
      <c r="R5" s="67" t="s">
        <v>1</v>
      </c>
      <c r="S5" s="4" t="s">
        <v>2</v>
      </c>
      <c r="T5" s="33" t="s">
        <v>1</v>
      </c>
      <c r="U5" s="72" t="s">
        <v>2</v>
      </c>
      <c r="V5" s="3" t="s">
        <v>1</v>
      </c>
      <c r="W5" s="4" t="s">
        <v>2</v>
      </c>
      <c r="X5" s="33" t="s">
        <v>1</v>
      </c>
      <c r="Y5" s="223" t="s">
        <v>2</v>
      </c>
      <c r="Z5" s="52" t="s">
        <v>1</v>
      </c>
      <c r="AA5" s="74" t="s">
        <v>2</v>
      </c>
      <c r="AB5" s="76" t="s">
        <v>1</v>
      </c>
      <c r="AC5" s="332" t="s">
        <v>2</v>
      </c>
      <c r="AD5" s="2" t="s">
        <v>1</v>
      </c>
      <c r="AE5" s="4" t="s">
        <v>2</v>
      </c>
      <c r="AF5" s="29" t="s">
        <v>1</v>
      </c>
      <c r="AG5" s="6" t="s">
        <v>2</v>
      </c>
      <c r="AH5" s="3" t="s">
        <v>1</v>
      </c>
      <c r="AI5" s="4" t="s">
        <v>2</v>
      </c>
      <c r="AJ5" s="33" t="s">
        <v>1</v>
      </c>
      <c r="AK5" s="96" t="s">
        <v>2</v>
      </c>
      <c r="AL5" s="114" t="s">
        <v>1</v>
      </c>
      <c r="AM5" s="312" t="s">
        <v>2</v>
      </c>
      <c r="AN5" s="52" t="s">
        <v>1</v>
      </c>
      <c r="AO5" s="115" t="s">
        <v>2</v>
      </c>
      <c r="AP5" s="278" t="s">
        <v>1</v>
      </c>
      <c r="AQ5" s="279" t="s">
        <v>2</v>
      </c>
      <c r="AR5" s="280" t="s">
        <v>1</v>
      </c>
      <c r="AS5" s="281" t="s">
        <v>2</v>
      </c>
      <c r="AT5" s="116" t="s">
        <v>1</v>
      </c>
      <c r="AU5" s="5" t="s">
        <v>2</v>
      </c>
      <c r="AV5" s="33" t="s">
        <v>1</v>
      </c>
      <c r="AW5" s="117" t="s">
        <v>2</v>
      </c>
      <c r="AX5" s="116" t="s">
        <v>1</v>
      </c>
      <c r="AY5" s="5" t="s">
        <v>2</v>
      </c>
      <c r="AZ5" s="33" t="s">
        <v>1</v>
      </c>
      <c r="BA5" s="117" t="s">
        <v>2</v>
      </c>
    </row>
    <row r="6" spans="1:54" ht="15.95" customHeight="1">
      <c r="A6" s="253" t="s">
        <v>3</v>
      </c>
      <c r="B6" s="721"/>
      <c r="C6" s="258" t="str">
        <f t="shared" ref="C6:C11" si="0">IF(ISERR(B6/$B$11),"",B6/$B$11)</f>
        <v/>
      </c>
      <c r="D6" s="723"/>
      <c r="E6" s="118" t="str">
        <f t="shared" ref="E6:E11" si="1">IF(ISERR(D6/$D$11),"",D6/$D$11)</f>
        <v/>
      </c>
      <c r="F6" s="351">
        <f>[2]本社営業!$I$5</f>
        <v>436730147</v>
      </c>
      <c r="G6" s="7">
        <f t="shared" ref="G6:G11" si="2">IF(ISERR(F6/$F$11),"",F6/$F$11)</f>
        <v>0.83946412094591638</v>
      </c>
      <c r="H6" s="354">
        <f>[2]本社営業!$L$5</f>
        <v>870401689</v>
      </c>
      <c r="I6" s="120">
        <f>IF(ISERR(H6/$H$11),"",H6/$H$11)</f>
        <v>0.82502430603713739</v>
      </c>
      <c r="J6" s="387">
        <f>[2]東大阪!$I$5</f>
        <v>486450</v>
      </c>
      <c r="K6" s="7">
        <f>IF(ISERR(J6/$J$11),"",J6/$J$11)</f>
        <v>5.1858301096683934E-2</v>
      </c>
      <c r="L6" s="354">
        <f>[2]東大阪!$L$5</f>
        <v>999385</v>
      </c>
      <c r="M6" s="120">
        <f t="shared" ref="M6:M11" si="3">IF(ISERR(L6/$L$11),"",L6/$L$11)</f>
        <v>5.4736141166813058E-2</v>
      </c>
      <c r="N6" s="402">
        <f>[2]南港工場!$I$5</f>
        <v>3474164</v>
      </c>
      <c r="O6" s="7">
        <f t="shared" ref="O6:O11" si="4">IF(ISERR(N6/$N$11),"",N6/$N$11)</f>
        <v>0.12489588905569649</v>
      </c>
      <c r="P6" s="354">
        <f>[2]南港工場!$L$5</f>
        <v>7161674</v>
      </c>
      <c r="Q6" s="203">
        <f t="shared" ref="Q6:Q11" si="5">IF(ISERR(P6/$P$11),"",P6/$P$11)</f>
        <v>0.12779814525792962</v>
      </c>
      <c r="R6" s="436"/>
      <c r="S6" s="7" t="str">
        <f t="shared" ref="S6:S11" si="6">IF(ISERR(R6/$R$11),"",R6/$R$11)</f>
        <v/>
      </c>
      <c r="T6" s="354">
        <f>[2]南港事務!$L$5</f>
        <v>0</v>
      </c>
      <c r="U6" s="203" t="str">
        <f t="shared" ref="U6:U11" si="7">IF(ISERR(T6/$T$11),"",T6/$T$11)</f>
        <v/>
      </c>
      <c r="V6" s="455">
        <f>N6+R6</f>
        <v>3474164</v>
      </c>
      <c r="W6" s="174">
        <f t="shared" ref="W6:W11" si="8">IF(ISERR(V6/$V$11),"",V6/$V$11)</f>
        <v>0.12489588905569649</v>
      </c>
      <c r="X6" s="406">
        <f>P6+T6</f>
        <v>7161674</v>
      </c>
      <c r="Y6" s="224">
        <f t="shared" ref="Y6:Y11" si="9">IF(ISERR(X6/$X$11),"",X6/$X$11)</f>
        <v>0.12779814525792962</v>
      </c>
      <c r="Z6" s="459">
        <f>F6+J6+N6+R6</f>
        <v>440690761</v>
      </c>
      <c r="AA6" s="188">
        <f t="shared" ref="AA6:AA11" si="10">IF(ISERR(Z6/$Z$11),"",Z6/$Z$11)</f>
        <v>0.79055386507465808</v>
      </c>
      <c r="AB6" s="462">
        <f>H6+L6+P6+T6</f>
        <v>878562748</v>
      </c>
      <c r="AC6" s="119">
        <f t="shared" ref="AC6:AC11" si="11">IF(ISERR(AB6/$AB$11),"",AB6/$AB$11)</f>
        <v>0.77797215568297673</v>
      </c>
      <c r="AD6" s="351">
        <f>[2]東京事務!$I$5</f>
        <v>149072563</v>
      </c>
      <c r="AE6" s="7">
        <f t="shared" ref="AE6:AE11" si="12">IF(ISERR(AD6/$AD$11),"",AD6/$AD$11)</f>
        <v>0.61512127198075295</v>
      </c>
      <c r="AF6" s="354">
        <f>[2]東京事務!$L$5</f>
        <v>306816148</v>
      </c>
      <c r="AG6" s="80">
        <f t="shared" ref="AG6:AG11" si="13">IF(ISERR(AF6/$AF$11),"",AF6/$AF$11)</f>
        <v>0.62788810101993009</v>
      </c>
      <c r="AH6" s="467">
        <f>[2]東京工場!$I$5</f>
        <v>0</v>
      </c>
      <c r="AI6" s="169">
        <f>IF(ISERR(AH6/$AH$11),"",AH6/$AH$11)</f>
        <v>0</v>
      </c>
      <c r="AJ6" s="354">
        <f>[2]東京工場!$L$5</f>
        <v>0</v>
      </c>
      <c r="AK6" s="97">
        <f t="shared" ref="AK6:AK11" si="14">IF(ISERR(AJ6/$AJ$11),"",AJ6/$AJ$11)</f>
        <v>0</v>
      </c>
      <c r="AL6" s="472">
        <f>AD6+AH6</f>
        <v>149072563</v>
      </c>
      <c r="AM6" s="313">
        <f t="shared" ref="AM6:AM11" si="15">IF(ISERR(AL6/$AL$11),"",AL6/AL$11)</f>
        <v>0.58942857485496958</v>
      </c>
      <c r="AN6" s="477">
        <f>AF6+AJ6</f>
        <v>306816148</v>
      </c>
      <c r="AO6" s="119">
        <f t="shared" ref="AO6:AO11" si="16">IF(ISERR(AN6/$AN$11),"",AN6/$AN$11)</f>
        <v>0.60275671440894929</v>
      </c>
      <c r="AP6" s="481">
        <f>B6+Z6+AL6</f>
        <v>589763324</v>
      </c>
      <c r="AQ6" s="282">
        <f t="shared" ref="AQ6:AQ11" si="17">IF(ISERR(AP6/$AP$11),"",AP6/$AP$11)</f>
        <v>0.72778310011006486</v>
      </c>
      <c r="AR6" s="486">
        <f>D6+AB6+AN6</f>
        <v>1185378896</v>
      </c>
      <c r="AS6" s="283">
        <f t="shared" ref="AS6:AS11" si="18">IF(ISERR(AR6/$AR$11),"",AR6/$AR$11)</f>
        <v>0.72353319760490276</v>
      </c>
      <c r="AT6" s="573">
        <f>[2]全社合計!$G$5</f>
        <v>690388950</v>
      </c>
      <c r="AU6" s="120">
        <f>IF(ISERR(AT6/$AT$11),"",AT6/$AT$11)</f>
        <v>0.73996385319471669</v>
      </c>
      <c r="AV6" s="577">
        <f>[2]全社合計!$N$5</f>
        <v>1345738960</v>
      </c>
      <c r="AW6" s="121">
        <f>IF(ISERR(AV6/$AV$11),"",AV6/$AV$11)</f>
        <v>0.70824213482118092</v>
      </c>
      <c r="AX6" s="573">
        <f>AP6-AT6</f>
        <v>-100625626</v>
      </c>
      <c r="AY6" s="120">
        <f>IF(ISERROR(AP6/AT6),"",AP6/AT6)</f>
        <v>0.85424791923451271</v>
      </c>
      <c r="AZ6" s="577">
        <f>AR6-AV6</f>
        <v>-160360064</v>
      </c>
      <c r="BA6" s="121">
        <f>IF(ISERROR(AR6/AV6),"",AR6/AV6)</f>
        <v>0.88083865536597084</v>
      </c>
      <c r="BB6" s="8"/>
    </row>
    <row r="7" spans="1:54" ht="15.95" customHeight="1">
      <c r="A7" s="254" t="s">
        <v>53</v>
      </c>
      <c r="B7" s="719"/>
      <c r="C7" s="259" t="str">
        <f t="shared" si="0"/>
        <v/>
      </c>
      <c r="D7" s="723"/>
      <c r="E7" s="122" t="str">
        <f t="shared" si="1"/>
        <v/>
      </c>
      <c r="F7" s="352">
        <f>[2]本社営業!$I$6</f>
        <v>44666319</v>
      </c>
      <c r="G7" s="9">
        <f t="shared" si="2"/>
        <v>8.5855699389639079E-2</v>
      </c>
      <c r="H7" s="355">
        <f>[2]本社営業!$L$6</f>
        <v>79096692</v>
      </c>
      <c r="I7" s="124">
        <f t="shared" ref="I7:I73" si="19">IF(ISERR(H7/$H$11),"",H7/$H$11)</f>
        <v>7.4973077662689597E-2</v>
      </c>
      <c r="J7" s="388">
        <f>[2]東大阪!$I$6</f>
        <v>0</v>
      </c>
      <c r="K7" s="9">
        <f t="shared" ref="K7:K73" si="20">IF(ISERR(J7/$J$11),"",J7/$J$11)</f>
        <v>0</v>
      </c>
      <c r="L7" s="355">
        <f>[2]東大阪!$L$6</f>
        <v>0</v>
      </c>
      <c r="M7" s="124">
        <f t="shared" si="3"/>
        <v>0</v>
      </c>
      <c r="N7" s="403">
        <f>[2]南港工場!$I$6</f>
        <v>0</v>
      </c>
      <c r="O7" s="9">
        <f>IF(ISERR(N7/$N$11),"",N7/$N$11)</f>
        <v>0</v>
      </c>
      <c r="P7" s="355">
        <f>[2]南港工場!$L$6</f>
        <v>0</v>
      </c>
      <c r="Q7" s="204">
        <f t="shared" si="5"/>
        <v>0</v>
      </c>
      <c r="R7" s="437"/>
      <c r="S7" s="9" t="str">
        <f t="shared" si="6"/>
        <v/>
      </c>
      <c r="T7" s="355">
        <f>[2]南港事務!$L$6</f>
        <v>0</v>
      </c>
      <c r="U7" s="204" t="str">
        <f t="shared" si="7"/>
        <v/>
      </c>
      <c r="V7" s="456">
        <f t="shared" ref="V7:V73" si="21">N7+R7</f>
        <v>0</v>
      </c>
      <c r="W7" s="171">
        <f t="shared" si="8"/>
        <v>0</v>
      </c>
      <c r="X7" s="407">
        <f t="shared" ref="X7:X73" si="22">P7+T7</f>
        <v>0</v>
      </c>
      <c r="Y7" s="225">
        <f t="shared" si="9"/>
        <v>0</v>
      </c>
      <c r="Z7" s="460">
        <f t="shared" ref="Z7:Z73" si="23">F7+J7+N7+R7</f>
        <v>44666319</v>
      </c>
      <c r="AA7" s="189">
        <f t="shared" si="10"/>
        <v>8.0126778796044781E-2</v>
      </c>
      <c r="AB7" s="463">
        <f t="shared" ref="AB7:AB73" si="24">H7+L7+P7+T7</f>
        <v>79096692</v>
      </c>
      <c r="AC7" s="123">
        <f t="shared" si="11"/>
        <v>7.0040556719157029E-2</v>
      </c>
      <c r="AD7" s="352">
        <f>[2]東京事務!$I$6</f>
        <v>0</v>
      </c>
      <c r="AE7" s="9">
        <f t="shared" si="12"/>
        <v>0</v>
      </c>
      <c r="AF7" s="355">
        <f>[2]東京事務!$L$6</f>
        <v>0</v>
      </c>
      <c r="AG7" s="81">
        <f t="shared" si="13"/>
        <v>0</v>
      </c>
      <c r="AH7" s="468">
        <f>[2]東京工場!$I$6</f>
        <v>0</v>
      </c>
      <c r="AI7" s="170">
        <f t="shared" ref="AI7:AI73" si="25">IF(ISERR(AH7/$AH$11),"",AH7/$AH$11)</f>
        <v>0</v>
      </c>
      <c r="AJ7" s="355">
        <f>[2]東京工場!$L$6</f>
        <v>0</v>
      </c>
      <c r="AK7" s="98">
        <f t="shared" si="14"/>
        <v>0</v>
      </c>
      <c r="AL7" s="473">
        <f t="shared" ref="AL7:AL73" si="26">AD7+AH7</f>
        <v>0</v>
      </c>
      <c r="AM7" s="314">
        <f t="shared" si="15"/>
        <v>0</v>
      </c>
      <c r="AN7" s="478">
        <f t="shared" ref="AN7:AN73" si="27">AF7+AJ7</f>
        <v>0</v>
      </c>
      <c r="AO7" s="123">
        <f t="shared" si="16"/>
        <v>0</v>
      </c>
      <c r="AP7" s="482">
        <f t="shared" ref="AP7:AP73" si="28">B7+Z7+AL7</f>
        <v>44666319</v>
      </c>
      <c r="AQ7" s="284">
        <f t="shared" si="17"/>
        <v>5.511938567465937E-2</v>
      </c>
      <c r="AR7" s="487">
        <f t="shared" ref="AR7:AR73" si="29">D7+AB7+AN7</f>
        <v>79096692</v>
      </c>
      <c r="AS7" s="285">
        <f t="shared" si="18"/>
        <v>4.8279147431970253E-2</v>
      </c>
      <c r="AT7" s="574">
        <f>[2]全社合計!$G$6</f>
        <v>24215359</v>
      </c>
      <c r="AU7" s="124">
        <f t="shared" ref="AU7:AU73" si="30">IF(ISERR(AT7/$AT$11),"",AT7/$AT$11)</f>
        <v>2.5954196329668024E-2</v>
      </c>
      <c r="AV7" s="578">
        <f>[2]全社合計!$N$6</f>
        <v>104238567</v>
      </c>
      <c r="AW7" s="125">
        <f t="shared" ref="AW7:AW73" si="31">IF(ISERR(AV7/$AV$11),"",AV7/$AV$11)</f>
        <v>5.485918697247251E-2</v>
      </c>
      <c r="AX7" s="574">
        <f t="shared" ref="AX7:AX73" si="32">AP7-AT7</f>
        <v>20450960</v>
      </c>
      <c r="AY7" s="124">
        <f t="shared" ref="AY7:AY73" si="33">IF(ISERROR(AP7/AT7),"",AP7/AT7)</f>
        <v>1.8445449848585767</v>
      </c>
      <c r="AZ7" s="578">
        <f t="shared" ref="AZ7:AZ73" si="34">AR7-AV7</f>
        <v>-25141875</v>
      </c>
      <c r="BA7" s="125">
        <f t="shared" ref="BA7:BA73" si="35">IF(ISERROR(AR7/AV7),"",AR7/AV7)</f>
        <v>0.75880448356508967</v>
      </c>
      <c r="BB7" s="8"/>
    </row>
    <row r="8" spans="1:54" ht="15.95" customHeight="1">
      <c r="A8" s="255" t="s">
        <v>4</v>
      </c>
      <c r="B8" s="706"/>
      <c r="C8" s="259" t="str">
        <f t="shared" si="0"/>
        <v/>
      </c>
      <c r="D8" s="723"/>
      <c r="E8" s="122" t="str">
        <f t="shared" si="1"/>
        <v/>
      </c>
      <c r="F8" s="352">
        <f>[2]本社営業!$I$7</f>
        <v>1489357</v>
      </c>
      <c r="G8" s="9">
        <f t="shared" si="2"/>
        <v>2.8627787052668183E-3</v>
      </c>
      <c r="H8" s="356">
        <f>[2]本社営業!$L$7</f>
        <v>4475067</v>
      </c>
      <c r="I8" s="124">
        <f t="shared" si="19"/>
        <v>4.2417645700877013E-3</v>
      </c>
      <c r="J8" s="388">
        <f>[2]東大阪!$I$7</f>
        <v>0</v>
      </c>
      <c r="K8" s="9">
        <f t="shared" si="20"/>
        <v>0</v>
      </c>
      <c r="L8" s="356">
        <f>[2]東大阪!$L$7</f>
        <v>0</v>
      </c>
      <c r="M8" s="124">
        <f t="shared" si="3"/>
        <v>0</v>
      </c>
      <c r="N8" s="403">
        <f>[2]南港工場!$I$7</f>
        <v>14579426</v>
      </c>
      <c r="O8" s="9">
        <f t="shared" si="4"/>
        <v>0.52412907743898585</v>
      </c>
      <c r="P8" s="356">
        <f>[2]南港工場!$L$7</f>
        <v>29273546</v>
      </c>
      <c r="Q8" s="204">
        <f t="shared" si="5"/>
        <v>0.52237855059064187</v>
      </c>
      <c r="R8" s="437"/>
      <c r="S8" s="9" t="str">
        <f t="shared" si="6"/>
        <v/>
      </c>
      <c r="T8" s="356">
        <f>[2]南港事務!$L$7</f>
        <v>0</v>
      </c>
      <c r="U8" s="204" t="str">
        <f t="shared" si="7"/>
        <v/>
      </c>
      <c r="V8" s="456">
        <f t="shared" si="21"/>
        <v>14579426</v>
      </c>
      <c r="W8" s="171">
        <f t="shared" si="8"/>
        <v>0.52412907743898585</v>
      </c>
      <c r="X8" s="408">
        <f t="shared" si="22"/>
        <v>29273546</v>
      </c>
      <c r="Y8" s="225">
        <f t="shared" si="9"/>
        <v>0.52237855059064187</v>
      </c>
      <c r="Z8" s="460">
        <f t="shared" si="23"/>
        <v>16068783</v>
      </c>
      <c r="AA8" s="189">
        <f t="shared" si="10"/>
        <v>2.8825742747295671E-2</v>
      </c>
      <c r="AB8" s="464">
        <f t="shared" si="24"/>
        <v>33748613</v>
      </c>
      <c r="AC8" s="123">
        <f t="shared" si="11"/>
        <v>2.988458282198932E-2</v>
      </c>
      <c r="AD8" s="352">
        <f>[2]東京事務!$I$7</f>
        <v>217128</v>
      </c>
      <c r="AE8" s="9">
        <f t="shared" si="12"/>
        <v>8.9593986213705153E-4</v>
      </c>
      <c r="AF8" s="356">
        <f>[2]東京事務!$L$7</f>
        <v>331624</v>
      </c>
      <c r="AG8" s="81">
        <f t="shared" si="13"/>
        <v>6.7865646893081164E-4</v>
      </c>
      <c r="AH8" s="468">
        <f>[2]東京工場!$I$7</f>
        <v>0</v>
      </c>
      <c r="AI8" s="171">
        <f t="shared" si="25"/>
        <v>0</v>
      </c>
      <c r="AJ8" s="356">
        <f>[2]東京工場!$L$7</f>
        <v>0</v>
      </c>
      <c r="AK8" s="99">
        <f t="shared" si="14"/>
        <v>0</v>
      </c>
      <c r="AL8" s="474">
        <f t="shared" si="26"/>
        <v>217128</v>
      </c>
      <c r="AM8" s="314">
        <f t="shared" si="15"/>
        <v>8.5851779177573975E-4</v>
      </c>
      <c r="AN8" s="478">
        <f t="shared" si="27"/>
        <v>331624</v>
      </c>
      <c r="AO8" s="123">
        <f t="shared" si="16"/>
        <v>6.5149306502327057E-4</v>
      </c>
      <c r="AP8" s="483">
        <f t="shared" si="28"/>
        <v>16285911</v>
      </c>
      <c r="AQ8" s="284">
        <f t="shared" si="17"/>
        <v>2.0097232759927617E-2</v>
      </c>
      <c r="AR8" s="487">
        <f t="shared" si="29"/>
        <v>34080237</v>
      </c>
      <c r="AS8" s="285">
        <f t="shared" si="18"/>
        <v>2.0801941838977128E-2</v>
      </c>
      <c r="AT8" s="575">
        <f>[2]全社合計!$G$7</f>
        <v>17230567</v>
      </c>
      <c r="AU8" s="124">
        <f t="shared" si="30"/>
        <v>1.8467845915045033E-2</v>
      </c>
      <c r="AV8" s="578">
        <f>[2]全社合計!$N$7</f>
        <v>31540648</v>
      </c>
      <c r="AW8" s="125">
        <f t="shared" si="31"/>
        <v>1.6599367735599637E-2</v>
      </c>
      <c r="AX8" s="575">
        <f t="shared" si="32"/>
        <v>-944656</v>
      </c>
      <c r="AY8" s="124">
        <f t="shared" si="33"/>
        <v>0.94517557083292736</v>
      </c>
      <c r="AZ8" s="578">
        <f t="shared" si="34"/>
        <v>2539589</v>
      </c>
      <c r="BA8" s="125">
        <f t="shared" si="35"/>
        <v>1.0805179716028663</v>
      </c>
      <c r="BB8" s="11"/>
    </row>
    <row r="9" spans="1:54" ht="15.95" customHeight="1">
      <c r="A9" s="255" t="s">
        <v>5</v>
      </c>
      <c r="B9" s="706"/>
      <c r="C9" s="259" t="str">
        <f t="shared" si="0"/>
        <v/>
      </c>
      <c r="D9" s="723"/>
      <c r="E9" s="122" t="str">
        <f t="shared" si="1"/>
        <v/>
      </c>
      <c r="F9" s="352">
        <f>[2]本社営業!$I$8</f>
        <v>738300</v>
      </c>
      <c r="G9" s="9">
        <f t="shared" si="2"/>
        <v>1.4191288711158519E-3</v>
      </c>
      <c r="H9" s="356">
        <f>[2]本社営業!$L$8</f>
        <v>1474370</v>
      </c>
      <c r="I9" s="124">
        <f>IF(ISERR(H9/$H$11),"",H9/$H$11)</f>
        <v>1.3975054293489247E-3</v>
      </c>
      <c r="J9" s="388">
        <f>[2]東大阪!$I$8</f>
        <v>0</v>
      </c>
      <c r="K9" s="9">
        <f>IF(ISERR(J9/$J$11),"",J9/$J$11)</f>
        <v>0</v>
      </c>
      <c r="L9" s="356">
        <f>[2]東大阪!$L$8</f>
        <v>0</v>
      </c>
      <c r="M9" s="124">
        <f t="shared" si="3"/>
        <v>0</v>
      </c>
      <c r="N9" s="403">
        <f>[2]南港工場!$I$8</f>
        <v>4453640</v>
      </c>
      <c r="O9" s="9">
        <f t="shared" si="4"/>
        <v>0.16010796477483852</v>
      </c>
      <c r="P9" s="356">
        <f>[2]南港工場!$L$8</f>
        <v>8934552</v>
      </c>
      <c r="Q9" s="204">
        <f t="shared" si="5"/>
        <v>0.15943467607022122</v>
      </c>
      <c r="R9" s="437"/>
      <c r="S9" s="9" t="str">
        <f t="shared" si="6"/>
        <v/>
      </c>
      <c r="T9" s="356">
        <f>[2]南港事務!$L$8</f>
        <v>0</v>
      </c>
      <c r="U9" s="204" t="str">
        <f t="shared" si="7"/>
        <v/>
      </c>
      <c r="V9" s="456">
        <f t="shared" si="21"/>
        <v>4453640</v>
      </c>
      <c r="W9" s="171">
        <f t="shared" si="8"/>
        <v>0.16010796477483852</v>
      </c>
      <c r="X9" s="408">
        <f t="shared" si="22"/>
        <v>8934552</v>
      </c>
      <c r="Y9" s="225">
        <f t="shared" si="9"/>
        <v>0.15943467607022122</v>
      </c>
      <c r="Z9" s="460">
        <f t="shared" si="23"/>
        <v>5191940</v>
      </c>
      <c r="AA9" s="189">
        <f t="shared" si="10"/>
        <v>9.3138059552732959E-3</v>
      </c>
      <c r="AB9" s="464">
        <f t="shared" si="24"/>
        <v>10408922</v>
      </c>
      <c r="AC9" s="123">
        <f t="shared" si="11"/>
        <v>9.2171578013184336E-3</v>
      </c>
      <c r="AD9" s="352">
        <f>[2]東京事務!$I$8</f>
        <v>15180</v>
      </c>
      <c r="AE9" s="9">
        <f t="shared" si="12"/>
        <v>6.2637555300285738E-5</v>
      </c>
      <c r="AF9" s="356">
        <f>[2]東京事務!$L$8</f>
        <v>21180</v>
      </c>
      <c r="AG9" s="81">
        <f t="shared" si="13"/>
        <v>4.3344100583656757E-5</v>
      </c>
      <c r="AH9" s="468">
        <f>[2]東京工場!$I$8</f>
        <v>0</v>
      </c>
      <c r="AI9" s="171">
        <f t="shared" si="25"/>
        <v>0</v>
      </c>
      <c r="AJ9" s="356">
        <f>[2]東京工場!$L$8</f>
        <v>0</v>
      </c>
      <c r="AK9" s="99">
        <f t="shared" si="14"/>
        <v>0</v>
      </c>
      <c r="AL9" s="474">
        <f t="shared" si="26"/>
        <v>15180</v>
      </c>
      <c r="AM9" s="314">
        <f t="shared" si="15"/>
        <v>6.0021278136194916E-5</v>
      </c>
      <c r="AN9" s="478">
        <f t="shared" si="27"/>
        <v>21180</v>
      </c>
      <c r="AO9" s="123">
        <f t="shared" si="16"/>
        <v>4.1609241542207054E-5</v>
      </c>
      <c r="AP9" s="483">
        <f t="shared" si="28"/>
        <v>5207120</v>
      </c>
      <c r="AQ9" s="284">
        <f t="shared" si="17"/>
        <v>6.4257199151385698E-3</v>
      </c>
      <c r="AR9" s="487">
        <f t="shared" si="29"/>
        <v>10430102</v>
      </c>
      <c r="AS9" s="285">
        <f t="shared" si="18"/>
        <v>6.3663399752354726E-3</v>
      </c>
      <c r="AT9" s="575">
        <f>[2]全社合計!$G$8</f>
        <v>5828020</v>
      </c>
      <c r="AU9" s="124">
        <f t="shared" si="30"/>
        <v>6.2465138465728235E-3</v>
      </c>
      <c r="AV9" s="578">
        <f>[2]全社合計!$N$8</f>
        <v>9627907</v>
      </c>
      <c r="AW9" s="125">
        <f t="shared" si="31"/>
        <v>5.0670223648275683E-3</v>
      </c>
      <c r="AX9" s="575">
        <f t="shared" si="32"/>
        <v>-620900</v>
      </c>
      <c r="AY9" s="124">
        <f t="shared" si="33"/>
        <v>0.89346295997611536</v>
      </c>
      <c r="AZ9" s="578">
        <f t="shared" si="34"/>
        <v>802195</v>
      </c>
      <c r="BA9" s="125">
        <f t="shared" si="35"/>
        <v>1.0833197703301456</v>
      </c>
      <c r="BB9" s="11"/>
    </row>
    <row r="10" spans="1:54" ht="15.95" customHeight="1">
      <c r="A10" s="256" t="s">
        <v>6</v>
      </c>
      <c r="B10" s="720"/>
      <c r="C10" s="260" t="str">
        <f t="shared" si="0"/>
        <v/>
      </c>
      <c r="D10" s="724"/>
      <c r="E10" s="126" t="str">
        <f t="shared" si="1"/>
        <v/>
      </c>
      <c r="F10" s="353">
        <f>[2]本社営業!$I$9</f>
        <v>36624612</v>
      </c>
      <c r="G10" s="12">
        <f t="shared" si="2"/>
        <v>7.0398272088061875E-2</v>
      </c>
      <c r="H10" s="357">
        <f>[2]本社営業!$L$9</f>
        <v>99553450</v>
      </c>
      <c r="I10" s="128">
        <f>IF(ISERR(H10/$H$11),"",H10/$H$11)</f>
        <v>9.4363346300736395E-2</v>
      </c>
      <c r="J10" s="389">
        <f>[2]東大阪!$I$9</f>
        <v>8893919</v>
      </c>
      <c r="K10" s="12">
        <f t="shared" si="20"/>
        <v>0.94814169890331601</v>
      </c>
      <c r="L10" s="357">
        <f>[2]東大阪!$L$9</f>
        <v>17258844</v>
      </c>
      <c r="M10" s="128">
        <f t="shared" si="3"/>
        <v>0.94526385883318698</v>
      </c>
      <c r="N10" s="404">
        <f>[2]南港工場!$I$9</f>
        <v>5309250</v>
      </c>
      <c r="O10" s="12">
        <f t="shared" si="4"/>
        <v>0.19086706873047921</v>
      </c>
      <c r="P10" s="357">
        <f>[2]南港工場!$L$9</f>
        <v>10669179</v>
      </c>
      <c r="Q10" s="205">
        <f t="shared" si="5"/>
        <v>0.1903886280812073</v>
      </c>
      <c r="R10" s="438"/>
      <c r="S10" s="12" t="str">
        <f t="shared" si="6"/>
        <v/>
      </c>
      <c r="T10" s="357">
        <f>[2]南港事務!$L$9</f>
        <v>0</v>
      </c>
      <c r="U10" s="205" t="str">
        <f t="shared" si="7"/>
        <v/>
      </c>
      <c r="V10" s="457">
        <f t="shared" si="21"/>
        <v>5309250</v>
      </c>
      <c r="W10" s="172">
        <f t="shared" si="8"/>
        <v>0.19086706873047921</v>
      </c>
      <c r="X10" s="409">
        <f t="shared" si="22"/>
        <v>10669179</v>
      </c>
      <c r="Y10" s="226">
        <f t="shared" si="9"/>
        <v>0.1903886280812073</v>
      </c>
      <c r="Z10" s="461">
        <f t="shared" si="23"/>
        <v>50827781</v>
      </c>
      <c r="AA10" s="190">
        <f t="shared" si="10"/>
        <v>9.1179807426728127E-2</v>
      </c>
      <c r="AB10" s="465">
        <f t="shared" si="24"/>
        <v>127481473</v>
      </c>
      <c r="AC10" s="127">
        <f t="shared" si="11"/>
        <v>0.11288554697455849</v>
      </c>
      <c r="AD10" s="353">
        <f>[2]東京事務!$I$9</f>
        <v>93041752</v>
      </c>
      <c r="AE10" s="12">
        <f t="shared" si="12"/>
        <v>0.38392015060180973</v>
      </c>
      <c r="AF10" s="357">
        <f>[2]東京事務!$L$9</f>
        <v>181478862</v>
      </c>
      <c r="AG10" s="82">
        <f t="shared" si="13"/>
        <v>0.37138989841055547</v>
      </c>
      <c r="AH10" s="469">
        <f>[2]東京工場!$I$9</f>
        <v>10563686</v>
      </c>
      <c r="AI10" s="172">
        <f t="shared" si="25"/>
        <v>1</v>
      </c>
      <c r="AJ10" s="357">
        <f>[2]東京工場!$L$9</f>
        <v>20373721</v>
      </c>
      <c r="AK10" s="100">
        <f t="shared" si="14"/>
        <v>1</v>
      </c>
      <c r="AL10" s="475">
        <f t="shared" si="26"/>
        <v>103605438</v>
      </c>
      <c r="AM10" s="315">
        <f t="shared" si="15"/>
        <v>0.40965288607511841</v>
      </c>
      <c r="AN10" s="479">
        <f t="shared" si="27"/>
        <v>201852583</v>
      </c>
      <c r="AO10" s="127">
        <f t="shared" si="16"/>
        <v>0.39655018328448521</v>
      </c>
      <c r="AP10" s="484">
        <f t="shared" si="28"/>
        <v>154433219</v>
      </c>
      <c r="AQ10" s="286">
        <f t="shared" si="17"/>
        <v>0.1905745615402096</v>
      </c>
      <c r="AR10" s="488">
        <f t="shared" si="29"/>
        <v>329334056</v>
      </c>
      <c r="AS10" s="287">
        <f t="shared" si="18"/>
        <v>0.20101937314891435</v>
      </c>
      <c r="AT10" s="576">
        <f>[2]全社合計!$G$9</f>
        <v>195340719</v>
      </c>
      <c r="AU10" s="128">
        <f t="shared" si="30"/>
        <v>0.20936759071399738</v>
      </c>
      <c r="AV10" s="579">
        <f>[2]全社合計!$N$9</f>
        <v>408965326</v>
      </c>
      <c r="AW10" s="129">
        <f t="shared" si="31"/>
        <v>0.21523228810591932</v>
      </c>
      <c r="AX10" s="576">
        <f t="shared" si="32"/>
        <v>-40907500</v>
      </c>
      <c r="AY10" s="128">
        <f t="shared" si="33"/>
        <v>0.79058385671243481</v>
      </c>
      <c r="AZ10" s="579">
        <f t="shared" si="34"/>
        <v>-79631270</v>
      </c>
      <c r="BA10" s="129">
        <f t="shared" si="35"/>
        <v>0.80528601097101327</v>
      </c>
      <c r="BB10" s="11"/>
    </row>
    <row r="11" spans="1:54" ht="19.899999999999999" customHeight="1">
      <c r="A11" s="62" t="s">
        <v>7</v>
      </c>
      <c r="B11" s="722"/>
      <c r="C11" s="132" t="str">
        <f t="shared" si="0"/>
        <v/>
      </c>
      <c r="D11" s="359"/>
      <c r="E11" s="130" t="str">
        <f t="shared" si="1"/>
        <v/>
      </c>
      <c r="F11" s="358">
        <f>SUM(F6:F10)</f>
        <v>520248735</v>
      </c>
      <c r="G11" s="63">
        <f t="shared" si="2"/>
        <v>1</v>
      </c>
      <c r="H11" s="359">
        <f>SUM(H6:H10)</f>
        <v>1055001268</v>
      </c>
      <c r="I11" s="132">
        <f>IF(ISERR(H11/$H$11),"",H11/$H$11)</f>
        <v>1</v>
      </c>
      <c r="J11" s="390">
        <f>SUM(J6:J10)</f>
        <v>9380369</v>
      </c>
      <c r="K11" s="63">
        <f t="shared" si="20"/>
        <v>1</v>
      </c>
      <c r="L11" s="359">
        <f>SUM(L6:L10)</f>
        <v>18258229</v>
      </c>
      <c r="M11" s="132">
        <f t="shared" si="3"/>
        <v>1</v>
      </c>
      <c r="N11" s="405">
        <f>SUM(N6:N10)</f>
        <v>27816480</v>
      </c>
      <c r="O11" s="63">
        <f t="shared" si="4"/>
        <v>1</v>
      </c>
      <c r="P11" s="359">
        <f>SUM(P6:P10)</f>
        <v>56038951</v>
      </c>
      <c r="Q11" s="206">
        <f t="shared" si="5"/>
        <v>1</v>
      </c>
      <c r="R11" s="439">
        <f>SUM(R6:R10)</f>
        <v>0</v>
      </c>
      <c r="S11" s="63" t="str">
        <f t="shared" si="6"/>
        <v/>
      </c>
      <c r="T11" s="359">
        <f>SUM(T6:T10)</f>
        <v>0</v>
      </c>
      <c r="U11" s="206" t="str">
        <f t="shared" si="7"/>
        <v/>
      </c>
      <c r="V11" s="458">
        <f t="shared" si="21"/>
        <v>27816480</v>
      </c>
      <c r="W11" s="173">
        <f t="shared" si="8"/>
        <v>1</v>
      </c>
      <c r="X11" s="410">
        <f t="shared" si="22"/>
        <v>56038951</v>
      </c>
      <c r="Y11" s="227">
        <f t="shared" si="9"/>
        <v>1</v>
      </c>
      <c r="Z11" s="458">
        <f t="shared" si="23"/>
        <v>557445584</v>
      </c>
      <c r="AA11" s="191">
        <f t="shared" si="10"/>
        <v>1</v>
      </c>
      <c r="AB11" s="410">
        <f t="shared" si="24"/>
        <v>1129298448</v>
      </c>
      <c r="AC11" s="131">
        <f t="shared" si="11"/>
        <v>1</v>
      </c>
      <c r="AD11" s="466">
        <f>SUM(AD6:AD10)</f>
        <v>242346623</v>
      </c>
      <c r="AE11" s="63">
        <f t="shared" si="12"/>
        <v>1</v>
      </c>
      <c r="AF11" s="359">
        <f>SUM(AF6:AF10)</f>
        <v>488647814</v>
      </c>
      <c r="AG11" s="83">
        <f t="shared" si="13"/>
        <v>1</v>
      </c>
      <c r="AH11" s="470">
        <f>SUM(AH6:AH10)</f>
        <v>10563686</v>
      </c>
      <c r="AI11" s="173">
        <f t="shared" si="25"/>
        <v>1</v>
      </c>
      <c r="AJ11" s="359">
        <f>SUM(AJ6:AJ10)</f>
        <v>20373721</v>
      </c>
      <c r="AK11" s="101">
        <f t="shared" si="14"/>
        <v>1</v>
      </c>
      <c r="AL11" s="476">
        <f t="shared" si="26"/>
        <v>252910309</v>
      </c>
      <c r="AM11" s="316">
        <f t="shared" si="15"/>
        <v>1</v>
      </c>
      <c r="AN11" s="480">
        <f t="shared" si="27"/>
        <v>509021535</v>
      </c>
      <c r="AO11" s="131">
        <f t="shared" si="16"/>
        <v>1</v>
      </c>
      <c r="AP11" s="485">
        <f t="shared" si="28"/>
        <v>810355893</v>
      </c>
      <c r="AQ11" s="132">
        <f t="shared" si="17"/>
        <v>1</v>
      </c>
      <c r="AR11" s="428">
        <f t="shared" si="29"/>
        <v>1638319983</v>
      </c>
      <c r="AS11" s="131">
        <f t="shared" si="18"/>
        <v>1</v>
      </c>
      <c r="AT11" s="485">
        <f>SUM(AT6:AT10)</f>
        <v>933003615</v>
      </c>
      <c r="AU11" s="132">
        <f t="shared" si="30"/>
        <v>1</v>
      </c>
      <c r="AV11" s="410">
        <f>SUM(AV6:AV10)</f>
        <v>1900111408</v>
      </c>
      <c r="AW11" s="131">
        <f t="shared" si="31"/>
        <v>1</v>
      </c>
      <c r="AX11" s="485">
        <f t="shared" si="32"/>
        <v>-122647722</v>
      </c>
      <c r="AY11" s="132">
        <f t="shared" si="33"/>
        <v>0.86854528746922377</v>
      </c>
      <c r="AZ11" s="410">
        <f t="shared" si="34"/>
        <v>-261791425</v>
      </c>
      <c r="BA11" s="131">
        <f t="shared" si="35"/>
        <v>0.86222311812992392</v>
      </c>
      <c r="BB11" s="13"/>
    </row>
    <row r="12" spans="1:54" s="634" customFormat="1" ht="15.95" customHeight="1">
      <c r="A12" s="605" t="s">
        <v>8</v>
      </c>
      <c r="B12" s="606"/>
      <c r="C12" s="607"/>
      <c r="D12" s="608"/>
      <c r="E12" s="609"/>
      <c r="F12" s="386">
        <f>[2]本社営業!$I$11</f>
        <v>2430735</v>
      </c>
      <c r="G12" s="610"/>
      <c r="H12" s="608">
        <f>[2]本社営業!$L$11</f>
        <v>4902450</v>
      </c>
      <c r="I12" s="607"/>
      <c r="J12" s="611">
        <f>[2]東大阪!$I$11</f>
        <v>35091</v>
      </c>
      <c r="K12" s="610"/>
      <c r="L12" s="608">
        <f>[2]東大阪!$L$11</f>
        <v>52141</v>
      </c>
      <c r="M12" s="607"/>
      <c r="N12" s="612">
        <f>[2]南港工場!$I$11</f>
        <v>84804</v>
      </c>
      <c r="O12" s="610"/>
      <c r="P12" s="608">
        <f>[2]南港工場!$L$11</f>
        <v>177834</v>
      </c>
      <c r="Q12" s="614"/>
      <c r="R12" s="615"/>
      <c r="S12" s="610"/>
      <c r="T12" s="608">
        <f>[2]南港事務!$L$11</f>
        <v>0</v>
      </c>
      <c r="U12" s="614"/>
      <c r="V12" s="616">
        <f t="shared" si="21"/>
        <v>84804</v>
      </c>
      <c r="W12" s="617"/>
      <c r="X12" s="613">
        <f t="shared" si="22"/>
        <v>177834</v>
      </c>
      <c r="Y12" s="618"/>
      <c r="Z12" s="616">
        <f t="shared" si="23"/>
        <v>2550630</v>
      </c>
      <c r="AA12" s="619"/>
      <c r="AB12" s="613">
        <f t="shared" si="24"/>
        <v>5132425</v>
      </c>
      <c r="AC12" s="620"/>
      <c r="AD12" s="386">
        <f>[2]東京事務!$I$11</f>
        <v>1015914</v>
      </c>
      <c r="AE12" s="610"/>
      <c r="AF12" s="608">
        <f>[2]東京事務!$L$11</f>
        <v>2020837</v>
      </c>
      <c r="AG12" s="621"/>
      <c r="AH12" s="622"/>
      <c r="AI12" s="617">
        <f t="shared" si="25"/>
        <v>0</v>
      </c>
      <c r="AJ12" s="608">
        <f>[2]東京工場!$L$11</f>
        <v>0</v>
      </c>
      <c r="AK12" s="623"/>
      <c r="AL12" s="624">
        <f t="shared" si="26"/>
        <v>1015914</v>
      </c>
      <c r="AM12" s="625"/>
      <c r="AN12" s="626">
        <f t="shared" si="27"/>
        <v>2020837</v>
      </c>
      <c r="AO12" s="620"/>
      <c r="AP12" s="627">
        <f t="shared" si="28"/>
        <v>3566544</v>
      </c>
      <c r="AQ12" s="628"/>
      <c r="AR12" s="629">
        <f t="shared" si="29"/>
        <v>7153262</v>
      </c>
      <c r="AS12" s="630"/>
      <c r="AT12" s="631">
        <f>[2]全社合計!$G$11</f>
        <v>3844692</v>
      </c>
      <c r="AU12" s="607"/>
      <c r="AV12" s="632">
        <f>[2]全社合計!$N$11</f>
        <v>8181398</v>
      </c>
      <c r="AW12" s="620"/>
      <c r="AX12" s="631">
        <f t="shared" si="32"/>
        <v>-278148</v>
      </c>
      <c r="AY12" s="607">
        <f t="shared" si="33"/>
        <v>0.92765402274096342</v>
      </c>
      <c r="AZ12" s="632">
        <f t="shared" si="34"/>
        <v>-1028136</v>
      </c>
      <c r="BA12" s="620">
        <f t="shared" si="35"/>
        <v>0.87433247960800831</v>
      </c>
      <c r="BB12" s="633"/>
    </row>
    <row r="13" spans="1:54" s="634" customFormat="1" ht="15.95" customHeight="1">
      <c r="A13" s="635" t="s">
        <v>9</v>
      </c>
      <c r="B13" s="636"/>
      <c r="C13" s="637"/>
      <c r="D13" s="638"/>
      <c r="E13" s="639"/>
      <c r="F13" s="640"/>
      <c r="G13" s="641"/>
      <c r="H13" s="638">
        <f>[2]本社営業!$N$12</f>
        <v>0</v>
      </c>
      <c r="I13" s="637"/>
      <c r="J13" s="642"/>
      <c r="K13" s="641"/>
      <c r="L13" s="638">
        <f>[2]東大阪!$L$12</f>
        <v>0</v>
      </c>
      <c r="M13" s="637"/>
      <c r="N13" s="643">
        <f>[2]南港工場!$I$12</f>
        <v>3888320</v>
      </c>
      <c r="O13" s="641"/>
      <c r="P13" s="638">
        <f>[2]南港工場!$L$12</f>
        <v>7864961</v>
      </c>
      <c r="Q13" s="645"/>
      <c r="R13" s="646"/>
      <c r="S13" s="641"/>
      <c r="T13" s="638">
        <f>[2]南港事務!$N$12</f>
        <v>0</v>
      </c>
      <c r="U13" s="645"/>
      <c r="V13" s="647">
        <f t="shared" si="21"/>
        <v>3888320</v>
      </c>
      <c r="W13" s="648"/>
      <c r="X13" s="644">
        <f t="shared" si="22"/>
        <v>7864961</v>
      </c>
      <c r="Y13" s="649"/>
      <c r="Z13" s="647">
        <f t="shared" si="23"/>
        <v>3888320</v>
      </c>
      <c r="AA13" s="650"/>
      <c r="AB13" s="644">
        <f t="shared" si="24"/>
        <v>7864961</v>
      </c>
      <c r="AC13" s="651"/>
      <c r="AD13" s="640"/>
      <c r="AE13" s="641"/>
      <c r="AF13" s="638">
        <f>[2]東京事務!$L$12</f>
        <v>0</v>
      </c>
      <c r="AG13" s="652"/>
      <c r="AH13" s="653"/>
      <c r="AI13" s="648">
        <f t="shared" si="25"/>
        <v>0</v>
      </c>
      <c r="AJ13" s="638">
        <f>[2]東京工場!$L$12</f>
        <v>0</v>
      </c>
      <c r="AK13" s="654"/>
      <c r="AL13" s="655">
        <f t="shared" si="26"/>
        <v>0</v>
      </c>
      <c r="AM13" s="656"/>
      <c r="AN13" s="657">
        <f t="shared" si="27"/>
        <v>0</v>
      </c>
      <c r="AO13" s="651"/>
      <c r="AP13" s="658">
        <f t="shared" si="28"/>
        <v>3888320</v>
      </c>
      <c r="AQ13" s="659"/>
      <c r="AR13" s="660">
        <f t="shared" si="29"/>
        <v>7864961</v>
      </c>
      <c r="AS13" s="661"/>
      <c r="AT13" s="662">
        <f>[2]全社合計!$G$12</f>
        <v>4081128</v>
      </c>
      <c r="AU13" s="637"/>
      <c r="AV13" s="663">
        <f>[2]全社合計!$N$12</f>
        <v>7616916</v>
      </c>
      <c r="AW13" s="651"/>
      <c r="AX13" s="662">
        <f t="shared" si="32"/>
        <v>-192808</v>
      </c>
      <c r="AY13" s="637">
        <f t="shared" si="33"/>
        <v>0.95275619877641671</v>
      </c>
      <c r="AZ13" s="663">
        <f t="shared" si="34"/>
        <v>248045</v>
      </c>
      <c r="BA13" s="651">
        <f t="shared" si="35"/>
        <v>1.0325650171276668</v>
      </c>
      <c r="BB13" s="633"/>
    </row>
    <row r="14" spans="1:54" ht="15.95" customHeight="1">
      <c r="A14" s="35" t="s">
        <v>10</v>
      </c>
      <c r="B14" s="705"/>
      <c r="C14" s="258" t="str">
        <f>IF(ISERR(B14/$B$11),"",B14/$B$11)</f>
        <v/>
      </c>
      <c r="D14" s="725"/>
      <c r="E14" s="118" t="str">
        <f>IF(ISERR(D14/$D$11),"",D14/$D$11)</f>
        <v/>
      </c>
      <c r="F14" s="351">
        <f>[2]本社営業!$I$14</f>
        <v>1212643896</v>
      </c>
      <c r="G14" s="7">
        <f>IF(ISERR(F14/$F$11),"",F14/$F$11)</f>
        <v>2.3308925412379908</v>
      </c>
      <c r="H14" s="360">
        <f>[2]本社営業!$L$14</f>
        <v>1205973702</v>
      </c>
      <c r="I14" s="120">
        <f>IF(ISERR(H14/$H$11),"",H14/$H$11)</f>
        <v>1.1431016611820792</v>
      </c>
      <c r="J14" s="387"/>
      <c r="K14" s="7">
        <f t="shared" si="20"/>
        <v>0</v>
      </c>
      <c r="L14" s="360">
        <f>[2]東大阪!$L$14</f>
        <v>0</v>
      </c>
      <c r="M14" s="203">
        <f>IF(ISERR(L14/$L$11),"",L14/$L$11)</f>
        <v>0</v>
      </c>
      <c r="N14" s="402"/>
      <c r="O14" s="7">
        <f>IF(ISERR(N14/$N$11),"",N14/$N$11)</f>
        <v>0</v>
      </c>
      <c r="P14" s="360">
        <f>[2]南港工場!$L$14</f>
        <v>0</v>
      </c>
      <c r="Q14" s="203">
        <f>IF(ISERR(P14/$P$11),"",P14/$P$11)</f>
        <v>0</v>
      </c>
      <c r="R14" s="436"/>
      <c r="S14" s="7" t="str">
        <f>IF(ISERR(R14/$R$11),"",R14/$R$11)</f>
        <v/>
      </c>
      <c r="T14" s="360">
        <f>[2]南港事務!$L$14</f>
        <v>0</v>
      </c>
      <c r="U14" s="203" t="str">
        <f>IF(ISERR(T14/$T$11),"",T14/$T$11)</f>
        <v/>
      </c>
      <c r="V14" s="455">
        <f t="shared" si="21"/>
        <v>0</v>
      </c>
      <c r="W14" s="174">
        <f>IF(ISERR(V14/$V$11),"",V14/$V$11)</f>
        <v>0</v>
      </c>
      <c r="X14" s="421">
        <f t="shared" si="22"/>
        <v>0</v>
      </c>
      <c r="Y14" s="224">
        <f>IF(ISERR(X14/$X$11),"",X14/$X$11)</f>
        <v>0</v>
      </c>
      <c r="Z14" s="459">
        <f t="shared" si="23"/>
        <v>1212643896</v>
      </c>
      <c r="AA14" s="188">
        <f>IF(ISERR(Z14/$Z$11),"",Z14/$Z$11)</f>
        <v>2.1753583323749139</v>
      </c>
      <c r="AB14" s="502">
        <f t="shared" si="24"/>
        <v>1205973702</v>
      </c>
      <c r="AC14" s="119">
        <f>IF(ISERR(AB14/$AB$11),"",AB14/$AB$11)</f>
        <v>1.0678963600240421</v>
      </c>
      <c r="AD14" s="351">
        <f>[2]東京事務!$I$14</f>
        <v>778809293</v>
      </c>
      <c r="AE14" s="7">
        <f>IF(ISERR(AD14/$AD$11),"",AD14/$AD$11)</f>
        <v>3.213617270004212</v>
      </c>
      <c r="AF14" s="360">
        <f>[2]東京事務!$L$14</f>
        <v>804499700</v>
      </c>
      <c r="AG14" s="80">
        <f>IF(ISERR(AF14/$AF$11),"",AF14/$AF$11)</f>
        <v>1.6463794105912035</v>
      </c>
      <c r="AH14" s="467"/>
      <c r="AI14" s="174">
        <f t="shared" si="25"/>
        <v>0</v>
      </c>
      <c r="AJ14" s="360">
        <f>[2]東京工場!$L$14</f>
        <v>0</v>
      </c>
      <c r="AK14" s="102">
        <f t="shared" ref="AK14:AK77" si="36">IF(ISERR(AJ14/$AJ$11),"",AJ14/$AJ$11)</f>
        <v>0</v>
      </c>
      <c r="AL14" s="506">
        <f t="shared" si="26"/>
        <v>778809293</v>
      </c>
      <c r="AM14" s="313">
        <f>IF(ISERR(AL14/$AL$11),"",AL14/AL$11)</f>
        <v>3.079389274717149</v>
      </c>
      <c r="AN14" s="477">
        <f>AF14+AJ14</f>
        <v>804499700</v>
      </c>
      <c r="AO14" s="119">
        <f>IF(ISERR(AN14/$AN$11),"",AN14/$AN$11)</f>
        <v>1.580482641073329</v>
      </c>
      <c r="AP14" s="511">
        <f>B14+Z14+AL14</f>
        <v>1991453189</v>
      </c>
      <c r="AQ14" s="282">
        <f>IF(ISERR(AP14/$AP$11),"",AP14/$AP$11)</f>
        <v>2.4575044202214493</v>
      </c>
      <c r="AR14" s="486">
        <f>D14+AB14+AN14</f>
        <v>2010473402</v>
      </c>
      <c r="AS14" s="283">
        <f>IF(ISERR(AR14/$AR$11),"",AR14/$AR$11)</f>
        <v>1.2271555147111943</v>
      </c>
      <c r="AT14" s="580">
        <f>[2]全社合計!$G$14</f>
        <v>1864108715</v>
      </c>
      <c r="AU14" s="120">
        <f t="shared" si="30"/>
        <v>1.9979651579377857</v>
      </c>
      <c r="AV14" s="577">
        <f>[2]全社合計!$N$14</f>
        <v>1816376496</v>
      </c>
      <c r="AW14" s="121">
        <f t="shared" si="31"/>
        <v>0.95593157767094461</v>
      </c>
      <c r="AX14" s="592">
        <f t="shared" si="32"/>
        <v>127344474</v>
      </c>
      <c r="AY14" s="120">
        <f t="shared" si="33"/>
        <v>1.0683138665547196</v>
      </c>
      <c r="AZ14" s="577">
        <f t="shared" si="34"/>
        <v>194096906</v>
      </c>
      <c r="BA14" s="121">
        <f t="shared" si="35"/>
        <v>1.1068594019067288</v>
      </c>
      <c r="BB14" s="13"/>
    </row>
    <row r="15" spans="1:54" ht="15.95" customHeight="1">
      <c r="A15" s="35" t="s">
        <v>11</v>
      </c>
      <c r="B15" s="719"/>
      <c r="C15" s="259" t="str">
        <f>IF(ISERR(B15/$B$11),"",B15/$B$11)</f>
        <v/>
      </c>
      <c r="D15" s="726"/>
      <c r="E15" s="122" t="str">
        <f>IF(ISERR(D15/$D$11),"",D15/$D$11)</f>
        <v/>
      </c>
      <c r="F15" s="352">
        <f>[2]本社営業!$I$15</f>
        <v>420297650</v>
      </c>
      <c r="G15" s="9">
        <f>IF(ISERR(F15/$F$11),"",F15/$F$11)</f>
        <v>0.80787827384145394</v>
      </c>
      <c r="H15" s="355">
        <f>[2]本社営業!$L$15</f>
        <v>890432349</v>
      </c>
      <c r="I15" s="124">
        <f t="shared" si="19"/>
        <v>0.8440106908004209</v>
      </c>
      <c r="J15" s="388">
        <f>[2]東大阪!$I$15</f>
        <v>563411</v>
      </c>
      <c r="K15" s="9">
        <f>IF(ISERR(J15/$J$11),"",J15/$J$11)</f>
        <v>6.0062775782061449E-2</v>
      </c>
      <c r="L15" s="355">
        <f>[2]東大阪!$L$15</f>
        <v>1059296</v>
      </c>
      <c r="M15" s="124">
        <f>IF(ISERR(L15/$L$11),"",L15/$L$11)</f>
        <v>5.8017456128959713E-2</v>
      </c>
      <c r="N15" s="403">
        <f>[2]南港工場!$I$15</f>
        <v>1830609</v>
      </c>
      <c r="O15" s="9">
        <f>IF(ISERR(N15/$N$11),"",N15/$N$11)</f>
        <v>6.5810231920070406E-2</v>
      </c>
      <c r="P15" s="355">
        <f>[2]南港工場!$L$15</f>
        <v>3971948</v>
      </c>
      <c r="Q15" s="204">
        <f>IF(ISERR(P15/$P$11),"",P15/$P$11)</f>
        <v>7.0878343172412345E-2</v>
      </c>
      <c r="R15" s="437"/>
      <c r="S15" s="9" t="str">
        <f>IF(ISERR(R15/$R$11),"",R15/$R$11)</f>
        <v/>
      </c>
      <c r="T15" s="355">
        <f>[2]南港事務!$L$15</f>
        <v>0</v>
      </c>
      <c r="U15" s="204" t="str">
        <f>IF(ISERR(T15/$T$11),"",T15/$T$11)</f>
        <v/>
      </c>
      <c r="V15" s="456">
        <f t="shared" si="21"/>
        <v>1830609</v>
      </c>
      <c r="W15" s="171">
        <f>IF(ISERR(V15/$V$11),"",V15/$V$11)</f>
        <v>6.5810231920070406E-2</v>
      </c>
      <c r="X15" s="407">
        <f t="shared" si="22"/>
        <v>3971948</v>
      </c>
      <c r="Y15" s="225">
        <f>IF(ISERR(X15/$X$11),"",X15/$X$11)</f>
        <v>7.0878343172412345E-2</v>
      </c>
      <c r="Z15" s="460">
        <f t="shared" si="23"/>
        <v>422691670</v>
      </c>
      <c r="AA15" s="189">
        <f>IF(ISERR(Z15/$Z$11),"",Z15/$Z$11)</f>
        <v>0.75826534846134863</v>
      </c>
      <c r="AB15" s="463">
        <f t="shared" si="24"/>
        <v>895463593</v>
      </c>
      <c r="AC15" s="123">
        <f>IF(ISERR(AB15/$AB$11),"",AB15/$AB$11)</f>
        <v>0.79293794708199228</v>
      </c>
      <c r="AD15" s="352">
        <f>[2]東京事務!$I$15</f>
        <v>200040689</v>
      </c>
      <c r="AE15" s="9">
        <f>IF(ISERR(AD15/$AD$11),"",AD15/$AD$11)</f>
        <v>0.82543212908727015</v>
      </c>
      <c r="AF15" s="355">
        <f>[2]東京事務!$L$15</f>
        <v>399290267</v>
      </c>
      <c r="AG15" s="81">
        <f>IF(ISERR(AF15/$AF$11),"",AF15/$AF$11)</f>
        <v>0.81713302620033823</v>
      </c>
      <c r="AH15" s="468">
        <f>[2]東京工場!$I$15</f>
        <v>0</v>
      </c>
      <c r="AI15" s="171">
        <f t="shared" si="25"/>
        <v>0</v>
      </c>
      <c r="AJ15" s="355">
        <f>[2]東京工場!$L$15</f>
        <v>0</v>
      </c>
      <c r="AK15" s="99">
        <f t="shared" si="36"/>
        <v>0</v>
      </c>
      <c r="AL15" s="473">
        <f t="shared" si="26"/>
        <v>200040689</v>
      </c>
      <c r="AM15" s="314">
        <f>IF(ISERR(AL15/$AL$11),"",AL15/AL$11)</f>
        <v>0.79095506146410188</v>
      </c>
      <c r="AN15" s="478">
        <f t="shared" si="27"/>
        <v>399290267</v>
      </c>
      <c r="AO15" s="123">
        <f>IF(ISERR(AN15/$AN$11),"",AN15/$AN$11)</f>
        <v>0.78442706161734399</v>
      </c>
      <c r="AP15" s="482">
        <f t="shared" si="28"/>
        <v>622732359</v>
      </c>
      <c r="AQ15" s="284">
        <f>IF(ISERR(AP15/$AP$11),"",AP15/$AP$11)</f>
        <v>0.76846773668122137</v>
      </c>
      <c r="AR15" s="487">
        <f t="shared" si="29"/>
        <v>1294753860</v>
      </c>
      <c r="AS15" s="285">
        <f>IF(ISERR(AR15/$AR$11),"",AR15/$AR$11)</f>
        <v>0.79029363826053023</v>
      </c>
      <c r="AT15" s="574">
        <f>[2]全社合計!$G$15</f>
        <v>821388398</v>
      </c>
      <c r="AU15" s="124">
        <f t="shared" si="30"/>
        <v>0.88037000585469327</v>
      </c>
      <c r="AV15" s="578">
        <f>[2]全社合計!$N$15</f>
        <v>1689136061</v>
      </c>
      <c r="AW15" s="125">
        <f t="shared" si="31"/>
        <v>0.88896685420037225</v>
      </c>
      <c r="AX15" s="574">
        <f t="shared" si="32"/>
        <v>-198656039</v>
      </c>
      <c r="AY15" s="124">
        <f t="shared" si="33"/>
        <v>0.75814603726603891</v>
      </c>
      <c r="AZ15" s="578">
        <f t="shared" si="34"/>
        <v>-394382201</v>
      </c>
      <c r="BA15" s="125">
        <f t="shared" si="35"/>
        <v>0.76651839357066454</v>
      </c>
      <c r="BB15" s="11"/>
    </row>
    <row r="16" spans="1:54" ht="15.95" customHeight="1">
      <c r="A16" s="36" t="s">
        <v>12</v>
      </c>
      <c r="B16" s="720"/>
      <c r="C16" s="260" t="str">
        <f>IF(ISERR(B16/$B$11),"",B16/$B$11)</f>
        <v/>
      </c>
      <c r="D16" s="724"/>
      <c r="E16" s="126" t="str">
        <f>IF(ISERR(D16/$D$11),"",D16/$D$11)</f>
        <v/>
      </c>
      <c r="F16" s="353">
        <f>[2]本社営業!$I$16</f>
        <v>1186732279</v>
      </c>
      <c r="G16" s="12">
        <f>IF(ISERR(F16/$F$11),"",F16/$F$11)</f>
        <v>2.281086332675081</v>
      </c>
      <c r="H16" s="357">
        <f>[2]本社営業!$L$16</f>
        <v>1186732279</v>
      </c>
      <c r="I16" s="128">
        <f t="shared" si="19"/>
        <v>1.1248633674627964</v>
      </c>
      <c r="J16" s="389"/>
      <c r="K16" s="12">
        <f t="shared" si="20"/>
        <v>0</v>
      </c>
      <c r="L16" s="357">
        <f>[2]東大阪!$L$16</f>
        <v>0</v>
      </c>
      <c r="M16" s="128">
        <f t="shared" ref="M16:M78" si="37">IF(ISERR(L16/$L$11),"",L16/$L$11)</f>
        <v>0</v>
      </c>
      <c r="N16" s="404"/>
      <c r="O16" s="12">
        <f>IF(ISERR(N16/$N$11),"",N16/$N$11)</f>
        <v>0</v>
      </c>
      <c r="P16" s="357">
        <f>[2]南港工場!$L$16</f>
        <v>0</v>
      </c>
      <c r="Q16" s="205">
        <f>IF(ISERR(P16/$P$11),"",P16/$P$11)</f>
        <v>0</v>
      </c>
      <c r="R16" s="438"/>
      <c r="S16" s="12" t="str">
        <f>IF(ISERR(R16/$R$11),"",R16/$R$11)</f>
        <v/>
      </c>
      <c r="T16" s="357">
        <f>[2]南港事務!$L$16</f>
        <v>0</v>
      </c>
      <c r="U16" s="205" t="str">
        <f>IF(ISERR(T16/$T$11),"",T16/$T$11)</f>
        <v/>
      </c>
      <c r="V16" s="457">
        <f t="shared" si="21"/>
        <v>0</v>
      </c>
      <c r="W16" s="172">
        <f>IF(ISERR(V16/$V$11),"",V16/$V$11)</f>
        <v>0</v>
      </c>
      <c r="X16" s="409">
        <f t="shared" si="22"/>
        <v>0</v>
      </c>
      <c r="Y16" s="226">
        <f>IF(ISERR(X16/$X$11),"",X16/$X$11)</f>
        <v>0</v>
      </c>
      <c r="Z16" s="461">
        <f t="shared" si="23"/>
        <v>1186732279</v>
      </c>
      <c r="AA16" s="190">
        <f>IF(ISERR(Z16/$Z$11),"",Z16/$Z$11)</f>
        <v>2.1288755585513797</v>
      </c>
      <c r="AB16" s="465">
        <f t="shared" si="24"/>
        <v>1186732279</v>
      </c>
      <c r="AC16" s="127">
        <f>IF(ISERR(AB16/$AB$11),"",AB16/$AB$11)</f>
        <v>1.0508579739055834</v>
      </c>
      <c r="AD16" s="353">
        <f>[2]東京事務!$I$16</f>
        <v>755986627</v>
      </c>
      <c r="AE16" s="12">
        <f>IF(ISERR(AD16/$AD$11),"",AD16/$AD$11)</f>
        <v>3.1194436202232536</v>
      </c>
      <c r="AF16" s="357">
        <f>[2]東京事務!$L$16</f>
        <v>755986627</v>
      </c>
      <c r="AG16" s="82">
        <f>IF(ISERR(AF16/$AF$11),"",AF16/$AF$11)</f>
        <v>1.5470991690551184</v>
      </c>
      <c r="AH16" s="469"/>
      <c r="AI16" s="172">
        <f t="shared" si="25"/>
        <v>0</v>
      </c>
      <c r="AJ16" s="357">
        <f>[2]東京工場!$L$16</f>
        <v>0</v>
      </c>
      <c r="AK16" s="100">
        <f t="shared" si="36"/>
        <v>0</v>
      </c>
      <c r="AL16" s="475">
        <f t="shared" si="26"/>
        <v>755986627</v>
      </c>
      <c r="AM16" s="315">
        <f>IF(ISERR(AL16/$AL$11),"",AL16/AL$11)</f>
        <v>2.9891491176818734</v>
      </c>
      <c r="AN16" s="479">
        <f t="shared" si="27"/>
        <v>755986627</v>
      </c>
      <c r="AO16" s="127">
        <f>IF(ISERR(AN16/$AN$11),"",AN16/$AN$11)</f>
        <v>1.4851761173522846</v>
      </c>
      <c r="AP16" s="484">
        <f t="shared" si="28"/>
        <v>1942718906</v>
      </c>
      <c r="AQ16" s="286">
        <f>IF(ISERR(AP16/$AP$11),"",AP16/$AP$11)</f>
        <v>2.3973650624146199</v>
      </c>
      <c r="AR16" s="488">
        <f t="shared" si="29"/>
        <v>1942718906</v>
      </c>
      <c r="AS16" s="287">
        <f>IF(ISERR(AR16/$AR$11),"",AR16/$AR$11)</f>
        <v>1.1857994324421299</v>
      </c>
      <c r="AT16" s="581">
        <f>[2]全社合計!$G$16</f>
        <v>1899825427</v>
      </c>
      <c r="AU16" s="128">
        <f t="shared" si="30"/>
        <v>2.0362465873189568</v>
      </c>
      <c r="AV16" s="579">
        <f>[2]全社合計!$N$16</f>
        <v>1899825427</v>
      </c>
      <c r="AW16" s="129">
        <f t="shared" si="31"/>
        <v>0.99984949250933608</v>
      </c>
      <c r="AX16" s="576">
        <f t="shared" si="32"/>
        <v>42893479</v>
      </c>
      <c r="AY16" s="128">
        <f t="shared" si="33"/>
        <v>1.0225775897039828</v>
      </c>
      <c r="AZ16" s="579">
        <f t="shared" si="34"/>
        <v>42893479</v>
      </c>
      <c r="BA16" s="129">
        <f t="shared" si="35"/>
        <v>1.0225775897039828</v>
      </c>
      <c r="BB16" s="11"/>
    </row>
    <row r="17" spans="1:54" ht="19.899999999999999" customHeight="1">
      <c r="A17" s="60" t="s">
        <v>13</v>
      </c>
      <c r="B17" s="524"/>
      <c r="C17" s="135" t="str">
        <f>IF(ISERR(B17/$B$11),"",B17/$B$11)</f>
        <v/>
      </c>
      <c r="D17" s="385"/>
      <c r="E17" s="133" t="str">
        <f>IF(ISERR(D17/$D$11),"",D17/$D$11)</f>
        <v/>
      </c>
      <c r="F17" s="384">
        <f>F14+F15-F16</f>
        <v>446209267</v>
      </c>
      <c r="G17" s="61">
        <f>IF(ISERR(F17/$F$11),"",F17/$F$11)</f>
        <v>0.85768448240436379</v>
      </c>
      <c r="H17" s="385">
        <f>H14+H15-H16</f>
        <v>909673772</v>
      </c>
      <c r="I17" s="135">
        <f>IF(ISERR(H17/$H$11),"",H17/$H$11)</f>
        <v>0.86224898451970389</v>
      </c>
      <c r="J17" s="391">
        <f>J14+J15-J16</f>
        <v>563411</v>
      </c>
      <c r="K17" s="61">
        <f t="shared" si="20"/>
        <v>6.0062775782061449E-2</v>
      </c>
      <c r="L17" s="385">
        <f>L14+L15-L16</f>
        <v>1059296</v>
      </c>
      <c r="M17" s="135">
        <f t="shared" si="37"/>
        <v>5.8017456128959713E-2</v>
      </c>
      <c r="N17" s="411">
        <f>N14+N15-N16</f>
        <v>1830609</v>
      </c>
      <c r="O17" s="61">
        <f>IF(ISERR(N17/$N$11),"",N17/$N$11)</f>
        <v>6.5810231920070406E-2</v>
      </c>
      <c r="P17" s="385">
        <f>P14+P15-P16</f>
        <v>3971948</v>
      </c>
      <c r="Q17" s="207">
        <f>IF(ISERR(P17/$P$11),"",P17/$P$11)</f>
        <v>7.0878343172412345E-2</v>
      </c>
      <c r="R17" s="440">
        <f>R14+R15-R16</f>
        <v>0</v>
      </c>
      <c r="S17" s="61" t="str">
        <f>IF(ISERR(R17/$R$11),"",R17/$R$11)</f>
        <v/>
      </c>
      <c r="T17" s="385">
        <f>T14+T15-T16</f>
        <v>0</v>
      </c>
      <c r="U17" s="207" t="str">
        <f>IF(ISERR(T17/$T$11),"",T17/$T$11)</f>
        <v/>
      </c>
      <c r="V17" s="489">
        <f t="shared" si="21"/>
        <v>1830609</v>
      </c>
      <c r="W17" s="175">
        <f>IF(ISERR(V17/$V$11),"",V17/$V$11)</f>
        <v>6.5810231920070406E-2</v>
      </c>
      <c r="X17" s="423">
        <f t="shared" si="22"/>
        <v>3971948</v>
      </c>
      <c r="Y17" s="228">
        <f>IF(ISERR(X17/$X$11),"",X17/$X$11)</f>
        <v>7.0878343172412345E-2</v>
      </c>
      <c r="Z17" s="489">
        <f t="shared" si="23"/>
        <v>448603287</v>
      </c>
      <c r="AA17" s="192">
        <f>IF(ISERR(Z17/$Z$11),"",Z17/$Z$11)</f>
        <v>0.80474812228488302</v>
      </c>
      <c r="AB17" s="423">
        <f t="shared" si="24"/>
        <v>914705016</v>
      </c>
      <c r="AC17" s="134">
        <f>IF(ISERR(AB17/$AB$11),"",AB17/$AB$11)</f>
        <v>0.80997633320045082</v>
      </c>
      <c r="AD17" s="384">
        <f>AD14+AD15-AD16</f>
        <v>222863355</v>
      </c>
      <c r="AE17" s="331">
        <f>IF(ISERR(AD17/$AD$11),"",AD17/$AD$11)</f>
        <v>0.91960577886822881</v>
      </c>
      <c r="AF17" s="385">
        <f>AF14+AF15-AF16</f>
        <v>447803340</v>
      </c>
      <c r="AG17" s="330">
        <f>IF(ISERR(AF17/$AF$11),"",AF17/$AF$11)</f>
        <v>0.9164132677364234</v>
      </c>
      <c r="AH17" s="489">
        <f>AH14+AH15-AH16</f>
        <v>0</v>
      </c>
      <c r="AI17" s="194">
        <f t="shared" si="25"/>
        <v>0</v>
      </c>
      <c r="AJ17" s="385">
        <f>AJ14+AJ15-AJ16</f>
        <v>0</v>
      </c>
      <c r="AK17" s="103">
        <f t="shared" si="36"/>
        <v>0</v>
      </c>
      <c r="AL17" s="544">
        <f t="shared" si="26"/>
        <v>222863355</v>
      </c>
      <c r="AM17" s="317">
        <f>IF(ISERR(AL17/$AL$11),"",AL17/AL$11)</f>
        <v>0.88119521849937721</v>
      </c>
      <c r="AN17" s="536">
        <f t="shared" si="27"/>
        <v>447803340</v>
      </c>
      <c r="AO17" s="134">
        <f>IF(ISERR(AN17/$AN$11),"",AN17/$AN$11)</f>
        <v>0.87973358533838852</v>
      </c>
      <c r="AP17" s="524">
        <f t="shared" si="28"/>
        <v>671466642</v>
      </c>
      <c r="AQ17" s="135">
        <f>IF(ISERR(AP17/$AP$11),"",AP17/$AP$11)</f>
        <v>0.82860709448805103</v>
      </c>
      <c r="AR17" s="516">
        <f t="shared" si="29"/>
        <v>1362508356</v>
      </c>
      <c r="AS17" s="134">
        <f>IF(ISERR(AR17/$AR$11),"",AR17/$AR$11)</f>
        <v>0.83164972052959452</v>
      </c>
      <c r="AT17" s="524">
        <f>AT14+AT15-AT16</f>
        <v>785671686</v>
      </c>
      <c r="AU17" s="135">
        <f t="shared" si="30"/>
        <v>0.84208857647352198</v>
      </c>
      <c r="AV17" s="596">
        <f>AV14+AV15-AV16</f>
        <v>1605687130</v>
      </c>
      <c r="AW17" s="134">
        <f t="shared" si="31"/>
        <v>0.84504893936198078</v>
      </c>
      <c r="AX17" s="524">
        <f t="shared" si="32"/>
        <v>-114205044</v>
      </c>
      <c r="AY17" s="135">
        <f t="shared" si="33"/>
        <v>0.85464024472939959</v>
      </c>
      <c r="AZ17" s="596">
        <f t="shared" si="34"/>
        <v>-243178774</v>
      </c>
      <c r="BA17" s="134">
        <f t="shared" si="35"/>
        <v>0.84855158302227907</v>
      </c>
      <c r="BB17" s="11"/>
    </row>
    <row r="18" spans="1:54" ht="19.899999999999999" customHeight="1">
      <c r="A18" s="55" t="s">
        <v>14</v>
      </c>
      <c r="B18" s="709"/>
      <c r="C18" s="138" t="str">
        <f>IF(ISERR(B18/$B$11),"",B18/$B$11)</f>
        <v/>
      </c>
      <c r="D18" s="376"/>
      <c r="E18" s="136" t="str">
        <f>IF(ISERR(D18/$D$11),"",D18/$D$11)</f>
        <v/>
      </c>
      <c r="F18" s="375">
        <f>F11-F17</f>
        <v>74039468</v>
      </c>
      <c r="G18" s="56">
        <f>IF(ISERR(F18/$F$11),"",F18/$F$11)</f>
        <v>0.14231551759563624</v>
      </c>
      <c r="H18" s="376">
        <f>H11-H17</f>
        <v>145327496</v>
      </c>
      <c r="I18" s="138">
        <f t="shared" si="19"/>
        <v>0.13775101548029609</v>
      </c>
      <c r="J18" s="392">
        <f>J11-J17</f>
        <v>8816958</v>
      </c>
      <c r="K18" s="56">
        <f t="shared" si="20"/>
        <v>0.93993722421793857</v>
      </c>
      <c r="L18" s="376">
        <f>L11-L17</f>
        <v>17198933</v>
      </c>
      <c r="M18" s="138">
        <f t="shared" si="37"/>
        <v>0.9419825438710403</v>
      </c>
      <c r="N18" s="412">
        <f>N11-N17</f>
        <v>25985871</v>
      </c>
      <c r="O18" s="56">
        <f>IF(ISERR(N18/$N$11),"",N18/$N$11)</f>
        <v>0.93418976807992959</v>
      </c>
      <c r="P18" s="376">
        <f>P11-P17</f>
        <v>52067003</v>
      </c>
      <c r="Q18" s="208">
        <f>IF(ISERR(P18/$P$11),"",P18/$P$11)</f>
        <v>0.92912165682758763</v>
      </c>
      <c r="R18" s="441">
        <f>R11-R17</f>
        <v>0</v>
      </c>
      <c r="S18" s="56" t="str">
        <f>IF(ISERR(R18/$R$11),"",R18/$R$11)</f>
        <v/>
      </c>
      <c r="T18" s="376">
        <f>T11-T17</f>
        <v>0</v>
      </c>
      <c r="U18" s="208" t="str">
        <f>IF(ISERR(T18/$T$11),"",T18/$T$11)</f>
        <v/>
      </c>
      <c r="V18" s="490">
        <f t="shared" si="21"/>
        <v>25985871</v>
      </c>
      <c r="W18" s="176">
        <f>IF(ISERR(V18/$V$11),"",V18/$V$11)</f>
        <v>0.93418976807992959</v>
      </c>
      <c r="X18" s="424">
        <f t="shared" si="22"/>
        <v>52067003</v>
      </c>
      <c r="Y18" s="229">
        <f>IF(ISERR(X18/$X$11),"",X18/$X$11)</f>
        <v>0.92912165682758763</v>
      </c>
      <c r="Z18" s="490">
        <f t="shared" si="23"/>
        <v>108842297</v>
      </c>
      <c r="AA18" s="193">
        <f>IF(ISERR(Z18/$Z$11),"",Z18/$Z$11)</f>
        <v>0.19525187771511704</v>
      </c>
      <c r="AB18" s="424">
        <f t="shared" si="24"/>
        <v>214593432</v>
      </c>
      <c r="AC18" s="137">
        <f>IF(ISERR(AB18/$AB$11),"",AB18/$AB$11)</f>
        <v>0.19002366679954916</v>
      </c>
      <c r="AD18" s="375">
        <f>AD11-AD17</f>
        <v>19483268</v>
      </c>
      <c r="AE18" s="56">
        <f>IF(ISERR(AD18/$AD$11),"",AD18/$AD$11)</f>
        <v>8.0394221131771249E-2</v>
      </c>
      <c r="AF18" s="376">
        <f>AF11-AF17</f>
        <v>40844474</v>
      </c>
      <c r="AG18" s="84">
        <f>IF(ISERR(AF18/$AF$11),"",AF18/$AF$11)</f>
        <v>8.3586732263576644E-2</v>
      </c>
      <c r="AH18" s="392">
        <f>AH11-AH17</f>
        <v>10563686</v>
      </c>
      <c r="AI18" s="176">
        <f t="shared" si="25"/>
        <v>1</v>
      </c>
      <c r="AJ18" s="376">
        <f>AJ11-AJ17</f>
        <v>20373721</v>
      </c>
      <c r="AK18" s="104">
        <f t="shared" si="36"/>
        <v>1</v>
      </c>
      <c r="AL18" s="545">
        <f t="shared" si="26"/>
        <v>30046954</v>
      </c>
      <c r="AM18" s="318">
        <f>IF(ISERR(AL18/$AL$11),"",AL18/AL$11)</f>
        <v>0.11880478150062282</v>
      </c>
      <c r="AN18" s="537">
        <f t="shared" si="27"/>
        <v>61218195</v>
      </c>
      <c r="AO18" s="137">
        <f>IF(ISERR(AN18/$AN$11),"",AN18/$AN$11)</f>
        <v>0.12026641466161152</v>
      </c>
      <c r="AP18" s="525">
        <f t="shared" si="28"/>
        <v>138889251</v>
      </c>
      <c r="AQ18" s="305">
        <f>IF(ISERR(AP18/$AP$11),"",AP18/$AP$11)</f>
        <v>0.17139290551194894</v>
      </c>
      <c r="AR18" s="517">
        <f t="shared" si="29"/>
        <v>275811627</v>
      </c>
      <c r="AS18" s="304">
        <f>IF(ISERR(AR18/$AR$11),"",AR18/$AR$11)</f>
        <v>0.16835027947040551</v>
      </c>
      <c r="AT18" s="582">
        <f>AT11-AT17</f>
        <v>147331929</v>
      </c>
      <c r="AU18" s="138">
        <f t="shared" si="30"/>
        <v>0.15791142352647797</v>
      </c>
      <c r="AV18" s="597">
        <f>AV11-AV17</f>
        <v>294424278</v>
      </c>
      <c r="AW18" s="137">
        <f t="shared" si="31"/>
        <v>0.15495106063801917</v>
      </c>
      <c r="AX18" s="582">
        <f t="shared" si="32"/>
        <v>-8442678</v>
      </c>
      <c r="AY18" s="138">
        <f t="shared" si="33"/>
        <v>0.94269620945504629</v>
      </c>
      <c r="AZ18" s="597">
        <f t="shared" si="34"/>
        <v>-18612651</v>
      </c>
      <c r="BA18" s="137">
        <f t="shared" si="35"/>
        <v>0.93678289329115716</v>
      </c>
      <c r="BB18" s="13"/>
    </row>
    <row r="19" spans="1:54" ht="15.95" customHeight="1">
      <c r="A19" s="37" t="s">
        <v>15</v>
      </c>
      <c r="B19" s="702">
        <f>[2]本部!$I$19</f>
        <v>5756800</v>
      </c>
      <c r="C19" s="258" t="str">
        <f t="shared" ref="C19:C69" si="38">IF(ISERR(B19/$B$11),"",B19/$B$11)</f>
        <v/>
      </c>
      <c r="D19" s="727">
        <f>[2]本部!$L$19</f>
        <v>11513600</v>
      </c>
      <c r="E19" s="118" t="str">
        <f t="shared" ref="E19:E69" si="39">IF(ISERR(D19/$D$11),"",D19/$D$11)</f>
        <v/>
      </c>
      <c r="F19" s="351">
        <f>[2]本社営業!$I$19</f>
        <v>10316328</v>
      </c>
      <c r="G19" s="7">
        <f t="shared" ref="G19:G69" si="40">IF(ISERR(F19/$F$11),"",F19/$F$11)</f>
        <v>1.9829607082081611E-2</v>
      </c>
      <c r="H19" s="361">
        <f>[2]本社営業!$L$19</f>
        <v>20446835</v>
      </c>
      <c r="I19" s="120">
        <f t="shared" si="19"/>
        <v>1.9380862962147645E-2</v>
      </c>
      <c r="J19" s="387">
        <f>[2]東大阪!$I$19</f>
        <v>2055720</v>
      </c>
      <c r="K19" s="7">
        <f t="shared" si="20"/>
        <v>0.21915129351521245</v>
      </c>
      <c r="L19" s="361">
        <f>[2]東大阪!$L$19</f>
        <v>5835800</v>
      </c>
      <c r="M19" s="120">
        <f t="shared" si="37"/>
        <v>0.31962574245289616</v>
      </c>
      <c r="N19" s="402">
        <f>[2]南港工場!$I$19</f>
        <v>7132633</v>
      </c>
      <c r="O19" s="7">
        <f t="shared" ref="O19:O69" si="41">IF(ISERR(N19/$N$11),"",N19/$N$11)</f>
        <v>0.25641752658855471</v>
      </c>
      <c r="P19" s="361">
        <f>[2]南港工場!$L$19</f>
        <v>14120644</v>
      </c>
      <c r="Q19" s="203">
        <f t="shared" ref="Q19:Q69" si="42">IF(ISERR(P19/$P$11),"",P19/$P$11)</f>
        <v>0.2519790921853623</v>
      </c>
      <c r="R19" s="436">
        <f>[2]南港事務!$I$19</f>
        <v>2794249</v>
      </c>
      <c r="S19" s="7" t="str">
        <f t="shared" ref="S19:S69" si="43">IF(ISERR(R19/$R$11),"",R19/$R$11)</f>
        <v/>
      </c>
      <c r="T19" s="361">
        <f>[2]南港事務!$L$19</f>
        <v>5582742</v>
      </c>
      <c r="U19" s="203" t="str">
        <f t="shared" ref="U19:U69" si="44">IF(ISERR(T19/$T$11),"",T19/$T$11)</f>
        <v/>
      </c>
      <c r="V19" s="455">
        <f t="shared" si="21"/>
        <v>9926882</v>
      </c>
      <c r="W19" s="174">
        <f t="shared" ref="W19:W69" si="45">IF(ISERR(V19/$V$11),"",V19/$V$11)</f>
        <v>0.3568705314259748</v>
      </c>
      <c r="X19" s="425">
        <f t="shared" si="22"/>
        <v>19703386</v>
      </c>
      <c r="Y19" s="224">
        <f t="shared" ref="Y19:Y69" si="46">IF(ISERR(X19/$X$11),"",X19/$X$11)</f>
        <v>0.35160162080835522</v>
      </c>
      <c r="Z19" s="459">
        <f t="shared" si="23"/>
        <v>22298930</v>
      </c>
      <c r="AA19" s="188">
        <f t="shared" ref="AA19:AA69" si="47">IF(ISERR(Z19/$Z$11),"",Z19/$Z$11)</f>
        <v>4.0001985198253896E-2</v>
      </c>
      <c r="AB19" s="563">
        <f t="shared" si="24"/>
        <v>45986021</v>
      </c>
      <c r="AC19" s="119">
        <f t="shared" ref="AC19:AC69" si="48">IF(ISERR(AB19/$AB$11),"",AB19/$AB$11)</f>
        <v>4.0720875054279716E-2</v>
      </c>
      <c r="AD19" s="351">
        <f>[2]東京事務!$I$19</f>
        <v>4513900</v>
      </c>
      <c r="AE19" s="7">
        <f t="shared" ref="AE19:AE69" si="49">IF(ISERR(AD19/$AD$11),"",AD19/$AD$11)</f>
        <v>1.8625801111328052E-2</v>
      </c>
      <c r="AF19" s="361">
        <f>[2]東京事務!$L$19</f>
        <v>9027800</v>
      </c>
      <c r="AG19" s="80">
        <f t="shared" ref="AG19:AG69" si="50">IF(ISERR(AF19/$AF$11),"",AF19/$AF$11)</f>
        <v>1.8475064742641007E-2</v>
      </c>
      <c r="AH19" s="387">
        <f>[2]東京工場!$I$19</f>
        <v>4490004</v>
      </c>
      <c r="AI19" s="174">
        <f t="shared" si="25"/>
        <v>0.42504141073485147</v>
      </c>
      <c r="AJ19" s="361">
        <f>[2]東京工場!$L$19</f>
        <v>9082342</v>
      </c>
      <c r="AK19" s="102">
        <f t="shared" si="36"/>
        <v>0.44578709996077792</v>
      </c>
      <c r="AL19" s="546">
        <f t="shared" si="26"/>
        <v>9003904</v>
      </c>
      <c r="AM19" s="313">
        <f t="shared" ref="AM19:AM67" si="51">IF(ISERR(AL19/$AL$11),"",AL19/AL$11)</f>
        <v>3.5601174327773252E-2</v>
      </c>
      <c r="AN19" s="477">
        <f t="shared" si="27"/>
        <v>18110142</v>
      </c>
      <c r="AO19" s="119">
        <f t="shared" ref="AO19:AO69" si="52">IF(ISERR(AN19/$AN$11),"",AN19/$AN$11)</f>
        <v>3.5578341493940922E-2</v>
      </c>
      <c r="AP19" s="526">
        <f t="shared" si="28"/>
        <v>37059634</v>
      </c>
      <c r="AQ19" s="282">
        <f t="shared" ref="AQ19:AQ69" si="53">IF(ISERR(AP19/$AP$11),"",AP19/$AP$11)</f>
        <v>4.5732540875099183E-2</v>
      </c>
      <c r="AR19" s="486">
        <f t="shared" si="29"/>
        <v>75609763</v>
      </c>
      <c r="AS19" s="283">
        <f t="shared" ref="AS19:AS69" si="54">IF(ISERR(AR19/$AR$11),"",AR19/$AR$11)</f>
        <v>4.615079092275224E-2</v>
      </c>
      <c r="AT19" s="583">
        <f>[2]全社合計!$G$19</f>
        <v>34949373</v>
      </c>
      <c r="AU19" s="120">
        <f t="shared" si="30"/>
        <v>3.7458989909701472E-2</v>
      </c>
      <c r="AV19" s="577">
        <f>[2]全社合計!$N$19</f>
        <v>71828052</v>
      </c>
      <c r="AW19" s="121">
        <f t="shared" si="31"/>
        <v>3.780202134337167E-2</v>
      </c>
      <c r="AX19" s="583">
        <f t="shared" si="32"/>
        <v>2110261</v>
      </c>
      <c r="AY19" s="120">
        <f t="shared" si="33"/>
        <v>1.0603805109751183</v>
      </c>
      <c r="AZ19" s="577">
        <f t="shared" si="34"/>
        <v>3781711</v>
      </c>
      <c r="BA19" s="121">
        <f t="shared" si="35"/>
        <v>1.052649499669015</v>
      </c>
      <c r="BB19" s="11"/>
    </row>
    <row r="20" spans="1:54" ht="15.95" customHeight="1">
      <c r="A20" s="37" t="s">
        <v>16</v>
      </c>
      <c r="B20" s="703">
        <f>[2]本部!$I$20</f>
        <v>56110</v>
      </c>
      <c r="C20" s="259" t="str">
        <f t="shared" si="38"/>
        <v/>
      </c>
      <c r="D20" s="728">
        <f>[2]本部!$L$20</f>
        <v>112220</v>
      </c>
      <c r="E20" s="122" t="str">
        <f t="shared" si="39"/>
        <v/>
      </c>
      <c r="F20" s="352">
        <f>[2]本社営業!$I$20</f>
        <v>259440</v>
      </c>
      <c r="G20" s="9">
        <f t="shared" si="40"/>
        <v>4.9868453788743956E-4</v>
      </c>
      <c r="H20" s="362">
        <f>[2]本社営業!$L$20</f>
        <v>524302</v>
      </c>
      <c r="I20" s="124">
        <f t="shared" si="19"/>
        <v>4.9696812307527954E-4</v>
      </c>
      <c r="J20" s="388">
        <f>[2]東大阪!$I$20</f>
        <v>163642</v>
      </c>
      <c r="K20" s="9">
        <f t="shared" si="20"/>
        <v>1.7445155942159632E-2</v>
      </c>
      <c r="L20" s="362">
        <f>[2]東大阪!$L$20</f>
        <v>327284</v>
      </c>
      <c r="M20" s="124">
        <f t="shared" si="37"/>
        <v>1.7925287277314794E-2</v>
      </c>
      <c r="N20" s="403">
        <f>[2]南港工場!$I$20</f>
        <v>241330</v>
      </c>
      <c r="O20" s="9">
        <f t="shared" si="41"/>
        <v>8.6757921922543755E-3</v>
      </c>
      <c r="P20" s="362">
        <f>[2]南港工場!$L$20</f>
        <v>482660</v>
      </c>
      <c r="Q20" s="204">
        <f t="shared" si="42"/>
        <v>8.6129378117731012E-3</v>
      </c>
      <c r="R20" s="437">
        <f>[2]南港事務!$I$20</f>
        <v>88532</v>
      </c>
      <c r="S20" s="9" t="str">
        <f t="shared" si="43"/>
        <v/>
      </c>
      <c r="T20" s="362">
        <f>[2]南港事務!$L$20</f>
        <v>177064</v>
      </c>
      <c r="U20" s="204" t="str">
        <f t="shared" si="44"/>
        <v/>
      </c>
      <c r="V20" s="456">
        <f t="shared" si="21"/>
        <v>329862</v>
      </c>
      <c r="W20" s="171">
        <f t="shared" si="45"/>
        <v>1.1858509775499992E-2</v>
      </c>
      <c r="X20" s="426">
        <f t="shared" si="22"/>
        <v>659724</v>
      </c>
      <c r="Y20" s="225">
        <f t="shared" si="46"/>
        <v>1.1772597242228892E-2</v>
      </c>
      <c r="Z20" s="460">
        <f t="shared" si="23"/>
        <v>752944</v>
      </c>
      <c r="AA20" s="189">
        <f t="shared" si="47"/>
        <v>1.3507040357144528E-3</v>
      </c>
      <c r="AB20" s="564">
        <f t="shared" si="24"/>
        <v>1511310</v>
      </c>
      <c r="AC20" s="123">
        <f t="shared" si="48"/>
        <v>1.3382733348093648E-3</v>
      </c>
      <c r="AD20" s="352">
        <f>[2]東京事務!$I$20</f>
        <v>124954</v>
      </c>
      <c r="AE20" s="9">
        <f t="shared" si="49"/>
        <v>5.1560033497970387E-4</v>
      </c>
      <c r="AF20" s="362">
        <f>[2]東京事務!$L$20</f>
        <v>249908</v>
      </c>
      <c r="AG20" s="81">
        <f t="shared" si="50"/>
        <v>5.1142764346838964E-4</v>
      </c>
      <c r="AH20" s="388">
        <f>[2]東京工場!$I$20</f>
        <v>111642</v>
      </c>
      <c r="AI20" s="171">
        <f t="shared" si="25"/>
        <v>1.0568470134383017E-2</v>
      </c>
      <c r="AJ20" s="362">
        <f>[2]東京工場!$L$20</f>
        <v>223284</v>
      </c>
      <c r="AK20" s="99">
        <f t="shared" si="36"/>
        <v>1.0959411881609649E-2</v>
      </c>
      <c r="AL20" s="547">
        <f t="shared" si="26"/>
        <v>236596</v>
      </c>
      <c r="AM20" s="314">
        <f t="shared" si="51"/>
        <v>9.3549369709559763E-4</v>
      </c>
      <c r="AN20" s="478">
        <f t="shared" si="27"/>
        <v>473192</v>
      </c>
      <c r="AO20" s="123">
        <f t="shared" si="52"/>
        <v>9.2961096429839654E-4</v>
      </c>
      <c r="AP20" s="527">
        <f t="shared" si="28"/>
        <v>1045650</v>
      </c>
      <c r="AQ20" s="284">
        <f t="shared" si="53"/>
        <v>1.2903589756457785E-3</v>
      </c>
      <c r="AR20" s="487">
        <f t="shared" si="29"/>
        <v>2096722</v>
      </c>
      <c r="AS20" s="285">
        <f t="shared" si="54"/>
        <v>1.2798000523442312E-3</v>
      </c>
      <c r="AT20" s="584">
        <f>[2]全社合計!$G$20</f>
        <v>1081228</v>
      </c>
      <c r="AU20" s="124">
        <f t="shared" si="30"/>
        <v>1.1588679643004384E-3</v>
      </c>
      <c r="AV20" s="578">
        <f>[2]全社合計!$N$20</f>
        <v>2162456</v>
      </c>
      <c r="AW20" s="125">
        <f t="shared" si="31"/>
        <v>1.1380680053261383E-3</v>
      </c>
      <c r="AX20" s="584">
        <f t="shared" si="32"/>
        <v>-35578</v>
      </c>
      <c r="AY20" s="124">
        <f t="shared" si="33"/>
        <v>0.96709482181371553</v>
      </c>
      <c r="AZ20" s="578">
        <f t="shared" si="34"/>
        <v>-65734</v>
      </c>
      <c r="BA20" s="125">
        <f t="shared" si="35"/>
        <v>0.96960215606699052</v>
      </c>
      <c r="BB20" s="11"/>
    </row>
    <row r="21" spans="1:54" ht="15.95" customHeight="1">
      <c r="A21" s="37" t="s">
        <v>17</v>
      </c>
      <c r="B21" s="703">
        <f>[2]本部!$I$21</f>
        <v>0</v>
      </c>
      <c r="C21" s="259" t="str">
        <f t="shared" si="38"/>
        <v/>
      </c>
      <c r="D21" s="728">
        <f>[2]本部!$L$21</f>
        <v>0</v>
      </c>
      <c r="E21" s="122" t="str">
        <f t="shared" si="39"/>
        <v/>
      </c>
      <c r="F21" s="352">
        <f>[2]本社営業!$I$21</f>
        <v>0</v>
      </c>
      <c r="G21" s="9">
        <f t="shared" si="40"/>
        <v>0</v>
      </c>
      <c r="H21" s="362">
        <f>[2]本社営業!$L$21</f>
        <v>0</v>
      </c>
      <c r="I21" s="124">
        <f t="shared" si="19"/>
        <v>0</v>
      </c>
      <c r="J21" s="388">
        <f>[2]東大阪!$I$21</f>
        <v>0</v>
      </c>
      <c r="K21" s="9">
        <f t="shared" si="20"/>
        <v>0</v>
      </c>
      <c r="L21" s="362">
        <f>[2]東大阪!$L$21</f>
        <v>0</v>
      </c>
      <c r="M21" s="124">
        <f t="shared" si="37"/>
        <v>0</v>
      </c>
      <c r="N21" s="403">
        <f>[2]南港工場!$I$21</f>
        <v>0</v>
      </c>
      <c r="O21" s="9">
        <f t="shared" si="41"/>
        <v>0</v>
      </c>
      <c r="P21" s="362">
        <f>[2]南港工場!$L$21</f>
        <v>0</v>
      </c>
      <c r="Q21" s="204">
        <f t="shared" si="42"/>
        <v>0</v>
      </c>
      <c r="R21" s="437">
        <f>[2]南港事務!$I$21</f>
        <v>0</v>
      </c>
      <c r="S21" s="9" t="str">
        <f t="shared" si="43"/>
        <v/>
      </c>
      <c r="T21" s="362">
        <f>[2]南港事務!$L$21</f>
        <v>0</v>
      </c>
      <c r="U21" s="204" t="str">
        <f t="shared" si="44"/>
        <v/>
      </c>
      <c r="V21" s="456">
        <f t="shared" si="21"/>
        <v>0</v>
      </c>
      <c r="W21" s="171">
        <f t="shared" si="45"/>
        <v>0</v>
      </c>
      <c r="X21" s="426">
        <f t="shared" si="22"/>
        <v>0</v>
      </c>
      <c r="Y21" s="225">
        <f t="shared" si="46"/>
        <v>0</v>
      </c>
      <c r="Z21" s="460">
        <f t="shared" si="23"/>
        <v>0</v>
      </c>
      <c r="AA21" s="189">
        <f t="shared" si="47"/>
        <v>0</v>
      </c>
      <c r="AB21" s="564">
        <f t="shared" si="24"/>
        <v>0</v>
      </c>
      <c r="AC21" s="123">
        <f t="shared" si="48"/>
        <v>0</v>
      </c>
      <c r="AD21" s="352">
        <f>[2]東京事務!$I$21</f>
        <v>0</v>
      </c>
      <c r="AE21" s="9">
        <f t="shared" si="49"/>
        <v>0</v>
      </c>
      <c r="AF21" s="362">
        <f>[2]東京事務!$L$21</f>
        <v>0</v>
      </c>
      <c r="AG21" s="81">
        <f t="shared" si="50"/>
        <v>0</v>
      </c>
      <c r="AH21" s="388">
        <f>[2]東京工場!$I$21</f>
        <v>0</v>
      </c>
      <c r="AI21" s="171">
        <f t="shared" si="25"/>
        <v>0</v>
      </c>
      <c r="AJ21" s="362">
        <f>[2]東京工場!$L$21</f>
        <v>0</v>
      </c>
      <c r="AK21" s="99">
        <f t="shared" si="36"/>
        <v>0</v>
      </c>
      <c r="AL21" s="547">
        <f t="shared" si="26"/>
        <v>0</v>
      </c>
      <c r="AM21" s="314">
        <f t="shared" si="51"/>
        <v>0</v>
      </c>
      <c r="AN21" s="478">
        <f t="shared" si="27"/>
        <v>0</v>
      </c>
      <c r="AO21" s="123">
        <f t="shared" si="52"/>
        <v>0</v>
      </c>
      <c r="AP21" s="527">
        <f t="shared" si="28"/>
        <v>0</v>
      </c>
      <c r="AQ21" s="284">
        <f t="shared" si="53"/>
        <v>0</v>
      </c>
      <c r="AR21" s="487">
        <f t="shared" si="29"/>
        <v>0</v>
      </c>
      <c r="AS21" s="285">
        <f t="shared" si="54"/>
        <v>0</v>
      </c>
      <c r="AT21" s="584">
        <f>[2]全社合計!$G$21</f>
        <v>2035207</v>
      </c>
      <c r="AU21" s="124">
        <f t="shared" si="30"/>
        <v>2.1813495331419481E-3</v>
      </c>
      <c r="AV21" s="578">
        <f>[2]全社合計!$N$21</f>
        <v>2035207</v>
      </c>
      <c r="AW21" s="125">
        <f t="shared" si="31"/>
        <v>1.0710987742251375E-3</v>
      </c>
      <c r="AX21" s="584">
        <f t="shared" si="32"/>
        <v>-2035207</v>
      </c>
      <c r="AY21" s="124">
        <f t="shared" si="33"/>
        <v>0</v>
      </c>
      <c r="AZ21" s="578">
        <f t="shared" si="34"/>
        <v>-2035207</v>
      </c>
      <c r="BA21" s="125">
        <f t="shared" si="35"/>
        <v>0</v>
      </c>
      <c r="BB21" s="11"/>
    </row>
    <row r="22" spans="1:54" ht="15.95" customHeight="1">
      <c r="A22" s="37" t="s">
        <v>18</v>
      </c>
      <c r="B22" s="703">
        <f>[2]本部!$I$22</f>
        <v>408499</v>
      </c>
      <c r="C22" s="259" t="str">
        <f t="shared" si="38"/>
        <v/>
      </c>
      <c r="D22" s="728">
        <f>[2]本部!$L$22</f>
        <v>408499</v>
      </c>
      <c r="E22" s="122" t="str">
        <f t="shared" si="39"/>
        <v/>
      </c>
      <c r="F22" s="352">
        <f>[2]本社営業!$I$22</f>
        <v>2163512</v>
      </c>
      <c r="G22" s="9">
        <f t="shared" si="40"/>
        <v>4.1586107845125271E-3</v>
      </c>
      <c r="H22" s="362">
        <f>[2]本社営業!$L$22</f>
        <v>2163512</v>
      </c>
      <c r="I22" s="124">
        <f t="shared" si="19"/>
        <v>2.0507198101301239E-3</v>
      </c>
      <c r="J22" s="388">
        <f>[2]東大阪!$I$22</f>
        <v>1664959</v>
      </c>
      <c r="K22" s="9">
        <f t="shared" si="20"/>
        <v>0.1774939770493037</v>
      </c>
      <c r="L22" s="362">
        <f>[2]東大阪!$L$22</f>
        <v>1664959</v>
      </c>
      <c r="M22" s="124">
        <f t="shared" si="37"/>
        <v>9.1189512411088719E-2</v>
      </c>
      <c r="N22" s="403">
        <f>[2]南港工場!$I$22</f>
        <v>2331084</v>
      </c>
      <c r="O22" s="9">
        <f t="shared" si="41"/>
        <v>8.380226398163966E-2</v>
      </c>
      <c r="P22" s="362">
        <f>[2]南港工場!$L$22</f>
        <v>2331084</v>
      </c>
      <c r="Q22" s="204">
        <f t="shared" si="42"/>
        <v>4.1597566663944152E-2</v>
      </c>
      <c r="R22" s="437">
        <f>[2]南港事務!$I$22</f>
        <v>985479</v>
      </c>
      <c r="S22" s="9" t="str">
        <f t="shared" si="43"/>
        <v/>
      </c>
      <c r="T22" s="362">
        <f>[2]南港事務!$L$22</f>
        <v>985479</v>
      </c>
      <c r="U22" s="204" t="str">
        <f t="shared" si="44"/>
        <v/>
      </c>
      <c r="V22" s="456">
        <f t="shared" si="21"/>
        <v>3316563</v>
      </c>
      <c r="W22" s="171">
        <f t="shared" si="45"/>
        <v>0.11923014702075892</v>
      </c>
      <c r="X22" s="426">
        <f t="shared" si="22"/>
        <v>3316563</v>
      </c>
      <c r="Y22" s="225">
        <f t="shared" si="46"/>
        <v>5.9183174217518814E-2</v>
      </c>
      <c r="Z22" s="460">
        <f t="shared" si="23"/>
        <v>7145034</v>
      </c>
      <c r="AA22" s="189">
        <f t="shared" si="47"/>
        <v>1.2817455559931388E-2</v>
      </c>
      <c r="AB22" s="564">
        <f t="shared" si="24"/>
        <v>7145034</v>
      </c>
      <c r="AC22" s="123">
        <f t="shared" si="48"/>
        <v>6.3269669879153154E-3</v>
      </c>
      <c r="AD22" s="352">
        <f>[2]東京事務!$I$22</f>
        <v>1064452</v>
      </c>
      <c r="AE22" s="9">
        <f t="shared" si="49"/>
        <v>4.3922708178194833E-3</v>
      </c>
      <c r="AF22" s="362">
        <f>[2]東京事務!$L$22</f>
        <v>1064452</v>
      </c>
      <c r="AG22" s="81">
        <f t="shared" si="50"/>
        <v>2.1783623491253355E-3</v>
      </c>
      <c r="AH22" s="388">
        <f>[2]東京工場!$I$22</f>
        <v>1459377</v>
      </c>
      <c r="AI22" s="171">
        <f t="shared" si="25"/>
        <v>0.13815035774444639</v>
      </c>
      <c r="AJ22" s="362">
        <f>[2]東京工場!$L$22</f>
        <v>1459377</v>
      </c>
      <c r="AK22" s="99">
        <f t="shared" si="36"/>
        <v>7.1630361483795715E-2</v>
      </c>
      <c r="AL22" s="547">
        <f t="shared" si="26"/>
        <v>2523829</v>
      </c>
      <c r="AM22" s="314">
        <f t="shared" si="51"/>
        <v>9.9791464016597275E-3</v>
      </c>
      <c r="AN22" s="478">
        <f t="shared" si="27"/>
        <v>2523829</v>
      </c>
      <c r="AO22" s="123">
        <f t="shared" si="52"/>
        <v>4.9581969061485778E-3</v>
      </c>
      <c r="AP22" s="527">
        <f t="shared" si="28"/>
        <v>10077362</v>
      </c>
      <c r="AQ22" s="284">
        <f t="shared" si="53"/>
        <v>1.2435723719726193E-2</v>
      </c>
      <c r="AR22" s="487">
        <f t="shared" si="29"/>
        <v>10077362</v>
      </c>
      <c r="AS22" s="285">
        <f t="shared" si="54"/>
        <v>6.1510340498605763E-3</v>
      </c>
      <c r="AT22" s="584">
        <f>[2]全社合計!$G$22</f>
        <v>9150224</v>
      </c>
      <c r="AU22" s="124">
        <f t="shared" si="30"/>
        <v>9.8072760414760016E-3</v>
      </c>
      <c r="AV22" s="578">
        <f>[2]全社合計!$N$22</f>
        <v>9150224</v>
      </c>
      <c r="AW22" s="125">
        <f t="shared" si="31"/>
        <v>4.8156250004473423E-3</v>
      </c>
      <c r="AX22" s="584">
        <f t="shared" si="32"/>
        <v>927138</v>
      </c>
      <c r="AY22" s="124">
        <f t="shared" si="33"/>
        <v>1.1013240768750578</v>
      </c>
      <c r="AZ22" s="578">
        <f t="shared" si="34"/>
        <v>927138</v>
      </c>
      <c r="BA22" s="125">
        <f t="shared" si="35"/>
        <v>1.1013240768750578</v>
      </c>
      <c r="BB22" s="11"/>
    </row>
    <row r="23" spans="1:54" ht="15.95" customHeight="1">
      <c r="A23" s="37" t="s">
        <v>19</v>
      </c>
      <c r="B23" s="703">
        <f>[2]本部!$I$23</f>
        <v>536704</v>
      </c>
      <c r="C23" s="259" t="str">
        <f t="shared" si="38"/>
        <v/>
      </c>
      <c r="D23" s="728">
        <f>[2]本部!$L$23</f>
        <v>1072492</v>
      </c>
      <c r="E23" s="122" t="str">
        <f t="shared" si="39"/>
        <v/>
      </c>
      <c r="F23" s="352">
        <f>[2]本社営業!$I$23</f>
        <v>496643</v>
      </c>
      <c r="G23" s="9">
        <f t="shared" si="40"/>
        <v>9.5462605978273061E-4</v>
      </c>
      <c r="H23" s="362">
        <f>[2]本社営業!$L$23</f>
        <v>597809</v>
      </c>
      <c r="I23" s="124">
        <f t="shared" si="19"/>
        <v>5.6664292085002494E-4</v>
      </c>
      <c r="J23" s="388">
        <f>[2]東大阪!$I$23</f>
        <v>127268</v>
      </c>
      <c r="K23" s="9">
        <f t="shared" si="20"/>
        <v>1.3567483326082375E-2</v>
      </c>
      <c r="L23" s="362">
        <f>[2]東大阪!$L$23</f>
        <v>190659</v>
      </c>
      <c r="M23" s="124">
        <f t="shared" si="37"/>
        <v>1.0442359990117334E-2</v>
      </c>
      <c r="N23" s="403">
        <f>[2]南港工場!$I$23</f>
        <v>89155</v>
      </c>
      <c r="O23" s="9">
        <f t="shared" si="41"/>
        <v>3.205114378239087E-3</v>
      </c>
      <c r="P23" s="362">
        <f>[2]南港工場!$L$23</f>
        <v>163045</v>
      </c>
      <c r="Q23" s="204">
        <f t="shared" si="42"/>
        <v>2.9094941480970978E-3</v>
      </c>
      <c r="R23" s="437">
        <f>[2]南港事務!$I$23</f>
        <v>122382</v>
      </c>
      <c r="S23" s="9" t="str">
        <f t="shared" si="43"/>
        <v/>
      </c>
      <c r="T23" s="362">
        <f>[2]南港事務!$L$23</f>
        <v>175023</v>
      </c>
      <c r="U23" s="204" t="str">
        <f t="shared" si="44"/>
        <v/>
      </c>
      <c r="V23" s="456">
        <f t="shared" si="21"/>
        <v>211537</v>
      </c>
      <c r="W23" s="171">
        <f t="shared" si="45"/>
        <v>7.6047364727672229E-3</v>
      </c>
      <c r="X23" s="426">
        <f t="shared" si="22"/>
        <v>338068</v>
      </c>
      <c r="Y23" s="225">
        <f t="shared" si="46"/>
        <v>6.0327324828046832E-3</v>
      </c>
      <c r="Z23" s="460">
        <f t="shared" si="23"/>
        <v>835448</v>
      </c>
      <c r="AA23" s="189">
        <f t="shared" si="47"/>
        <v>1.4987077196040718E-3</v>
      </c>
      <c r="AB23" s="564">
        <f t="shared" si="24"/>
        <v>1126536</v>
      </c>
      <c r="AC23" s="123">
        <f t="shared" si="48"/>
        <v>9.9755383707035789E-4</v>
      </c>
      <c r="AD23" s="352">
        <f>[2]東京事務!$I$23</f>
        <v>104311</v>
      </c>
      <c r="AE23" s="9">
        <f t="shared" si="49"/>
        <v>4.3042068714941407E-4</v>
      </c>
      <c r="AF23" s="362">
        <f>[2]東京事務!$L$23</f>
        <v>158574</v>
      </c>
      <c r="AG23" s="81">
        <f t="shared" si="50"/>
        <v>3.2451593040381431E-4</v>
      </c>
      <c r="AH23" s="388">
        <f>[2]東京工場!$I$23</f>
        <v>92816</v>
      </c>
      <c r="AI23" s="171">
        <f t="shared" si="25"/>
        <v>8.7863270453135394E-3</v>
      </c>
      <c r="AJ23" s="362">
        <f>[2]東京工場!$L$23</f>
        <v>146555</v>
      </c>
      <c r="AK23" s="99">
        <f t="shared" si="36"/>
        <v>7.1933349828438306E-3</v>
      </c>
      <c r="AL23" s="547">
        <f t="shared" si="26"/>
        <v>197127</v>
      </c>
      <c r="AM23" s="314">
        <f t="shared" si="51"/>
        <v>7.7943441997059917E-4</v>
      </c>
      <c r="AN23" s="478">
        <f t="shared" si="27"/>
        <v>305129</v>
      </c>
      <c r="AO23" s="123">
        <f t="shared" si="52"/>
        <v>5.9944222202701109E-4</v>
      </c>
      <c r="AP23" s="527">
        <f t="shared" si="28"/>
        <v>1569279</v>
      </c>
      <c r="AQ23" s="284">
        <f t="shared" si="53"/>
        <v>1.9365306201333443E-3</v>
      </c>
      <c r="AR23" s="487">
        <f t="shared" si="29"/>
        <v>2504157</v>
      </c>
      <c r="AS23" s="285">
        <f t="shared" si="54"/>
        <v>1.5284907868941008E-3</v>
      </c>
      <c r="AT23" s="584">
        <f>[2]全社合計!$G$23</f>
        <v>1361752</v>
      </c>
      <c r="AU23" s="124">
        <f t="shared" si="30"/>
        <v>1.459535609623549E-3</v>
      </c>
      <c r="AV23" s="578">
        <f>[2]全社合計!$N$23</f>
        <v>2260839</v>
      </c>
      <c r="AW23" s="125">
        <f t="shared" si="31"/>
        <v>1.1898454956279069E-3</v>
      </c>
      <c r="AX23" s="584">
        <f t="shared" si="32"/>
        <v>207527</v>
      </c>
      <c r="AY23" s="124">
        <f t="shared" si="33"/>
        <v>1.1523970590827111</v>
      </c>
      <c r="AZ23" s="578">
        <f t="shared" si="34"/>
        <v>243318</v>
      </c>
      <c r="BA23" s="125">
        <f t="shared" si="35"/>
        <v>1.1076228780554476</v>
      </c>
      <c r="BB23" s="11"/>
    </row>
    <row r="24" spans="1:54" ht="15.95" customHeight="1">
      <c r="A24" s="37" t="s">
        <v>20</v>
      </c>
      <c r="B24" s="703">
        <f>[2]本部!$I$24</f>
        <v>45000</v>
      </c>
      <c r="C24" s="259" t="str">
        <f t="shared" si="38"/>
        <v/>
      </c>
      <c r="D24" s="728">
        <f>[2]本部!$L$24</f>
        <v>90000</v>
      </c>
      <c r="E24" s="122" t="str">
        <f t="shared" si="39"/>
        <v/>
      </c>
      <c r="F24" s="352">
        <f>[2]本社営業!$I$24</f>
        <v>181650</v>
      </c>
      <c r="G24" s="9">
        <f t="shared" si="40"/>
        <v>3.4915990713557427E-4</v>
      </c>
      <c r="H24" s="362">
        <f>[2]本社営業!$L$24</f>
        <v>1035300</v>
      </c>
      <c r="I24" s="124">
        <f t="shared" si="19"/>
        <v>9.8132583476667453E-4</v>
      </c>
      <c r="J24" s="388">
        <f>[2]東大阪!$I$24</f>
        <v>96410</v>
      </c>
      <c r="K24" s="9">
        <f t="shared" si="20"/>
        <v>1.0277847278715795E-2</v>
      </c>
      <c r="L24" s="362">
        <f>[2]東大阪!$L$24</f>
        <v>192820</v>
      </c>
      <c r="M24" s="124">
        <f t="shared" si="37"/>
        <v>1.0560717581097268E-2</v>
      </c>
      <c r="N24" s="403">
        <f>[2]南港工場!$I$24</f>
        <v>28600</v>
      </c>
      <c r="O24" s="9">
        <f t="shared" si="41"/>
        <v>1.0281674748206819E-3</v>
      </c>
      <c r="P24" s="362">
        <f>[2]南港工場!$L$24</f>
        <v>57200</v>
      </c>
      <c r="Q24" s="204">
        <f t="shared" si="42"/>
        <v>1.0207186069560795E-3</v>
      </c>
      <c r="R24" s="437">
        <f>[2]南港事務!$I$24</f>
        <v>0</v>
      </c>
      <c r="S24" s="9" t="str">
        <f t="shared" si="43"/>
        <v/>
      </c>
      <c r="T24" s="362">
        <f>[2]南港事務!$L$24</f>
        <v>0</v>
      </c>
      <c r="U24" s="204" t="str">
        <f t="shared" si="44"/>
        <v/>
      </c>
      <c r="V24" s="456">
        <f t="shared" si="21"/>
        <v>28600</v>
      </c>
      <c r="W24" s="171">
        <f t="shared" si="45"/>
        <v>1.0281674748206819E-3</v>
      </c>
      <c r="X24" s="426">
        <f t="shared" si="22"/>
        <v>57200</v>
      </c>
      <c r="Y24" s="225">
        <f t="shared" si="46"/>
        <v>1.0207186069560795E-3</v>
      </c>
      <c r="Z24" s="460">
        <f t="shared" si="23"/>
        <v>306660</v>
      </c>
      <c r="AA24" s="189">
        <f t="shared" si="47"/>
        <v>5.5011647558409935E-4</v>
      </c>
      <c r="AB24" s="564">
        <f t="shared" si="24"/>
        <v>1285320</v>
      </c>
      <c r="AC24" s="123">
        <f t="shared" si="48"/>
        <v>1.1381579442319397E-3</v>
      </c>
      <c r="AD24" s="352">
        <f>[2]東京事務!$I$24</f>
        <v>143500</v>
      </c>
      <c r="AE24" s="9">
        <f t="shared" si="49"/>
        <v>5.9212708732483553E-4</v>
      </c>
      <c r="AF24" s="362">
        <f>[2]東京事務!$L$24</f>
        <v>287000</v>
      </c>
      <c r="AG24" s="81">
        <f t="shared" si="50"/>
        <v>5.8733507400894668E-4</v>
      </c>
      <c r="AH24" s="388">
        <f>[2]東京工場!$I$24</f>
        <v>0</v>
      </c>
      <c r="AI24" s="171">
        <f t="shared" si="25"/>
        <v>0</v>
      </c>
      <c r="AJ24" s="362">
        <f>[2]東京工場!$L$24</f>
        <v>0</v>
      </c>
      <c r="AK24" s="99">
        <f t="shared" si="36"/>
        <v>0</v>
      </c>
      <c r="AL24" s="547">
        <f t="shared" si="26"/>
        <v>143500</v>
      </c>
      <c r="AM24" s="314">
        <f t="shared" si="51"/>
        <v>5.6739482296073584E-4</v>
      </c>
      <c r="AN24" s="478">
        <f t="shared" si="27"/>
        <v>287000</v>
      </c>
      <c r="AO24" s="123">
        <f t="shared" si="52"/>
        <v>5.6382683298458085E-4</v>
      </c>
      <c r="AP24" s="527">
        <f t="shared" si="28"/>
        <v>495160</v>
      </c>
      <c r="AQ24" s="284">
        <f t="shared" si="53"/>
        <v>6.1104016676781297E-4</v>
      </c>
      <c r="AR24" s="487">
        <f t="shared" si="29"/>
        <v>1662320</v>
      </c>
      <c r="AS24" s="285">
        <f t="shared" si="54"/>
        <v>1.0146491633191536E-3</v>
      </c>
      <c r="AT24" s="584">
        <f>[2]全社合計!$G$24</f>
        <v>455978</v>
      </c>
      <c r="AU24" s="124">
        <f t="shared" si="30"/>
        <v>4.8872050726191454E-4</v>
      </c>
      <c r="AV24" s="578">
        <f>[2]全社合計!$N$24</f>
        <v>1583956</v>
      </c>
      <c r="AW24" s="125">
        <f t="shared" si="31"/>
        <v>8.3361217312369297E-4</v>
      </c>
      <c r="AX24" s="584">
        <f t="shared" si="32"/>
        <v>39182</v>
      </c>
      <c r="AY24" s="124">
        <f t="shared" si="33"/>
        <v>1.0859295843220507</v>
      </c>
      <c r="AZ24" s="578">
        <f t="shared" si="34"/>
        <v>78364</v>
      </c>
      <c r="BA24" s="125">
        <f t="shared" si="35"/>
        <v>1.0494735964887913</v>
      </c>
      <c r="BB24" s="11"/>
    </row>
    <row r="25" spans="1:54" ht="15.95" customHeight="1">
      <c r="A25" s="37" t="s">
        <v>54</v>
      </c>
      <c r="B25" s="703">
        <f>[2]本部!$I$25</f>
        <v>129379</v>
      </c>
      <c r="C25" s="259" t="str">
        <f t="shared" si="38"/>
        <v/>
      </c>
      <c r="D25" s="728">
        <f>[2]本部!$L$25</f>
        <v>258758</v>
      </c>
      <c r="E25" s="122" t="str">
        <f t="shared" si="39"/>
        <v/>
      </c>
      <c r="F25" s="352">
        <f>[2]本社営業!$I$25</f>
        <v>86370</v>
      </c>
      <c r="G25" s="9">
        <f t="shared" si="40"/>
        <v>1.6601674197247207E-4</v>
      </c>
      <c r="H25" s="362">
        <f>[2]本社営業!$L$25</f>
        <v>172740</v>
      </c>
      <c r="I25" s="124">
        <f t="shared" si="19"/>
        <v>1.6373440036472069E-4</v>
      </c>
      <c r="J25" s="388">
        <f>[2]東大阪!$I$25</f>
        <v>10180</v>
      </c>
      <c r="K25" s="9">
        <f t="shared" si="20"/>
        <v>1.0852451540019374E-3</v>
      </c>
      <c r="L25" s="362">
        <f>[2]東大阪!$L$25</f>
        <v>20360</v>
      </c>
      <c r="M25" s="124">
        <f t="shared" si="37"/>
        <v>1.1151136290381723E-3</v>
      </c>
      <c r="N25" s="403">
        <f>[2]南港工場!$I$25</f>
        <v>0</v>
      </c>
      <c r="O25" s="9">
        <f t="shared" si="41"/>
        <v>0</v>
      </c>
      <c r="P25" s="362">
        <f>[2]南港工場!$L$25</f>
        <v>0</v>
      </c>
      <c r="Q25" s="204">
        <f t="shared" si="42"/>
        <v>0</v>
      </c>
      <c r="R25" s="437">
        <f>[2]南港事務!$I$25</f>
        <v>19840</v>
      </c>
      <c r="S25" s="9" t="str">
        <f t="shared" si="43"/>
        <v/>
      </c>
      <c r="T25" s="362">
        <f>[2]南港事務!$L$25</f>
        <v>30020</v>
      </c>
      <c r="U25" s="204" t="str">
        <f t="shared" si="44"/>
        <v/>
      </c>
      <c r="V25" s="456">
        <f t="shared" si="21"/>
        <v>19840</v>
      </c>
      <c r="W25" s="171">
        <f t="shared" si="45"/>
        <v>7.1324624826721425E-4</v>
      </c>
      <c r="X25" s="426">
        <f t="shared" si="22"/>
        <v>30020</v>
      </c>
      <c r="Y25" s="225">
        <f t="shared" si="46"/>
        <v>5.3569882134303333E-4</v>
      </c>
      <c r="Z25" s="460">
        <f t="shared" si="23"/>
        <v>116390</v>
      </c>
      <c r="AA25" s="189">
        <f t="shared" si="47"/>
        <v>2.087916800144568E-4</v>
      </c>
      <c r="AB25" s="564">
        <f t="shared" si="24"/>
        <v>223120</v>
      </c>
      <c r="AC25" s="123">
        <f t="shared" si="48"/>
        <v>1.9757398975899415E-4</v>
      </c>
      <c r="AD25" s="352">
        <f>[2]東京事務!$I$25</f>
        <v>37082</v>
      </c>
      <c r="AE25" s="9">
        <f t="shared" si="49"/>
        <v>1.5301224147860315E-4</v>
      </c>
      <c r="AF25" s="362">
        <f>[2]東京事務!$L$25</f>
        <v>55624</v>
      </c>
      <c r="AG25" s="81">
        <f t="shared" si="50"/>
        <v>1.1383249531942038E-4</v>
      </c>
      <c r="AH25" s="388">
        <f>[2]東京工場!$I$25</f>
        <v>8300</v>
      </c>
      <c r="AI25" s="171">
        <f t="shared" si="25"/>
        <v>7.8571059382113399E-4</v>
      </c>
      <c r="AJ25" s="362">
        <f>[2]東京工場!$L$25</f>
        <v>16600</v>
      </c>
      <c r="AK25" s="99">
        <f t="shared" si="36"/>
        <v>8.147750722609778E-4</v>
      </c>
      <c r="AL25" s="547">
        <f t="shared" si="26"/>
        <v>45382</v>
      </c>
      <c r="AM25" s="314">
        <f t="shared" si="51"/>
        <v>1.7943910700769417E-4</v>
      </c>
      <c r="AN25" s="478">
        <f t="shared" si="27"/>
        <v>72224</v>
      </c>
      <c r="AO25" s="123">
        <f t="shared" si="52"/>
        <v>1.4188790656961104E-4</v>
      </c>
      <c r="AP25" s="527">
        <f t="shared" si="28"/>
        <v>291151</v>
      </c>
      <c r="AQ25" s="284">
        <f t="shared" si="53"/>
        <v>3.5928781726031082E-4</v>
      </c>
      <c r="AR25" s="487">
        <f t="shared" si="29"/>
        <v>554102</v>
      </c>
      <c r="AS25" s="285">
        <f t="shared" si="54"/>
        <v>3.382135393266457E-4</v>
      </c>
      <c r="AT25" s="584">
        <f>[2]全社合計!$G$25</f>
        <v>269181</v>
      </c>
      <c r="AU25" s="124">
        <f t="shared" si="30"/>
        <v>2.8851013615847568E-4</v>
      </c>
      <c r="AV25" s="578">
        <f>[2]全社合計!$N$25</f>
        <v>510162</v>
      </c>
      <c r="AW25" s="125">
        <f t="shared" si="31"/>
        <v>2.6849057263278112E-4</v>
      </c>
      <c r="AX25" s="584">
        <f t="shared" si="32"/>
        <v>21970</v>
      </c>
      <c r="AY25" s="124">
        <f t="shared" si="33"/>
        <v>1.0816179448029393</v>
      </c>
      <c r="AZ25" s="578">
        <f t="shared" si="34"/>
        <v>43940</v>
      </c>
      <c r="BA25" s="125">
        <f t="shared" si="35"/>
        <v>1.0861295039614867</v>
      </c>
      <c r="BB25" s="11"/>
    </row>
    <row r="26" spans="1:54" ht="15.95" customHeight="1">
      <c r="A26" s="37" t="s">
        <v>55</v>
      </c>
      <c r="B26" s="703">
        <f>[2]本部!$I$26</f>
        <v>328701</v>
      </c>
      <c r="C26" s="259" t="str">
        <f t="shared" si="38"/>
        <v/>
      </c>
      <c r="D26" s="728">
        <f>[2]本部!$L$26</f>
        <v>657402</v>
      </c>
      <c r="E26" s="122" t="str">
        <f t="shared" si="39"/>
        <v/>
      </c>
      <c r="F26" s="352">
        <f>[2]本社営業!$I$26</f>
        <v>680</v>
      </c>
      <c r="G26" s="9">
        <f t="shared" si="40"/>
        <v>1.3070670897450621E-6</v>
      </c>
      <c r="H26" s="362">
        <f>[2]本社営業!$L$26</f>
        <v>1360</v>
      </c>
      <c r="I26" s="124">
        <f t="shared" si="19"/>
        <v>1.289097976704991E-6</v>
      </c>
      <c r="J26" s="388">
        <f>[2]東大阪!$I$26</f>
        <v>7170</v>
      </c>
      <c r="K26" s="9">
        <f t="shared" si="20"/>
        <v>7.6436225483240581E-4</v>
      </c>
      <c r="L26" s="362">
        <f>[2]東大阪!$L$26</f>
        <v>14340</v>
      </c>
      <c r="M26" s="124">
        <f t="shared" si="37"/>
        <v>7.8539928489230798E-4</v>
      </c>
      <c r="N26" s="403">
        <f>[2]南港工場!$I$26</f>
        <v>0</v>
      </c>
      <c r="O26" s="9">
        <f t="shared" si="41"/>
        <v>0</v>
      </c>
      <c r="P26" s="362">
        <f>[2]南港工場!$L$26</f>
        <v>0</v>
      </c>
      <c r="Q26" s="204">
        <f t="shared" si="42"/>
        <v>0</v>
      </c>
      <c r="R26" s="437">
        <f>[2]南港事務!$I$26</f>
        <v>5520</v>
      </c>
      <c r="S26" s="9" t="str">
        <f t="shared" si="43"/>
        <v/>
      </c>
      <c r="T26" s="362">
        <f>[2]南港事務!$L$26</f>
        <v>11040</v>
      </c>
      <c r="U26" s="204" t="str">
        <f t="shared" si="44"/>
        <v/>
      </c>
      <c r="V26" s="456">
        <f>N26+R26</f>
        <v>5520</v>
      </c>
      <c r="W26" s="171">
        <f t="shared" si="45"/>
        <v>1.98443512622733E-4</v>
      </c>
      <c r="X26" s="426">
        <f t="shared" si="22"/>
        <v>11040</v>
      </c>
      <c r="Y26" s="225">
        <f t="shared" si="46"/>
        <v>1.9700582903487969E-4</v>
      </c>
      <c r="Z26" s="460">
        <f t="shared" si="23"/>
        <v>13370</v>
      </c>
      <c r="AA26" s="189">
        <f t="shared" si="47"/>
        <v>2.3984403830168293E-5</v>
      </c>
      <c r="AB26" s="564">
        <f t="shared" si="24"/>
        <v>26740</v>
      </c>
      <c r="AC26" s="123">
        <f t="shared" si="48"/>
        <v>2.3678417381478594E-5</v>
      </c>
      <c r="AD26" s="352">
        <f>[2]東京事務!$I$26</f>
        <v>7170</v>
      </c>
      <c r="AE26" s="9">
        <f t="shared" si="49"/>
        <v>2.9585722760411645E-5</v>
      </c>
      <c r="AF26" s="362">
        <f>[2]東京事務!$L$26</f>
        <v>14340</v>
      </c>
      <c r="AG26" s="81">
        <f t="shared" si="50"/>
        <v>2.9346289063722282E-5</v>
      </c>
      <c r="AH26" s="388">
        <f>[2]東京工場!$I$26</f>
        <v>25000</v>
      </c>
      <c r="AI26" s="171">
        <f t="shared" si="25"/>
        <v>2.3665981741600424E-3</v>
      </c>
      <c r="AJ26" s="362">
        <f>[2]東京工場!$L$26</f>
        <v>38000</v>
      </c>
      <c r="AK26" s="99">
        <f t="shared" si="36"/>
        <v>1.8651477557781418E-3</v>
      </c>
      <c r="AL26" s="547">
        <f t="shared" si="26"/>
        <v>32170</v>
      </c>
      <c r="AM26" s="314">
        <f t="shared" si="51"/>
        <v>1.2719924358638935E-4</v>
      </c>
      <c r="AN26" s="478">
        <f t="shared" si="27"/>
        <v>52340</v>
      </c>
      <c r="AO26" s="123">
        <f t="shared" si="52"/>
        <v>1.0282472626624726E-4</v>
      </c>
      <c r="AP26" s="527">
        <f t="shared" si="28"/>
        <v>374241</v>
      </c>
      <c r="AQ26" s="284">
        <f t="shared" si="53"/>
        <v>4.6182301286726128E-4</v>
      </c>
      <c r="AR26" s="487">
        <f t="shared" si="29"/>
        <v>736482</v>
      </c>
      <c r="AS26" s="285">
        <f t="shared" si="54"/>
        <v>4.4953489406348771E-4</v>
      </c>
      <c r="AT26" s="584">
        <f>[2]全社合計!$G$26</f>
        <v>390281</v>
      </c>
      <c r="AU26" s="124">
        <f t="shared" si="30"/>
        <v>4.1830598909308619E-4</v>
      </c>
      <c r="AV26" s="578">
        <f>[2]全社合計!$N$26</f>
        <v>767572</v>
      </c>
      <c r="AW26" s="125">
        <f t="shared" si="31"/>
        <v>4.0396157655193655E-4</v>
      </c>
      <c r="AX26" s="584">
        <f t="shared" si="32"/>
        <v>-16040</v>
      </c>
      <c r="AY26" s="124">
        <f t="shared" si="33"/>
        <v>0.95890140693500325</v>
      </c>
      <c r="AZ26" s="578">
        <f t="shared" si="34"/>
        <v>-31090</v>
      </c>
      <c r="BA26" s="125">
        <f t="shared" si="35"/>
        <v>0.95949565643353329</v>
      </c>
      <c r="BB26" s="11"/>
    </row>
    <row r="27" spans="1:54" ht="15.95" customHeight="1">
      <c r="A27" s="37" t="s">
        <v>21</v>
      </c>
      <c r="B27" s="703">
        <f>[2]本部!$I$27</f>
        <v>0</v>
      </c>
      <c r="C27" s="259" t="str">
        <f t="shared" si="38"/>
        <v/>
      </c>
      <c r="D27" s="728">
        <f>[2]本部!$L$27</f>
        <v>0</v>
      </c>
      <c r="E27" s="122" t="str">
        <f t="shared" si="39"/>
        <v/>
      </c>
      <c r="F27" s="352">
        <f>[2]本社営業!$I$27</f>
        <v>0</v>
      </c>
      <c r="G27" s="9">
        <f t="shared" si="40"/>
        <v>0</v>
      </c>
      <c r="H27" s="362">
        <f>[2]本社営業!$L$27</f>
        <v>0</v>
      </c>
      <c r="I27" s="124">
        <f t="shared" si="19"/>
        <v>0</v>
      </c>
      <c r="J27" s="388">
        <f>[2]東大阪!$I$27</f>
        <v>160500</v>
      </c>
      <c r="K27" s="9">
        <f t="shared" si="20"/>
        <v>1.7110201101896951E-2</v>
      </c>
      <c r="L27" s="362">
        <f>[2]東大阪!$L$27</f>
        <v>174900</v>
      </c>
      <c r="M27" s="124">
        <f t="shared" si="37"/>
        <v>9.5792423241049286E-3</v>
      </c>
      <c r="N27" s="403">
        <f>[2]南港工場!$I$27</f>
        <v>1641940</v>
      </c>
      <c r="O27" s="9">
        <f t="shared" si="41"/>
        <v>5.902759802821924E-2</v>
      </c>
      <c r="P27" s="362">
        <f>[2]南港工場!$L$27</f>
        <v>1697550</v>
      </c>
      <c r="Q27" s="204">
        <f t="shared" si="42"/>
        <v>3.0292322923746378E-2</v>
      </c>
      <c r="R27" s="437">
        <f>[2]南港事務!$I$27</f>
        <v>0</v>
      </c>
      <c r="S27" s="9" t="str">
        <f t="shared" si="43"/>
        <v/>
      </c>
      <c r="T27" s="362">
        <f>[2]南港事務!$L$27</f>
        <v>0</v>
      </c>
      <c r="U27" s="204" t="str">
        <f t="shared" si="44"/>
        <v/>
      </c>
      <c r="V27" s="456">
        <f>N27+R27</f>
        <v>1641940</v>
      </c>
      <c r="W27" s="171">
        <f t="shared" si="45"/>
        <v>5.902759802821924E-2</v>
      </c>
      <c r="X27" s="426">
        <f t="shared" si="22"/>
        <v>1697550</v>
      </c>
      <c r="Y27" s="225">
        <f t="shared" si="46"/>
        <v>3.0292322923746378E-2</v>
      </c>
      <c r="Z27" s="460">
        <f t="shared" si="23"/>
        <v>1802440</v>
      </c>
      <c r="AA27" s="189">
        <f t="shared" si="47"/>
        <v>3.2333918354262182E-3</v>
      </c>
      <c r="AB27" s="564">
        <f t="shared" si="24"/>
        <v>1872450</v>
      </c>
      <c r="AC27" s="123">
        <f t="shared" si="48"/>
        <v>1.658064795286073E-3</v>
      </c>
      <c r="AD27" s="352">
        <f>[2]東京事務!$I$27</f>
        <v>0</v>
      </c>
      <c r="AE27" s="9">
        <f t="shared" si="49"/>
        <v>0</v>
      </c>
      <c r="AF27" s="362">
        <f>[2]東京事務!$L$27</f>
        <v>0</v>
      </c>
      <c r="AG27" s="81">
        <f t="shared" si="50"/>
        <v>0</v>
      </c>
      <c r="AH27" s="388">
        <f>[2]東京工場!$I$27</f>
        <v>59960</v>
      </c>
      <c r="AI27" s="171">
        <f t="shared" si="25"/>
        <v>5.6760490609054455E-3</v>
      </c>
      <c r="AJ27" s="362">
        <f>[2]東京工場!$L$27</f>
        <v>105860</v>
      </c>
      <c r="AK27" s="99">
        <f t="shared" si="36"/>
        <v>5.1959089849124762E-3</v>
      </c>
      <c r="AL27" s="547">
        <f t="shared" si="26"/>
        <v>59960</v>
      </c>
      <c r="AM27" s="314">
        <f t="shared" si="51"/>
        <v>2.3708009466707821E-4</v>
      </c>
      <c r="AN27" s="478">
        <f t="shared" si="27"/>
        <v>105860</v>
      </c>
      <c r="AO27" s="123">
        <f t="shared" si="52"/>
        <v>2.0796762557403391E-4</v>
      </c>
      <c r="AP27" s="527">
        <f t="shared" si="28"/>
        <v>1862400</v>
      </c>
      <c r="AQ27" s="284">
        <f t="shared" si="53"/>
        <v>2.2982494680272537E-3</v>
      </c>
      <c r="AR27" s="487">
        <f t="shared" si="29"/>
        <v>1978310</v>
      </c>
      <c r="AS27" s="285">
        <f t="shared" si="54"/>
        <v>1.2075235732505864E-3</v>
      </c>
      <c r="AT27" s="584">
        <f>[2]全社合計!$G$27</f>
        <v>577384</v>
      </c>
      <c r="AU27" s="124">
        <f t="shared" si="30"/>
        <v>6.188443332022888E-4</v>
      </c>
      <c r="AV27" s="578">
        <f>[2]全社合計!$N$27</f>
        <v>1177384</v>
      </c>
      <c r="AW27" s="125">
        <f t="shared" si="31"/>
        <v>6.1963945642496765E-4</v>
      </c>
      <c r="AX27" s="584">
        <f t="shared" si="32"/>
        <v>1285016</v>
      </c>
      <c r="AY27" s="124">
        <f t="shared" si="33"/>
        <v>3.2255829742424451</v>
      </c>
      <c r="AZ27" s="578">
        <f t="shared" si="34"/>
        <v>800926</v>
      </c>
      <c r="BA27" s="125">
        <f t="shared" si="35"/>
        <v>1.6802589469535851</v>
      </c>
      <c r="BB27" s="11"/>
    </row>
    <row r="28" spans="1:54" ht="15.95" customHeight="1">
      <c r="A28" s="37" t="s">
        <v>22</v>
      </c>
      <c r="B28" s="703">
        <f>[2]本部!$I$28</f>
        <v>643140</v>
      </c>
      <c r="C28" s="259" t="str">
        <f t="shared" si="38"/>
        <v/>
      </c>
      <c r="D28" s="728">
        <f>[2]本部!$L$28</f>
        <v>1020466</v>
      </c>
      <c r="E28" s="122" t="str">
        <f t="shared" si="39"/>
        <v/>
      </c>
      <c r="F28" s="352">
        <f>[2]本社営業!$I$28</f>
        <v>102131</v>
      </c>
      <c r="G28" s="9">
        <f t="shared" si="40"/>
        <v>1.9631186609228373E-4</v>
      </c>
      <c r="H28" s="362">
        <f>[2]本社営業!$L$28</f>
        <v>207025</v>
      </c>
      <c r="I28" s="124">
        <f t="shared" si="19"/>
        <v>1.9623199163775791E-4</v>
      </c>
      <c r="J28" s="388">
        <f>[2]東大阪!$I$28</f>
        <v>11362</v>
      </c>
      <c r="K28" s="9">
        <f t="shared" si="20"/>
        <v>1.2112529901542252E-3</v>
      </c>
      <c r="L28" s="362">
        <f>[2]東大阪!$L$28</f>
        <v>15482</v>
      </c>
      <c r="M28" s="124">
        <f t="shared" si="37"/>
        <v>8.4794642459572612E-4</v>
      </c>
      <c r="N28" s="403">
        <f>[2]南港工場!$I$28</f>
        <v>0</v>
      </c>
      <c r="O28" s="9">
        <f t="shared" si="41"/>
        <v>0</v>
      </c>
      <c r="P28" s="362">
        <f>[2]南港工場!$L$28</f>
        <v>0</v>
      </c>
      <c r="Q28" s="204">
        <f t="shared" si="42"/>
        <v>0</v>
      </c>
      <c r="R28" s="437">
        <f>[2]南港事務!$I$28</f>
        <v>42210</v>
      </c>
      <c r="S28" s="9" t="str">
        <f t="shared" si="43"/>
        <v/>
      </c>
      <c r="T28" s="362">
        <f>[2]南港事務!$L$28</f>
        <v>46318</v>
      </c>
      <c r="U28" s="204" t="str">
        <f t="shared" si="44"/>
        <v/>
      </c>
      <c r="V28" s="456">
        <f>N28+R28</f>
        <v>42210</v>
      </c>
      <c r="W28" s="171">
        <f t="shared" si="45"/>
        <v>1.5174457731531811E-3</v>
      </c>
      <c r="X28" s="426">
        <f t="shared" si="22"/>
        <v>46318</v>
      </c>
      <c r="Y28" s="225">
        <f t="shared" si="46"/>
        <v>8.265322454019526E-4</v>
      </c>
      <c r="Z28" s="460">
        <f t="shared" si="23"/>
        <v>155703</v>
      </c>
      <c r="AA28" s="189">
        <f t="shared" si="47"/>
        <v>2.7931515553991724E-4</v>
      </c>
      <c r="AB28" s="564">
        <f t="shared" si="24"/>
        <v>268825</v>
      </c>
      <c r="AC28" s="123">
        <f t="shared" si="48"/>
        <v>2.3804601916888494E-4</v>
      </c>
      <c r="AD28" s="352">
        <f>[2]東京事務!$I$28</f>
        <v>14236</v>
      </c>
      <c r="AE28" s="9">
        <f t="shared" si="49"/>
        <v>5.8742308119556509E-5</v>
      </c>
      <c r="AF28" s="362">
        <f>[2]東京事務!$L$28</f>
        <v>14236</v>
      </c>
      <c r="AG28" s="81">
        <f t="shared" si="50"/>
        <v>2.9133456841781757E-5</v>
      </c>
      <c r="AH28" s="388">
        <f>[2]東京工場!$I$28</f>
        <v>15663</v>
      </c>
      <c r="AI28" s="171">
        <f t="shared" si="25"/>
        <v>1.4827210880747497E-3</v>
      </c>
      <c r="AJ28" s="362">
        <f>[2]東京工場!$L$28</f>
        <v>15663</v>
      </c>
      <c r="AK28" s="99">
        <f t="shared" si="36"/>
        <v>7.6878445523034301E-4</v>
      </c>
      <c r="AL28" s="547">
        <f t="shared" si="26"/>
        <v>29899</v>
      </c>
      <c r="AM28" s="314">
        <f t="shared" si="51"/>
        <v>1.1821977569131039E-4</v>
      </c>
      <c r="AN28" s="478">
        <f t="shared" si="27"/>
        <v>29899</v>
      </c>
      <c r="AO28" s="123">
        <f t="shared" si="52"/>
        <v>5.8738182855073116E-5</v>
      </c>
      <c r="AP28" s="527">
        <f t="shared" si="28"/>
        <v>828742</v>
      </c>
      <c r="AQ28" s="284">
        <f t="shared" si="53"/>
        <v>1.0226889286038671E-3</v>
      </c>
      <c r="AR28" s="487">
        <f t="shared" si="29"/>
        <v>1319190</v>
      </c>
      <c r="AS28" s="285">
        <f t="shared" si="54"/>
        <v>8.0520900293505116E-4</v>
      </c>
      <c r="AT28" s="584">
        <f>[2]全社合計!$G$28</f>
        <v>733256</v>
      </c>
      <c r="AU28" s="124">
        <f t="shared" si="30"/>
        <v>7.8590906638662916E-4</v>
      </c>
      <c r="AV28" s="578">
        <f>[2]全社合計!$N$28</f>
        <v>1101070</v>
      </c>
      <c r="AW28" s="125">
        <f t="shared" si="31"/>
        <v>5.7947654825090127E-4</v>
      </c>
      <c r="AX28" s="584">
        <f t="shared" si="32"/>
        <v>95486</v>
      </c>
      <c r="AY28" s="124">
        <f t="shared" si="33"/>
        <v>1.1302219143109637</v>
      </c>
      <c r="AZ28" s="578">
        <f t="shared" si="34"/>
        <v>218120</v>
      </c>
      <c r="BA28" s="125">
        <f t="shared" si="35"/>
        <v>1.1980982135559046</v>
      </c>
      <c r="BB28" s="11"/>
    </row>
    <row r="29" spans="1:54" ht="15.95" customHeight="1">
      <c r="A29" s="37" t="s">
        <v>23</v>
      </c>
      <c r="B29" s="703">
        <f>[2]本部!$I$29</f>
        <v>0</v>
      </c>
      <c r="C29" s="259" t="str">
        <f t="shared" si="38"/>
        <v/>
      </c>
      <c r="D29" s="728">
        <f>[2]本部!$L$29</f>
        <v>0</v>
      </c>
      <c r="E29" s="122" t="str">
        <f t="shared" si="39"/>
        <v/>
      </c>
      <c r="F29" s="352">
        <f>[2]本社営業!$I$29</f>
        <v>52220</v>
      </c>
      <c r="G29" s="9">
        <f t="shared" si="40"/>
        <v>1.0037506386248109E-4</v>
      </c>
      <c r="H29" s="362">
        <f>[2]本社営業!$L$29</f>
        <v>74220</v>
      </c>
      <c r="I29" s="124">
        <f t="shared" si="19"/>
        <v>7.0350626346356198E-5</v>
      </c>
      <c r="J29" s="388">
        <f>[2]東大阪!$I$29</f>
        <v>208706</v>
      </c>
      <c r="K29" s="9">
        <f t="shared" si="20"/>
        <v>2.2249231346869191E-2</v>
      </c>
      <c r="L29" s="362">
        <f>[2]東大阪!$L$29</f>
        <v>477196</v>
      </c>
      <c r="M29" s="124">
        <f t="shared" si="37"/>
        <v>2.6135941224091339E-2</v>
      </c>
      <c r="N29" s="403">
        <f>[2]南港工場!$I$29</f>
        <v>3848491</v>
      </c>
      <c r="O29" s="9">
        <f t="shared" si="41"/>
        <v>0.13835291165524896</v>
      </c>
      <c r="P29" s="362">
        <f>[2]南港工場!$L$29</f>
        <v>4658197</v>
      </c>
      <c r="Q29" s="204">
        <f t="shared" si="42"/>
        <v>8.3124271901520788E-2</v>
      </c>
      <c r="R29" s="437">
        <f>[2]南港事務!$I$29</f>
        <v>0</v>
      </c>
      <c r="S29" s="9" t="str">
        <f t="shared" si="43"/>
        <v/>
      </c>
      <c r="T29" s="362">
        <f>[2]南港事務!$L$29</f>
        <v>0</v>
      </c>
      <c r="U29" s="204" t="str">
        <f t="shared" si="44"/>
        <v/>
      </c>
      <c r="V29" s="456">
        <f t="shared" si="21"/>
        <v>3848491</v>
      </c>
      <c r="W29" s="171">
        <f t="shared" si="45"/>
        <v>0.13835291165524896</v>
      </c>
      <c r="X29" s="426">
        <f t="shared" si="22"/>
        <v>4658197</v>
      </c>
      <c r="Y29" s="225">
        <f t="shared" si="46"/>
        <v>8.3124271901520788E-2</v>
      </c>
      <c r="Z29" s="460">
        <f t="shared" si="23"/>
        <v>4109417</v>
      </c>
      <c r="AA29" s="189">
        <f t="shared" si="47"/>
        <v>7.3718711170200962E-3</v>
      </c>
      <c r="AB29" s="564">
        <f t="shared" si="24"/>
        <v>5209613</v>
      </c>
      <c r="AC29" s="123">
        <f t="shared" si="48"/>
        <v>4.6131410250552299E-3</v>
      </c>
      <c r="AD29" s="352">
        <f>[2]東京事務!$I$29</f>
        <v>15800</v>
      </c>
      <c r="AE29" s="9">
        <f t="shared" si="49"/>
        <v>6.5195874423222308E-5</v>
      </c>
      <c r="AF29" s="362">
        <f>[2]東京事務!$L$29</f>
        <v>15800</v>
      </c>
      <c r="AG29" s="81">
        <f t="shared" si="50"/>
        <v>3.233412602557964E-5</v>
      </c>
      <c r="AH29" s="388">
        <f>[2]東京工場!$I$29</f>
        <v>1528277</v>
      </c>
      <c r="AI29" s="171">
        <f t="shared" si="25"/>
        <v>0.14467270231243148</v>
      </c>
      <c r="AJ29" s="362">
        <f>[2]東京工場!$L$29</f>
        <v>1756815</v>
      </c>
      <c r="AK29" s="99">
        <f t="shared" si="36"/>
        <v>8.6229461962299372E-2</v>
      </c>
      <c r="AL29" s="547">
        <f t="shared" si="26"/>
        <v>1544077</v>
      </c>
      <c r="AM29" s="314">
        <f t="shared" si="51"/>
        <v>6.1052355125626769E-3</v>
      </c>
      <c r="AN29" s="478">
        <f t="shared" si="27"/>
        <v>1772615</v>
      </c>
      <c r="AO29" s="123">
        <f t="shared" si="52"/>
        <v>3.4823968695155499E-3</v>
      </c>
      <c r="AP29" s="527">
        <f t="shared" si="28"/>
        <v>5653494</v>
      </c>
      <c r="AQ29" s="284">
        <f t="shared" si="53"/>
        <v>6.9765569039923056E-3</v>
      </c>
      <c r="AR29" s="487">
        <f t="shared" si="29"/>
        <v>6982228</v>
      </c>
      <c r="AS29" s="285">
        <f t="shared" si="54"/>
        <v>4.2618219105247891E-3</v>
      </c>
      <c r="AT29" s="584">
        <f>[2]全社合計!$G$29</f>
        <v>4765840</v>
      </c>
      <c r="AU29" s="124">
        <f t="shared" si="30"/>
        <v>5.1080616659775748E-3</v>
      </c>
      <c r="AV29" s="578">
        <f>[2]全社合計!$N$29</f>
        <v>5662557</v>
      </c>
      <c r="AW29" s="125">
        <f t="shared" si="31"/>
        <v>2.9801184162986721E-3</v>
      </c>
      <c r="AX29" s="584">
        <f t="shared" si="32"/>
        <v>887654</v>
      </c>
      <c r="AY29" s="124">
        <f t="shared" si="33"/>
        <v>1.1862534201735686</v>
      </c>
      <c r="AZ29" s="578">
        <f t="shared" si="34"/>
        <v>1319671</v>
      </c>
      <c r="BA29" s="125">
        <f t="shared" si="35"/>
        <v>1.233052135280934</v>
      </c>
      <c r="BB29" s="11"/>
    </row>
    <row r="30" spans="1:54" ht="15.95" customHeight="1">
      <c r="A30" s="37" t="s">
        <v>24</v>
      </c>
      <c r="B30" s="703">
        <f>[2]本部!$I$30</f>
        <v>20561</v>
      </c>
      <c r="C30" s="259" t="str">
        <f t="shared" si="38"/>
        <v/>
      </c>
      <c r="D30" s="728">
        <f>[2]本部!$L$30</f>
        <v>33471</v>
      </c>
      <c r="E30" s="122" t="str">
        <f t="shared" si="39"/>
        <v/>
      </c>
      <c r="F30" s="352">
        <f>[2]本社営業!$I$30</f>
        <v>41122</v>
      </c>
      <c r="G30" s="9">
        <f t="shared" si="40"/>
        <v>7.9042960094847706E-5</v>
      </c>
      <c r="H30" s="362">
        <f>[2]本社営業!$L$30</f>
        <v>66943</v>
      </c>
      <c r="I30" s="124">
        <f t="shared" si="19"/>
        <v>6.3453004304825163E-5</v>
      </c>
      <c r="J30" s="388">
        <f>[2]東大阪!$I$30</f>
        <v>432868</v>
      </c>
      <c r="K30" s="9">
        <f t="shared" si="20"/>
        <v>4.6146159069008909E-2</v>
      </c>
      <c r="L30" s="362">
        <f>[2]東大阪!$L$30</f>
        <v>866814</v>
      </c>
      <c r="M30" s="124">
        <f t="shared" si="37"/>
        <v>4.7475250748580271E-2</v>
      </c>
      <c r="N30" s="403">
        <f>[2]南港工場!$I$30</f>
        <v>556570</v>
      </c>
      <c r="O30" s="9">
        <f t="shared" si="41"/>
        <v>2.0008642358774368E-2</v>
      </c>
      <c r="P30" s="362">
        <f>[2]南港工場!$L$30</f>
        <v>1142905</v>
      </c>
      <c r="Q30" s="204">
        <f t="shared" si="42"/>
        <v>2.039483215879612E-2</v>
      </c>
      <c r="R30" s="437">
        <f>[2]南港事務!$I$30</f>
        <v>24724</v>
      </c>
      <c r="S30" s="9" t="str">
        <f t="shared" si="43"/>
        <v/>
      </c>
      <c r="T30" s="362">
        <f>[2]南港事務!$L$30</f>
        <v>46455</v>
      </c>
      <c r="U30" s="204" t="str">
        <f t="shared" si="44"/>
        <v/>
      </c>
      <c r="V30" s="456">
        <f t="shared" si="21"/>
        <v>581294</v>
      </c>
      <c r="W30" s="171">
        <f t="shared" si="45"/>
        <v>2.0897467975818651E-2</v>
      </c>
      <c r="X30" s="426">
        <f t="shared" si="22"/>
        <v>1189360</v>
      </c>
      <c r="Y30" s="225">
        <f t="shared" si="46"/>
        <v>2.1223809132330119E-2</v>
      </c>
      <c r="Z30" s="460">
        <f t="shared" si="23"/>
        <v>1055284</v>
      </c>
      <c r="AA30" s="189">
        <f t="shared" si="47"/>
        <v>1.8930708759547731E-3</v>
      </c>
      <c r="AB30" s="564">
        <f t="shared" si="24"/>
        <v>2123117</v>
      </c>
      <c r="AC30" s="123">
        <f t="shared" si="48"/>
        <v>1.8800318053744461E-3</v>
      </c>
      <c r="AD30" s="352">
        <f>[2]東京事務!$I$30</f>
        <v>61471</v>
      </c>
      <c r="AE30" s="9">
        <f t="shared" si="49"/>
        <v>2.5364908839682902E-4</v>
      </c>
      <c r="AF30" s="362">
        <f>[2]東京事務!$L$30</f>
        <v>107432</v>
      </c>
      <c r="AG30" s="81">
        <f t="shared" si="50"/>
        <v>2.1985568526456151E-4</v>
      </c>
      <c r="AH30" s="388">
        <f>[2]東京工場!$I$30</f>
        <v>269158</v>
      </c>
      <c r="AI30" s="171">
        <f t="shared" si="25"/>
        <v>2.5479553254422745E-2</v>
      </c>
      <c r="AJ30" s="362">
        <f>[2]東京工場!$L$30</f>
        <v>468676</v>
      </c>
      <c r="AK30" s="99">
        <f t="shared" si="36"/>
        <v>2.3003947094396748E-2</v>
      </c>
      <c r="AL30" s="547">
        <f t="shared" si="26"/>
        <v>330629</v>
      </c>
      <c r="AM30" s="314">
        <f t="shared" si="51"/>
        <v>1.307297441955994E-3</v>
      </c>
      <c r="AN30" s="478">
        <f t="shared" si="27"/>
        <v>576108</v>
      </c>
      <c r="AO30" s="123">
        <f t="shared" si="52"/>
        <v>1.1317949445891322E-3</v>
      </c>
      <c r="AP30" s="527">
        <f t="shared" si="28"/>
        <v>1406474</v>
      </c>
      <c r="AQ30" s="284">
        <f t="shared" si="53"/>
        <v>1.7356250656648214E-3</v>
      </c>
      <c r="AR30" s="487">
        <f t="shared" si="29"/>
        <v>2732696</v>
      </c>
      <c r="AS30" s="285">
        <f t="shared" si="54"/>
        <v>1.6679867354093061E-3</v>
      </c>
      <c r="AT30" s="584">
        <f>[2]全社合計!$G$30</f>
        <v>1458895</v>
      </c>
      <c r="AU30" s="124">
        <f t="shared" si="30"/>
        <v>1.5636541772670409E-3</v>
      </c>
      <c r="AV30" s="578">
        <f>[2]全社合計!$N$30</f>
        <v>2782708</v>
      </c>
      <c r="AW30" s="125">
        <f t="shared" si="31"/>
        <v>1.4644972859401938E-3</v>
      </c>
      <c r="AX30" s="584">
        <f t="shared" si="32"/>
        <v>-52421</v>
      </c>
      <c r="AY30" s="124">
        <f t="shared" si="33"/>
        <v>0.96406801037771739</v>
      </c>
      <c r="AZ30" s="578">
        <f t="shared" si="34"/>
        <v>-50012</v>
      </c>
      <c r="BA30" s="125">
        <f t="shared" si="35"/>
        <v>0.9820275788907783</v>
      </c>
      <c r="BB30" s="11"/>
    </row>
    <row r="31" spans="1:54" ht="15.95" customHeight="1">
      <c r="A31" s="37" t="s">
        <v>25</v>
      </c>
      <c r="B31" s="703">
        <f>[2]本部!$I$31</f>
        <v>133829</v>
      </c>
      <c r="C31" s="259" t="str">
        <f t="shared" si="38"/>
        <v/>
      </c>
      <c r="D31" s="728">
        <f>[2]本部!$L$31</f>
        <v>323133</v>
      </c>
      <c r="E31" s="122" t="str">
        <f t="shared" si="39"/>
        <v/>
      </c>
      <c r="F31" s="352">
        <f>[2]本社営業!$I$31</f>
        <v>943788</v>
      </c>
      <c r="G31" s="9">
        <f t="shared" si="40"/>
        <v>1.8141091683769304E-3</v>
      </c>
      <c r="H31" s="362">
        <f>[2]本社営業!$L$31</f>
        <v>1659734</v>
      </c>
      <c r="I31" s="124">
        <f t="shared" si="19"/>
        <v>1.5732056921091777E-3</v>
      </c>
      <c r="J31" s="388">
        <f>[2]東大阪!$I$31</f>
        <v>113728</v>
      </c>
      <c r="K31" s="9">
        <f t="shared" si="20"/>
        <v>1.2124043307891193E-2</v>
      </c>
      <c r="L31" s="362">
        <f>[2]東大阪!$L$31</f>
        <v>226546</v>
      </c>
      <c r="M31" s="124">
        <f t="shared" si="37"/>
        <v>1.2407884685858635E-2</v>
      </c>
      <c r="N31" s="403">
        <f>[2]南港工場!$I$31</f>
        <v>265719</v>
      </c>
      <c r="O31" s="9">
        <f t="shared" si="41"/>
        <v>9.5525745888768096E-3</v>
      </c>
      <c r="P31" s="362">
        <f>[2]南港工場!$L$31</f>
        <v>531438</v>
      </c>
      <c r="Q31" s="204">
        <f t="shared" si="42"/>
        <v>9.4833680951665212E-3</v>
      </c>
      <c r="R31" s="437">
        <f>[2]南港事務!$I$31</f>
        <v>132169</v>
      </c>
      <c r="S31" s="9" t="str">
        <f t="shared" si="43"/>
        <v/>
      </c>
      <c r="T31" s="362">
        <f>[2]南港事務!$L$31</f>
        <v>262946</v>
      </c>
      <c r="U31" s="204" t="str">
        <f t="shared" si="44"/>
        <v/>
      </c>
      <c r="V31" s="456">
        <f t="shared" si="21"/>
        <v>397888</v>
      </c>
      <c r="W31" s="171">
        <f t="shared" si="45"/>
        <v>1.430403846928152E-2</v>
      </c>
      <c r="X31" s="426">
        <f t="shared" si="22"/>
        <v>794384</v>
      </c>
      <c r="Y31" s="225">
        <f t="shared" si="46"/>
        <v>1.4175568703989481E-2</v>
      </c>
      <c r="Z31" s="460">
        <f t="shared" si="23"/>
        <v>1455404</v>
      </c>
      <c r="AA31" s="189">
        <f t="shared" si="47"/>
        <v>2.610844971730909E-3</v>
      </c>
      <c r="AB31" s="564">
        <f t="shared" si="24"/>
        <v>2680664</v>
      </c>
      <c r="AC31" s="123">
        <f t="shared" si="48"/>
        <v>2.3737427468774842E-3</v>
      </c>
      <c r="AD31" s="352">
        <f>[2]東京事務!$I$31</f>
        <v>163874</v>
      </c>
      <c r="AE31" s="9">
        <f t="shared" si="49"/>
        <v>6.7619675476146416E-4</v>
      </c>
      <c r="AF31" s="362">
        <f>[2]東京事務!$L$31</f>
        <v>500815</v>
      </c>
      <c r="AG31" s="81">
        <f t="shared" si="50"/>
        <v>1.0248997041456119E-3</v>
      </c>
      <c r="AH31" s="388">
        <f>[2]東京工場!$I$31</f>
        <v>174855</v>
      </c>
      <c r="AI31" s="171">
        <f t="shared" si="25"/>
        <v>1.6552460949710166E-2</v>
      </c>
      <c r="AJ31" s="362">
        <f>[2]東京工場!$L$31</f>
        <v>349710</v>
      </c>
      <c r="AK31" s="99">
        <f t="shared" si="36"/>
        <v>1.7164758465083526E-2</v>
      </c>
      <c r="AL31" s="547">
        <f t="shared" si="26"/>
        <v>338729</v>
      </c>
      <c r="AM31" s="314">
        <f t="shared" si="51"/>
        <v>1.3393246061788647E-3</v>
      </c>
      <c r="AN31" s="478">
        <f t="shared" si="27"/>
        <v>850525</v>
      </c>
      <c r="AO31" s="123">
        <f t="shared" si="52"/>
        <v>1.670901801826518E-3</v>
      </c>
      <c r="AP31" s="527">
        <f t="shared" si="28"/>
        <v>1927962</v>
      </c>
      <c r="AQ31" s="284">
        <f t="shared" si="53"/>
        <v>2.3791546611236897E-3</v>
      </c>
      <c r="AR31" s="487">
        <f t="shared" si="29"/>
        <v>3854322</v>
      </c>
      <c r="AS31" s="285">
        <f t="shared" si="54"/>
        <v>2.3526063528457857E-3</v>
      </c>
      <c r="AT31" s="584">
        <f>[2]全社合計!$G$31</f>
        <v>1713525</v>
      </c>
      <c r="AU31" s="124">
        <f t="shared" si="30"/>
        <v>1.8365684467364042E-3</v>
      </c>
      <c r="AV31" s="578">
        <f>[2]全社合計!$N$31</f>
        <v>3199789</v>
      </c>
      <c r="AW31" s="125">
        <f t="shared" si="31"/>
        <v>1.6840007309718756E-3</v>
      </c>
      <c r="AX31" s="584">
        <f t="shared" si="32"/>
        <v>214437</v>
      </c>
      <c r="AY31" s="124">
        <f t="shared" si="33"/>
        <v>1.1251437825535082</v>
      </c>
      <c r="AZ31" s="578">
        <f t="shared" si="34"/>
        <v>654533</v>
      </c>
      <c r="BA31" s="125">
        <f t="shared" si="35"/>
        <v>1.2045550503486324</v>
      </c>
      <c r="BB31" s="11"/>
    </row>
    <row r="32" spans="1:54" ht="15.95" customHeight="1">
      <c r="A32" s="37" t="s">
        <v>26</v>
      </c>
      <c r="B32" s="703">
        <f>[2]本部!$I$32</f>
        <v>694260</v>
      </c>
      <c r="C32" s="259" t="str">
        <f t="shared" si="38"/>
        <v/>
      </c>
      <c r="D32" s="728">
        <f>[2]本部!$L$32</f>
        <v>1148140</v>
      </c>
      <c r="E32" s="122" t="str">
        <f t="shared" si="39"/>
        <v/>
      </c>
      <c r="F32" s="352">
        <f>[2]本社営業!$I$32</f>
        <v>1522945</v>
      </c>
      <c r="G32" s="9">
        <f t="shared" si="40"/>
        <v>2.9273401308702847E-3</v>
      </c>
      <c r="H32" s="362">
        <f>[2]本社営業!$L$32</f>
        <v>2426093</v>
      </c>
      <c r="I32" s="124">
        <f t="shared" si="19"/>
        <v>2.2996114541162806E-3</v>
      </c>
      <c r="J32" s="388">
        <f>[2]東大阪!$I$32</f>
        <v>257900</v>
      </c>
      <c r="K32" s="9">
        <f t="shared" si="20"/>
        <v>2.7493587938811362E-2</v>
      </c>
      <c r="L32" s="362">
        <f>[2]東大阪!$L$32</f>
        <v>417100</v>
      </c>
      <c r="M32" s="124">
        <f t="shared" si="37"/>
        <v>2.2844493844392029E-2</v>
      </c>
      <c r="N32" s="403">
        <f>[2]南港工場!$I$32</f>
        <v>129800</v>
      </c>
      <c r="O32" s="9">
        <f t="shared" si="41"/>
        <v>4.6662985395707866E-3</v>
      </c>
      <c r="P32" s="362">
        <f>[2]南港工場!$L$32</f>
        <v>263350</v>
      </c>
      <c r="Q32" s="204">
        <f t="shared" si="42"/>
        <v>4.6994098801028594E-3</v>
      </c>
      <c r="R32" s="437">
        <f>[2]南港事務!$I$32</f>
        <v>0</v>
      </c>
      <c r="S32" s="9" t="str">
        <f t="shared" si="43"/>
        <v/>
      </c>
      <c r="T32" s="362">
        <f>[2]南港事務!$L$32</f>
        <v>150707</v>
      </c>
      <c r="U32" s="204" t="str">
        <f t="shared" si="44"/>
        <v/>
      </c>
      <c r="V32" s="456">
        <f t="shared" si="21"/>
        <v>129800</v>
      </c>
      <c r="W32" s="171">
        <f t="shared" si="45"/>
        <v>4.6662985395707866E-3</v>
      </c>
      <c r="X32" s="426">
        <f t="shared" si="22"/>
        <v>414057</v>
      </c>
      <c r="Y32" s="225">
        <f t="shared" si="46"/>
        <v>7.3887357384687657E-3</v>
      </c>
      <c r="Z32" s="460">
        <f t="shared" si="23"/>
        <v>1910645</v>
      </c>
      <c r="AA32" s="189">
        <f t="shared" si="47"/>
        <v>3.4275004679201119E-3</v>
      </c>
      <c r="AB32" s="564">
        <f t="shared" si="24"/>
        <v>3257250</v>
      </c>
      <c r="AC32" s="123">
        <f t="shared" si="48"/>
        <v>2.8843128278167969E-3</v>
      </c>
      <c r="AD32" s="352">
        <f>[2]東京事務!$I$32</f>
        <v>87500</v>
      </c>
      <c r="AE32" s="9">
        <f t="shared" si="49"/>
        <v>3.6105310202733874E-4</v>
      </c>
      <c r="AF32" s="362">
        <f>[2]東京事務!$L$32</f>
        <v>157500</v>
      </c>
      <c r="AG32" s="81">
        <f t="shared" si="50"/>
        <v>3.2231802841954389E-4</v>
      </c>
      <c r="AH32" s="388">
        <f>[2]東京工場!$I$32</f>
        <v>74176</v>
      </c>
      <c r="AI32" s="171">
        <f t="shared" si="25"/>
        <v>7.0217914466598119E-3</v>
      </c>
      <c r="AJ32" s="362">
        <f>[2]東京工場!$L$32</f>
        <v>111326</v>
      </c>
      <c r="AK32" s="99">
        <f t="shared" si="36"/>
        <v>5.4641957647304585E-3</v>
      </c>
      <c r="AL32" s="547">
        <f t="shared" si="26"/>
        <v>161676</v>
      </c>
      <c r="AM32" s="314">
        <f t="shared" si="51"/>
        <v>6.392621978885013E-4</v>
      </c>
      <c r="AN32" s="478">
        <f t="shared" si="27"/>
        <v>268826</v>
      </c>
      <c r="AO32" s="123">
        <f t="shared" si="52"/>
        <v>5.2812303903802425E-4</v>
      </c>
      <c r="AP32" s="527">
        <f t="shared" si="28"/>
        <v>2766581</v>
      </c>
      <c r="AQ32" s="284">
        <f t="shared" si="53"/>
        <v>3.4140320615895121E-3</v>
      </c>
      <c r="AR32" s="487">
        <f t="shared" si="29"/>
        <v>4674216</v>
      </c>
      <c r="AS32" s="285">
        <f t="shared" si="54"/>
        <v>2.8530543779615243E-3</v>
      </c>
      <c r="AT32" s="584">
        <f>[2]全社合計!$G$32</f>
        <v>2562709</v>
      </c>
      <c r="AU32" s="124">
        <f t="shared" si="30"/>
        <v>2.7467299791759112E-3</v>
      </c>
      <c r="AV32" s="578">
        <f>[2]全社合計!$N$32</f>
        <v>5450440</v>
      </c>
      <c r="AW32" s="125">
        <f t="shared" si="31"/>
        <v>2.8684844357294652E-3</v>
      </c>
      <c r="AX32" s="584">
        <f t="shared" si="32"/>
        <v>203872</v>
      </c>
      <c r="AY32" s="124">
        <f t="shared" si="33"/>
        <v>1.0795533164319475</v>
      </c>
      <c r="AZ32" s="578">
        <f t="shared" si="34"/>
        <v>-776224</v>
      </c>
      <c r="BA32" s="125">
        <f t="shared" si="35"/>
        <v>0.8575850757003104</v>
      </c>
      <c r="BB32" s="11"/>
    </row>
    <row r="33" spans="1:54" ht="15.95" customHeight="1">
      <c r="A33" s="37" t="s">
        <v>27</v>
      </c>
      <c r="B33" s="703">
        <f>[2]本部!$I$33</f>
        <v>171959</v>
      </c>
      <c r="C33" s="259" t="str">
        <f t="shared" si="38"/>
        <v/>
      </c>
      <c r="D33" s="728">
        <f>[2]本部!$L$33</f>
        <v>369585</v>
      </c>
      <c r="E33" s="122" t="str">
        <f t="shared" si="39"/>
        <v/>
      </c>
      <c r="F33" s="352">
        <f>[2]本社営業!$I$33</f>
        <v>55000</v>
      </c>
      <c r="G33" s="9">
        <f t="shared" si="40"/>
        <v>1.0571866167055649E-4</v>
      </c>
      <c r="H33" s="362">
        <f>[2]本社営業!$L$33</f>
        <v>110000</v>
      </c>
      <c r="I33" s="124">
        <f t="shared" si="19"/>
        <v>1.0426527752760957E-4</v>
      </c>
      <c r="J33" s="388">
        <f>[2]東大阪!$I$33</f>
        <v>1679000</v>
      </c>
      <c r="K33" s="9">
        <f t="shared" si="20"/>
        <v>0.17899082648028025</v>
      </c>
      <c r="L33" s="362">
        <f>[2]東大阪!$L$33</f>
        <v>2119000</v>
      </c>
      <c r="M33" s="124">
        <f t="shared" si="37"/>
        <v>0.11605725834635988</v>
      </c>
      <c r="N33" s="403">
        <f>[2]南港工場!$I$33</f>
        <v>525000</v>
      </c>
      <c r="O33" s="9">
        <f t="shared" si="41"/>
        <v>1.8873703646183845E-2</v>
      </c>
      <c r="P33" s="362">
        <f>[2]南港工場!$L$33</f>
        <v>1050000</v>
      </c>
      <c r="Q33" s="204">
        <f t="shared" si="42"/>
        <v>1.8736967435382577E-2</v>
      </c>
      <c r="R33" s="437">
        <f>[2]南港事務!$I$33</f>
        <v>20000</v>
      </c>
      <c r="S33" s="9" t="str">
        <f t="shared" si="43"/>
        <v/>
      </c>
      <c r="T33" s="362">
        <f>[2]南港事務!$L$33</f>
        <v>40000</v>
      </c>
      <c r="U33" s="204" t="str">
        <f t="shared" si="44"/>
        <v/>
      </c>
      <c r="V33" s="456">
        <f t="shared" si="21"/>
        <v>545000</v>
      </c>
      <c r="W33" s="171">
        <f t="shared" si="45"/>
        <v>1.9592701880324182E-2</v>
      </c>
      <c r="X33" s="426">
        <f t="shared" si="22"/>
        <v>1090000</v>
      </c>
      <c r="Y33" s="225">
        <f t="shared" si="46"/>
        <v>1.9450756671016201E-2</v>
      </c>
      <c r="Z33" s="460">
        <f t="shared" si="23"/>
        <v>2279000</v>
      </c>
      <c r="AA33" s="189">
        <f t="shared" si="47"/>
        <v>4.0882914232575566E-3</v>
      </c>
      <c r="AB33" s="564">
        <f t="shared" si="24"/>
        <v>3319000</v>
      </c>
      <c r="AC33" s="123">
        <f t="shared" si="48"/>
        <v>2.9389927931610864E-3</v>
      </c>
      <c r="AD33" s="352">
        <f>[2]東京事務!$I$33</f>
        <v>815000</v>
      </c>
      <c r="AE33" s="9">
        <f t="shared" si="49"/>
        <v>3.3629517503117839E-3</v>
      </c>
      <c r="AF33" s="362">
        <f>[2]東京事務!$L$33</f>
        <v>870000</v>
      </c>
      <c r="AG33" s="81">
        <f t="shared" si="50"/>
        <v>1.7804233950793854E-3</v>
      </c>
      <c r="AH33" s="388">
        <f>[2]東京工場!$I$33</f>
        <v>325000</v>
      </c>
      <c r="AI33" s="171">
        <f t="shared" si="25"/>
        <v>3.0765776264080551E-2</v>
      </c>
      <c r="AJ33" s="362">
        <f>[2]東京工場!$L$33</f>
        <v>650000</v>
      </c>
      <c r="AK33" s="99">
        <f t="shared" si="36"/>
        <v>3.1903843190941902E-2</v>
      </c>
      <c r="AL33" s="547">
        <f t="shared" si="26"/>
        <v>1140000</v>
      </c>
      <c r="AM33" s="314">
        <f t="shared" si="51"/>
        <v>4.5075268165521874E-3</v>
      </c>
      <c r="AN33" s="478">
        <f t="shared" si="27"/>
        <v>1520000</v>
      </c>
      <c r="AO33" s="123">
        <f t="shared" si="52"/>
        <v>2.986121206050742E-3</v>
      </c>
      <c r="AP33" s="527">
        <f t="shared" si="28"/>
        <v>3590959</v>
      </c>
      <c r="AQ33" s="284">
        <f t="shared" si="53"/>
        <v>4.4313357020283927E-3</v>
      </c>
      <c r="AR33" s="487">
        <f t="shared" si="29"/>
        <v>5208585</v>
      </c>
      <c r="AS33" s="285">
        <f t="shared" si="54"/>
        <v>3.1792232616624319E-3</v>
      </c>
      <c r="AT33" s="584">
        <f>[2]全社合計!$G$33</f>
        <v>3556675</v>
      </c>
      <c r="AU33" s="124">
        <f t="shared" si="30"/>
        <v>3.8120699028588436E-3</v>
      </c>
      <c r="AV33" s="578">
        <f>[2]全社合計!$N$33</f>
        <v>5169849</v>
      </c>
      <c r="AW33" s="125">
        <f t="shared" si="31"/>
        <v>2.720813620840068E-3</v>
      </c>
      <c r="AX33" s="584">
        <f t="shared" si="32"/>
        <v>34284</v>
      </c>
      <c r="AY33" s="124">
        <f t="shared" si="33"/>
        <v>1.0096393401140109</v>
      </c>
      <c r="AZ33" s="578">
        <f t="shared" si="34"/>
        <v>38736</v>
      </c>
      <c r="BA33" s="125">
        <f t="shared" si="35"/>
        <v>1.0074926753179831</v>
      </c>
      <c r="BB33" s="11"/>
    </row>
    <row r="34" spans="1:54" ht="15.95" customHeight="1">
      <c r="A34" s="37" t="s">
        <v>28</v>
      </c>
      <c r="B34" s="703">
        <f>[2]本部!$I$34</f>
        <v>443300</v>
      </c>
      <c r="C34" s="259" t="str">
        <f t="shared" si="38"/>
        <v/>
      </c>
      <c r="D34" s="728">
        <f>[2]本部!$L$34</f>
        <v>443300</v>
      </c>
      <c r="E34" s="122" t="str">
        <f t="shared" si="39"/>
        <v/>
      </c>
      <c r="F34" s="352">
        <f>[2]本社営業!$I$34</f>
        <v>762695</v>
      </c>
      <c r="G34" s="9">
        <f t="shared" si="40"/>
        <v>1.466019902960456E-3</v>
      </c>
      <c r="H34" s="362">
        <f>[2]本社営業!$L$34</f>
        <v>1040371</v>
      </c>
      <c r="I34" s="124">
        <f t="shared" si="19"/>
        <v>9.8613246406069723E-4</v>
      </c>
      <c r="J34" s="388">
        <f>[2]東大阪!$I$34</f>
        <v>0</v>
      </c>
      <c r="K34" s="9">
        <f t="shared" si="20"/>
        <v>0</v>
      </c>
      <c r="L34" s="362">
        <f>[2]東大阪!$L$34</f>
        <v>0</v>
      </c>
      <c r="M34" s="124">
        <f t="shared" si="37"/>
        <v>0</v>
      </c>
      <c r="N34" s="403">
        <f>[2]南港工場!$I$34</f>
        <v>0</v>
      </c>
      <c r="O34" s="9">
        <f t="shared" si="41"/>
        <v>0</v>
      </c>
      <c r="P34" s="362">
        <f>[2]南港工場!$L$34</f>
        <v>0</v>
      </c>
      <c r="Q34" s="204">
        <f t="shared" si="42"/>
        <v>0</v>
      </c>
      <c r="R34" s="437">
        <f>[2]南港事務!$I$34</f>
        <v>51900</v>
      </c>
      <c r="S34" s="9" t="str">
        <f t="shared" si="43"/>
        <v/>
      </c>
      <c r="T34" s="362">
        <f>[2]南港事務!$L$34</f>
        <v>51900</v>
      </c>
      <c r="U34" s="204" t="str">
        <f t="shared" si="44"/>
        <v/>
      </c>
      <c r="V34" s="456">
        <f t="shared" si="21"/>
        <v>51900</v>
      </c>
      <c r="W34" s="171">
        <f t="shared" si="45"/>
        <v>1.8658004175941744E-3</v>
      </c>
      <c r="X34" s="426">
        <f t="shared" si="22"/>
        <v>51900</v>
      </c>
      <c r="Y34" s="225">
        <f t="shared" si="46"/>
        <v>9.2614153323462465E-4</v>
      </c>
      <c r="Z34" s="460">
        <f t="shared" si="23"/>
        <v>814595</v>
      </c>
      <c r="AA34" s="189">
        <f t="shared" si="47"/>
        <v>1.4612995839967046E-3</v>
      </c>
      <c r="AB34" s="564">
        <f t="shared" si="24"/>
        <v>1092271</v>
      </c>
      <c r="AC34" s="123">
        <f t="shared" si="48"/>
        <v>9.6721199071372497E-4</v>
      </c>
      <c r="AD34" s="352">
        <f>[2]東京事務!$I$34</f>
        <v>616045</v>
      </c>
      <c r="AE34" s="9">
        <f t="shared" si="49"/>
        <v>2.5419995227249359E-3</v>
      </c>
      <c r="AF34" s="362">
        <f>[2]東京事務!$L$34</f>
        <v>1076709</v>
      </c>
      <c r="AG34" s="81">
        <f t="shared" si="50"/>
        <v>2.2034458543592297E-3</v>
      </c>
      <c r="AH34" s="388">
        <f>[2]東京工場!$I$34</f>
        <v>0</v>
      </c>
      <c r="AI34" s="171">
        <f t="shared" si="25"/>
        <v>0</v>
      </c>
      <c r="AJ34" s="362">
        <f>[2]東京工場!$L$34</f>
        <v>0</v>
      </c>
      <c r="AK34" s="99">
        <f t="shared" si="36"/>
        <v>0</v>
      </c>
      <c r="AL34" s="547">
        <f t="shared" si="26"/>
        <v>616045</v>
      </c>
      <c r="AM34" s="314">
        <f t="shared" si="51"/>
        <v>2.435823997984993E-3</v>
      </c>
      <c r="AN34" s="478">
        <f t="shared" si="27"/>
        <v>1076709</v>
      </c>
      <c r="AO34" s="123">
        <f t="shared" si="52"/>
        <v>2.1152523537142686E-3</v>
      </c>
      <c r="AP34" s="527">
        <f t="shared" si="28"/>
        <v>1873940</v>
      </c>
      <c r="AQ34" s="284">
        <f t="shared" si="53"/>
        <v>2.3124901246321904E-3</v>
      </c>
      <c r="AR34" s="487">
        <f t="shared" si="29"/>
        <v>2612280</v>
      </c>
      <c r="AS34" s="285">
        <f t="shared" si="54"/>
        <v>1.5944870520449483E-3</v>
      </c>
      <c r="AT34" s="584">
        <f>[2]全社合計!$G$34</f>
        <v>1797346</v>
      </c>
      <c r="AU34" s="124">
        <f t="shared" si="30"/>
        <v>1.9264083987498805E-3</v>
      </c>
      <c r="AV34" s="578">
        <f>[2]全社合計!$N$34</f>
        <v>2294312</v>
      </c>
      <c r="AW34" s="125">
        <f t="shared" si="31"/>
        <v>1.2074618311012214E-3</v>
      </c>
      <c r="AX34" s="584">
        <f t="shared" si="32"/>
        <v>76594</v>
      </c>
      <c r="AY34" s="124">
        <f t="shared" si="33"/>
        <v>1.0426150557544289</v>
      </c>
      <c r="AZ34" s="578">
        <f t="shared" si="34"/>
        <v>317968</v>
      </c>
      <c r="BA34" s="125">
        <f t="shared" si="35"/>
        <v>1.1385896948627736</v>
      </c>
      <c r="BB34" s="11"/>
    </row>
    <row r="35" spans="1:54" ht="15.95" customHeight="1">
      <c r="A35" s="37" t="s">
        <v>29</v>
      </c>
      <c r="B35" s="703">
        <f>[2]本部!$I$35</f>
        <v>-687400</v>
      </c>
      <c r="C35" s="259" t="str">
        <f t="shared" si="38"/>
        <v/>
      </c>
      <c r="D35" s="728">
        <f>[2]本部!$L$35</f>
        <v>-465880</v>
      </c>
      <c r="E35" s="122" t="str">
        <f t="shared" si="39"/>
        <v/>
      </c>
      <c r="F35" s="352">
        <f>[2]本社営業!$I$35</f>
        <v>0</v>
      </c>
      <c r="G35" s="9">
        <f t="shared" si="40"/>
        <v>0</v>
      </c>
      <c r="H35" s="362">
        <f>[2]本社営業!$L$35</f>
        <v>0</v>
      </c>
      <c r="I35" s="124">
        <f t="shared" si="19"/>
        <v>0</v>
      </c>
      <c r="J35" s="388">
        <f>[2]東大阪!$I$35</f>
        <v>0</v>
      </c>
      <c r="K35" s="9">
        <f t="shared" si="20"/>
        <v>0</v>
      </c>
      <c r="L35" s="362">
        <f>[2]東大阪!$L$35</f>
        <v>0</v>
      </c>
      <c r="M35" s="124">
        <f t="shared" si="37"/>
        <v>0</v>
      </c>
      <c r="N35" s="403">
        <f>[2]南港工場!$I$35</f>
        <v>0</v>
      </c>
      <c r="O35" s="9">
        <f t="shared" si="41"/>
        <v>0</v>
      </c>
      <c r="P35" s="362">
        <f>[2]南港工場!$L$35</f>
        <v>0</v>
      </c>
      <c r="Q35" s="204">
        <f t="shared" si="42"/>
        <v>0</v>
      </c>
      <c r="R35" s="437">
        <f>[2]南港事務!$I$35</f>
        <v>0</v>
      </c>
      <c r="S35" s="9" t="str">
        <f t="shared" si="43"/>
        <v/>
      </c>
      <c r="T35" s="362">
        <f>[2]南港事務!$L$35</f>
        <v>0</v>
      </c>
      <c r="U35" s="204" t="str">
        <f t="shared" si="44"/>
        <v/>
      </c>
      <c r="V35" s="456">
        <f t="shared" si="21"/>
        <v>0</v>
      </c>
      <c r="W35" s="171">
        <f t="shared" si="45"/>
        <v>0</v>
      </c>
      <c r="X35" s="426">
        <f t="shared" si="22"/>
        <v>0</v>
      </c>
      <c r="Y35" s="225">
        <f t="shared" si="46"/>
        <v>0</v>
      </c>
      <c r="Z35" s="460">
        <f t="shared" si="23"/>
        <v>0</v>
      </c>
      <c r="AA35" s="189">
        <f t="shared" si="47"/>
        <v>0</v>
      </c>
      <c r="AB35" s="564">
        <f t="shared" si="24"/>
        <v>0</v>
      </c>
      <c r="AC35" s="123">
        <f t="shared" si="48"/>
        <v>0</v>
      </c>
      <c r="AD35" s="352">
        <f>[2]東京事務!$I$35</f>
        <v>0</v>
      </c>
      <c r="AE35" s="9">
        <f t="shared" si="49"/>
        <v>0</v>
      </c>
      <c r="AF35" s="362">
        <f>[2]東京事務!$L$35</f>
        <v>0</v>
      </c>
      <c r="AG35" s="81">
        <f t="shared" si="50"/>
        <v>0</v>
      </c>
      <c r="AH35" s="388">
        <f>[2]東京工場!$I$35</f>
        <v>0</v>
      </c>
      <c r="AI35" s="171">
        <f t="shared" si="25"/>
        <v>0</v>
      </c>
      <c r="AJ35" s="362">
        <f>[2]東京工場!$L$35</f>
        <v>0</v>
      </c>
      <c r="AK35" s="99">
        <f t="shared" si="36"/>
        <v>0</v>
      </c>
      <c r="AL35" s="547">
        <f t="shared" si="26"/>
        <v>0</v>
      </c>
      <c r="AM35" s="314">
        <f t="shared" si="51"/>
        <v>0</v>
      </c>
      <c r="AN35" s="478">
        <f t="shared" si="27"/>
        <v>0</v>
      </c>
      <c r="AO35" s="123">
        <f t="shared" si="52"/>
        <v>0</v>
      </c>
      <c r="AP35" s="527">
        <f t="shared" si="28"/>
        <v>-687400</v>
      </c>
      <c r="AQ35" s="284">
        <f t="shared" si="53"/>
        <v>-8.4826926778454369E-4</v>
      </c>
      <c r="AR35" s="487">
        <f t="shared" si="29"/>
        <v>-465880</v>
      </c>
      <c r="AS35" s="285">
        <f t="shared" si="54"/>
        <v>-2.8436447387213489E-4</v>
      </c>
      <c r="AT35" s="584">
        <f>[2]全社合計!$G$35</f>
        <v>270815</v>
      </c>
      <c r="AU35" s="124">
        <f t="shared" si="30"/>
        <v>2.9026146913696576E-4</v>
      </c>
      <c r="AV35" s="578">
        <f>[2]全社合計!$N$35</f>
        <v>488680</v>
      </c>
      <c r="AW35" s="125">
        <f t="shared" si="31"/>
        <v>2.571849197591892E-4</v>
      </c>
      <c r="AX35" s="584">
        <f t="shared" si="32"/>
        <v>-958215</v>
      </c>
      <c r="AY35" s="124">
        <f t="shared" si="33"/>
        <v>-2.5382641286487084</v>
      </c>
      <c r="AZ35" s="578">
        <f t="shared" si="34"/>
        <v>-954560</v>
      </c>
      <c r="BA35" s="125">
        <f t="shared" si="35"/>
        <v>-0.95334370139968894</v>
      </c>
      <c r="BB35" s="11"/>
    </row>
    <row r="36" spans="1:54" ht="15.95" customHeight="1">
      <c r="A36" s="37" t="s">
        <v>30</v>
      </c>
      <c r="B36" s="703">
        <f>[2]本部!$I$36</f>
        <v>96230</v>
      </c>
      <c r="C36" s="259" t="str">
        <f t="shared" si="38"/>
        <v/>
      </c>
      <c r="D36" s="728">
        <f>[2]本部!$L$36</f>
        <v>144111</v>
      </c>
      <c r="E36" s="122" t="str">
        <f t="shared" si="39"/>
        <v/>
      </c>
      <c r="F36" s="352">
        <f>[2]本社営業!$I$36</f>
        <v>43120</v>
      </c>
      <c r="G36" s="9">
        <f t="shared" si="40"/>
        <v>8.288343074971629E-5</v>
      </c>
      <c r="H36" s="362">
        <f>[2]本社営業!$L$36</f>
        <v>68326</v>
      </c>
      <c r="I36" s="124">
        <f t="shared" si="19"/>
        <v>6.4763903203195018E-5</v>
      </c>
      <c r="J36" s="388">
        <f>[2]東大阪!$I$36</f>
        <v>25125</v>
      </c>
      <c r="K36" s="9">
        <f t="shared" si="20"/>
        <v>2.6784660603436814E-3</v>
      </c>
      <c r="L36" s="362">
        <f>[2]東大阪!$L$36</f>
        <v>50036</v>
      </c>
      <c r="M36" s="124">
        <f t="shared" si="37"/>
        <v>2.7404629441333001E-3</v>
      </c>
      <c r="N36" s="403">
        <f>[2]南港工場!$I$36</f>
        <v>9888</v>
      </c>
      <c r="O36" s="9">
        <f t="shared" si="41"/>
        <v>3.5547272695898261E-4</v>
      </c>
      <c r="P36" s="362">
        <f>[2]南港工場!$L$36</f>
        <v>19776</v>
      </c>
      <c r="Q36" s="204">
        <f t="shared" si="42"/>
        <v>3.5289739809726275E-4</v>
      </c>
      <c r="R36" s="437">
        <f>[2]南港事務!$I$36</f>
        <v>31224</v>
      </c>
      <c r="S36" s="9" t="str">
        <f t="shared" si="43"/>
        <v/>
      </c>
      <c r="T36" s="362">
        <f>[2]南港事務!$L$36</f>
        <v>66245</v>
      </c>
      <c r="U36" s="204" t="str">
        <f t="shared" si="44"/>
        <v/>
      </c>
      <c r="V36" s="456">
        <f t="shared" si="21"/>
        <v>41112</v>
      </c>
      <c r="W36" s="171">
        <f t="shared" si="45"/>
        <v>1.4779727700988767E-3</v>
      </c>
      <c r="X36" s="426">
        <f t="shared" si="22"/>
        <v>86021</v>
      </c>
      <c r="Y36" s="225">
        <f t="shared" si="46"/>
        <v>1.5350215959609951E-3</v>
      </c>
      <c r="Z36" s="460">
        <f t="shared" si="23"/>
        <v>109357</v>
      </c>
      <c r="AA36" s="189">
        <f t="shared" si="47"/>
        <v>1.9617520191890156E-4</v>
      </c>
      <c r="AB36" s="564">
        <f t="shared" si="24"/>
        <v>204383</v>
      </c>
      <c r="AC36" s="123">
        <f t="shared" si="48"/>
        <v>1.8098227298723782E-4</v>
      </c>
      <c r="AD36" s="352">
        <f>[2]東京事務!$I$36</f>
        <v>14906</v>
      </c>
      <c r="AE36" s="9">
        <f t="shared" si="49"/>
        <v>6.1506943300794413E-5</v>
      </c>
      <c r="AF36" s="362">
        <f>[2]東京事務!$L$36</f>
        <v>47887</v>
      </c>
      <c r="AG36" s="81">
        <f t="shared" si="50"/>
        <v>9.799900588524888E-5</v>
      </c>
      <c r="AH36" s="388">
        <f>[2]東京工場!$I$36</f>
        <v>3003</v>
      </c>
      <c r="AI36" s="171">
        <f t="shared" si="25"/>
        <v>2.8427577268010426E-4</v>
      </c>
      <c r="AJ36" s="362">
        <f>[2]東京工場!$L$36</f>
        <v>6006</v>
      </c>
      <c r="AK36" s="99">
        <f t="shared" si="36"/>
        <v>2.9479151108430316E-4</v>
      </c>
      <c r="AL36" s="547">
        <f t="shared" si="26"/>
        <v>17909</v>
      </c>
      <c r="AM36" s="314">
        <f t="shared" si="51"/>
        <v>7.0811664699678176E-5</v>
      </c>
      <c r="AN36" s="478">
        <f t="shared" si="27"/>
        <v>53893</v>
      </c>
      <c r="AO36" s="123">
        <f t="shared" si="52"/>
        <v>1.058756777353241E-4</v>
      </c>
      <c r="AP36" s="527">
        <f t="shared" si="28"/>
        <v>223496</v>
      </c>
      <c r="AQ36" s="284">
        <f t="shared" si="53"/>
        <v>2.757998083688891E-4</v>
      </c>
      <c r="AR36" s="487">
        <f t="shared" si="29"/>
        <v>402387</v>
      </c>
      <c r="AS36" s="285">
        <f t="shared" si="54"/>
        <v>2.4560952938092802E-4</v>
      </c>
      <c r="AT36" s="584">
        <f>[2]全社合計!$G$36</f>
        <v>245402</v>
      </c>
      <c r="AU36" s="124">
        <f t="shared" si="30"/>
        <v>2.6302363255044836E-4</v>
      </c>
      <c r="AV36" s="578">
        <f>[2]全社合計!$N$36</f>
        <v>485460</v>
      </c>
      <c r="AW36" s="125">
        <f t="shared" si="31"/>
        <v>2.5549028228349018E-4</v>
      </c>
      <c r="AX36" s="584">
        <f t="shared" si="32"/>
        <v>-21906</v>
      </c>
      <c r="AY36" s="124">
        <f t="shared" si="33"/>
        <v>0.91073422384495639</v>
      </c>
      <c r="AZ36" s="578">
        <f t="shared" si="34"/>
        <v>-83073</v>
      </c>
      <c r="BA36" s="125">
        <f t="shared" si="35"/>
        <v>0.82887776541836611</v>
      </c>
      <c r="BB36" s="11"/>
    </row>
    <row r="37" spans="1:54" ht="15.95" customHeight="1">
      <c r="A37" s="37" t="s">
        <v>31</v>
      </c>
      <c r="B37" s="703">
        <f>[2]本部!$I$37</f>
        <v>0</v>
      </c>
      <c r="C37" s="259" t="str">
        <f t="shared" si="38"/>
        <v/>
      </c>
      <c r="D37" s="728">
        <f>[2]本部!$L$37</f>
        <v>0</v>
      </c>
      <c r="E37" s="122" t="str">
        <f t="shared" si="39"/>
        <v/>
      </c>
      <c r="F37" s="352">
        <f>[2]本社営業!$I$37</f>
        <v>100000</v>
      </c>
      <c r="G37" s="9">
        <f t="shared" si="40"/>
        <v>1.922157484919209E-4</v>
      </c>
      <c r="H37" s="362">
        <f>[2]本社営業!$L$37</f>
        <v>100000</v>
      </c>
      <c r="I37" s="124">
        <f t="shared" si="19"/>
        <v>9.4786615934190516E-5</v>
      </c>
      <c r="J37" s="388">
        <f>[2]東大阪!$I$37</f>
        <v>33526</v>
      </c>
      <c r="K37" s="9">
        <f t="shared" si="20"/>
        <v>3.574059826431135E-3</v>
      </c>
      <c r="L37" s="362">
        <f>[2]東大阪!$L$37</f>
        <v>71218</v>
      </c>
      <c r="M37" s="124">
        <f t="shared" si="37"/>
        <v>3.9005973690000272E-3</v>
      </c>
      <c r="N37" s="403">
        <f>[2]南港工場!$I$37</f>
        <v>0</v>
      </c>
      <c r="O37" s="9">
        <f t="shared" si="41"/>
        <v>0</v>
      </c>
      <c r="P37" s="362">
        <f>[2]南港工場!$L$37</f>
        <v>0</v>
      </c>
      <c r="Q37" s="204">
        <f t="shared" si="42"/>
        <v>0</v>
      </c>
      <c r="R37" s="437">
        <f>[2]南港事務!$I$37</f>
        <v>0</v>
      </c>
      <c r="S37" s="9" t="str">
        <f t="shared" si="43"/>
        <v/>
      </c>
      <c r="T37" s="362">
        <f>[2]南港事務!$L$37</f>
        <v>0</v>
      </c>
      <c r="U37" s="204" t="str">
        <f t="shared" si="44"/>
        <v/>
      </c>
      <c r="V37" s="456">
        <f t="shared" si="21"/>
        <v>0</v>
      </c>
      <c r="W37" s="171">
        <f t="shared" si="45"/>
        <v>0</v>
      </c>
      <c r="X37" s="426">
        <f t="shared" si="22"/>
        <v>0</v>
      </c>
      <c r="Y37" s="225">
        <f t="shared" si="46"/>
        <v>0</v>
      </c>
      <c r="Z37" s="460">
        <f t="shared" si="23"/>
        <v>133526</v>
      </c>
      <c r="AA37" s="189">
        <f t="shared" si="47"/>
        <v>2.3953190021144737E-4</v>
      </c>
      <c r="AB37" s="564">
        <f t="shared" si="24"/>
        <v>171218</v>
      </c>
      <c r="AC37" s="123">
        <f t="shared" si="48"/>
        <v>1.5161448269341817E-4</v>
      </c>
      <c r="AD37" s="352">
        <f>[2]東京事務!$I$37</f>
        <v>0</v>
      </c>
      <c r="AE37" s="9">
        <f t="shared" si="49"/>
        <v>0</v>
      </c>
      <c r="AF37" s="362">
        <f>[2]東京事務!$L$37</f>
        <v>0</v>
      </c>
      <c r="AG37" s="81">
        <f t="shared" si="50"/>
        <v>0</v>
      </c>
      <c r="AH37" s="388">
        <f>[2]東京工場!$I$37</f>
        <v>52997</v>
      </c>
      <c r="AI37" s="171">
        <f t="shared" si="25"/>
        <v>5.0169041374383905E-3</v>
      </c>
      <c r="AJ37" s="362">
        <f>[2]東京工場!$L$37</f>
        <v>60597</v>
      </c>
      <c r="AK37" s="99">
        <f t="shared" si="36"/>
        <v>2.9742725936023175E-3</v>
      </c>
      <c r="AL37" s="547">
        <f t="shared" si="26"/>
        <v>52997</v>
      </c>
      <c r="AM37" s="314">
        <f t="shared" si="51"/>
        <v>2.0954859534808444E-4</v>
      </c>
      <c r="AN37" s="478">
        <f t="shared" si="27"/>
        <v>60597</v>
      </c>
      <c r="AO37" s="123">
        <f t="shared" si="52"/>
        <v>1.190460438967479E-4</v>
      </c>
      <c r="AP37" s="527">
        <f t="shared" si="28"/>
        <v>186523</v>
      </c>
      <c r="AQ37" s="284">
        <f t="shared" si="53"/>
        <v>2.3017417607648595E-4</v>
      </c>
      <c r="AR37" s="487">
        <f t="shared" si="29"/>
        <v>231815</v>
      </c>
      <c r="AS37" s="285">
        <f t="shared" si="54"/>
        <v>1.4149555789187977E-4</v>
      </c>
      <c r="AT37" s="584">
        <f>[2]全社合計!$G$37</f>
        <v>579405</v>
      </c>
      <c r="AU37" s="124">
        <f t="shared" si="30"/>
        <v>6.210104555704213E-4</v>
      </c>
      <c r="AV37" s="578">
        <f>[2]全社合計!$N$37</f>
        <v>579405</v>
      </c>
      <c r="AW37" s="125">
        <f t="shared" si="31"/>
        <v>3.0493212006440417E-4</v>
      </c>
      <c r="AX37" s="584">
        <f t="shared" si="32"/>
        <v>-392882</v>
      </c>
      <c r="AY37" s="124">
        <f t="shared" si="33"/>
        <v>0.32192162649614692</v>
      </c>
      <c r="AZ37" s="578">
        <f t="shared" si="34"/>
        <v>-347590</v>
      </c>
      <c r="BA37" s="125">
        <f t="shared" si="35"/>
        <v>0.40009147314917892</v>
      </c>
      <c r="BB37" s="11"/>
    </row>
    <row r="38" spans="1:54" ht="15.95" customHeight="1">
      <c r="A38" s="37" t="s">
        <v>32</v>
      </c>
      <c r="B38" s="703">
        <f>[2]本部!$I$38</f>
        <v>20633</v>
      </c>
      <c r="C38" s="259" t="str">
        <f t="shared" si="38"/>
        <v/>
      </c>
      <c r="D38" s="728">
        <f>[2]本部!$L$38</f>
        <v>20633</v>
      </c>
      <c r="E38" s="122" t="str">
        <f t="shared" si="39"/>
        <v/>
      </c>
      <c r="F38" s="352">
        <f>[2]本社営業!$I$38</f>
        <v>155014</v>
      </c>
      <c r="G38" s="9">
        <f t="shared" si="40"/>
        <v>2.9796132036726626E-4</v>
      </c>
      <c r="H38" s="362">
        <f>[2]本社営業!$L$38</f>
        <v>190039</v>
      </c>
      <c r="I38" s="124">
        <f>IF(ISERR(H38/$H$11),"",H38/$H$11)</f>
        <v>1.801315370551763E-4</v>
      </c>
      <c r="J38" s="388">
        <f>[2]東大阪!$I$38</f>
        <v>0</v>
      </c>
      <c r="K38" s="9">
        <f t="shared" si="20"/>
        <v>0</v>
      </c>
      <c r="L38" s="362">
        <f>[2]東大阪!$L$38</f>
        <v>0</v>
      </c>
      <c r="M38" s="124">
        <f t="shared" si="37"/>
        <v>0</v>
      </c>
      <c r="N38" s="403">
        <f>[2]南港工場!$I$38</f>
        <v>0</v>
      </c>
      <c r="O38" s="9">
        <f t="shared" si="41"/>
        <v>0</v>
      </c>
      <c r="P38" s="362">
        <f>[2]南港工場!$L$38</f>
        <v>0</v>
      </c>
      <c r="Q38" s="204">
        <f t="shared" si="42"/>
        <v>0</v>
      </c>
      <c r="R38" s="437">
        <f>[2]南港事務!$I$38</f>
        <v>7920</v>
      </c>
      <c r="S38" s="9" t="str">
        <f t="shared" si="43"/>
        <v/>
      </c>
      <c r="T38" s="362">
        <f>[2]南港事務!$L$38</f>
        <v>7920</v>
      </c>
      <c r="U38" s="204" t="str">
        <f t="shared" si="44"/>
        <v/>
      </c>
      <c r="V38" s="456">
        <f t="shared" si="21"/>
        <v>7920</v>
      </c>
      <c r="W38" s="171">
        <f t="shared" si="45"/>
        <v>2.8472330071957345E-4</v>
      </c>
      <c r="X38" s="426">
        <f t="shared" si="22"/>
        <v>7920</v>
      </c>
      <c r="Y38" s="225">
        <f t="shared" si="46"/>
        <v>1.4133026865545718E-4</v>
      </c>
      <c r="Z38" s="460">
        <f t="shared" si="23"/>
        <v>162934</v>
      </c>
      <c r="AA38" s="189">
        <f t="shared" si="47"/>
        <v>2.922868252553957E-4</v>
      </c>
      <c r="AB38" s="564">
        <f t="shared" si="24"/>
        <v>197959</v>
      </c>
      <c r="AC38" s="123">
        <f t="shared" si="48"/>
        <v>1.752937855804084E-4</v>
      </c>
      <c r="AD38" s="352">
        <f>[2]東京事務!$I$38</f>
        <v>51099</v>
      </c>
      <c r="AE38" s="9">
        <f t="shared" si="49"/>
        <v>2.1085088526279981E-4</v>
      </c>
      <c r="AF38" s="362">
        <f>[2]東京事務!$L$38</f>
        <v>79796</v>
      </c>
      <c r="AG38" s="81">
        <f t="shared" si="50"/>
        <v>1.6329961521121221E-4</v>
      </c>
      <c r="AH38" s="388">
        <f>[2]東京工場!$I$38</f>
        <v>0</v>
      </c>
      <c r="AI38" s="171">
        <f t="shared" si="25"/>
        <v>0</v>
      </c>
      <c r="AJ38" s="362">
        <f>[2]東京工場!$L$38</f>
        <v>3380</v>
      </c>
      <c r="AK38" s="99">
        <f t="shared" si="36"/>
        <v>1.6589998459289789E-4</v>
      </c>
      <c r="AL38" s="547">
        <f t="shared" si="26"/>
        <v>51099</v>
      </c>
      <c r="AM38" s="314">
        <f t="shared" si="51"/>
        <v>2.0204395859561421E-4</v>
      </c>
      <c r="AN38" s="478">
        <f t="shared" si="27"/>
        <v>83176</v>
      </c>
      <c r="AO38" s="123">
        <f t="shared" si="52"/>
        <v>1.6340369568057666E-4</v>
      </c>
      <c r="AP38" s="527">
        <f t="shared" si="28"/>
        <v>234666</v>
      </c>
      <c r="AQ38" s="284">
        <f t="shared" si="53"/>
        <v>2.8958387546396233E-4</v>
      </c>
      <c r="AR38" s="487">
        <f t="shared" si="29"/>
        <v>301768</v>
      </c>
      <c r="AS38" s="285">
        <f t="shared" si="54"/>
        <v>1.8419356605015543E-4</v>
      </c>
      <c r="AT38" s="584">
        <f>[2]全社合計!$G$38</f>
        <v>342399</v>
      </c>
      <c r="AU38" s="124">
        <f t="shared" si="30"/>
        <v>3.6698571634151709E-4</v>
      </c>
      <c r="AV38" s="578">
        <f>[2]全社合計!$N$38</f>
        <v>425987</v>
      </c>
      <c r="AW38" s="125">
        <f t="shared" si="31"/>
        <v>2.2419053862130173E-4</v>
      </c>
      <c r="AX38" s="584">
        <f t="shared" si="32"/>
        <v>-107733</v>
      </c>
      <c r="AY38" s="124">
        <f t="shared" si="33"/>
        <v>0.68535831004179337</v>
      </c>
      <c r="AZ38" s="578">
        <f t="shared" si="34"/>
        <v>-124219</v>
      </c>
      <c r="BA38" s="125">
        <f t="shared" si="35"/>
        <v>0.70839720460953037</v>
      </c>
      <c r="BB38" s="11"/>
    </row>
    <row r="39" spans="1:54" ht="15.95" customHeight="1">
      <c r="A39" s="37" t="s">
        <v>56</v>
      </c>
      <c r="B39" s="703">
        <f>[2]本部!$I$39</f>
        <v>26625</v>
      </c>
      <c r="C39" s="259" t="str">
        <f t="shared" si="38"/>
        <v/>
      </c>
      <c r="D39" s="728">
        <f>[2]本部!$L$39</f>
        <v>31070</v>
      </c>
      <c r="E39" s="122" t="str">
        <f t="shared" si="39"/>
        <v/>
      </c>
      <c r="F39" s="352">
        <f>[2]本社営業!$I$39</f>
        <v>0</v>
      </c>
      <c r="G39" s="9">
        <f t="shared" si="40"/>
        <v>0</v>
      </c>
      <c r="H39" s="362">
        <f>[2]本社営業!$L$39</f>
        <v>0</v>
      </c>
      <c r="I39" s="124">
        <f t="shared" si="19"/>
        <v>0</v>
      </c>
      <c r="J39" s="388">
        <f>[2]東大阪!$I$39</f>
        <v>0</v>
      </c>
      <c r="K39" s="9">
        <f t="shared" si="20"/>
        <v>0</v>
      </c>
      <c r="L39" s="362">
        <f>[2]東大阪!$L$39</f>
        <v>0</v>
      </c>
      <c r="M39" s="124">
        <f t="shared" si="37"/>
        <v>0</v>
      </c>
      <c r="N39" s="403">
        <f>[2]南港工場!$I$39</f>
        <v>0</v>
      </c>
      <c r="O39" s="9">
        <f t="shared" si="41"/>
        <v>0</v>
      </c>
      <c r="P39" s="362">
        <f>[2]南港工場!$L$39</f>
        <v>0</v>
      </c>
      <c r="Q39" s="204">
        <f t="shared" si="42"/>
        <v>0</v>
      </c>
      <c r="R39" s="437">
        <f>[2]南港事務!$I$39</f>
        <v>0</v>
      </c>
      <c r="S39" s="9" t="str">
        <f t="shared" si="43"/>
        <v/>
      </c>
      <c r="T39" s="362">
        <f>[2]南港事務!$L$39</f>
        <v>0</v>
      </c>
      <c r="U39" s="204" t="str">
        <f t="shared" si="44"/>
        <v/>
      </c>
      <c r="V39" s="456">
        <f t="shared" si="21"/>
        <v>0</v>
      </c>
      <c r="W39" s="171">
        <f t="shared" si="45"/>
        <v>0</v>
      </c>
      <c r="X39" s="426">
        <f t="shared" si="22"/>
        <v>0</v>
      </c>
      <c r="Y39" s="225">
        <f t="shared" si="46"/>
        <v>0</v>
      </c>
      <c r="Z39" s="460">
        <f t="shared" si="23"/>
        <v>0</v>
      </c>
      <c r="AA39" s="189">
        <f t="shared" si="47"/>
        <v>0</v>
      </c>
      <c r="AB39" s="564">
        <f t="shared" si="24"/>
        <v>0</v>
      </c>
      <c r="AC39" s="123">
        <f t="shared" si="48"/>
        <v>0</v>
      </c>
      <c r="AD39" s="352">
        <f>[2]東京事務!$I$39</f>
        <v>71204</v>
      </c>
      <c r="AE39" s="9">
        <f t="shared" si="49"/>
        <v>2.9381057230576716E-4</v>
      </c>
      <c r="AF39" s="362">
        <f>[2]東京事務!$L$39</f>
        <v>71204</v>
      </c>
      <c r="AG39" s="81">
        <f t="shared" si="50"/>
        <v>1.4571639933704891E-4</v>
      </c>
      <c r="AH39" s="388">
        <f>[2]東京工場!$I$39</f>
        <v>0</v>
      </c>
      <c r="AI39" s="171">
        <f t="shared" si="25"/>
        <v>0</v>
      </c>
      <c r="AJ39" s="362">
        <f>[2]東京工場!$L$39</f>
        <v>0</v>
      </c>
      <c r="AK39" s="99">
        <f t="shared" si="36"/>
        <v>0</v>
      </c>
      <c r="AL39" s="547">
        <f t="shared" si="26"/>
        <v>71204</v>
      </c>
      <c r="AM39" s="314">
        <f t="shared" si="51"/>
        <v>2.8153854337349292E-4</v>
      </c>
      <c r="AN39" s="478">
        <f t="shared" si="27"/>
        <v>71204</v>
      </c>
      <c r="AO39" s="123">
        <f t="shared" si="52"/>
        <v>1.39884062076077E-4</v>
      </c>
      <c r="AP39" s="527">
        <f t="shared" si="28"/>
        <v>97829</v>
      </c>
      <c r="AQ39" s="284">
        <f t="shared" si="53"/>
        <v>1.2072350043365452E-4</v>
      </c>
      <c r="AR39" s="487">
        <f t="shared" si="29"/>
        <v>102274</v>
      </c>
      <c r="AS39" s="285">
        <f t="shared" si="54"/>
        <v>6.2426144502444246E-5</v>
      </c>
      <c r="AT39" s="584">
        <f>[2]全社合計!$G$39</f>
        <v>81962</v>
      </c>
      <c r="AU39" s="124">
        <f t="shared" si="30"/>
        <v>8.7847462413101151E-5</v>
      </c>
      <c r="AV39" s="578">
        <f>[2]全社合計!$N$39</f>
        <v>86407</v>
      </c>
      <c r="AW39" s="125">
        <f t="shared" si="31"/>
        <v>4.5474701976001191E-5</v>
      </c>
      <c r="AX39" s="584">
        <f t="shared" si="32"/>
        <v>15867</v>
      </c>
      <c r="AY39" s="124">
        <f t="shared" si="33"/>
        <v>1.1935897123057027</v>
      </c>
      <c r="AZ39" s="578">
        <f t="shared" si="34"/>
        <v>15867</v>
      </c>
      <c r="BA39" s="125">
        <f t="shared" si="35"/>
        <v>1.1836309558253382</v>
      </c>
      <c r="BB39" s="11"/>
    </row>
    <row r="40" spans="1:54" ht="15.95" customHeight="1">
      <c r="A40" s="37" t="s">
        <v>33</v>
      </c>
      <c r="B40" s="703">
        <f>[2]本部!$I$40</f>
        <v>0</v>
      </c>
      <c r="C40" s="259" t="str">
        <f t="shared" si="38"/>
        <v/>
      </c>
      <c r="D40" s="728">
        <f>[2]本部!$L$40</f>
        <v>0</v>
      </c>
      <c r="E40" s="122" t="str">
        <f t="shared" si="39"/>
        <v/>
      </c>
      <c r="F40" s="352">
        <f>[2]本社営業!$I$40</f>
        <v>17807</v>
      </c>
      <c r="G40" s="9">
        <f t="shared" si="40"/>
        <v>3.4227858333956349E-5</v>
      </c>
      <c r="H40" s="362">
        <f>[2]本社営業!$L$40</f>
        <v>37354</v>
      </c>
      <c r="I40" s="124">
        <f t="shared" si="19"/>
        <v>3.5406592516057526E-5</v>
      </c>
      <c r="J40" s="388">
        <f>[2]東大阪!$I$40</f>
        <v>0</v>
      </c>
      <c r="K40" s="9">
        <f t="shared" si="20"/>
        <v>0</v>
      </c>
      <c r="L40" s="362">
        <f>[2]東大阪!$L$40</f>
        <v>0</v>
      </c>
      <c r="M40" s="124">
        <f t="shared" si="37"/>
        <v>0</v>
      </c>
      <c r="N40" s="403">
        <f>[2]南港工場!$I$40</f>
        <v>0</v>
      </c>
      <c r="O40" s="9">
        <f t="shared" si="41"/>
        <v>0</v>
      </c>
      <c r="P40" s="362">
        <f>[2]南港工場!$L$40</f>
        <v>0</v>
      </c>
      <c r="Q40" s="204">
        <f t="shared" si="42"/>
        <v>0</v>
      </c>
      <c r="R40" s="437">
        <f>[2]南港事務!$I$40</f>
        <v>9600</v>
      </c>
      <c r="S40" s="9" t="str">
        <f t="shared" si="43"/>
        <v/>
      </c>
      <c r="T40" s="362">
        <f>[2]南港事務!$L$40</f>
        <v>9600</v>
      </c>
      <c r="U40" s="204" t="str">
        <f t="shared" si="44"/>
        <v/>
      </c>
      <c r="V40" s="456">
        <f t="shared" si="21"/>
        <v>9600</v>
      </c>
      <c r="W40" s="171">
        <f t="shared" si="45"/>
        <v>3.4511915238736175E-4</v>
      </c>
      <c r="X40" s="426">
        <f t="shared" si="22"/>
        <v>9600</v>
      </c>
      <c r="Y40" s="225">
        <f t="shared" si="46"/>
        <v>1.7130941655206928E-4</v>
      </c>
      <c r="Z40" s="460">
        <f t="shared" si="23"/>
        <v>27407</v>
      </c>
      <c r="AA40" s="189">
        <f t="shared" si="47"/>
        <v>4.9165337006239519E-5</v>
      </c>
      <c r="AB40" s="564">
        <f t="shared" si="24"/>
        <v>46954</v>
      </c>
      <c r="AC40" s="123">
        <f t="shared" si="48"/>
        <v>4.1578025793939637E-5</v>
      </c>
      <c r="AD40" s="352">
        <f>[2]東京事務!$I$40</f>
        <v>0</v>
      </c>
      <c r="AE40" s="9">
        <f t="shared" si="49"/>
        <v>0</v>
      </c>
      <c r="AF40" s="362">
        <f>[2]東京事務!$L$40</f>
        <v>0</v>
      </c>
      <c r="AG40" s="81">
        <f t="shared" si="50"/>
        <v>0</v>
      </c>
      <c r="AH40" s="388">
        <f>[2]東京工場!$I$40</f>
        <v>0</v>
      </c>
      <c r="AI40" s="171">
        <f t="shared" si="25"/>
        <v>0</v>
      </c>
      <c r="AJ40" s="362">
        <f>[2]東京工場!$L$40</f>
        <v>0</v>
      </c>
      <c r="AK40" s="99">
        <f t="shared" si="36"/>
        <v>0</v>
      </c>
      <c r="AL40" s="547">
        <f t="shared" si="26"/>
        <v>0</v>
      </c>
      <c r="AM40" s="314">
        <f t="shared" si="51"/>
        <v>0</v>
      </c>
      <c r="AN40" s="478">
        <f t="shared" si="27"/>
        <v>0</v>
      </c>
      <c r="AO40" s="123">
        <f t="shared" si="52"/>
        <v>0</v>
      </c>
      <c r="AP40" s="527">
        <f t="shared" si="28"/>
        <v>27407</v>
      </c>
      <c r="AQ40" s="284">
        <f t="shared" si="53"/>
        <v>3.3820942423873998E-5</v>
      </c>
      <c r="AR40" s="487">
        <f t="shared" si="29"/>
        <v>46954</v>
      </c>
      <c r="AS40" s="285">
        <f t="shared" si="54"/>
        <v>2.8659846969589211E-5</v>
      </c>
      <c r="AT40" s="584">
        <f>[2]全社合計!$G$40</f>
        <v>34089</v>
      </c>
      <c r="AU40" s="124">
        <f t="shared" si="30"/>
        <v>3.6536835926407424E-5</v>
      </c>
      <c r="AV40" s="578">
        <f>[2]全社合計!$N$40</f>
        <v>63047</v>
      </c>
      <c r="AW40" s="125">
        <f t="shared" si="31"/>
        <v>3.3180686003228294E-5</v>
      </c>
      <c r="AX40" s="584">
        <f t="shared" si="32"/>
        <v>-6682</v>
      </c>
      <c r="AY40" s="124">
        <f t="shared" si="33"/>
        <v>0.80398368975329282</v>
      </c>
      <c r="AZ40" s="578">
        <f t="shared" si="34"/>
        <v>-16093</v>
      </c>
      <c r="BA40" s="125">
        <f t="shared" si="35"/>
        <v>0.74474598315542373</v>
      </c>
      <c r="BB40" s="11"/>
    </row>
    <row r="41" spans="1:54" ht="15.95" customHeight="1">
      <c r="A41" s="37" t="s">
        <v>34</v>
      </c>
      <c r="B41" s="703">
        <f>[2]本部!$I$41</f>
        <v>310000</v>
      </c>
      <c r="C41" s="259" t="str">
        <f t="shared" si="38"/>
        <v/>
      </c>
      <c r="D41" s="728">
        <f>[2]本部!$L$41</f>
        <v>343800</v>
      </c>
      <c r="E41" s="122" t="str">
        <f t="shared" si="39"/>
        <v/>
      </c>
      <c r="F41" s="352">
        <f>[2]本社営業!$I$41</f>
        <v>30000</v>
      </c>
      <c r="G41" s="9">
        <f t="shared" si="40"/>
        <v>5.7664724547576269E-5</v>
      </c>
      <c r="H41" s="362">
        <f>[2]本社営業!$L$41</f>
        <v>97000</v>
      </c>
      <c r="I41" s="124">
        <f t="shared" si="19"/>
        <v>9.1943017456164807E-5</v>
      </c>
      <c r="J41" s="388">
        <f>[2]東大阪!$I$41</f>
        <v>0</v>
      </c>
      <c r="K41" s="9">
        <f t="shared" si="20"/>
        <v>0</v>
      </c>
      <c r="L41" s="362">
        <f>[2]東大阪!$L$41</f>
        <v>10000</v>
      </c>
      <c r="M41" s="124">
        <f t="shared" si="37"/>
        <v>5.4769824608947562E-4</v>
      </c>
      <c r="N41" s="403">
        <f>[2]南港工場!$I$41</f>
        <v>0</v>
      </c>
      <c r="O41" s="9">
        <f t="shared" si="41"/>
        <v>0</v>
      </c>
      <c r="P41" s="362">
        <f>[2]南港工場!$L$41</f>
        <v>0</v>
      </c>
      <c r="Q41" s="204">
        <f t="shared" si="42"/>
        <v>0</v>
      </c>
      <c r="R41" s="437">
        <f>[2]南港事務!$I$41</f>
        <v>395958</v>
      </c>
      <c r="S41" s="9" t="str">
        <f t="shared" si="43"/>
        <v/>
      </c>
      <c r="T41" s="362">
        <f>[2]南港事務!$L$41</f>
        <v>395958</v>
      </c>
      <c r="U41" s="204" t="str">
        <f t="shared" si="44"/>
        <v/>
      </c>
      <c r="V41" s="456">
        <f t="shared" si="21"/>
        <v>395958</v>
      </c>
      <c r="W41" s="171">
        <f t="shared" si="45"/>
        <v>1.4234655139686976E-2</v>
      </c>
      <c r="X41" s="426">
        <f t="shared" si="22"/>
        <v>395958</v>
      </c>
      <c r="Y41" s="225">
        <f t="shared" si="46"/>
        <v>7.0657639540754429E-3</v>
      </c>
      <c r="Z41" s="460">
        <f t="shared" si="23"/>
        <v>425958</v>
      </c>
      <c r="AA41" s="189">
        <f t="shared" si="47"/>
        <v>7.6412480827904453E-4</v>
      </c>
      <c r="AB41" s="564">
        <f t="shared" si="24"/>
        <v>502958</v>
      </c>
      <c r="AC41" s="123">
        <f t="shared" si="48"/>
        <v>4.4537208112766305E-4</v>
      </c>
      <c r="AD41" s="352">
        <f>[2]東京事務!$I$41</f>
        <v>0</v>
      </c>
      <c r="AE41" s="9">
        <f t="shared" si="49"/>
        <v>0</v>
      </c>
      <c r="AF41" s="362">
        <f>[2]東京事務!$L$41</f>
        <v>143000</v>
      </c>
      <c r="AG41" s="81">
        <f t="shared" si="50"/>
        <v>2.9264430516822082E-4</v>
      </c>
      <c r="AH41" s="388">
        <f>[2]東京工場!$I$41</f>
        <v>0</v>
      </c>
      <c r="AI41" s="171">
        <f t="shared" si="25"/>
        <v>0</v>
      </c>
      <c r="AJ41" s="362">
        <f>[2]東京工場!$L$41</f>
        <v>0</v>
      </c>
      <c r="AK41" s="99">
        <f t="shared" si="36"/>
        <v>0</v>
      </c>
      <c r="AL41" s="547">
        <f t="shared" si="26"/>
        <v>0</v>
      </c>
      <c r="AM41" s="314">
        <f t="shared" si="51"/>
        <v>0</v>
      </c>
      <c r="AN41" s="478">
        <f t="shared" si="27"/>
        <v>143000</v>
      </c>
      <c r="AO41" s="123">
        <f t="shared" si="52"/>
        <v>2.8093113977977374E-4</v>
      </c>
      <c r="AP41" s="527">
        <f t="shared" si="28"/>
        <v>735958</v>
      </c>
      <c r="AQ41" s="284">
        <f t="shared" si="53"/>
        <v>9.0819108783848879E-4</v>
      </c>
      <c r="AR41" s="487">
        <f t="shared" si="29"/>
        <v>989758</v>
      </c>
      <c r="AS41" s="285">
        <f t="shared" si="54"/>
        <v>6.0412984659297781E-4</v>
      </c>
      <c r="AT41" s="584">
        <f>[2]全社合計!$G$41</f>
        <v>697958</v>
      </c>
      <c r="AU41" s="124">
        <f t="shared" si="30"/>
        <v>7.4807641554529237E-4</v>
      </c>
      <c r="AV41" s="578">
        <f>[2]全社合計!$N$41</f>
        <v>1033031</v>
      </c>
      <c r="AW41" s="125">
        <f t="shared" si="31"/>
        <v>5.4366864787540922E-4</v>
      </c>
      <c r="AX41" s="584">
        <f t="shared" si="32"/>
        <v>38000</v>
      </c>
      <c r="AY41" s="124">
        <f t="shared" si="33"/>
        <v>1.0544445367772846</v>
      </c>
      <c r="AZ41" s="578">
        <f t="shared" si="34"/>
        <v>-43273</v>
      </c>
      <c r="BA41" s="125">
        <f t="shared" si="35"/>
        <v>0.95811064721194228</v>
      </c>
      <c r="BB41" s="11"/>
    </row>
    <row r="42" spans="1:54" ht="15.95" customHeight="1">
      <c r="A42" s="37" t="s">
        <v>35</v>
      </c>
      <c r="B42" s="703">
        <f>[2]本部!$I$42</f>
        <v>0</v>
      </c>
      <c r="C42" s="259" t="str">
        <f t="shared" si="38"/>
        <v/>
      </c>
      <c r="D42" s="728">
        <f>[2]本部!$L$42</f>
        <v>0</v>
      </c>
      <c r="E42" s="122" t="str">
        <f t="shared" si="39"/>
        <v/>
      </c>
      <c r="F42" s="352">
        <f>[2]本社営業!$I$42</f>
        <v>0</v>
      </c>
      <c r="G42" s="9">
        <f t="shared" si="40"/>
        <v>0</v>
      </c>
      <c r="H42" s="362">
        <f>[2]本社営業!$L$42</f>
        <v>510000</v>
      </c>
      <c r="I42" s="124">
        <f t="shared" si="19"/>
        <v>4.8341174126437166E-4</v>
      </c>
      <c r="J42" s="388">
        <f>[2]東大阪!$I$42</f>
        <v>0</v>
      </c>
      <c r="K42" s="9">
        <f t="shared" si="20"/>
        <v>0</v>
      </c>
      <c r="L42" s="362">
        <f>[2]東大阪!$L$42</f>
        <v>0</v>
      </c>
      <c r="M42" s="124">
        <f t="shared" si="37"/>
        <v>0</v>
      </c>
      <c r="N42" s="403">
        <f>[2]南港工場!$I$42</f>
        <v>0</v>
      </c>
      <c r="O42" s="9">
        <f t="shared" si="41"/>
        <v>0</v>
      </c>
      <c r="P42" s="362">
        <f>[2]南港工場!$L$42</f>
        <v>0</v>
      </c>
      <c r="Q42" s="204">
        <f t="shared" si="42"/>
        <v>0</v>
      </c>
      <c r="R42" s="437">
        <f>[2]南港事務!$I$42</f>
        <v>0</v>
      </c>
      <c r="S42" s="9" t="str">
        <f t="shared" si="43"/>
        <v/>
      </c>
      <c r="T42" s="362">
        <f>[2]南港事務!$L$42</f>
        <v>0</v>
      </c>
      <c r="U42" s="204" t="str">
        <f t="shared" si="44"/>
        <v/>
      </c>
      <c r="V42" s="456">
        <f t="shared" si="21"/>
        <v>0</v>
      </c>
      <c r="W42" s="171">
        <f t="shared" si="45"/>
        <v>0</v>
      </c>
      <c r="X42" s="426">
        <f t="shared" si="22"/>
        <v>0</v>
      </c>
      <c r="Y42" s="225">
        <f t="shared" si="46"/>
        <v>0</v>
      </c>
      <c r="Z42" s="460">
        <f t="shared" si="23"/>
        <v>0</v>
      </c>
      <c r="AA42" s="189">
        <f t="shared" si="47"/>
        <v>0</v>
      </c>
      <c r="AB42" s="564">
        <f t="shared" si="24"/>
        <v>510000</v>
      </c>
      <c r="AC42" s="123">
        <f t="shared" si="48"/>
        <v>4.516078109406912E-4</v>
      </c>
      <c r="AD42" s="352">
        <f>[2]東京事務!$I$42</f>
        <v>0</v>
      </c>
      <c r="AE42" s="9">
        <f t="shared" si="49"/>
        <v>0</v>
      </c>
      <c r="AF42" s="362">
        <f>[2]東京事務!$L$42</f>
        <v>0</v>
      </c>
      <c r="AG42" s="81">
        <f t="shared" si="50"/>
        <v>0</v>
      </c>
      <c r="AH42" s="388">
        <f>[2]東京工場!$I$42</f>
        <v>0</v>
      </c>
      <c r="AI42" s="171">
        <f t="shared" si="25"/>
        <v>0</v>
      </c>
      <c r="AJ42" s="362">
        <f>[2]東京工場!$L$42</f>
        <v>0</v>
      </c>
      <c r="AK42" s="99">
        <f t="shared" si="36"/>
        <v>0</v>
      </c>
      <c r="AL42" s="547">
        <f t="shared" si="26"/>
        <v>0</v>
      </c>
      <c r="AM42" s="314">
        <f t="shared" si="51"/>
        <v>0</v>
      </c>
      <c r="AN42" s="478">
        <f t="shared" si="27"/>
        <v>0</v>
      </c>
      <c r="AO42" s="123">
        <f t="shared" si="52"/>
        <v>0</v>
      </c>
      <c r="AP42" s="527">
        <f t="shared" si="28"/>
        <v>0</v>
      </c>
      <c r="AQ42" s="284">
        <f t="shared" si="53"/>
        <v>0</v>
      </c>
      <c r="AR42" s="487">
        <f t="shared" si="29"/>
        <v>510000</v>
      </c>
      <c r="AS42" s="285">
        <f t="shared" si="54"/>
        <v>3.1129450003174381E-4</v>
      </c>
      <c r="AT42" s="584">
        <f>[2]全社合計!$G$42</f>
        <v>850000</v>
      </c>
      <c r="AU42" s="124">
        <f t="shared" si="30"/>
        <v>9.1103612712154392E-4</v>
      </c>
      <c r="AV42" s="578">
        <f>[2]全社合計!$N$42</f>
        <v>850000</v>
      </c>
      <c r="AW42" s="125">
        <f t="shared" si="31"/>
        <v>4.4734219079010972E-4</v>
      </c>
      <c r="AX42" s="584">
        <f t="shared" si="32"/>
        <v>-850000</v>
      </c>
      <c r="AY42" s="124">
        <f t="shared" si="33"/>
        <v>0</v>
      </c>
      <c r="AZ42" s="578">
        <f t="shared" si="34"/>
        <v>-340000</v>
      </c>
      <c r="BA42" s="125">
        <f t="shared" si="35"/>
        <v>0.6</v>
      </c>
      <c r="BB42" s="11"/>
    </row>
    <row r="43" spans="1:54" ht="15.95" customHeight="1">
      <c r="A43" s="37" t="s">
        <v>36</v>
      </c>
      <c r="B43" s="703">
        <f>[2]本部!$I$43</f>
        <v>0</v>
      </c>
      <c r="C43" s="259" t="str">
        <f t="shared" si="38"/>
        <v/>
      </c>
      <c r="D43" s="728">
        <f>[2]本部!$L$43</f>
        <v>0</v>
      </c>
      <c r="E43" s="122" t="str">
        <f t="shared" si="39"/>
        <v/>
      </c>
      <c r="F43" s="352">
        <f>[2]本社営業!$I$43</f>
        <v>14172692</v>
      </c>
      <c r="G43" s="9">
        <f t="shared" si="40"/>
        <v>2.7242146009254592E-2</v>
      </c>
      <c r="H43" s="362">
        <f>[2]本社営業!$L$43</f>
        <v>23502725</v>
      </c>
      <c r="I43" s="124">
        <f t="shared" si="19"/>
        <v>2.227743767981898E-2</v>
      </c>
      <c r="J43" s="388">
        <f>[2]東大阪!$I$43</f>
        <v>-497050</v>
      </c>
      <c r="K43" s="9">
        <f t="shared" si="20"/>
        <v>-5.2988320608709533E-2</v>
      </c>
      <c r="L43" s="362">
        <f>[2]東大阪!$L$43</f>
        <v>-1007150</v>
      </c>
      <c r="M43" s="124">
        <f t="shared" si="37"/>
        <v>-5.5161428854901537E-2</v>
      </c>
      <c r="N43" s="403">
        <f>[2]南港工場!$I$43</f>
        <v>1713389</v>
      </c>
      <c r="O43" s="9">
        <f t="shared" si="41"/>
        <v>6.159618326977389E-2</v>
      </c>
      <c r="P43" s="362">
        <f>[2]南港工場!$L$43</f>
        <v>2946924</v>
      </c>
      <c r="Q43" s="204">
        <f t="shared" si="42"/>
        <v>5.25870657357594E-2</v>
      </c>
      <c r="R43" s="437">
        <f>[2]南港事務!$I$43</f>
        <v>0</v>
      </c>
      <c r="S43" s="9" t="str">
        <f t="shared" si="43"/>
        <v/>
      </c>
      <c r="T43" s="362">
        <f>[2]南港事務!$L$43</f>
        <v>0</v>
      </c>
      <c r="U43" s="204" t="str">
        <f t="shared" si="44"/>
        <v/>
      </c>
      <c r="V43" s="456">
        <f t="shared" si="21"/>
        <v>1713389</v>
      </c>
      <c r="W43" s="171">
        <f t="shared" si="45"/>
        <v>6.159618326977389E-2</v>
      </c>
      <c r="X43" s="426">
        <f t="shared" si="22"/>
        <v>2946924</v>
      </c>
      <c r="Y43" s="225">
        <f t="shared" si="46"/>
        <v>5.25870657357594E-2</v>
      </c>
      <c r="Z43" s="460">
        <f t="shared" si="23"/>
        <v>15389031</v>
      </c>
      <c r="AA43" s="189">
        <f t="shared" si="47"/>
        <v>2.7606337625952024E-2</v>
      </c>
      <c r="AB43" s="564">
        <f t="shared" si="24"/>
        <v>25442499</v>
      </c>
      <c r="AC43" s="123">
        <f t="shared" si="48"/>
        <v>2.2529473094609266E-2</v>
      </c>
      <c r="AD43" s="352">
        <f>[2]東京事務!$I$43</f>
        <v>6542539</v>
      </c>
      <c r="AE43" s="9">
        <f t="shared" si="49"/>
        <v>2.6996617155255347E-2</v>
      </c>
      <c r="AF43" s="362">
        <f>[2]東京事務!$L$43</f>
        <v>9554064</v>
      </c>
      <c r="AG43" s="81">
        <f t="shared" si="50"/>
        <v>1.9552044900788199E-2</v>
      </c>
      <c r="AH43" s="388">
        <f>[2]東京工場!$I$43</f>
        <v>0</v>
      </c>
      <c r="AI43" s="171">
        <f t="shared" si="25"/>
        <v>0</v>
      </c>
      <c r="AJ43" s="362">
        <f>[2]東京工場!$L$43</f>
        <v>0</v>
      </c>
      <c r="AK43" s="99">
        <f t="shared" si="36"/>
        <v>0</v>
      </c>
      <c r="AL43" s="547">
        <f t="shared" si="26"/>
        <v>6542539</v>
      </c>
      <c r="AM43" s="314">
        <f t="shared" si="51"/>
        <v>2.5869008763893447E-2</v>
      </c>
      <c r="AN43" s="478">
        <f t="shared" si="27"/>
        <v>9554064</v>
      </c>
      <c r="AO43" s="123">
        <f t="shared" si="52"/>
        <v>1.8769469154188142E-2</v>
      </c>
      <c r="AP43" s="527">
        <f t="shared" si="28"/>
        <v>21931570</v>
      </c>
      <c r="AQ43" s="284">
        <f t="shared" si="53"/>
        <v>2.7064121072542136E-2</v>
      </c>
      <c r="AR43" s="487">
        <f t="shared" si="29"/>
        <v>34996563</v>
      </c>
      <c r="AS43" s="285">
        <f t="shared" si="54"/>
        <v>2.1361250160616518E-2</v>
      </c>
      <c r="AT43" s="584">
        <f>[2]全社合計!$G$43</f>
        <v>22587316</v>
      </c>
      <c r="AU43" s="124">
        <f t="shared" si="30"/>
        <v>2.4209248106718213E-2</v>
      </c>
      <c r="AV43" s="578">
        <f>[2]全社合計!$N$43</f>
        <v>35349989</v>
      </c>
      <c r="AW43" s="125">
        <f t="shared" si="31"/>
        <v>1.8604166498430916E-2</v>
      </c>
      <c r="AX43" s="584">
        <f t="shared" si="32"/>
        <v>-655746</v>
      </c>
      <c r="AY43" s="124">
        <f t="shared" si="33"/>
        <v>0.97096839659922407</v>
      </c>
      <c r="AZ43" s="578">
        <f t="shared" si="34"/>
        <v>-353426</v>
      </c>
      <c r="BA43" s="125">
        <f t="shared" si="35"/>
        <v>0.99000209024110308</v>
      </c>
      <c r="BB43" s="11"/>
    </row>
    <row r="44" spans="1:54" ht="15.95" customHeight="1">
      <c r="A44" s="37" t="s">
        <v>37</v>
      </c>
      <c r="B44" s="703">
        <f>[2]本部!$I$44</f>
        <v>-165000</v>
      </c>
      <c r="C44" s="259" t="str">
        <f t="shared" si="38"/>
        <v/>
      </c>
      <c r="D44" s="728">
        <f>[2]本部!$L$44</f>
        <v>-330000</v>
      </c>
      <c r="E44" s="122" t="str">
        <f t="shared" si="39"/>
        <v/>
      </c>
      <c r="F44" s="352">
        <f>[2]本社営業!$I$44</f>
        <v>475000</v>
      </c>
      <c r="G44" s="9">
        <f t="shared" si="40"/>
        <v>9.1302480533662423E-4</v>
      </c>
      <c r="H44" s="362">
        <f>[2]本社営業!$L$44</f>
        <v>950000</v>
      </c>
      <c r="I44" s="124">
        <f t="shared" si="19"/>
        <v>9.0047285137480988E-4</v>
      </c>
      <c r="J44" s="388">
        <f>[2]東大阪!$I$44</f>
        <v>375000</v>
      </c>
      <c r="K44" s="9">
        <f t="shared" si="20"/>
        <v>3.9977105378263905E-2</v>
      </c>
      <c r="L44" s="362">
        <f>[2]東大阪!$L$44</f>
        <v>750000</v>
      </c>
      <c r="M44" s="124">
        <f t="shared" si="37"/>
        <v>4.1077368456710672E-2</v>
      </c>
      <c r="N44" s="403">
        <f>[2]南港工場!$I$44</f>
        <v>360000</v>
      </c>
      <c r="O44" s="9">
        <f t="shared" si="41"/>
        <v>1.2941968214526065E-2</v>
      </c>
      <c r="P44" s="362">
        <f>[2]南港工場!$L$44</f>
        <v>720000</v>
      </c>
      <c r="Q44" s="204">
        <f t="shared" si="42"/>
        <v>1.2848206241405197E-2</v>
      </c>
      <c r="R44" s="437">
        <f>[2]南港事務!$I$44</f>
        <v>80000</v>
      </c>
      <c r="S44" s="9" t="str">
        <f t="shared" si="43"/>
        <v/>
      </c>
      <c r="T44" s="362">
        <f>[2]南港事務!$L$44</f>
        <v>160000</v>
      </c>
      <c r="U44" s="204" t="str">
        <f t="shared" si="44"/>
        <v/>
      </c>
      <c r="V44" s="456">
        <f t="shared" si="21"/>
        <v>440000</v>
      </c>
      <c r="W44" s="171">
        <f t="shared" si="45"/>
        <v>1.5817961151087412E-2</v>
      </c>
      <c r="X44" s="426">
        <f t="shared" si="22"/>
        <v>880000</v>
      </c>
      <c r="Y44" s="225">
        <f t="shared" si="46"/>
        <v>1.5703363183939684E-2</v>
      </c>
      <c r="Z44" s="460">
        <f t="shared" si="23"/>
        <v>1290000</v>
      </c>
      <c r="AA44" s="189">
        <f t="shared" si="47"/>
        <v>2.3141272207118247E-3</v>
      </c>
      <c r="AB44" s="564">
        <f t="shared" si="24"/>
        <v>2580000</v>
      </c>
      <c r="AC44" s="123">
        <f t="shared" si="48"/>
        <v>2.2846042200529086E-3</v>
      </c>
      <c r="AD44" s="352">
        <f>[2]東京事務!$I$44</f>
        <v>55000</v>
      </c>
      <c r="AE44" s="9">
        <f t="shared" si="49"/>
        <v>2.2694766413147008E-4</v>
      </c>
      <c r="AF44" s="362">
        <f>[2]東京事務!$L$44</f>
        <v>110000</v>
      </c>
      <c r="AG44" s="81">
        <f t="shared" si="50"/>
        <v>2.2511100397555446E-4</v>
      </c>
      <c r="AH44" s="388">
        <f>[2]東京工場!$I$44</f>
        <v>275000</v>
      </c>
      <c r="AI44" s="171">
        <f t="shared" si="25"/>
        <v>2.6032579915760464E-2</v>
      </c>
      <c r="AJ44" s="362">
        <f>[2]東京工場!$L$44</f>
        <v>550000</v>
      </c>
      <c r="AK44" s="99">
        <f t="shared" si="36"/>
        <v>2.6995559623104685E-2</v>
      </c>
      <c r="AL44" s="547">
        <f t="shared" si="26"/>
        <v>330000</v>
      </c>
      <c r="AM44" s="314">
        <f t="shared" si="51"/>
        <v>1.3048103942651069E-3</v>
      </c>
      <c r="AN44" s="478">
        <f t="shared" si="27"/>
        <v>660000</v>
      </c>
      <c r="AO44" s="123">
        <f t="shared" si="52"/>
        <v>1.2966052605220327E-3</v>
      </c>
      <c r="AP44" s="527">
        <f t="shared" si="28"/>
        <v>1455000</v>
      </c>
      <c r="AQ44" s="284">
        <f t="shared" si="53"/>
        <v>1.7955073968962919E-3</v>
      </c>
      <c r="AR44" s="487">
        <f t="shared" si="29"/>
        <v>2910000</v>
      </c>
      <c r="AS44" s="285">
        <f t="shared" si="54"/>
        <v>1.7762097942987734E-3</v>
      </c>
      <c r="AT44" s="584">
        <f>[2]全社合計!$G$44</f>
        <v>1280000</v>
      </c>
      <c r="AU44" s="124">
        <f t="shared" si="30"/>
        <v>1.3719132267242073E-3</v>
      </c>
      <c r="AV44" s="578">
        <f>[2]全社合計!$N$44</f>
        <v>2560000</v>
      </c>
      <c r="AW44" s="125">
        <f t="shared" si="31"/>
        <v>1.3472894216737421E-3</v>
      </c>
      <c r="AX44" s="584">
        <f t="shared" si="32"/>
        <v>175000</v>
      </c>
      <c r="AY44" s="124">
        <f t="shared" si="33"/>
        <v>1.13671875</v>
      </c>
      <c r="AZ44" s="578">
        <f t="shared" si="34"/>
        <v>350000</v>
      </c>
      <c r="BA44" s="125">
        <f t="shared" si="35"/>
        <v>1.13671875</v>
      </c>
      <c r="BB44" s="14"/>
    </row>
    <row r="45" spans="1:54" ht="15.95" customHeight="1">
      <c r="A45" s="37" t="s">
        <v>57</v>
      </c>
      <c r="B45" s="703">
        <f>[2]本部!$I$45</f>
        <v>0</v>
      </c>
      <c r="C45" s="259" t="str">
        <f t="shared" si="38"/>
        <v/>
      </c>
      <c r="D45" s="728">
        <f>[2]本部!$L$45</f>
        <v>0</v>
      </c>
      <c r="E45" s="122" t="str">
        <f t="shared" si="39"/>
        <v/>
      </c>
      <c r="F45" s="352">
        <f>[2]本社営業!$I$45</f>
        <v>0</v>
      </c>
      <c r="G45" s="9">
        <f t="shared" si="40"/>
        <v>0</v>
      </c>
      <c r="H45" s="362">
        <f>[2]本社営業!$L$45</f>
        <v>0</v>
      </c>
      <c r="I45" s="124">
        <f t="shared" si="19"/>
        <v>0</v>
      </c>
      <c r="J45" s="388">
        <f>[2]東大阪!$I$45</f>
        <v>0</v>
      </c>
      <c r="K45" s="9">
        <f t="shared" si="20"/>
        <v>0</v>
      </c>
      <c r="L45" s="362">
        <f>[2]東大阪!$L$45</f>
        <v>0</v>
      </c>
      <c r="M45" s="124">
        <f t="shared" si="37"/>
        <v>0</v>
      </c>
      <c r="N45" s="403">
        <f>[2]南港工場!$I$45</f>
        <v>0</v>
      </c>
      <c r="O45" s="9">
        <f t="shared" si="41"/>
        <v>0</v>
      </c>
      <c r="P45" s="362">
        <f>[2]南港工場!$L$45</f>
        <v>0</v>
      </c>
      <c r="Q45" s="204">
        <f t="shared" si="42"/>
        <v>0</v>
      </c>
      <c r="R45" s="437">
        <f>[2]南港事務!$I$45</f>
        <v>0</v>
      </c>
      <c r="S45" s="9" t="str">
        <f t="shared" si="43"/>
        <v/>
      </c>
      <c r="T45" s="362">
        <f>[2]南港事務!$L$45</f>
        <v>0</v>
      </c>
      <c r="U45" s="204" t="str">
        <f t="shared" si="44"/>
        <v/>
      </c>
      <c r="V45" s="456">
        <f t="shared" si="21"/>
        <v>0</v>
      </c>
      <c r="W45" s="171">
        <f t="shared" si="45"/>
        <v>0</v>
      </c>
      <c r="X45" s="426">
        <f t="shared" si="22"/>
        <v>0</v>
      </c>
      <c r="Y45" s="225">
        <f t="shared" si="46"/>
        <v>0</v>
      </c>
      <c r="Z45" s="460">
        <f t="shared" si="23"/>
        <v>0</v>
      </c>
      <c r="AA45" s="189">
        <f t="shared" si="47"/>
        <v>0</v>
      </c>
      <c r="AB45" s="564">
        <f t="shared" si="24"/>
        <v>0</v>
      </c>
      <c r="AC45" s="123">
        <f t="shared" si="48"/>
        <v>0</v>
      </c>
      <c r="AD45" s="352">
        <f>[2]東京事務!$I$45</f>
        <v>0</v>
      </c>
      <c r="AE45" s="9">
        <f t="shared" si="49"/>
        <v>0</v>
      </c>
      <c r="AF45" s="362">
        <f>[2]東京事務!$L$45</f>
        <v>0</v>
      </c>
      <c r="AG45" s="81">
        <f t="shared" si="50"/>
        <v>0</v>
      </c>
      <c r="AH45" s="388">
        <f>[2]東京工場!$I$45</f>
        <v>0</v>
      </c>
      <c r="AI45" s="171">
        <f t="shared" si="25"/>
        <v>0</v>
      </c>
      <c r="AJ45" s="362">
        <f>[2]東京工場!$L$45</f>
        <v>0</v>
      </c>
      <c r="AK45" s="99">
        <f t="shared" si="36"/>
        <v>0</v>
      </c>
      <c r="AL45" s="547">
        <f t="shared" si="26"/>
        <v>0</v>
      </c>
      <c r="AM45" s="314">
        <f t="shared" si="51"/>
        <v>0</v>
      </c>
      <c r="AN45" s="478">
        <f t="shared" si="27"/>
        <v>0</v>
      </c>
      <c r="AO45" s="123">
        <f t="shared" si="52"/>
        <v>0</v>
      </c>
      <c r="AP45" s="527">
        <f t="shared" si="28"/>
        <v>0</v>
      </c>
      <c r="AQ45" s="284">
        <f t="shared" si="53"/>
        <v>0</v>
      </c>
      <c r="AR45" s="487">
        <f t="shared" si="29"/>
        <v>0</v>
      </c>
      <c r="AS45" s="285">
        <f t="shared" si="54"/>
        <v>0</v>
      </c>
      <c r="AT45" s="584">
        <f>[2]全社合計!$G$45</f>
        <v>0</v>
      </c>
      <c r="AU45" s="124">
        <f t="shared" si="30"/>
        <v>0</v>
      </c>
      <c r="AV45" s="578">
        <f>[2]全社合計!$N$45</f>
        <v>0</v>
      </c>
      <c r="AW45" s="125">
        <f t="shared" si="31"/>
        <v>0</v>
      </c>
      <c r="AX45" s="584">
        <f t="shared" si="32"/>
        <v>0</v>
      </c>
      <c r="AY45" s="124" t="str">
        <f t="shared" si="33"/>
        <v/>
      </c>
      <c r="AZ45" s="578">
        <f t="shared" si="34"/>
        <v>0</v>
      </c>
      <c r="BA45" s="125" t="str">
        <f t="shared" si="35"/>
        <v/>
      </c>
      <c r="BB45" s="11"/>
    </row>
    <row r="46" spans="1:54" ht="15.95" customHeight="1">
      <c r="A46" s="36" t="s">
        <v>38</v>
      </c>
      <c r="B46" s="704">
        <f>[2]本部!$I$46</f>
        <v>10000</v>
      </c>
      <c r="C46" s="260" t="str">
        <f t="shared" si="38"/>
        <v/>
      </c>
      <c r="D46" s="729">
        <f>[2]本部!$L$46</f>
        <v>40000</v>
      </c>
      <c r="E46" s="126" t="str">
        <f t="shared" si="39"/>
        <v/>
      </c>
      <c r="F46" s="353">
        <f>[2]本社営業!$I$46</f>
        <v>11000</v>
      </c>
      <c r="G46" s="12">
        <f t="shared" si="40"/>
        <v>2.1143732334111299E-5</v>
      </c>
      <c r="H46" s="362">
        <f>[2]本社営業!$L$46</f>
        <v>11000</v>
      </c>
      <c r="I46" s="128">
        <f t="shared" si="19"/>
        <v>1.0426527752760957E-5</v>
      </c>
      <c r="J46" s="389">
        <f>[2]東大阪!$I$46</f>
        <v>0</v>
      </c>
      <c r="K46" s="12">
        <f t="shared" si="20"/>
        <v>0</v>
      </c>
      <c r="L46" s="362">
        <f>[2]東大阪!$L$46</f>
        <v>0</v>
      </c>
      <c r="M46" s="128">
        <f t="shared" si="37"/>
        <v>0</v>
      </c>
      <c r="N46" s="403">
        <f>[2]南港工場!$I$46</f>
        <v>0</v>
      </c>
      <c r="O46" s="12">
        <f t="shared" si="41"/>
        <v>0</v>
      </c>
      <c r="P46" s="362">
        <f>[2]南港工場!$L$46</f>
        <v>0</v>
      </c>
      <c r="Q46" s="205">
        <f t="shared" si="42"/>
        <v>0</v>
      </c>
      <c r="R46" s="438">
        <f>[2]南港事務!$I$46</f>
        <v>0</v>
      </c>
      <c r="S46" s="12" t="str">
        <f t="shared" si="43"/>
        <v/>
      </c>
      <c r="T46" s="362">
        <f>[2]南港事務!$L$46</f>
        <v>0</v>
      </c>
      <c r="U46" s="205" t="str">
        <f t="shared" si="44"/>
        <v/>
      </c>
      <c r="V46" s="457">
        <f t="shared" si="21"/>
        <v>0</v>
      </c>
      <c r="W46" s="172">
        <f t="shared" si="45"/>
        <v>0</v>
      </c>
      <c r="X46" s="427">
        <f t="shared" si="22"/>
        <v>0</v>
      </c>
      <c r="Y46" s="226">
        <f t="shared" si="46"/>
        <v>0</v>
      </c>
      <c r="Z46" s="461">
        <f t="shared" si="23"/>
        <v>11000</v>
      </c>
      <c r="AA46" s="190">
        <f t="shared" si="47"/>
        <v>1.9732867773511682E-5</v>
      </c>
      <c r="AB46" s="565">
        <f t="shared" si="24"/>
        <v>11000</v>
      </c>
      <c r="AC46" s="127">
        <f t="shared" si="48"/>
        <v>9.7405606281325559E-6</v>
      </c>
      <c r="AD46" s="353">
        <f>[2]東京事務!$I$46</f>
        <v>0</v>
      </c>
      <c r="AE46" s="12">
        <f t="shared" si="49"/>
        <v>0</v>
      </c>
      <c r="AF46" s="362">
        <f>[2]東京事務!$L$46</f>
        <v>0</v>
      </c>
      <c r="AG46" s="82">
        <f t="shared" si="50"/>
        <v>0</v>
      </c>
      <c r="AH46" s="389">
        <f>[2]東京工場!$I$46</f>
        <v>0</v>
      </c>
      <c r="AI46" s="172">
        <f t="shared" si="25"/>
        <v>0</v>
      </c>
      <c r="AJ46" s="362">
        <f>[2]東京工場!$L$46</f>
        <v>0</v>
      </c>
      <c r="AK46" s="100">
        <f t="shared" si="36"/>
        <v>0</v>
      </c>
      <c r="AL46" s="548">
        <f t="shared" si="26"/>
        <v>0</v>
      </c>
      <c r="AM46" s="315">
        <f t="shared" si="51"/>
        <v>0</v>
      </c>
      <c r="AN46" s="479">
        <f t="shared" si="27"/>
        <v>0</v>
      </c>
      <c r="AO46" s="127">
        <f t="shared" si="52"/>
        <v>0</v>
      </c>
      <c r="AP46" s="528">
        <f t="shared" si="28"/>
        <v>21000</v>
      </c>
      <c r="AQ46" s="286">
        <f t="shared" si="53"/>
        <v>2.5914539749018646E-5</v>
      </c>
      <c r="AR46" s="488">
        <f t="shared" si="29"/>
        <v>51000</v>
      </c>
      <c r="AS46" s="287">
        <f t="shared" si="54"/>
        <v>3.1129450003174379E-5</v>
      </c>
      <c r="AT46" s="585">
        <f>[2]全社合計!$G$46</f>
        <v>10000</v>
      </c>
      <c r="AU46" s="128">
        <f t="shared" si="30"/>
        <v>1.071807208378287E-5</v>
      </c>
      <c r="AV46" s="579">
        <f>[2]全社合計!$N$46</f>
        <v>40000</v>
      </c>
      <c r="AW46" s="129">
        <f t="shared" si="31"/>
        <v>2.1051397213652221E-5</v>
      </c>
      <c r="AX46" s="585">
        <f t="shared" si="32"/>
        <v>11000</v>
      </c>
      <c r="AY46" s="128">
        <f t="shared" si="33"/>
        <v>2.1</v>
      </c>
      <c r="AZ46" s="579">
        <f t="shared" si="34"/>
        <v>11000</v>
      </c>
      <c r="BA46" s="129">
        <f t="shared" si="35"/>
        <v>1.2749999999999999</v>
      </c>
      <c r="BB46" s="11"/>
    </row>
    <row r="47" spans="1:54" ht="19.899999999999999" customHeight="1">
      <c r="A47" s="62" t="s">
        <v>39</v>
      </c>
      <c r="B47" s="708">
        <f>SUM(B19:B46)</f>
        <v>8979330</v>
      </c>
      <c r="C47" s="141" t="str">
        <f t="shared" si="38"/>
        <v/>
      </c>
      <c r="D47" s="401">
        <f>SUM(D19:D46)</f>
        <v>17234800</v>
      </c>
      <c r="E47" s="139" t="str">
        <f t="shared" si="39"/>
        <v/>
      </c>
      <c r="F47" s="466">
        <f>SUM(F19:F46)</f>
        <v>31989157</v>
      </c>
      <c r="G47" s="64">
        <f t="shared" si="40"/>
        <v>6.1488197563805705E-2</v>
      </c>
      <c r="H47" s="359">
        <f>SUM(H19:H46)</f>
        <v>55992688</v>
      </c>
      <c r="I47" s="141">
        <f t="shared" si="19"/>
        <v>5.3073574125789579E-2</v>
      </c>
      <c r="J47" s="390">
        <f>SUM(J19:J46)</f>
        <v>6926014</v>
      </c>
      <c r="K47" s="64">
        <f t="shared" si="20"/>
        <v>0.73835197741154956</v>
      </c>
      <c r="L47" s="359">
        <f>SUM(L19:L46)</f>
        <v>12417364</v>
      </c>
      <c r="M47" s="141">
        <f t="shared" si="37"/>
        <v>0.68009684838545947</v>
      </c>
      <c r="N47" s="405">
        <f>SUM(N19:N46)</f>
        <v>18873599</v>
      </c>
      <c r="O47" s="64">
        <f t="shared" si="41"/>
        <v>0.67850421764364144</v>
      </c>
      <c r="P47" s="359">
        <f>SUM(P19:P46)</f>
        <v>30184773</v>
      </c>
      <c r="Q47" s="177">
        <f t="shared" si="42"/>
        <v>0.53863915118610983</v>
      </c>
      <c r="R47" s="442">
        <f>SUM(R19:R46)</f>
        <v>4811707</v>
      </c>
      <c r="S47" s="64" t="str">
        <f t="shared" si="43"/>
        <v/>
      </c>
      <c r="T47" s="359">
        <f>SUM(T19:T46)</f>
        <v>8199417</v>
      </c>
      <c r="U47" s="209" t="str">
        <f t="shared" si="44"/>
        <v/>
      </c>
      <c r="V47" s="458">
        <f t="shared" si="21"/>
        <v>23685306</v>
      </c>
      <c r="W47" s="177">
        <f t="shared" si="45"/>
        <v>0.85148465945367635</v>
      </c>
      <c r="X47" s="428">
        <f t="shared" si="22"/>
        <v>38384190</v>
      </c>
      <c r="Y47" s="230">
        <f t="shared" si="46"/>
        <v>0.68495554101289302</v>
      </c>
      <c r="Z47" s="458">
        <f t="shared" si="23"/>
        <v>62600477</v>
      </c>
      <c r="AA47" s="194">
        <f t="shared" si="47"/>
        <v>0.11229881229088721</v>
      </c>
      <c r="AB47" s="428">
        <f t="shared" si="24"/>
        <v>106794242</v>
      </c>
      <c r="AC47" s="140">
        <f t="shared" si="48"/>
        <v>9.4566889903314563E-2</v>
      </c>
      <c r="AD47" s="466">
        <f>SUM(AD19:AD46)</f>
        <v>14504043</v>
      </c>
      <c r="AE47" s="64">
        <f t="shared" si="49"/>
        <v>5.984833962386181E-2</v>
      </c>
      <c r="AF47" s="359">
        <f>SUM(AF19:AF46)</f>
        <v>23606141</v>
      </c>
      <c r="AG47" s="141">
        <f t="shared" si="50"/>
        <v>4.8309110004531815E-2</v>
      </c>
      <c r="AH47" s="560">
        <f>SUM(AH19:AH46)</f>
        <v>8965228</v>
      </c>
      <c r="AI47" s="177">
        <f t="shared" si="25"/>
        <v>0.84868368862913945</v>
      </c>
      <c r="AJ47" s="359">
        <f>SUM(AJ19:AJ46)</f>
        <v>15044191</v>
      </c>
      <c r="AK47" s="105">
        <f t="shared" si="36"/>
        <v>0.73841155476704523</v>
      </c>
      <c r="AL47" s="549">
        <f t="shared" si="26"/>
        <v>23469271</v>
      </c>
      <c r="AM47" s="319">
        <f t="shared" si="51"/>
        <v>9.2796814383711027E-2</v>
      </c>
      <c r="AN47" s="480">
        <f t="shared" si="27"/>
        <v>38650332</v>
      </c>
      <c r="AO47" s="140">
        <f t="shared" si="52"/>
        <v>7.5930642109277358E-2</v>
      </c>
      <c r="AP47" s="529">
        <f t="shared" si="28"/>
        <v>95049078</v>
      </c>
      <c r="AQ47" s="141">
        <f t="shared" si="53"/>
        <v>0.11729300523517017</v>
      </c>
      <c r="AR47" s="428">
        <f t="shared" si="29"/>
        <v>162679374</v>
      </c>
      <c r="AS47" s="140">
        <f t="shared" si="54"/>
        <v>9.929645959766091E-2</v>
      </c>
      <c r="AT47" s="529">
        <f>SUM(AT19:AT46)</f>
        <v>93838200</v>
      </c>
      <c r="AU47" s="141">
        <f t="shared" si="30"/>
        <v>0.10057645918124336</v>
      </c>
      <c r="AV47" s="410">
        <f>SUM(AV19:AV46)</f>
        <v>159098583</v>
      </c>
      <c r="AW47" s="140">
        <f t="shared" si="31"/>
        <v>8.3731186671555421E-2</v>
      </c>
      <c r="AX47" s="529">
        <f t="shared" si="32"/>
        <v>1210878</v>
      </c>
      <c r="AY47" s="141">
        <f t="shared" si="33"/>
        <v>1.012903892018389</v>
      </c>
      <c r="AZ47" s="410">
        <f t="shared" si="34"/>
        <v>3580791</v>
      </c>
      <c r="BA47" s="140">
        <f t="shared" si="35"/>
        <v>1.0225067435075774</v>
      </c>
      <c r="BB47" s="14"/>
    </row>
    <row r="48" spans="1:54" ht="19.899999999999999" customHeight="1">
      <c r="A48" s="55" t="s">
        <v>40</v>
      </c>
      <c r="B48" s="709">
        <f>+B18-B47</f>
        <v>-8979330</v>
      </c>
      <c r="C48" s="138" t="str">
        <f t="shared" si="38"/>
        <v/>
      </c>
      <c r="D48" s="376">
        <f>D18-D47</f>
        <v>-17234800</v>
      </c>
      <c r="E48" s="136" t="str">
        <f t="shared" si="39"/>
        <v/>
      </c>
      <c r="F48" s="375">
        <f>F18-F47</f>
        <v>42050311</v>
      </c>
      <c r="G48" s="56">
        <f t="shared" si="40"/>
        <v>8.0827320031830546E-2</v>
      </c>
      <c r="H48" s="376">
        <f>H18-H47</f>
        <v>89334808</v>
      </c>
      <c r="I48" s="138">
        <f t="shared" si="19"/>
        <v>8.46774413545065E-2</v>
      </c>
      <c r="J48" s="392">
        <f>J18-J47</f>
        <v>1890944</v>
      </c>
      <c r="K48" s="56">
        <f t="shared" si="20"/>
        <v>0.20158524680638895</v>
      </c>
      <c r="L48" s="376">
        <f>L18-L47</f>
        <v>4781569</v>
      </c>
      <c r="M48" s="138">
        <f t="shared" si="37"/>
        <v>0.26188569548558077</v>
      </c>
      <c r="N48" s="412">
        <f>N18-N47</f>
        <v>7112272</v>
      </c>
      <c r="O48" s="56">
        <f t="shared" si="41"/>
        <v>0.25568555043628816</v>
      </c>
      <c r="P48" s="376">
        <f>P18-P47</f>
        <v>21882230</v>
      </c>
      <c r="Q48" s="176">
        <f t="shared" si="42"/>
        <v>0.39048250564147785</v>
      </c>
      <c r="R48" s="443">
        <f>R18-R47</f>
        <v>-4811707</v>
      </c>
      <c r="S48" s="56" t="str">
        <f t="shared" si="43"/>
        <v/>
      </c>
      <c r="T48" s="376">
        <f>T18-T47</f>
        <v>-8199417</v>
      </c>
      <c r="U48" s="208" t="str">
        <f t="shared" si="44"/>
        <v/>
      </c>
      <c r="V48" s="490">
        <f t="shared" si="21"/>
        <v>2300565</v>
      </c>
      <c r="W48" s="176">
        <f t="shared" si="45"/>
        <v>8.2705108626253215E-2</v>
      </c>
      <c r="X48" s="424">
        <f t="shared" si="22"/>
        <v>13682813</v>
      </c>
      <c r="Y48" s="229">
        <f t="shared" si="46"/>
        <v>0.24416611581469466</v>
      </c>
      <c r="Z48" s="490">
        <f t="shared" si="23"/>
        <v>46241820</v>
      </c>
      <c r="AA48" s="193">
        <f t="shared" si="47"/>
        <v>8.2953065424229824E-2</v>
      </c>
      <c r="AB48" s="424">
        <f t="shared" si="24"/>
        <v>107799190</v>
      </c>
      <c r="AC48" s="137">
        <f t="shared" si="48"/>
        <v>9.5456776896234607E-2</v>
      </c>
      <c r="AD48" s="375">
        <f>AD18-AD47</f>
        <v>4979225</v>
      </c>
      <c r="AE48" s="56">
        <f t="shared" si="49"/>
        <v>2.0545881507909439E-2</v>
      </c>
      <c r="AF48" s="376">
        <f>AF18-AF47</f>
        <v>17238333</v>
      </c>
      <c r="AG48" s="138">
        <f t="shared" si="50"/>
        <v>3.5277622259044836E-2</v>
      </c>
      <c r="AH48" s="398">
        <f>AH18-AH47</f>
        <v>1598458</v>
      </c>
      <c r="AI48" s="176">
        <f t="shared" si="25"/>
        <v>0.15131631137086052</v>
      </c>
      <c r="AJ48" s="376">
        <f>AJ18-AJ47</f>
        <v>5329530</v>
      </c>
      <c r="AK48" s="104">
        <f t="shared" si="36"/>
        <v>0.26158844523295477</v>
      </c>
      <c r="AL48" s="545">
        <f t="shared" si="26"/>
        <v>6577683</v>
      </c>
      <c r="AM48" s="318">
        <f t="shared" si="51"/>
        <v>2.6007967116911789E-2</v>
      </c>
      <c r="AN48" s="537">
        <f t="shared" si="27"/>
        <v>22567863</v>
      </c>
      <c r="AO48" s="137">
        <f t="shared" si="52"/>
        <v>4.4335772552334153E-2</v>
      </c>
      <c r="AP48" s="525">
        <f t="shared" si="28"/>
        <v>43840173</v>
      </c>
      <c r="AQ48" s="305">
        <f t="shared" si="53"/>
        <v>5.4099900276778759E-2</v>
      </c>
      <c r="AR48" s="517">
        <f t="shared" si="29"/>
        <v>113132253</v>
      </c>
      <c r="AS48" s="304">
        <f t="shared" si="54"/>
        <v>6.9053819872744601E-2</v>
      </c>
      <c r="AT48" s="582">
        <f>AT18-AT47</f>
        <v>53493729</v>
      </c>
      <c r="AU48" s="138">
        <f t="shared" si="30"/>
        <v>5.7334964345234614E-2</v>
      </c>
      <c r="AV48" s="597">
        <f>AV18-AV47</f>
        <v>135325695</v>
      </c>
      <c r="AW48" s="137">
        <f t="shared" si="31"/>
        <v>7.1219873966463759E-2</v>
      </c>
      <c r="AX48" s="582">
        <f t="shared" si="32"/>
        <v>-9653556</v>
      </c>
      <c r="AY48" s="138">
        <f t="shared" si="33"/>
        <v>0.81953854815393412</v>
      </c>
      <c r="AZ48" s="597">
        <f t="shared" si="34"/>
        <v>-22193442</v>
      </c>
      <c r="BA48" s="137">
        <f t="shared" si="35"/>
        <v>0.83599979294397864</v>
      </c>
      <c r="BB48" s="11"/>
    </row>
    <row r="49" spans="1:54" ht="15.95" customHeight="1">
      <c r="A49" s="37" t="s">
        <v>41</v>
      </c>
      <c r="B49" s="710">
        <f>[2]本部!$I$49</f>
        <v>1184326</v>
      </c>
      <c r="C49" s="258" t="str">
        <f t="shared" si="38"/>
        <v/>
      </c>
      <c r="D49" s="727">
        <f>[2]本部!$L$49</f>
        <v>2626077</v>
      </c>
      <c r="E49" s="118" t="str">
        <f t="shared" si="39"/>
        <v/>
      </c>
      <c r="F49" s="351">
        <f>[2]本社営業!$I$49</f>
        <v>0</v>
      </c>
      <c r="G49" s="7">
        <f t="shared" si="40"/>
        <v>0</v>
      </c>
      <c r="H49" s="364">
        <f>[2]本社営業!$L$49</f>
        <v>0</v>
      </c>
      <c r="I49" s="120">
        <f t="shared" si="19"/>
        <v>0</v>
      </c>
      <c r="J49" s="387">
        <f>[2]東大阪!$I$49</f>
        <v>0</v>
      </c>
      <c r="K49" s="7">
        <f t="shared" si="20"/>
        <v>0</v>
      </c>
      <c r="L49" s="364">
        <f>[2]東大阪!$L$49</f>
        <v>0</v>
      </c>
      <c r="M49" s="120">
        <f t="shared" si="37"/>
        <v>0</v>
      </c>
      <c r="N49" s="402">
        <f>[2]南港工場!$I$49</f>
        <v>0</v>
      </c>
      <c r="O49" s="7">
        <f t="shared" si="41"/>
        <v>0</v>
      </c>
      <c r="P49" s="364">
        <f>[2]南港工場!$L$49</f>
        <v>0</v>
      </c>
      <c r="Q49" s="174">
        <f t="shared" si="42"/>
        <v>0</v>
      </c>
      <c r="R49" s="444">
        <f>[2]南港事務!$I$49</f>
        <v>0</v>
      </c>
      <c r="S49" s="7" t="str">
        <f t="shared" si="43"/>
        <v/>
      </c>
      <c r="T49" s="364">
        <f>[2]南港事務!$L$49</f>
        <v>0</v>
      </c>
      <c r="U49" s="203" t="str">
        <f t="shared" si="44"/>
        <v/>
      </c>
      <c r="V49" s="455">
        <f t="shared" si="21"/>
        <v>0</v>
      </c>
      <c r="W49" s="174">
        <f t="shared" si="45"/>
        <v>0</v>
      </c>
      <c r="X49" s="429">
        <f t="shared" si="22"/>
        <v>0</v>
      </c>
      <c r="Y49" s="224">
        <f t="shared" si="46"/>
        <v>0</v>
      </c>
      <c r="Z49" s="459">
        <f t="shared" si="23"/>
        <v>0</v>
      </c>
      <c r="AA49" s="188">
        <f t="shared" si="47"/>
        <v>0</v>
      </c>
      <c r="AB49" s="563">
        <f t="shared" si="24"/>
        <v>0</v>
      </c>
      <c r="AC49" s="119">
        <f t="shared" si="48"/>
        <v>0</v>
      </c>
      <c r="AD49" s="351">
        <f>[2]東京事務!$I$49</f>
        <v>0</v>
      </c>
      <c r="AE49" s="7">
        <f t="shared" si="49"/>
        <v>0</v>
      </c>
      <c r="AF49" s="364">
        <f>[2]東京事務!$L$49</f>
        <v>0</v>
      </c>
      <c r="AG49" s="80">
        <f t="shared" si="50"/>
        <v>0</v>
      </c>
      <c r="AH49" s="387">
        <f>[2]東京工場!$I$49</f>
        <v>0</v>
      </c>
      <c r="AI49" s="174">
        <f t="shared" si="25"/>
        <v>0</v>
      </c>
      <c r="AJ49" s="364">
        <f>[2]東京工場!$L$49</f>
        <v>0</v>
      </c>
      <c r="AK49" s="102">
        <f t="shared" si="36"/>
        <v>0</v>
      </c>
      <c r="AL49" s="546">
        <f t="shared" si="26"/>
        <v>0</v>
      </c>
      <c r="AM49" s="313">
        <f t="shared" si="51"/>
        <v>0</v>
      </c>
      <c r="AN49" s="477">
        <f t="shared" si="27"/>
        <v>0</v>
      </c>
      <c r="AO49" s="119">
        <f t="shared" si="52"/>
        <v>0</v>
      </c>
      <c r="AP49" s="526">
        <f t="shared" si="28"/>
        <v>1184326</v>
      </c>
      <c r="AQ49" s="282">
        <f t="shared" si="53"/>
        <v>1.4614887239426787E-3</v>
      </c>
      <c r="AR49" s="486">
        <f t="shared" si="29"/>
        <v>2626077</v>
      </c>
      <c r="AS49" s="283">
        <f t="shared" si="54"/>
        <v>1.6029084838428661E-3</v>
      </c>
      <c r="AT49" s="586">
        <f>[2]全社合計!$G$49</f>
        <v>936832</v>
      </c>
      <c r="AU49" s="120">
        <f t="shared" si="30"/>
        <v>1.0041032906394473E-3</v>
      </c>
      <c r="AV49" s="577">
        <f>[2]全社合計!$N$49</f>
        <v>2114934</v>
      </c>
      <c r="AW49" s="121">
        <f t="shared" si="31"/>
        <v>1.1130578928664587E-3</v>
      </c>
      <c r="AX49" s="586">
        <f t="shared" si="32"/>
        <v>247494</v>
      </c>
      <c r="AY49" s="120">
        <f t="shared" si="33"/>
        <v>1.2641818383658969</v>
      </c>
      <c r="AZ49" s="577">
        <f t="shared" si="34"/>
        <v>511143</v>
      </c>
      <c r="BA49" s="121">
        <f t="shared" si="35"/>
        <v>1.2416827191770523</v>
      </c>
      <c r="BB49" s="11"/>
    </row>
    <row r="50" spans="1:54" ht="15.95" customHeight="1">
      <c r="A50" s="37" t="s">
        <v>42</v>
      </c>
      <c r="B50" s="703">
        <f>[2]本部!$I$50</f>
        <v>0</v>
      </c>
      <c r="C50" s="259" t="str">
        <f t="shared" si="38"/>
        <v/>
      </c>
      <c r="D50" s="728">
        <f>[2]本部!$L$50</f>
        <v>0</v>
      </c>
      <c r="E50" s="122" t="str">
        <f t="shared" si="39"/>
        <v/>
      </c>
      <c r="F50" s="352">
        <f>[2]本社営業!$I$50</f>
        <v>0</v>
      </c>
      <c r="G50" s="9">
        <f t="shared" si="40"/>
        <v>0</v>
      </c>
      <c r="H50" s="362">
        <f>[2]本社営業!$L$50</f>
        <v>0</v>
      </c>
      <c r="I50" s="124">
        <f t="shared" si="19"/>
        <v>0</v>
      </c>
      <c r="J50" s="388">
        <f>[2]東大阪!$I$50</f>
        <v>0</v>
      </c>
      <c r="K50" s="9">
        <f t="shared" si="20"/>
        <v>0</v>
      </c>
      <c r="L50" s="362">
        <f>[2]東大阪!$L$50</f>
        <v>0</v>
      </c>
      <c r="M50" s="124">
        <f t="shared" si="37"/>
        <v>0</v>
      </c>
      <c r="N50" s="403">
        <f>[2]南港工場!$I$50</f>
        <v>0</v>
      </c>
      <c r="O50" s="9">
        <f t="shared" si="41"/>
        <v>0</v>
      </c>
      <c r="P50" s="362">
        <f>[2]南港工場!$L$50</f>
        <v>0</v>
      </c>
      <c r="Q50" s="171">
        <f t="shared" si="42"/>
        <v>0</v>
      </c>
      <c r="R50" s="445">
        <f>[2]南港事務!$I$50</f>
        <v>0</v>
      </c>
      <c r="S50" s="9" t="str">
        <f t="shared" si="43"/>
        <v/>
      </c>
      <c r="T50" s="362">
        <f>[2]南港事務!$L$50</f>
        <v>0</v>
      </c>
      <c r="U50" s="204" t="str">
        <f t="shared" si="44"/>
        <v/>
      </c>
      <c r="V50" s="456">
        <f t="shared" si="21"/>
        <v>0</v>
      </c>
      <c r="W50" s="171">
        <f t="shared" si="45"/>
        <v>0</v>
      </c>
      <c r="X50" s="426">
        <f t="shared" si="22"/>
        <v>0</v>
      </c>
      <c r="Y50" s="225">
        <f t="shared" si="46"/>
        <v>0</v>
      </c>
      <c r="Z50" s="460">
        <f t="shared" si="23"/>
        <v>0</v>
      </c>
      <c r="AA50" s="189">
        <f t="shared" si="47"/>
        <v>0</v>
      </c>
      <c r="AB50" s="564">
        <f t="shared" si="24"/>
        <v>0</v>
      </c>
      <c r="AC50" s="123">
        <f t="shared" si="48"/>
        <v>0</v>
      </c>
      <c r="AD50" s="352">
        <f>[2]東京事務!$I$50</f>
        <v>0</v>
      </c>
      <c r="AE50" s="9">
        <f t="shared" si="49"/>
        <v>0</v>
      </c>
      <c r="AF50" s="362">
        <f>[2]東京事務!$L$50</f>
        <v>0</v>
      </c>
      <c r="AG50" s="81">
        <f t="shared" si="50"/>
        <v>0</v>
      </c>
      <c r="AH50" s="388">
        <f>[2]東京工場!$I$50</f>
        <v>0</v>
      </c>
      <c r="AI50" s="171">
        <f t="shared" si="25"/>
        <v>0</v>
      </c>
      <c r="AJ50" s="362">
        <f>[2]東京工場!$L$50</f>
        <v>0</v>
      </c>
      <c r="AK50" s="99">
        <f t="shared" si="36"/>
        <v>0</v>
      </c>
      <c r="AL50" s="547">
        <f t="shared" si="26"/>
        <v>0</v>
      </c>
      <c r="AM50" s="314">
        <f t="shared" si="51"/>
        <v>0</v>
      </c>
      <c r="AN50" s="478">
        <f t="shared" si="27"/>
        <v>0</v>
      </c>
      <c r="AO50" s="123">
        <f t="shared" si="52"/>
        <v>0</v>
      </c>
      <c r="AP50" s="527">
        <f t="shared" si="28"/>
        <v>0</v>
      </c>
      <c r="AQ50" s="284">
        <f t="shared" si="53"/>
        <v>0</v>
      </c>
      <c r="AR50" s="487">
        <f t="shared" si="29"/>
        <v>0</v>
      </c>
      <c r="AS50" s="285">
        <f t="shared" si="54"/>
        <v>0</v>
      </c>
      <c r="AT50" s="584">
        <f>[2]全社合計!$G$50</f>
        <v>1065084</v>
      </c>
      <c r="AU50" s="124">
        <f t="shared" si="30"/>
        <v>1.1415647087283794E-3</v>
      </c>
      <c r="AV50" s="578">
        <f>[2]全社合計!$N$50</f>
        <v>1065084</v>
      </c>
      <c r="AW50" s="125">
        <f t="shared" si="31"/>
        <v>5.6053765874763907E-4</v>
      </c>
      <c r="AX50" s="584">
        <f t="shared" si="32"/>
        <v>-1065084</v>
      </c>
      <c r="AY50" s="124">
        <f t="shared" si="33"/>
        <v>0</v>
      </c>
      <c r="AZ50" s="578">
        <f t="shared" si="34"/>
        <v>-1065084</v>
      </c>
      <c r="BA50" s="125">
        <f t="shared" si="35"/>
        <v>0</v>
      </c>
      <c r="BB50" s="11"/>
    </row>
    <row r="51" spans="1:54" ht="15.95" customHeight="1">
      <c r="A51" s="37" t="s">
        <v>43</v>
      </c>
      <c r="B51" s="703">
        <f>[2]本部!$I$51</f>
        <v>1063000</v>
      </c>
      <c r="C51" s="259" t="str">
        <f t="shared" si="38"/>
        <v/>
      </c>
      <c r="D51" s="728">
        <f>[2]本部!$L$51</f>
        <v>2126000</v>
      </c>
      <c r="E51" s="122" t="str">
        <f t="shared" si="39"/>
        <v/>
      </c>
      <c r="F51" s="352">
        <f>[2]本社営業!$I$51</f>
        <v>0</v>
      </c>
      <c r="G51" s="9">
        <f t="shared" si="40"/>
        <v>0</v>
      </c>
      <c r="H51" s="362">
        <f>[2]本社営業!$L$51</f>
        <v>0</v>
      </c>
      <c r="I51" s="124">
        <f t="shared" si="19"/>
        <v>0</v>
      </c>
      <c r="J51" s="388">
        <f>[2]東大阪!$I$51</f>
        <v>850000</v>
      </c>
      <c r="K51" s="9">
        <f t="shared" si="20"/>
        <v>9.061477219073151E-2</v>
      </c>
      <c r="L51" s="362">
        <f>[2]東大阪!$L$51</f>
        <v>1700000</v>
      </c>
      <c r="M51" s="124">
        <f t="shared" si="37"/>
        <v>9.3108701835210847E-2</v>
      </c>
      <c r="N51" s="403">
        <f>[2]南港工場!$I$51</f>
        <v>100000</v>
      </c>
      <c r="O51" s="9">
        <f t="shared" si="41"/>
        <v>3.5949911707016846E-3</v>
      </c>
      <c r="P51" s="362">
        <f>[2]南港工場!$L$51</f>
        <v>200000</v>
      </c>
      <c r="Q51" s="171">
        <f t="shared" si="42"/>
        <v>3.5689461781681104E-3</v>
      </c>
      <c r="R51" s="445">
        <f>[2]南港事務!$I$51</f>
        <v>0</v>
      </c>
      <c r="S51" s="9" t="str">
        <f t="shared" si="43"/>
        <v/>
      </c>
      <c r="T51" s="362">
        <f>[2]南港事務!$L$51</f>
        <v>0</v>
      </c>
      <c r="U51" s="204" t="str">
        <f t="shared" si="44"/>
        <v/>
      </c>
      <c r="V51" s="456">
        <f t="shared" si="21"/>
        <v>100000</v>
      </c>
      <c r="W51" s="171">
        <f t="shared" si="45"/>
        <v>3.5949911707016846E-3</v>
      </c>
      <c r="X51" s="426">
        <f t="shared" si="22"/>
        <v>200000</v>
      </c>
      <c r="Y51" s="225">
        <f t="shared" si="46"/>
        <v>3.5689461781681104E-3</v>
      </c>
      <c r="Z51" s="460">
        <f t="shared" si="23"/>
        <v>950000</v>
      </c>
      <c r="AA51" s="189">
        <f t="shared" si="47"/>
        <v>1.7042022168032816E-3</v>
      </c>
      <c r="AB51" s="564">
        <f t="shared" si="24"/>
        <v>1900000</v>
      </c>
      <c r="AC51" s="123">
        <f t="shared" si="48"/>
        <v>1.6824604721319869E-3</v>
      </c>
      <c r="AD51" s="352">
        <f>[2]東京事務!$I$51</f>
        <v>0</v>
      </c>
      <c r="AE51" s="9">
        <f t="shared" si="49"/>
        <v>0</v>
      </c>
      <c r="AF51" s="362">
        <f>[2]東京事務!$L$51</f>
        <v>0</v>
      </c>
      <c r="AG51" s="81">
        <f t="shared" si="50"/>
        <v>0</v>
      </c>
      <c r="AH51" s="388">
        <f>[2]東京工場!$I$51</f>
        <v>0</v>
      </c>
      <c r="AI51" s="171">
        <f t="shared" si="25"/>
        <v>0</v>
      </c>
      <c r="AJ51" s="362">
        <f>[2]東京工場!$L$51</f>
        <v>0</v>
      </c>
      <c r="AK51" s="99">
        <f t="shared" si="36"/>
        <v>0</v>
      </c>
      <c r="AL51" s="547">
        <f t="shared" si="26"/>
        <v>0</v>
      </c>
      <c r="AM51" s="314">
        <f t="shared" si="51"/>
        <v>0</v>
      </c>
      <c r="AN51" s="478">
        <f t="shared" si="27"/>
        <v>0</v>
      </c>
      <c r="AO51" s="123">
        <f t="shared" si="52"/>
        <v>0</v>
      </c>
      <c r="AP51" s="527">
        <f t="shared" si="28"/>
        <v>2013000</v>
      </c>
      <c r="AQ51" s="284">
        <f t="shared" si="53"/>
        <v>2.4840937387987871E-3</v>
      </c>
      <c r="AR51" s="487">
        <f t="shared" si="29"/>
        <v>4026000</v>
      </c>
      <c r="AS51" s="285">
        <f t="shared" si="54"/>
        <v>2.4573954061329422E-3</v>
      </c>
      <c r="AT51" s="584">
        <f>[2]全社合計!$G$51</f>
        <v>1910000</v>
      </c>
      <c r="AU51" s="124">
        <f t="shared" si="30"/>
        <v>2.047151768002528E-3</v>
      </c>
      <c r="AV51" s="578">
        <f>[2]全社合計!$N$51</f>
        <v>3820000</v>
      </c>
      <c r="AW51" s="125">
        <f t="shared" si="31"/>
        <v>2.010408433903787E-3</v>
      </c>
      <c r="AX51" s="584">
        <f t="shared" si="32"/>
        <v>103000</v>
      </c>
      <c r="AY51" s="124">
        <f t="shared" si="33"/>
        <v>1.0539267015706806</v>
      </c>
      <c r="AZ51" s="578">
        <f t="shared" si="34"/>
        <v>206000</v>
      </c>
      <c r="BA51" s="125">
        <f t="shared" si="35"/>
        <v>1.0539267015706806</v>
      </c>
      <c r="BB51" s="11"/>
    </row>
    <row r="52" spans="1:54" ht="15.95" customHeight="1">
      <c r="A52" s="37" t="s">
        <v>44</v>
      </c>
      <c r="B52" s="703">
        <f>[2]本部!$I$52</f>
        <v>0</v>
      </c>
      <c r="C52" s="259" t="str">
        <f t="shared" si="38"/>
        <v/>
      </c>
      <c r="D52" s="728">
        <f>[2]本部!$L$52</f>
        <v>0</v>
      </c>
      <c r="E52" s="122" t="str">
        <f t="shared" si="39"/>
        <v/>
      </c>
      <c r="F52" s="352">
        <f>[2]本社営業!$I$52</f>
        <v>0</v>
      </c>
      <c r="G52" s="9">
        <f t="shared" si="40"/>
        <v>0</v>
      </c>
      <c r="H52" s="362">
        <f>[2]本社営業!$L$52</f>
        <v>0</v>
      </c>
      <c r="I52" s="124">
        <f t="shared" si="19"/>
        <v>0</v>
      </c>
      <c r="J52" s="388">
        <f>[2]東大阪!$I$52</f>
        <v>0</v>
      </c>
      <c r="K52" s="9">
        <f t="shared" si="20"/>
        <v>0</v>
      </c>
      <c r="L52" s="362">
        <f>[2]東大阪!$L$52</f>
        <v>0</v>
      </c>
      <c r="M52" s="124">
        <f t="shared" si="37"/>
        <v>0</v>
      </c>
      <c r="N52" s="403">
        <f>[2]南港工場!$I$52</f>
        <v>0</v>
      </c>
      <c r="O52" s="9">
        <f t="shared" si="41"/>
        <v>0</v>
      </c>
      <c r="P52" s="362">
        <f>[2]南港工場!$L$52</f>
        <v>0</v>
      </c>
      <c r="Q52" s="171">
        <f t="shared" si="42"/>
        <v>0</v>
      </c>
      <c r="R52" s="445">
        <f>[2]南港事務!$I$52</f>
        <v>0</v>
      </c>
      <c r="S52" s="9" t="str">
        <f t="shared" si="43"/>
        <v/>
      </c>
      <c r="T52" s="362">
        <f>[2]南港事務!$L$52</f>
        <v>0</v>
      </c>
      <c r="U52" s="204" t="str">
        <f t="shared" si="44"/>
        <v/>
      </c>
      <c r="V52" s="456">
        <f t="shared" si="21"/>
        <v>0</v>
      </c>
      <c r="W52" s="171">
        <f t="shared" si="45"/>
        <v>0</v>
      </c>
      <c r="X52" s="426">
        <f t="shared" si="22"/>
        <v>0</v>
      </c>
      <c r="Y52" s="225">
        <f t="shared" si="46"/>
        <v>0</v>
      </c>
      <c r="Z52" s="460">
        <f t="shared" si="23"/>
        <v>0</v>
      </c>
      <c r="AA52" s="189">
        <f t="shared" si="47"/>
        <v>0</v>
      </c>
      <c r="AB52" s="564">
        <f t="shared" si="24"/>
        <v>0</v>
      </c>
      <c r="AC52" s="123">
        <f t="shared" si="48"/>
        <v>0</v>
      </c>
      <c r="AD52" s="352">
        <f>[2]東京事務!$I$52</f>
        <v>0</v>
      </c>
      <c r="AE52" s="9">
        <f t="shared" si="49"/>
        <v>0</v>
      </c>
      <c r="AF52" s="362">
        <f>[2]東京事務!$L$52</f>
        <v>0</v>
      </c>
      <c r="AG52" s="81">
        <f t="shared" si="50"/>
        <v>0</v>
      </c>
      <c r="AH52" s="388">
        <f>[2]東京工場!$I$52</f>
        <v>0</v>
      </c>
      <c r="AI52" s="171">
        <f t="shared" si="25"/>
        <v>0</v>
      </c>
      <c r="AJ52" s="362">
        <f>[2]東京工場!$L$52</f>
        <v>0</v>
      </c>
      <c r="AK52" s="99">
        <f t="shared" si="36"/>
        <v>0</v>
      </c>
      <c r="AL52" s="547">
        <f t="shared" si="26"/>
        <v>0</v>
      </c>
      <c r="AM52" s="314">
        <f t="shared" si="51"/>
        <v>0</v>
      </c>
      <c r="AN52" s="478">
        <f t="shared" si="27"/>
        <v>0</v>
      </c>
      <c r="AO52" s="123">
        <f t="shared" si="52"/>
        <v>0</v>
      </c>
      <c r="AP52" s="527">
        <f t="shared" si="28"/>
        <v>0</v>
      </c>
      <c r="AQ52" s="284">
        <f t="shared" si="53"/>
        <v>0</v>
      </c>
      <c r="AR52" s="487">
        <f t="shared" si="29"/>
        <v>0</v>
      </c>
      <c r="AS52" s="285">
        <f t="shared" si="54"/>
        <v>0</v>
      </c>
      <c r="AT52" s="584">
        <f>[2]全社合計!$G$52</f>
        <v>0</v>
      </c>
      <c r="AU52" s="124">
        <f t="shared" si="30"/>
        <v>0</v>
      </c>
      <c r="AV52" s="578">
        <f>[2]全社合計!$N$52</f>
        <v>0</v>
      </c>
      <c r="AW52" s="125">
        <f t="shared" si="31"/>
        <v>0</v>
      </c>
      <c r="AX52" s="584">
        <f t="shared" si="32"/>
        <v>0</v>
      </c>
      <c r="AY52" s="124" t="str">
        <f t="shared" si="33"/>
        <v/>
      </c>
      <c r="AZ52" s="578">
        <f t="shared" si="34"/>
        <v>0</v>
      </c>
      <c r="BA52" s="125" t="str">
        <f t="shared" si="35"/>
        <v/>
      </c>
      <c r="BB52" s="11"/>
    </row>
    <row r="53" spans="1:54" ht="15.95" customHeight="1">
      <c r="A53" s="35" t="s">
        <v>45</v>
      </c>
      <c r="B53" s="704">
        <f>[2]本部!$I$53</f>
        <v>1129500</v>
      </c>
      <c r="C53" s="260" t="str">
        <f t="shared" si="38"/>
        <v/>
      </c>
      <c r="D53" s="729">
        <f>[2]本部!$L$53</f>
        <v>1129500</v>
      </c>
      <c r="E53" s="126" t="str">
        <f t="shared" si="39"/>
        <v/>
      </c>
      <c r="F53" s="353">
        <f>[2]本社営業!$I$53</f>
        <v>8005286</v>
      </c>
      <c r="G53" s="12">
        <f t="shared" si="40"/>
        <v>1.5387420403818955E-2</v>
      </c>
      <c r="H53" s="363">
        <f>[2]本社営業!$L$53</f>
        <v>41836401</v>
      </c>
      <c r="I53" s="128">
        <f t="shared" si="19"/>
        <v>3.9655308736557843E-2</v>
      </c>
      <c r="J53" s="389">
        <f>[2]東大阪!$I$53</f>
        <v>50000</v>
      </c>
      <c r="K53" s="12">
        <f t="shared" si="20"/>
        <v>5.3302807171018542E-3</v>
      </c>
      <c r="L53" s="363">
        <f>[2]東大阪!$L$53</f>
        <v>100000</v>
      </c>
      <c r="M53" s="128">
        <f t="shared" si="37"/>
        <v>5.4769824608947564E-3</v>
      </c>
      <c r="N53" s="404">
        <f>[2]南港工場!$I$53</f>
        <v>4</v>
      </c>
      <c r="O53" s="12">
        <f t="shared" si="41"/>
        <v>1.4379964682806739E-7</v>
      </c>
      <c r="P53" s="363">
        <f>[2]南港工場!$L$53</f>
        <v>23</v>
      </c>
      <c r="Q53" s="172">
        <f t="shared" si="42"/>
        <v>4.1042881048933266E-7</v>
      </c>
      <c r="R53" s="446">
        <f>[2]南港事務!$I$53</f>
        <v>0</v>
      </c>
      <c r="S53" s="12" t="str">
        <f t="shared" si="43"/>
        <v/>
      </c>
      <c r="T53" s="363">
        <f>[2]南港事務!$L$53</f>
        <v>0</v>
      </c>
      <c r="U53" s="205" t="str">
        <f t="shared" si="44"/>
        <v/>
      </c>
      <c r="V53" s="457">
        <f t="shared" si="21"/>
        <v>4</v>
      </c>
      <c r="W53" s="172">
        <f t="shared" si="45"/>
        <v>1.4379964682806739E-7</v>
      </c>
      <c r="X53" s="427">
        <f t="shared" si="22"/>
        <v>23</v>
      </c>
      <c r="Y53" s="226">
        <f t="shared" si="46"/>
        <v>4.1042881048933266E-7</v>
      </c>
      <c r="Z53" s="461">
        <f t="shared" si="23"/>
        <v>8055290</v>
      </c>
      <c r="AA53" s="190">
        <f t="shared" si="47"/>
        <v>1.4450361131571903E-2</v>
      </c>
      <c r="AB53" s="565">
        <f t="shared" si="24"/>
        <v>41936424</v>
      </c>
      <c r="AC53" s="127">
        <f t="shared" si="48"/>
        <v>3.7134934590824835E-2</v>
      </c>
      <c r="AD53" s="353">
        <f>[2]東京事務!$I$53</f>
        <v>307116</v>
      </c>
      <c r="AE53" s="12">
        <f t="shared" si="49"/>
        <v>1.2672592512254649E-3</v>
      </c>
      <c r="AF53" s="363">
        <f>[2]東京事務!$L$53</f>
        <v>307123</v>
      </c>
      <c r="AG53" s="82">
        <f t="shared" si="50"/>
        <v>6.2851606249076557E-4</v>
      </c>
      <c r="AH53" s="389">
        <f>[2]東京工場!$I$53</f>
        <v>0</v>
      </c>
      <c r="AI53" s="172">
        <f t="shared" si="25"/>
        <v>0</v>
      </c>
      <c r="AJ53" s="363">
        <f>[2]東京工場!$L$53</f>
        <v>0</v>
      </c>
      <c r="AK53" s="100">
        <f t="shared" si="36"/>
        <v>0</v>
      </c>
      <c r="AL53" s="548">
        <f t="shared" si="26"/>
        <v>307116</v>
      </c>
      <c r="AM53" s="315">
        <f t="shared" si="51"/>
        <v>1.2143277243791592E-3</v>
      </c>
      <c r="AN53" s="479">
        <f t="shared" si="27"/>
        <v>307123</v>
      </c>
      <c r="AO53" s="127">
        <f t="shared" si="52"/>
        <v>6.0335954155652763E-4</v>
      </c>
      <c r="AP53" s="528">
        <f t="shared" si="28"/>
        <v>9491906</v>
      </c>
      <c r="AQ53" s="286">
        <f t="shared" si="53"/>
        <v>1.1713255968140409E-2</v>
      </c>
      <c r="AR53" s="488">
        <f t="shared" si="29"/>
        <v>43373047</v>
      </c>
      <c r="AS53" s="287">
        <f t="shared" si="54"/>
        <v>2.6474099962192795E-2</v>
      </c>
      <c r="AT53" s="585">
        <f>[2]全社合計!$G$53</f>
        <v>8832426</v>
      </c>
      <c r="AU53" s="128">
        <f t="shared" si="30"/>
        <v>9.4666578542677987E-3</v>
      </c>
      <c r="AV53" s="579">
        <f>[2]全社合計!$N$53</f>
        <v>17785262</v>
      </c>
      <c r="AW53" s="129">
        <f t="shared" si="31"/>
        <v>9.3601153727718694E-3</v>
      </c>
      <c r="AX53" s="585">
        <f t="shared" si="32"/>
        <v>659480</v>
      </c>
      <c r="AY53" s="128">
        <f t="shared" si="33"/>
        <v>1.0746657826513351</v>
      </c>
      <c r="AZ53" s="579">
        <f t="shared" si="34"/>
        <v>25587785</v>
      </c>
      <c r="BA53" s="129">
        <f t="shared" si="35"/>
        <v>2.4387072284906459</v>
      </c>
      <c r="BB53" s="11"/>
    </row>
    <row r="54" spans="1:54" ht="15.95" customHeight="1">
      <c r="A54" s="62" t="s">
        <v>46</v>
      </c>
      <c r="B54" s="708">
        <f>SUM(B49:B53)</f>
        <v>3376826</v>
      </c>
      <c r="C54" s="141" t="str">
        <f t="shared" si="38"/>
        <v/>
      </c>
      <c r="D54" s="730">
        <f>SUM(D49:D53)</f>
        <v>5881577</v>
      </c>
      <c r="E54" s="139" t="str">
        <f t="shared" si="39"/>
        <v/>
      </c>
      <c r="F54" s="466">
        <f>SUM(F49:F53)</f>
        <v>8005286</v>
      </c>
      <c r="G54" s="64">
        <f t="shared" si="40"/>
        <v>1.5387420403818955E-2</v>
      </c>
      <c r="H54" s="401">
        <f>SUM(H49:H53)</f>
        <v>41836401</v>
      </c>
      <c r="I54" s="141">
        <f t="shared" si="19"/>
        <v>3.9655308736557843E-2</v>
      </c>
      <c r="J54" s="390">
        <f>SUM(J49:J53)</f>
        <v>900000</v>
      </c>
      <c r="K54" s="64">
        <f t="shared" si="20"/>
        <v>9.5945052907833367E-2</v>
      </c>
      <c r="L54" s="401">
        <f>SUM(L49:L53)</f>
        <v>1800000</v>
      </c>
      <c r="M54" s="141">
        <f t="shared" si="37"/>
        <v>9.8585684296105605E-2</v>
      </c>
      <c r="N54" s="405">
        <f>SUM(N49:N53)</f>
        <v>100004</v>
      </c>
      <c r="O54" s="64">
        <f t="shared" si="41"/>
        <v>3.5951349703485127E-3</v>
      </c>
      <c r="P54" s="401">
        <f>SUM(P49:P53)</f>
        <v>200023</v>
      </c>
      <c r="Q54" s="177">
        <f t="shared" si="42"/>
        <v>3.5693566069785994E-3</v>
      </c>
      <c r="R54" s="442">
        <f>SUM(R49:R53)</f>
        <v>0</v>
      </c>
      <c r="S54" s="64" t="str">
        <f t="shared" si="43"/>
        <v/>
      </c>
      <c r="T54" s="401">
        <f>SUM(T49:T53)</f>
        <v>0</v>
      </c>
      <c r="U54" s="209" t="str">
        <f t="shared" si="44"/>
        <v/>
      </c>
      <c r="V54" s="458">
        <f t="shared" si="21"/>
        <v>100004</v>
      </c>
      <c r="W54" s="177">
        <f t="shared" si="45"/>
        <v>3.5951349703485127E-3</v>
      </c>
      <c r="X54" s="428">
        <f t="shared" si="22"/>
        <v>200023</v>
      </c>
      <c r="Y54" s="230">
        <f t="shared" si="46"/>
        <v>3.5693566069785994E-3</v>
      </c>
      <c r="Z54" s="458">
        <f t="shared" si="23"/>
        <v>9005290</v>
      </c>
      <c r="AA54" s="194">
        <f t="shared" si="47"/>
        <v>1.6154563348375183E-2</v>
      </c>
      <c r="AB54" s="428">
        <f t="shared" si="24"/>
        <v>43836424</v>
      </c>
      <c r="AC54" s="140">
        <f t="shared" si="48"/>
        <v>3.8817395062956818E-2</v>
      </c>
      <c r="AD54" s="466">
        <f>SUM(AD49:AD53)</f>
        <v>307116</v>
      </c>
      <c r="AE54" s="64">
        <f t="shared" si="49"/>
        <v>1.2672592512254649E-3</v>
      </c>
      <c r="AF54" s="401">
        <f>SUM(AF49:AF53)</f>
        <v>307123</v>
      </c>
      <c r="AG54" s="85">
        <f t="shared" si="50"/>
        <v>6.2851606249076557E-4</v>
      </c>
      <c r="AH54" s="390">
        <f>SUM(AH49:AH53)</f>
        <v>0</v>
      </c>
      <c r="AI54" s="177">
        <f t="shared" si="25"/>
        <v>0</v>
      </c>
      <c r="AJ54" s="401">
        <f>SUM(AJ49:AJ53)</f>
        <v>0</v>
      </c>
      <c r="AK54" s="105">
        <f t="shared" si="36"/>
        <v>0</v>
      </c>
      <c r="AL54" s="549">
        <f t="shared" si="26"/>
        <v>307116</v>
      </c>
      <c r="AM54" s="319">
        <f t="shared" si="51"/>
        <v>1.2143277243791592E-3</v>
      </c>
      <c r="AN54" s="480">
        <f t="shared" si="27"/>
        <v>307123</v>
      </c>
      <c r="AO54" s="140">
        <f t="shared" si="52"/>
        <v>6.0335954155652763E-4</v>
      </c>
      <c r="AP54" s="529">
        <f t="shared" si="28"/>
        <v>12689232</v>
      </c>
      <c r="AQ54" s="141">
        <f t="shared" si="53"/>
        <v>1.5658838430881873E-2</v>
      </c>
      <c r="AR54" s="428">
        <f t="shared" si="29"/>
        <v>50025124</v>
      </c>
      <c r="AS54" s="140">
        <f t="shared" si="54"/>
        <v>3.0534403852168601E-2</v>
      </c>
      <c r="AT54" s="529">
        <f>SUM(AT49:AT53)</f>
        <v>12744342</v>
      </c>
      <c r="AU54" s="141">
        <f t="shared" si="30"/>
        <v>1.3659477621638154E-2</v>
      </c>
      <c r="AV54" s="410">
        <f>SUM(AV49:AV53)</f>
        <v>24785280</v>
      </c>
      <c r="AW54" s="140">
        <f t="shared" si="31"/>
        <v>1.3044119358289754E-2</v>
      </c>
      <c r="AX54" s="529">
        <f t="shared" si="32"/>
        <v>-55110</v>
      </c>
      <c r="AY54" s="141">
        <f t="shared" si="33"/>
        <v>0.9956757280995755</v>
      </c>
      <c r="AZ54" s="410">
        <f t="shared" si="34"/>
        <v>25239844</v>
      </c>
      <c r="BA54" s="140">
        <f t="shared" si="35"/>
        <v>2.0183400792728587</v>
      </c>
      <c r="BB54" s="11"/>
    </row>
    <row r="55" spans="1:54" ht="15.95" customHeight="1">
      <c r="A55" s="37" t="s">
        <v>47</v>
      </c>
      <c r="B55" s="710">
        <f>[2]本部!$I$55</f>
        <v>585597</v>
      </c>
      <c r="C55" s="258" t="str">
        <f t="shared" si="38"/>
        <v/>
      </c>
      <c r="D55" s="727">
        <f>[2]本部!$L$55</f>
        <v>1220877</v>
      </c>
      <c r="E55" s="118" t="str">
        <f t="shared" si="39"/>
        <v/>
      </c>
      <c r="F55" s="351">
        <f>[2]本社営業!$I$55</f>
        <v>179875</v>
      </c>
      <c r="G55" s="7">
        <f t="shared" si="40"/>
        <v>3.4574807759984267E-4</v>
      </c>
      <c r="H55" s="361">
        <f>[2]本社営業!$L$55</f>
        <v>357583</v>
      </c>
      <c r="I55" s="120">
        <f t="shared" si="19"/>
        <v>3.3894082485595646E-4</v>
      </c>
      <c r="J55" s="387">
        <f>[2]東大阪!$I$55</f>
        <v>0</v>
      </c>
      <c r="K55" s="7">
        <f t="shared" si="20"/>
        <v>0</v>
      </c>
      <c r="L55" s="361">
        <f>[2]東大阪!$L$55</f>
        <v>0</v>
      </c>
      <c r="M55" s="120">
        <f t="shared" si="37"/>
        <v>0</v>
      </c>
      <c r="N55" s="402">
        <f>[2]南港工場!$I$55</f>
        <v>0</v>
      </c>
      <c r="O55" s="7">
        <f t="shared" si="41"/>
        <v>0</v>
      </c>
      <c r="P55" s="361">
        <f>[2]南港工場!$L$55</f>
        <v>0</v>
      </c>
      <c r="Q55" s="174">
        <f t="shared" si="42"/>
        <v>0</v>
      </c>
      <c r="R55" s="444">
        <f>[2]南港事務!$I$55</f>
        <v>0</v>
      </c>
      <c r="S55" s="7" t="str">
        <f t="shared" si="43"/>
        <v/>
      </c>
      <c r="T55" s="361">
        <f>[2]南港事務!$L$55</f>
        <v>0</v>
      </c>
      <c r="U55" s="203" t="str">
        <f t="shared" si="44"/>
        <v/>
      </c>
      <c r="V55" s="455">
        <f t="shared" si="21"/>
        <v>0</v>
      </c>
      <c r="W55" s="174">
        <f t="shared" si="45"/>
        <v>0</v>
      </c>
      <c r="X55" s="425">
        <f t="shared" si="22"/>
        <v>0</v>
      </c>
      <c r="Y55" s="224">
        <f t="shared" si="46"/>
        <v>0</v>
      </c>
      <c r="Z55" s="459">
        <f t="shared" si="23"/>
        <v>179875</v>
      </c>
      <c r="AA55" s="188">
        <f t="shared" si="47"/>
        <v>3.2267723552367402E-4</v>
      </c>
      <c r="AB55" s="563">
        <f t="shared" si="24"/>
        <v>357583</v>
      </c>
      <c r="AC55" s="119">
        <f t="shared" si="48"/>
        <v>3.1664171737177488E-4</v>
      </c>
      <c r="AD55" s="351">
        <f>[2]東京事務!$I$55</f>
        <v>0</v>
      </c>
      <c r="AE55" s="7">
        <f t="shared" si="49"/>
        <v>0</v>
      </c>
      <c r="AF55" s="361">
        <f>[2]東京事務!$L$55</f>
        <v>0</v>
      </c>
      <c r="AG55" s="80">
        <f t="shared" si="50"/>
        <v>0</v>
      </c>
      <c r="AH55" s="387">
        <f>[2]東京工場!$I$55</f>
        <v>0</v>
      </c>
      <c r="AI55" s="174">
        <f t="shared" si="25"/>
        <v>0</v>
      </c>
      <c r="AJ55" s="361">
        <f>[2]東京工場!$L$55</f>
        <v>0</v>
      </c>
      <c r="AK55" s="102">
        <f t="shared" si="36"/>
        <v>0</v>
      </c>
      <c r="AL55" s="546">
        <f t="shared" si="26"/>
        <v>0</v>
      </c>
      <c r="AM55" s="313">
        <f t="shared" si="51"/>
        <v>0</v>
      </c>
      <c r="AN55" s="477">
        <f t="shared" si="27"/>
        <v>0</v>
      </c>
      <c r="AO55" s="119">
        <f t="shared" si="52"/>
        <v>0</v>
      </c>
      <c r="AP55" s="526">
        <f t="shared" si="28"/>
        <v>765472</v>
      </c>
      <c r="AQ55" s="282">
        <f t="shared" si="53"/>
        <v>9.4461212241718094E-4</v>
      </c>
      <c r="AR55" s="486">
        <f t="shared" si="29"/>
        <v>1578460</v>
      </c>
      <c r="AS55" s="283">
        <f t="shared" si="54"/>
        <v>9.6346258141197314E-4</v>
      </c>
      <c r="AT55" s="583">
        <f>[2]全社合計!$G$55</f>
        <v>713706</v>
      </c>
      <c r="AU55" s="120">
        <f t="shared" si="30"/>
        <v>7.6495523546283369E-4</v>
      </c>
      <c r="AV55" s="577">
        <f>[2]全社合計!$N$55</f>
        <v>1363345</v>
      </c>
      <c r="AW55" s="121">
        <f t="shared" si="31"/>
        <v>7.1750792835616715E-4</v>
      </c>
      <c r="AX55" s="583">
        <f t="shared" si="32"/>
        <v>51766</v>
      </c>
      <c r="AY55" s="120">
        <f t="shared" si="33"/>
        <v>1.0725312663757907</v>
      </c>
      <c r="AZ55" s="577">
        <f t="shared" si="34"/>
        <v>215115</v>
      </c>
      <c r="BA55" s="121">
        <f t="shared" si="35"/>
        <v>1.1577847133337489</v>
      </c>
      <c r="BB55" s="11"/>
    </row>
    <row r="56" spans="1:54" ht="15.95" customHeight="1">
      <c r="A56" s="37" t="s">
        <v>96</v>
      </c>
      <c r="B56" s="711">
        <f>[2]本部!$I$56</f>
        <v>0</v>
      </c>
      <c r="C56" s="336" t="str">
        <f>IF(ISERR(B56/$B$11),"",B56/$B$11)</f>
        <v/>
      </c>
      <c r="D56" s="731">
        <f>[2]本部!$L$56</f>
        <v>0</v>
      </c>
      <c r="E56" s="337" t="str">
        <f>IF(ISERR(D56/$D$11),"",D56/$D$11)</f>
        <v/>
      </c>
      <c r="F56" s="365">
        <f>[2]本社営業!$I$56</f>
        <v>0</v>
      </c>
      <c r="G56" s="338">
        <f>IF(ISERR(F56/$F$11),"",F56/$F$11)</f>
        <v>0</v>
      </c>
      <c r="H56" s="366">
        <f>[2]本社営業!$L$56</f>
        <v>0</v>
      </c>
      <c r="I56" s="339">
        <f>IF(ISERR(H56/$H$11),"",H56/$H$11)</f>
        <v>0</v>
      </c>
      <c r="J56" s="393">
        <f>[2]東大阪!$I$56</f>
        <v>0</v>
      </c>
      <c r="K56" s="338">
        <f>IF(ISERR(J56/$J$11),"",J56/$J$11)</f>
        <v>0</v>
      </c>
      <c r="L56" s="366">
        <f>[2]東大阪!$L$56</f>
        <v>0</v>
      </c>
      <c r="M56" s="339">
        <f t="shared" si="37"/>
        <v>0</v>
      </c>
      <c r="N56" s="413">
        <f>[2]南港工場!$I$56</f>
        <v>0</v>
      </c>
      <c r="O56" s="338">
        <f>IF(ISERR(N56/$N$11),"",N56/$N$11)</f>
        <v>0</v>
      </c>
      <c r="P56" s="366">
        <f>[2]南港工場!$L$56</f>
        <v>0</v>
      </c>
      <c r="Q56" s="340">
        <f>IF(ISERR(P56/$P$11),"",P56/$P$11)</f>
        <v>0</v>
      </c>
      <c r="R56" s="447">
        <f>[2]南港事務!$I$56</f>
        <v>0</v>
      </c>
      <c r="S56" s="338" t="str">
        <f>IF(ISERR(R56/$R$11),"",R56/$R$11)</f>
        <v/>
      </c>
      <c r="T56" s="366">
        <f>[2]南港事務!$L$56</f>
        <v>0</v>
      </c>
      <c r="U56" s="341" t="str">
        <f>IF(ISERR(T56/$T$11),"",T56/$T$11)</f>
        <v/>
      </c>
      <c r="V56" s="491">
        <f>N56+R56</f>
        <v>0</v>
      </c>
      <c r="W56" s="340">
        <f>IF(ISERR(V56/$V$11),"",V56/$V$11)</f>
        <v>0</v>
      </c>
      <c r="X56" s="430">
        <f>P56+T56</f>
        <v>0</v>
      </c>
      <c r="Y56" s="342">
        <f>IF(ISERR(X56/$X$11),"",X56/$X$11)</f>
        <v>0</v>
      </c>
      <c r="Z56" s="570">
        <f>F56+J56+N56+R56</f>
        <v>0</v>
      </c>
      <c r="AA56" s="343">
        <f>IF(ISERR(Z56/$Z$11),"",Z56/$Z$11)</f>
        <v>0</v>
      </c>
      <c r="AB56" s="566">
        <f>H56+L56+P56+T56</f>
        <v>0</v>
      </c>
      <c r="AC56" s="344">
        <f>IF(ISERR(AB56/$AB$11),"",AB56/$AB$11)</f>
        <v>0</v>
      </c>
      <c r="AD56" s="365">
        <f>[2]東京事務!$I$56</f>
        <v>0</v>
      </c>
      <c r="AE56" s="338">
        <f>IF(ISERR(AD56/$AD$11),"",AD56/$AD$11)</f>
        <v>0</v>
      </c>
      <c r="AF56" s="366">
        <f>[2]東京事務!$L$56</f>
        <v>0</v>
      </c>
      <c r="AG56" s="345">
        <f>IF(ISERR(AF56/$AF$11),"",AF56/$AF$11)</f>
        <v>0</v>
      </c>
      <c r="AH56" s="393">
        <f>[2]東京工場!$I$56</f>
        <v>0</v>
      </c>
      <c r="AI56" s="340">
        <f>IF(ISERR(AH56/$AH$11),"",AH56/$AH$11)</f>
        <v>0</v>
      </c>
      <c r="AJ56" s="366">
        <f>[2]東京工場!$L$56</f>
        <v>0</v>
      </c>
      <c r="AK56" s="346">
        <f>IF(ISERR(AJ56/$AJ$11),"",AJ56/$AJ$11)</f>
        <v>0</v>
      </c>
      <c r="AL56" s="550">
        <f>AD56+AH56</f>
        <v>0</v>
      </c>
      <c r="AM56" s="347">
        <f>IF(ISERR(AL56/$AL$11),"",AL56/AL$11)</f>
        <v>0</v>
      </c>
      <c r="AN56" s="538">
        <f>AF56+AJ56</f>
        <v>0</v>
      </c>
      <c r="AO56" s="344">
        <f>IF(ISERR(AN56/$AN$11),"",AN56/$AN$11)</f>
        <v>0</v>
      </c>
      <c r="AP56" s="530">
        <f>B56+Z56+AL56</f>
        <v>0</v>
      </c>
      <c r="AQ56" s="348">
        <f>IF(ISERR(AP56/$AP$11),"",AP56/$AP$11)</f>
        <v>0</v>
      </c>
      <c r="AR56" s="518">
        <f>D56+AB56+AN56</f>
        <v>0</v>
      </c>
      <c r="AS56" s="349">
        <f>IF(ISERR(AR56/$AR$11),"",AR56/$AR$11)</f>
        <v>0</v>
      </c>
      <c r="AT56" s="587">
        <f>[2]全社合計!$G$56</f>
        <v>0</v>
      </c>
      <c r="AU56" s="339">
        <f>IF(ISERR(AT56/$AT$11),"",AT56/$AT$11)</f>
        <v>0</v>
      </c>
      <c r="AV56" s="598">
        <f>[2]全社合計!$N$56</f>
        <v>0</v>
      </c>
      <c r="AW56" s="350">
        <f>IF(ISERR(AV56/$AV$11),"",AV56/$AV$11)</f>
        <v>0</v>
      </c>
      <c r="AX56" s="587">
        <f>AP56-AT56</f>
        <v>0</v>
      </c>
      <c r="AY56" s="339" t="str">
        <f>IF(ISERROR(AP56/AT56),"",AP56/AT56)</f>
        <v/>
      </c>
      <c r="AZ56" s="598">
        <f>AR56-AV56</f>
        <v>0</v>
      </c>
      <c r="BA56" s="350" t="str">
        <f>IF(ISERROR(AR56/AV56),"",AR56/AV56)</f>
        <v/>
      </c>
      <c r="BB56" s="11"/>
    </row>
    <row r="57" spans="1:54" ht="15.95" customHeight="1">
      <c r="A57" s="37" t="s">
        <v>58</v>
      </c>
      <c r="B57" s="703">
        <f>[2]本部!$I$57</f>
        <v>0</v>
      </c>
      <c r="C57" s="259" t="str">
        <f>IF(ISERR(B57/$B$11),"",B57/$B$11)</f>
        <v/>
      </c>
      <c r="D57" s="728">
        <f>[2]本部!$L$57</f>
        <v>0</v>
      </c>
      <c r="E57" s="122" t="str">
        <f t="shared" si="39"/>
        <v/>
      </c>
      <c r="F57" s="352">
        <f>[2]本社営業!$I$57</f>
        <v>0</v>
      </c>
      <c r="G57" s="9">
        <f t="shared" si="40"/>
        <v>0</v>
      </c>
      <c r="H57" s="362">
        <f>[2]本社営業!$L$57</f>
        <v>0</v>
      </c>
      <c r="I57" s="124">
        <f t="shared" si="19"/>
        <v>0</v>
      </c>
      <c r="J57" s="388">
        <f>[2]東大阪!$I$57</f>
        <v>0</v>
      </c>
      <c r="K57" s="9">
        <f t="shared" si="20"/>
        <v>0</v>
      </c>
      <c r="L57" s="362">
        <f>[2]東大阪!$L$57</f>
        <v>0</v>
      </c>
      <c r="M57" s="124">
        <f t="shared" si="37"/>
        <v>0</v>
      </c>
      <c r="N57" s="403">
        <f>[2]南港工場!$I$57</f>
        <v>0</v>
      </c>
      <c r="O57" s="9">
        <f t="shared" si="41"/>
        <v>0</v>
      </c>
      <c r="P57" s="362">
        <f>[2]南港工場!$L$57</f>
        <v>0</v>
      </c>
      <c r="Q57" s="171">
        <f t="shared" si="42"/>
        <v>0</v>
      </c>
      <c r="R57" s="445">
        <f>[2]南港事務!$I$57</f>
        <v>0</v>
      </c>
      <c r="S57" s="9" t="str">
        <f t="shared" si="43"/>
        <v/>
      </c>
      <c r="T57" s="362">
        <f>[2]南港事務!$L$57</f>
        <v>0</v>
      </c>
      <c r="U57" s="204" t="str">
        <f t="shared" si="44"/>
        <v/>
      </c>
      <c r="V57" s="456">
        <f t="shared" si="21"/>
        <v>0</v>
      </c>
      <c r="W57" s="171">
        <f t="shared" si="45"/>
        <v>0</v>
      </c>
      <c r="X57" s="426">
        <f t="shared" si="22"/>
        <v>0</v>
      </c>
      <c r="Y57" s="225">
        <f t="shared" si="46"/>
        <v>0</v>
      </c>
      <c r="Z57" s="460">
        <f t="shared" si="23"/>
        <v>0</v>
      </c>
      <c r="AA57" s="189">
        <f t="shared" si="47"/>
        <v>0</v>
      </c>
      <c r="AB57" s="564">
        <f t="shared" si="24"/>
        <v>0</v>
      </c>
      <c r="AC57" s="123">
        <f t="shared" si="48"/>
        <v>0</v>
      </c>
      <c r="AD57" s="352">
        <f>[2]東京事務!$I$57</f>
        <v>0</v>
      </c>
      <c r="AE57" s="9">
        <f t="shared" si="49"/>
        <v>0</v>
      </c>
      <c r="AF57" s="362">
        <f>[2]東京事務!$L$57</f>
        <v>0</v>
      </c>
      <c r="AG57" s="81">
        <f t="shared" si="50"/>
        <v>0</v>
      </c>
      <c r="AH57" s="388">
        <f>[2]東京工場!$I$57</f>
        <v>0</v>
      </c>
      <c r="AI57" s="171">
        <f t="shared" si="25"/>
        <v>0</v>
      </c>
      <c r="AJ57" s="362">
        <f>[2]東京工場!$L$57</f>
        <v>0</v>
      </c>
      <c r="AK57" s="99">
        <f t="shared" si="36"/>
        <v>0</v>
      </c>
      <c r="AL57" s="547">
        <f t="shared" si="26"/>
        <v>0</v>
      </c>
      <c r="AM57" s="314">
        <f t="shared" si="51"/>
        <v>0</v>
      </c>
      <c r="AN57" s="478">
        <f t="shared" si="27"/>
        <v>0</v>
      </c>
      <c r="AO57" s="123">
        <f t="shared" si="52"/>
        <v>0</v>
      </c>
      <c r="AP57" s="527">
        <f>B57+Z57+AL57</f>
        <v>0</v>
      </c>
      <c r="AQ57" s="284">
        <f t="shared" si="53"/>
        <v>0</v>
      </c>
      <c r="AR57" s="487">
        <f t="shared" si="29"/>
        <v>0</v>
      </c>
      <c r="AS57" s="285">
        <f t="shared" si="54"/>
        <v>0</v>
      </c>
      <c r="AT57" s="584">
        <f>[2]全社合計!$G$57</f>
        <v>0</v>
      </c>
      <c r="AU57" s="124">
        <f t="shared" si="30"/>
        <v>0</v>
      </c>
      <c r="AV57" s="578">
        <f>[2]全社合計!$N$57</f>
        <v>0</v>
      </c>
      <c r="AW57" s="125">
        <f t="shared" si="31"/>
        <v>0</v>
      </c>
      <c r="AX57" s="584">
        <f t="shared" si="32"/>
        <v>0</v>
      </c>
      <c r="AY57" s="124" t="str">
        <f t="shared" si="33"/>
        <v/>
      </c>
      <c r="AZ57" s="578">
        <f t="shared" si="34"/>
        <v>0</v>
      </c>
      <c r="BA57" s="125" t="str">
        <f t="shared" si="35"/>
        <v/>
      </c>
      <c r="BB57" s="11"/>
    </row>
    <row r="58" spans="1:54" ht="15.95" customHeight="1">
      <c r="A58" s="37" t="s">
        <v>98</v>
      </c>
      <c r="B58" s="703">
        <f>[2]本部!$I$58</f>
        <v>0</v>
      </c>
      <c r="C58" s="259" t="str">
        <f t="shared" si="38"/>
        <v/>
      </c>
      <c r="D58" s="728">
        <f>[2]本部!$L$58</f>
        <v>0</v>
      </c>
      <c r="E58" s="122" t="str">
        <f t="shared" si="39"/>
        <v/>
      </c>
      <c r="F58" s="352">
        <f>[2]本社営業!$I$58</f>
        <v>0</v>
      </c>
      <c r="G58" s="9">
        <f t="shared" si="40"/>
        <v>0</v>
      </c>
      <c r="H58" s="362">
        <f>[2]本社営業!$L$58</f>
        <v>0</v>
      </c>
      <c r="I58" s="124">
        <f t="shared" si="19"/>
        <v>0</v>
      </c>
      <c r="J58" s="388">
        <f>[2]東大阪!$I$58</f>
        <v>0</v>
      </c>
      <c r="K58" s="9">
        <f t="shared" si="20"/>
        <v>0</v>
      </c>
      <c r="L58" s="362">
        <f>[2]東大阪!$L$58</f>
        <v>0</v>
      </c>
      <c r="M58" s="124">
        <f t="shared" si="37"/>
        <v>0</v>
      </c>
      <c r="N58" s="403">
        <f>[2]南港工場!$I$58</f>
        <v>0</v>
      </c>
      <c r="O58" s="9">
        <f t="shared" si="41"/>
        <v>0</v>
      </c>
      <c r="P58" s="362">
        <f>[2]南港工場!$L$58</f>
        <v>0</v>
      </c>
      <c r="Q58" s="171">
        <f t="shared" si="42"/>
        <v>0</v>
      </c>
      <c r="R58" s="445">
        <f>[2]南港事務!$I$58</f>
        <v>0</v>
      </c>
      <c r="S58" s="9" t="str">
        <f t="shared" si="43"/>
        <v/>
      </c>
      <c r="T58" s="362">
        <f>[2]南港事務!$L$58</f>
        <v>0</v>
      </c>
      <c r="U58" s="204" t="str">
        <f t="shared" si="44"/>
        <v/>
      </c>
      <c r="V58" s="456">
        <f t="shared" si="21"/>
        <v>0</v>
      </c>
      <c r="W58" s="171">
        <f t="shared" si="45"/>
        <v>0</v>
      </c>
      <c r="X58" s="426">
        <f t="shared" si="22"/>
        <v>0</v>
      </c>
      <c r="Y58" s="225">
        <f t="shared" si="46"/>
        <v>0</v>
      </c>
      <c r="Z58" s="460">
        <f>F58+J58+N58+R58</f>
        <v>0</v>
      </c>
      <c r="AA58" s="189">
        <f>IF(ISERR(Z58/$Z$11),"",Z58/$Z$11)</f>
        <v>0</v>
      </c>
      <c r="AB58" s="564">
        <f>H58+L58+P58+T58</f>
        <v>0</v>
      </c>
      <c r="AC58" s="123">
        <f>IF(ISERR(AB58/$AB$11),"",AB58/$AB$11)</f>
        <v>0</v>
      </c>
      <c r="AD58" s="352">
        <f>[2]東京事務!$I$58</f>
        <v>0</v>
      </c>
      <c r="AE58" s="9">
        <f>IF(ISERR(AD58/$AD$11),"",AD58/$AD$11)</f>
        <v>0</v>
      </c>
      <c r="AF58" s="362">
        <f>[2]東京事務!$L$58</f>
        <v>0</v>
      </c>
      <c r="AG58" s="81">
        <f>IF(ISERR(AF58/$AF$11),"",AF58/$AF$11)</f>
        <v>0</v>
      </c>
      <c r="AH58" s="388">
        <f>[2]東京工場!$I$58</f>
        <v>0</v>
      </c>
      <c r="AI58" s="171">
        <f>IF(ISERR(AH58/$AH$11),"",AH58/$AH$11)</f>
        <v>0</v>
      </c>
      <c r="AJ58" s="362">
        <f>[2]東京工場!$L$58</f>
        <v>0</v>
      </c>
      <c r="AK58" s="99">
        <f>IF(ISERR(AJ58/$AJ$11),"",AJ58/$AJ$11)</f>
        <v>0</v>
      </c>
      <c r="AL58" s="547">
        <f>AD58+AH58</f>
        <v>0</v>
      </c>
      <c r="AM58" s="314">
        <f>IF(ISERR(AL58/$AL$11),"",AL58/AL$11)</f>
        <v>0</v>
      </c>
      <c r="AN58" s="478">
        <f>AF58+AJ58</f>
        <v>0</v>
      </c>
      <c r="AO58" s="123">
        <f>IF(ISERR(AN58/$AN$11),"",AN58/$AN$11)</f>
        <v>0</v>
      </c>
      <c r="AP58" s="527">
        <f>B58+Z58+AL58</f>
        <v>0</v>
      </c>
      <c r="AQ58" s="284">
        <f>IF(ISERR(AP58/$AP$11),"",AP58/$AP$11)</f>
        <v>0</v>
      </c>
      <c r="AR58" s="487">
        <f>D58+AB58+AN58</f>
        <v>0</v>
      </c>
      <c r="AS58" s="285">
        <f>IF(ISERR(AR58/$AR$11),"",AR58/$AR$11)</f>
        <v>0</v>
      </c>
      <c r="AT58" s="584">
        <f>[2]全社合計!$G$58</f>
        <v>402213</v>
      </c>
      <c r="AU58" s="124">
        <f>IF(ISERR(AT58/$AT$11),"",AT58/$AT$11)</f>
        <v>4.3109479270345591E-4</v>
      </c>
      <c r="AV58" s="578">
        <f>[2]全社合計!$N$58</f>
        <v>402213</v>
      </c>
      <c r="AW58" s="125">
        <f>IF(ISERR(AV58/$AV$11),"",AV58/$AV$11)</f>
        <v>2.1167864068736753E-4</v>
      </c>
      <c r="AX58" s="584">
        <f t="shared" si="32"/>
        <v>-402213</v>
      </c>
      <c r="AY58" s="124">
        <f>IF(ISERROR(AP58/AT58),"",AP58/AT58)</f>
        <v>0</v>
      </c>
      <c r="AZ58" s="578">
        <f>AR58-AV58</f>
        <v>-402213</v>
      </c>
      <c r="BA58" s="125">
        <f>IF(ISERROR(AR58/AV58),"",AR58/AV58)</f>
        <v>0</v>
      </c>
      <c r="BB58" s="11"/>
    </row>
    <row r="59" spans="1:54" ht="15.95" customHeight="1">
      <c r="A59" s="37" t="s">
        <v>94</v>
      </c>
      <c r="B59" s="703">
        <f>[2]本部!$I$59</f>
        <v>0</v>
      </c>
      <c r="C59" s="259" t="str">
        <f t="shared" si="38"/>
        <v/>
      </c>
      <c r="D59" s="728">
        <f>[2]本部!$L$59</f>
        <v>0</v>
      </c>
      <c r="E59" s="122" t="str">
        <f t="shared" si="39"/>
        <v/>
      </c>
      <c r="F59" s="352">
        <f>[2]本社営業!$I$59</f>
        <v>0</v>
      </c>
      <c r="G59" s="9">
        <f t="shared" si="40"/>
        <v>0</v>
      </c>
      <c r="H59" s="362">
        <f>[2]本社営業!$L$59</f>
        <v>0</v>
      </c>
      <c r="I59" s="124">
        <f t="shared" si="19"/>
        <v>0</v>
      </c>
      <c r="J59" s="388">
        <f>[2]東大阪!$I$59</f>
        <v>0</v>
      </c>
      <c r="K59" s="9">
        <f t="shared" si="20"/>
        <v>0</v>
      </c>
      <c r="L59" s="362">
        <f>[2]東大阪!$L$59</f>
        <v>0</v>
      </c>
      <c r="M59" s="124">
        <f t="shared" si="37"/>
        <v>0</v>
      </c>
      <c r="N59" s="403">
        <f>[2]南港工場!$I$59</f>
        <v>0</v>
      </c>
      <c r="O59" s="9">
        <f t="shared" si="41"/>
        <v>0</v>
      </c>
      <c r="P59" s="362">
        <f>[2]南港工場!$L$59</f>
        <v>0</v>
      </c>
      <c r="Q59" s="171">
        <f t="shared" si="42"/>
        <v>0</v>
      </c>
      <c r="R59" s="445">
        <f>[2]南港事務!$I$59</f>
        <v>0</v>
      </c>
      <c r="S59" s="9" t="str">
        <f t="shared" si="43"/>
        <v/>
      </c>
      <c r="T59" s="362">
        <f>[2]南港事務!$L$59</f>
        <v>0</v>
      </c>
      <c r="U59" s="204" t="str">
        <f t="shared" si="44"/>
        <v/>
      </c>
      <c r="V59" s="456">
        <f t="shared" si="21"/>
        <v>0</v>
      </c>
      <c r="W59" s="171">
        <f t="shared" si="45"/>
        <v>0</v>
      </c>
      <c r="X59" s="426">
        <f t="shared" si="22"/>
        <v>0</v>
      </c>
      <c r="Y59" s="225">
        <f t="shared" si="46"/>
        <v>0</v>
      </c>
      <c r="Z59" s="460">
        <f>F59+J59+N59+R59</f>
        <v>0</v>
      </c>
      <c r="AA59" s="189">
        <f>IF(ISERR(Z59/$Z$11),"",Z59/$Z$11)</f>
        <v>0</v>
      </c>
      <c r="AB59" s="564">
        <f>H59+L59+P59+T59</f>
        <v>0</v>
      </c>
      <c r="AC59" s="123">
        <f>IF(ISERR(AB59/$AB$11),"",AB59/$AB$11)</f>
        <v>0</v>
      </c>
      <c r="AD59" s="352">
        <f>[2]東京事務!$I$59</f>
        <v>0</v>
      </c>
      <c r="AE59" s="9">
        <f>IF(ISERR(AD59/$AD$11),"",AD59/$AD$11)</f>
        <v>0</v>
      </c>
      <c r="AF59" s="362">
        <f>[2]東京事務!$L$59</f>
        <v>0</v>
      </c>
      <c r="AG59" s="81">
        <f>IF(ISERR(AF59/$AF$11),"",AF59/$AF$11)</f>
        <v>0</v>
      </c>
      <c r="AH59" s="388">
        <f>[2]東京工場!$I$59</f>
        <v>0</v>
      </c>
      <c r="AI59" s="171">
        <f>IF(ISERR(AH59/$AH$11),"",AH59/$AH$11)</f>
        <v>0</v>
      </c>
      <c r="AJ59" s="362">
        <f>[2]東京工場!$L$59</f>
        <v>0</v>
      </c>
      <c r="AK59" s="99">
        <f>IF(ISERR(AJ59/$AJ$11),"",AJ59/$AJ$11)</f>
        <v>0</v>
      </c>
      <c r="AL59" s="547">
        <f>AD59+AH59</f>
        <v>0</v>
      </c>
      <c r="AM59" s="314">
        <f>IF(ISERR(AL59/$AL$11),"",AL59/AL$11)</f>
        <v>0</v>
      </c>
      <c r="AN59" s="478">
        <f>AF59+AJ59</f>
        <v>0</v>
      </c>
      <c r="AO59" s="123">
        <f>IF(ISERR(AN59/$AN$11),"",AN59/$AN$11)</f>
        <v>0</v>
      </c>
      <c r="AP59" s="527">
        <f>B59+Z59+AL59</f>
        <v>0</v>
      </c>
      <c r="AQ59" s="284">
        <f>IF(ISERR(AP59/$AP$11),"",AP59/$AP$11)</f>
        <v>0</v>
      </c>
      <c r="AR59" s="487">
        <f>D59+AB59+AN59</f>
        <v>0</v>
      </c>
      <c r="AS59" s="285">
        <f>IF(ISERR(AR59/$AR$11),"",AR59/$AR$11)</f>
        <v>0</v>
      </c>
      <c r="AT59" s="584">
        <f>[2]全社合計!$G$59</f>
        <v>0</v>
      </c>
      <c r="AU59" s="124">
        <f>IF(ISERR(AT59/$AT$11),"",AT59/$AT$11)</f>
        <v>0</v>
      </c>
      <c r="AV59" s="578">
        <f>[2]全社合計!$N$59</f>
        <v>0</v>
      </c>
      <c r="AW59" s="125">
        <f>IF(ISERR(AV59/$AV$11),"",AV59/$AV$11)</f>
        <v>0</v>
      </c>
      <c r="AX59" s="584">
        <f t="shared" si="32"/>
        <v>0</v>
      </c>
      <c r="AY59" s="124" t="str">
        <f>IF(ISERROR(AP59/AT59),"",AP59/AT59)</f>
        <v/>
      </c>
      <c r="AZ59" s="578">
        <f>AR59-AV59</f>
        <v>0</v>
      </c>
      <c r="BA59" s="125" t="str">
        <f>IF(ISERROR(AR59/AV59),"",AR59/AV59)</f>
        <v/>
      </c>
      <c r="BB59" s="11"/>
    </row>
    <row r="60" spans="1:54" ht="15.95" customHeight="1">
      <c r="A60" s="37" t="s">
        <v>93</v>
      </c>
      <c r="B60" s="703">
        <f>[2]本部!$I$60</f>
        <v>500000</v>
      </c>
      <c r="C60" s="259" t="str">
        <f>IF(ISERR(B60/$B$11),"",B60/$B$11)</f>
        <v/>
      </c>
      <c r="D60" s="728">
        <f>[2]本部!$L$60</f>
        <v>1000000</v>
      </c>
      <c r="E60" s="122" t="str">
        <f t="shared" si="39"/>
        <v/>
      </c>
      <c r="F60" s="352">
        <f>[2]本社営業!$I$60</f>
        <v>0</v>
      </c>
      <c r="G60" s="9">
        <f t="shared" si="40"/>
        <v>0</v>
      </c>
      <c r="H60" s="362">
        <f>[2]本社営業!$L$60</f>
        <v>0</v>
      </c>
      <c r="I60" s="124">
        <f t="shared" si="19"/>
        <v>0</v>
      </c>
      <c r="J60" s="388">
        <f>[2]東大阪!$I$60</f>
        <v>0</v>
      </c>
      <c r="K60" s="9">
        <f t="shared" si="20"/>
        <v>0</v>
      </c>
      <c r="L60" s="362">
        <f>[2]東大阪!$L$60</f>
        <v>0</v>
      </c>
      <c r="M60" s="124">
        <f t="shared" si="37"/>
        <v>0</v>
      </c>
      <c r="N60" s="403">
        <f>[2]南港工場!$I$60</f>
        <v>0</v>
      </c>
      <c r="O60" s="9">
        <f t="shared" si="41"/>
        <v>0</v>
      </c>
      <c r="P60" s="362">
        <f>[2]南港工場!$L$60</f>
        <v>0</v>
      </c>
      <c r="Q60" s="171">
        <f t="shared" si="42"/>
        <v>0</v>
      </c>
      <c r="R60" s="445">
        <f>[2]南港事務!$I$60</f>
        <v>0</v>
      </c>
      <c r="S60" s="9" t="str">
        <f t="shared" si="43"/>
        <v/>
      </c>
      <c r="T60" s="362">
        <f>[2]南港事務!$L$60</f>
        <v>0</v>
      </c>
      <c r="U60" s="204" t="str">
        <f t="shared" si="44"/>
        <v/>
      </c>
      <c r="V60" s="456">
        <f t="shared" si="21"/>
        <v>0</v>
      </c>
      <c r="W60" s="171">
        <f t="shared" si="45"/>
        <v>0</v>
      </c>
      <c r="X60" s="426">
        <f t="shared" si="22"/>
        <v>0</v>
      </c>
      <c r="Y60" s="225">
        <f t="shared" si="46"/>
        <v>0</v>
      </c>
      <c r="Z60" s="460">
        <f t="shared" si="23"/>
        <v>0</v>
      </c>
      <c r="AA60" s="189">
        <f t="shared" si="47"/>
        <v>0</v>
      </c>
      <c r="AB60" s="564">
        <f t="shared" si="24"/>
        <v>0</v>
      </c>
      <c r="AC60" s="123">
        <f t="shared" si="48"/>
        <v>0</v>
      </c>
      <c r="AD60" s="352">
        <f>[2]東京事務!$I$60</f>
        <v>0</v>
      </c>
      <c r="AE60" s="9">
        <f t="shared" si="49"/>
        <v>0</v>
      </c>
      <c r="AF60" s="362">
        <f>[2]東京事務!$L$60</f>
        <v>0</v>
      </c>
      <c r="AG60" s="81">
        <f t="shared" si="50"/>
        <v>0</v>
      </c>
      <c r="AH60" s="388">
        <f>[2]東京工場!$I$60</f>
        <v>0</v>
      </c>
      <c r="AI60" s="171">
        <f t="shared" si="25"/>
        <v>0</v>
      </c>
      <c r="AJ60" s="362">
        <f>[2]東京工場!$L$60</f>
        <v>0</v>
      </c>
      <c r="AK60" s="99">
        <f t="shared" si="36"/>
        <v>0</v>
      </c>
      <c r="AL60" s="547">
        <f t="shared" si="26"/>
        <v>0</v>
      </c>
      <c r="AM60" s="314">
        <f t="shared" si="51"/>
        <v>0</v>
      </c>
      <c r="AN60" s="478">
        <f t="shared" si="27"/>
        <v>0</v>
      </c>
      <c r="AO60" s="123">
        <f t="shared" si="52"/>
        <v>0</v>
      </c>
      <c r="AP60" s="527">
        <f>B60+Z60+AL60</f>
        <v>500000</v>
      </c>
      <c r="AQ60" s="284">
        <f t="shared" si="53"/>
        <v>6.1701285116711065E-4</v>
      </c>
      <c r="AR60" s="487">
        <f t="shared" si="29"/>
        <v>1000000</v>
      </c>
      <c r="AS60" s="285">
        <f t="shared" si="54"/>
        <v>6.1038137261126238E-4</v>
      </c>
      <c r="AT60" s="584">
        <f>[2]全社合計!$G$60</f>
        <v>500000</v>
      </c>
      <c r="AU60" s="124">
        <f t="shared" si="30"/>
        <v>5.3590360418914349E-4</v>
      </c>
      <c r="AV60" s="578">
        <f>[2]全社合計!$N$60</f>
        <v>1000000</v>
      </c>
      <c r="AW60" s="125">
        <f t="shared" si="31"/>
        <v>5.2628493034130553E-4</v>
      </c>
      <c r="AX60" s="584">
        <f t="shared" si="32"/>
        <v>0</v>
      </c>
      <c r="AY60" s="124">
        <f t="shared" si="33"/>
        <v>1</v>
      </c>
      <c r="AZ60" s="578">
        <f t="shared" si="34"/>
        <v>0</v>
      </c>
      <c r="BA60" s="125">
        <f t="shared" si="35"/>
        <v>1</v>
      </c>
      <c r="BB60" s="11"/>
    </row>
    <row r="61" spans="1:54" ht="15.95" customHeight="1">
      <c r="A61" s="35" t="s">
        <v>48</v>
      </c>
      <c r="B61" s="704">
        <f>[2]本部!$I$61</f>
        <v>7001</v>
      </c>
      <c r="C61" s="260" t="str">
        <f t="shared" si="38"/>
        <v/>
      </c>
      <c r="D61" s="729">
        <f>[2]本部!$L$61</f>
        <v>7001</v>
      </c>
      <c r="E61" s="126" t="str">
        <f t="shared" si="39"/>
        <v/>
      </c>
      <c r="F61" s="353">
        <f>[2]本社営業!$I$61</f>
        <v>21</v>
      </c>
      <c r="G61" s="12">
        <f t="shared" si="40"/>
        <v>4.0365307183303389E-8</v>
      </c>
      <c r="H61" s="363">
        <f>[2]本社営業!$L$61</f>
        <v>44805</v>
      </c>
      <c r="I61" s="128">
        <f t="shared" si="19"/>
        <v>4.2469143269314058E-5</v>
      </c>
      <c r="J61" s="389">
        <f>[2]東大阪!$I$61</f>
        <v>0</v>
      </c>
      <c r="K61" s="12">
        <f t="shared" si="20"/>
        <v>0</v>
      </c>
      <c r="L61" s="363">
        <f>[2]東大阪!$L$61</f>
        <v>0</v>
      </c>
      <c r="M61" s="128">
        <f t="shared" si="37"/>
        <v>0</v>
      </c>
      <c r="N61" s="404">
        <f>[2]南港工場!$I$61</f>
        <v>1</v>
      </c>
      <c r="O61" s="12">
        <f t="shared" si="41"/>
        <v>3.5949911707016848E-8</v>
      </c>
      <c r="P61" s="363">
        <f>[2]南港工場!$L$61</f>
        <v>2</v>
      </c>
      <c r="Q61" s="172">
        <f t="shared" si="42"/>
        <v>3.56894617816811E-8</v>
      </c>
      <c r="R61" s="446">
        <f>[2]南港事務!$I$61</f>
        <v>0</v>
      </c>
      <c r="S61" s="12" t="str">
        <f t="shared" si="43"/>
        <v/>
      </c>
      <c r="T61" s="363">
        <f>[2]南港事務!$L$61</f>
        <v>0</v>
      </c>
      <c r="U61" s="205" t="str">
        <f t="shared" si="44"/>
        <v/>
      </c>
      <c r="V61" s="457">
        <f t="shared" si="21"/>
        <v>1</v>
      </c>
      <c r="W61" s="172">
        <f t="shared" si="45"/>
        <v>3.5949911707016848E-8</v>
      </c>
      <c r="X61" s="427">
        <f t="shared" si="22"/>
        <v>2</v>
      </c>
      <c r="Y61" s="226">
        <f t="shared" si="46"/>
        <v>3.56894617816811E-8</v>
      </c>
      <c r="Z61" s="461">
        <f t="shared" si="23"/>
        <v>22</v>
      </c>
      <c r="AA61" s="190">
        <f t="shared" si="47"/>
        <v>3.9465735547023369E-8</v>
      </c>
      <c r="AB61" s="565">
        <f t="shared" si="24"/>
        <v>44807</v>
      </c>
      <c r="AC61" s="127">
        <f t="shared" si="48"/>
        <v>3.967684546043049E-5</v>
      </c>
      <c r="AD61" s="353">
        <f>[2]東京事務!$I$61</f>
        <v>27</v>
      </c>
      <c r="AE61" s="12">
        <f t="shared" si="49"/>
        <v>1.1141067148272167E-7</v>
      </c>
      <c r="AF61" s="363">
        <f>[2]東京事務!$L$61</f>
        <v>55</v>
      </c>
      <c r="AG61" s="82">
        <f t="shared" si="50"/>
        <v>1.1255550198777723E-7</v>
      </c>
      <c r="AH61" s="389">
        <f>[2]東京工場!$I$61</f>
        <v>0</v>
      </c>
      <c r="AI61" s="172">
        <f t="shared" si="25"/>
        <v>0</v>
      </c>
      <c r="AJ61" s="363">
        <f>[2]東京工場!$L$61</f>
        <v>0</v>
      </c>
      <c r="AK61" s="100">
        <f t="shared" si="36"/>
        <v>0</v>
      </c>
      <c r="AL61" s="548">
        <f t="shared" si="26"/>
        <v>27</v>
      </c>
      <c r="AM61" s="315">
        <f t="shared" si="51"/>
        <v>1.0675721407623601E-7</v>
      </c>
      <c r="AN61" s="479">
        <f t="shared" si="27"/>
        <v>55</v>
      </c>
      <c r="AO61" s="127">
        <f t="shared" si="52"/>
        <v>1.0805043837683606E-7</v>
      </c>
      <c r="AP61" s="528">
        <f t="shared" si="28"/>
        <v>7050</v>
      </c>
      <c r="AQ61" s="286">
        <f t="shared" si="53"/>
        <v>8.6998812014562588E-6</v>
      </c>
      <c r="AR61" s="488">
        <f t="shared" si="29"/>
        <v>51863</v>
      </c>
      <c r="AS61" s="287">
        <f t="shared" si="54"/>
        <v>3.1656209127737896E-5</v>
      </c>
      <c r="AT61" s="585">
        <f>[2]全社合計!$G$61</f>
        <v>529774</v>
      </c>
      <c r="AU61" s="128">
        <f t="shared" si="30"/>
        <v>5.6781559201139861E-4</v>
      </c>
      <c r="AV61" s="579">
        <f>[2]全社合計!$N$61</f>
        <v>538997</v>
      </c>
      <c r="AW61" s="129">
        <f t="shared" si="31"/>
        <v>2.8366599859917265E-4</v>
      </c>
      <c r="AX61" s="585">
        <f t="shared" si="32"/>
        <v>-522724</v>
      </c>
      <c r="AY61" s="128">
        <f>IF(ISERROR(AP61/AT61),"",AP61/AT61)</f>
        <v>1.330756133747598E-2</v>
      </c>
      <c r="AZ61" s="579">
        <f t="shared" si="34"/>
        <v>-487134</v>
      </c>
      <c r="BA61" s="129">
        <f t="shared" si="35"/>
        <v>9.6221314775406908E-2</v>
      </c>
      <c r="BB61" s="14"/>
    </row>
    <row r="62" spans="1:54" ht="15.95" customHeight="1">
      <c r="A62" s="62" t="s">
        <v>49</v>
      </c>
      <c r="B62" s="708">
        <f>SUM(B55:B61)</f>
        <v>1092598</v>
      </c>
      <c r="C62" s="141" t="str">
        <f t="shared" si="38"/>
        <v/>
      </c>
      <c r="D62" s="401">
        <f>SUM(D55:D61)</f>
        <v>2227878</v>
      </c>
      <c r="E62" s="139" t="str">
        <f t="shared" si="39"/>
        <v/>
      </c>
      <c r="F62" s="466">
        <f>SUM(F55:F61)</f>
        <v>179896</v>
      </c>
      <c r="G62" s="64">
        <f t="shared" si="40"/>
        <v>3.4578844290702603E-4</v>
      </c>
      <c r="H62" s="401">
        <f>SUM(H55:H61)</f>
        <v>402388</v>
      </c>
      <c r="I62" s="141">
        <f t="shared" si="19"/>
        <v>3.8140996812527052E-4</v>
      </c>
      <c r="J62" s="390">
        <f>SUM(J55:J61)</f>
        <v>0</v>
      </c>
      <c r="K62" s="64">
        <f t="shared" si="20"/>
        <v>0</v>
      </c>
      <c r="L62" s="401">
        <f>SUM(L55:L61)</f>
        <v>0</v>
      </c>
      <c r="M62" s="141">
        <f t="shared" si="37"/>
        <v>0</v>
      </c>
      <c r="N62" s="405">
        <f>SUM(N55:N61)</f>
        <v>1</v>
      </c>
      <c r="O62" s="64">
        <f t="shared" si="41"/>
        <v>3.5949911707016848E-8</v>
      </c>
      <c r="P62" s="401">
        <f>SUM(P55:P61)</f>
        <v>2</v>
      </c>
      <c r="Q62" s="177">
        <f t="shared" si="42"/>
        <v>3.56894617816811E-8</v>
      </c>
      <c r="R62" s="442">
        <f>SUM(R55:R61)</f>
        <v>0</v>
      </c>
      <c r="S62" s="64" t="str">
        <f t="shared" si="43"/>
        <v/>
      </c>
      <c r="T62" s="401">
        <f>SUM(T55:T61)</f>
        <v>0</v>
      </c>
      <c r="U62" s="209" t="str">
        <f t="shared" si="44"/>
        <v/>
      </c>
      <c r="V62" s="458">
        <f t="shared" si="21"/>
        <v>1</v>
      </c>
      <c r="W62" s="177">
        <f t="shared" si="45"/>
        <v>3.5949911707016848E-8</v>
      </c>
      <c r="X62" s="428">
        <f t="shared" si="22"/>
        <v>2</v>
      </c>
      <c r="Y62" s="230">
        <f t="shared" si="46"/>
        <v>3.56894617816811E-8</v>
      </c>
      <c r="Z62" s="458">
        <f t="shared" si="23"/>
        <v>179897</v>
      </c>
      <c r="AA62" s="194">
        <f t="shared" si="47"/>
        <v>3.2271670125922101E-4</v>
      </c>
      <c r="AB62" s="428">
        <f t="shared" si="24"/>
        <v>402390</v>
      </c>
      <c r="AC62" s="140">
        <f t="shared" si="48"/>
        <v>3.5631856283220537E-4</v>
      </c>
      <c r="AD62" s="466">
        <f>SUM(AD55:AD61)</f>
        <v>27</v>
      </c>
      <c r="AE62" s="64">
        <f t="shared" si="49"/>
        <v>1.1141067148272167E-7</v>
      </c>
      <c r="AF62" s="401">
        <f>SUM(AF55:AF61)</f>
        <v>55</v>
      </c>
      <c r="AG62" s="85">
        <f t="shared" si="50"/>
        <v>1.1255550198777723E-7</v>
      </c>
      <c r="AH62" s="390">
        <f>SUM(AH55:AH61)</f>
        <v>0</v>
      </c>
      <c r="AI62" s="177">
        <f t="shared" si="25"/>
        <v>0</v>
      </c>
      <c r="AJ62" s="401">
        <f>SUM(AJ55:AJ61)</f>
        <v>0</v>
      </c>
      <c r="AK62" s="105">
        <f t="shared" si="36"/>
        <v>0</v>
      </c>
      <c r="AL62" s="549">
        <f t="shared" si="26"/>
        <v>27</v>
      </c>
      <c r="AM62" s="319">
        <f t="shared" si="51"/>
        <v>1.0675721407623601E-7</v>
      </c>
      <c r="AN62" s="480">
        <f t="shared" si="27"/>
        <v>55</v>
      </c>
      <c r="AO62" s="140">
        <f t="shared" si="52"/>
        <v>1.0805043837683606E-7</v>
      </c>
      <c r="AP62" s="529">
        <f t="shared" si="28"/>
        <v>1272522</v>
      </c>
      <c r="AQ62" s="141">
        <f t="shared" si="53"/>
        <v>1.5703248547857477E-3</v>
      </c>
      <c r="AR62" s="428">
        <f t="shared" si="29"/>
        <v>2630323</v>
      </c>
      <c r="AS62" s="140">
        <f t="shared" si="54"/>
        <v>1.6055001631509734E-3</v>
      </c>
      <c r="AT62" s="529">
        <f>SUM(AT55:AT61)</f>
        <v>2145693</v>
      </c>
      <c r="AU62" s="141">
        <f t="shared" si="30"/>
        <v>2.2997692243668317E-3</v>
      </c>
      <c r="AV62" s="410">
        <f>SUM(AV55:AV61)</f>
        <v>3304555</v>
      </c>
      <c r="AW62" s="140">
        <f t="shared" si="31"/>
        <v>1.7391374979840129E-3</v>
      </c>
      <c r="AX62" s="529">
        <f t="shared" si="32"/>
        <v>-873171</v>
      </c>
      <c r="AY62" s="141">
        <f t="shared" si="33"/>
        <v>0.59305874605547015</v>
      </c>
      <c r="AZ62" s="410">
        <f t="shared" si="34"/>
        <v>-674232</v>
      </c>
      <c r="BA62" s="140">
        <f t="shared" si="35"/>
        <v>0.79596889747636212</v>
      </c>
      <c r="BB62" s="11"/>
    </row>
    <row r="63" spans="1:54" ht="15.95" customHeight="1">
      <c r="A63" s="38" t="s">
        <v>59</v>
      </c>
      <c r="B63" s="712">
        <f>[2]本部!$I$63</f>
        <v>-6695102</v>
      </c>
      <c r="C63" s="221" t="str">
        <f t="shared" si="38"/>
        <v/>
      </c>
      <c r="D63" s="732">
        <f>[2]本部!$L$63</f>
        <v>-13581101</v>
      </c>
      <c r="E63" s="142" t="str">
        <f t="shared" si="39"/>
        <v/>
      </c>
      <c r="F63" s="365">
        <f>[2]本社営業!$I$63</f>
        <v>3347551</v>
      </c>
      <c r="G63" s="15">
        <f t="shared" si="40"/>
        <v>6.4345202107987829E-3</v>
      </c>
      <c r="H63" s="367">
        <f>[2]本社営業!$L$63</f>
        <v>6735462</v>
      </c>
      <c r="I63" s="144">
        <f t="shared" si="19"/>
        <v>6.3843164973333474E-3</v>
      </c>
      <c r="J63" s="393">
        <f>[2]東大阪!$I$63</f>
        <v>314670</v>
      </c>
      <c r="K63" s="15">
        <f t="shared" si="20"/>
        <v>3.3545588665008806E-2</v>
      </c>
      <c r="L63" s="367">
        <f>[2]東大阪!$L$63</f>
        <v>741602</v>
      </c>
      <c r="M63" s="144">
        <f t="shared" si="37"/>
        <v>4.0617411469644725E-2</v>
      </c>
      <c r="N63" s="413">
        <f>[2]南港工場!$I$63</f>
        <v>1004265</v>
      </c>
      <c r="O63" s="15">
        <f t="shared" si="41"/>
        <v>3.6103238080447277E-2</v>
      </c>
      <c r="P63" s="367">
        <f>[2]南港工場!$L$63</f>
        <v>2009621</v>
      </c>
      <c r="Q63" s="178">
        <f t="shared" si="42"/>
        <v>3.5861145937581877E-2</v>
      </c>
      <c r="R63" s="447">
        <f>[2]南港事務!$I$63</f>
        <v>200853</v>
      </c>
      <c r="S63" s="15" t="str">
        <f t="shared" si="43"/>
        <v/>
      </c>
      <c r="T63" s="367">
        <f>[2]南港事務!$L$63</f>
        <v>393661</v>
      </c>
      <c r="U63" s="210" t="str">
        <f t="shared" si="44"/>
        <v/>
      </c>
      <c r="V63" s="491">
        <f t="shared" si="21"/>
        <v>1205118</v>
      </c>
      <c r="W63" s="178">
        <f t="shared" si="45"/>
        <v>4.3323885696536731E-2</v>
      </c>
      <c r="X63" s="431">
        <f t="shared" si="22"/>
        <v>2403282</v>
      </c>
      <c r="Y63" s="231">
        <f t="shared" si="46"/>
        <v>4.2885920544801059E-2</v>
      </c>
      <c r="Z63" s="570">
        <f t="shared" si="23"/>
        <v>4867339</v>
      </c>
      <c r="AA63" s="195">
        <f t="shared" si="47"/>
        <v>8.7315051723505979E-3</v>
      </c>
      <c r="AB63" s="567">
        <f t="shared" si="24"/>
        <v>9880346</v>
      </c>
      <c r="AC63" s="143">
        <f t="shared" si="48"/>
        <v>8.7491008399933623E-3</v>
      </c>
      <c r="AD63" s="365">
        <f>[2]東京事務!$I$63</f>
        <v>1305545</v>
      </c>
      <c r="AE63" s="15">
        <f t="shared" si="49"/>
        <v>5.3870979667003651E-3</v>
      </c>
      <c r="AF63" s="367">
        <f>[2]東京事務!$L$63</f>
        <v>2662087</v>
      </c>
      <c r="AG63" s="86">
        <f t="shared" si="50"/>
        <v>5.447864338547926E-3</v>
      </c>
      <c r="AH63" s="393">
        <f>[2]東京工場!$I$63</f>
        <v>522218</v>
      </c>
      <c r="AI63" s="178">
        <f t="shared" si="25"/>
        <v>4.9435206612540354E-2</v>
      </c>
      <c r="AJ63" s="367">
        <f>[2]東京工場!$L$63</f>
        <v>1038668</v>
      </c>
      <c r="AK63" s="106">
        <f t="shared" si="36"/>
        <v>5.0980770768383449E-2</v>
      </c>
      <c r="AL63" s="551">
        <f t="shared" si="26"/>
        <v>1827763</v>
      </c>
      <c r="AM63" s="320">
        <f t="shared" si="51"/>
        <v>7.226921698949014E-3</v>
      </c>
      <c r="AN63" s="538">
        <f t="shared" si="27"/>
        <v>3700755</v>
      </c>
      <c r="AO63" s="143">
        <f t="shared" si="52"/>
        <v>7.2703309104594173E-3</v>
      </c>
      <c r="AP63" s="531">
        <f t="shared" si="28"/>
        <v>0</v>
      </c>
      <c r="AQ63" s="288">
        <f t="shared" si="53"/>
        <v>0</v>
      </c>
      <c r="AR63" s="518">
        <f t="shared" si="29"/>
        <v>0</v>
      </c>
      <c r="AS63" s="289">
        <f t="shared" si="54"/>
        <v>0</v>
      </c>
      <c r="AT63" s="588">
        <f>[2]全社合計!$G$63</f>
        <v>0</v>
      </c>
      <c r="AU63" s="144">
        <f t="shared" si="30"/>
        <v>0</v>
      </c>
      <c r="AV63" s="598">
        <f>[2]全社合計!$N$63</f>
        <v>0</v>
      </c>
      <c r="AW63" s="145">
        <f t="shared" si="31"/>
        <v>0</v>
      </c>
      <c r="AX63" s="588">
        <f t="shared" si="32"/>
        <v>0</v>
      </c>
      <c r="AY63" s="144" t="str">
        <f t="shared" si="33"/>
        <v/>
      </c>
      <c r="AZ63" s="598">
        <f t="shared" si="34"/>
        <v>0</v>
      </c>
      <c r="BA63" s="145" t="str">
        <f t="shared" si="35"/>
        <v/>
      </c>
      <c r="BB63" s="11"/>
    </row>
    <row r="64" spans="1:54" ht="19.899999999999999" customHeight="1">
      <c r="A64" s="57" t="s">
        <v>50</v>
      </c>
      <c r="B64" s="713">
        <f>+B48+B54-B62-B63</f>
        <v>0</v>
      </c>
      <c r="C64" s="146" t="str">
        <f t="shared" si="38"/>
        <v/>
      </c>
      <c r="D64" s="376">
        <f>D48+D54-D62-D63</f>
        <v>0</v>
      </c>
      <c r="E64" s="136" t="str">
        <f t="shared" si="39"/>
        <v/>
      </c>
      <c r="F64" s="375">
        <f>F48+F54-F62-F63</f>
        <v>46528150</v>
      </c>
      <c r="G64" s="56">
        <f t="shared" si="40"/>
        <v>8.9434431781943685E-2</v>
      </c>
      <c r="H64" s="376">
        <f>H48+H54-H62-H63</f>
        <v>124033359</v>
      </c>
      <c r="I64" s="146">
        <f t="shared" si="19"/>
        <v>0.11756702362560573</v>
      </c>
      <c r="J64" s="392">
        <f>J48+J54-J62-J63</f>
        <v>2476274</v>
      </c>
      <c r="K64" s="56">
        <f t="shared" si="20"/>
        <v>0.26398471104921351</v>
      </c>
      <c r="L64" s="376">
        <f>L48+L54-L62-L63</f>
        <v>5839967</v>
      </c>
      <c r="M64" s="146">
        <f t="shared" si="37"/>
        <v>0.31985396831204166</v>
      </c>
      <c r="N64" s="412">
        <f>N48+N54-N62-N63</f>
        <v>6208010</v>
      </c>
      <c r="O64" s="56">
        <f t="shared" si="41"/>
        <v>0.22317741137627767</v>
      </c>
      <c r="P64" s="376">
        <f>P48+P54-P62-P63</f>
        <v>20072630</v>
      </c>
      <c r="Q64" s="176">
        <f t="shared" si="42"/>
        <v>0.35819068062141279</v>
      </c>
      <c r="R64" s="443">
        <f>R48+R54-R62-R63</f>
        <v>-5012560</v>
      </c>
      <c r="S64" s="56" t="str">
        <f t="shared" si="43"/>
        <v/>
      </c>
      <c r="T64" s="376">
        <f>T48+T54-T62-T63</f>
        <v>-8593078</v>
      </c>
      <c r="U64" s="211" t="str">
        <f t="shared" si="44"/>
        <v/>
      </c>
      <c r="V64" s="490">
        <f t="shared" si="21"/>
        <v>1195450</v>
      </c>
      <c r="W64" s="176">
        <f t="shared" si="45"/>
        <v>4.2976321950153287E-2</v>
      </c>
      <c r="X64" s="424">
        <f t="shared" si="22"/>
        <v>11479552</v>
      </c>
      <c r="Y64" s="232">
        <f t="shared" si="46"/>
        <v>0.20484951618741043</v>
      </c>
      <c r="Z64" s="490">
        <f t="shared" si="23"/>
        <v>50199874</v>
      </c>
      <c r="AA64" s="193">
        <f t="shared" si="47"/>
        <v>9.0053406898995186E-2</v>
      </c>
      <c r="AB64" s="424">
        <f t="shared" si="24"/>
        <v>141352878</v>
      </c>
      <c r="AC64" s="185">
        <f t="shared" si="48"/>
        <v>0.12516875255636586</v>
      </c>
      <c r="AD64" s="375">
        <f>AD48+AD54-AD62-AD63</f>
        <v>3980769</v>
      </c>
      <c r="AE64" s="56">
        <f t="shared" si="49"/>
        <v>1.6425931381763053E-2</v>
      </c>
      <c r="AF64" s="376">
        <f>AF48+AF54-AF62-AF63</f>
        <v>14883314</v>
      </c>
      <c r="AG64" s="87">
        <f t="shared" si="50"/>
        <v>3.0458161427485687E-2</v>
      </c>
      <c r="AH64" s="392">
        <f>AH48+AH54-AH62-AH63</f>
        <v>1076240</v>
      </c>
      <c r="AI64" s="176">
        <f t="shared" si="25"/>
        <v>0.10188110475832016</v>
      </c>
      <c r="AJ64" s="376">
        <f>AJ48+AJ54-AJ62-AJ63</f>
        <v>4290862</v>
      </c>
      <c r="AK64" s="104">
        <f t="shared" si="36"/>
        <v>0.21060767446457129</v>
      </c>
      <c r="AL64" s="545">
        <f t="shared" si="26"/>
        <v>5057009</v>
      </c>
      <c r="AM64" s="321">
        <f t="shared" si="51"/>
        <v>1.9995266385127861E-2</v>
      </c>
      <c r="AN64" s="537">
        <f t="shared" si="27"/>
        <v>19174176</v>
      </c>
      <c r="AO64" s="137">
        <f t="shared" si="52"/>
        <v>3.7668693132992891E-2</v>
      </c>
      <c r="AP64" s="525">
        <f t="shared" si="28"/>
        <v>55256883</v>
      </c>
      <c r="AQ64" s="303">
        <f t="shared" si="53"/>
        <v>6.8188413852874885E-2</v>
      </c>
      <c r="AR64" s="517">
        <f t="shared" si="29"/>
        <v>160527054</v>
      </c>
      <c r="AS64" s="304">
        <f t="shared" si="54"/>
        <v>9.7982723561762228E-2</v>
      </c>
      <c r="AT64" s="582">
        <f>AT48+AT54-AT62-AT63</f>
        <v>64092378</v>
      </c>
      <c r="AU64" s="146">
        <f t="shared" si="30"/>
        <v>6.869467274250593E-2</v>
      </c>
      <c r="AV64" s="597">
        <f>AV48+AV54-AV62-AV63</f>
        <v>156806420</v>
      </c>
      <c r="AW64" s="137">
        <f t="shared" si="31"/>
        <v>8.2524855826769494E-2</v>
      </c>
      <c r="AX64" s="582">
        <f t="shared" si="32"/>
        <v>-8835495</v>
      </c>
      <c r="AY64" s="146">
        <f t="shared" si="33"/>
        <v>0.86214437229962038</v>
      </c>
      <c r="AZ64" s="597">
        <f t="shared" si="34"/>
        <v>3720634</v>
      </c>
      <c r="BA64" s="137">
        <f t="shared" si="35"/>
        <v>1.023727561664886</v>
      </c>
      <c r="BB64" s="11"/>
    </row>
    <row r="65" spans="1:54" ht="15.95" customHeight="1">
      <c r="A65" s="39" t="s">
        <v>51</v>
      </c>
      <c r="B65" s="714">
        <f>[2]本部!$I$65</f>
        <v>0</v>
      </c>
      <c r="C65" s="261" t="str">
        <f t="shared" si="38"/>
        <v/>
      </c>
      <c r="D65" s="733">
        <f>[2]本部!$L$65</f>
        <v>0</v>
      </c>
      <c r="E65" s="142" t="str">
        <f t="shared" si="39"/>
        <v/>
      </c>
      <c r="F65" s="368">
        <f>[2]本社営業!$I$65</f>
        <v>0</v>
      </c>
      <c r="G65" s="15">
        <f t="shared" si="40"/>
        <v>0</v>
      </c>
      <c r="H65" s="370">
        <f>[2]本社営業!$L$65</f>
        <v>0</v>
      </c>
      <c r="I65" s="144">
        <f t="shared" si="19"/>
        <v>0</v>
      </c>
      <c r="J65" s="394">
        <f>[2]東大阪!$I$65</f>
        <v>0</v>
      </c>
      <c r="K65" s="15">
        <f t="shared" si="20"/>
        <v>0</v>
      </c>
      <c r="L65" s="370">
        <f>[2]東大阪!$L$65</f>
        <v>0</v>
      </c>
      <c r="M65" s="144">
        <f t="shared" si="37"/>
        <v>0</v>
      </c>
      <c r="N65" s="414">
        <f>[2]南港工場!$I$65</f>
        <v>0</v>
      </c>
      <c r="O65" s="15">
        <f t="shared" si="41"/>
        <v>0</v>
      </c>
      <c r="P65" s="370">
        <f>[2]南港工場!$L$65</f>
        <v>0</v>
      </c>
      <c r="Q65" s="178">
        <f t="shared" si="42"/>
        <v>0</v>
      </c>
      <c r="R65" s="448">
        <f>[2]南港事務!$I$65</f>
        <v>0</v>
      </c>
      <c r="S65" s="15" t="str">
        <f t="shared" si="43"/>
        <v/>
      </c>
      <c r="T65" s="370">
        <f>[2]南港事務!$L$65</f>
        <v>0</v>
      </c>
      <c r="U65" s="210" t="str">
        <f t="shared" si="44"/>
        <v/>
      </c>
      <c r="V65" s="492">
        <f t="shared" si="21"/>
        <v>0</v>
      </c>
      <c r="W65" s="178">
        <f t="shared" si="45"/>
        <v>0</v>
      </c>
      <c r="X65" s="432">
        <f t="shared" si="22"/>
        <v>0</v>
      </c>
      <c r="Y65" s="231">
        <f t="shared" si="46"/>
        <v>0</v>
      </c>
      <c r="Z65" s="571">
        <f t="shared" si="23"/>
        <v>0</v>
      </c>
      <c r="AA65" s="195">
        <f t="shared" si="47"/>
        <v>0</v>
      </c>
      <c r="AB65" s="568">
        <f t="shared" si="24"/>
        <v>0</v>
      </c>
      <c r="AC65" s="143">
        <f t="shared" si="48"/>
        <v>0</v>
      </c>
      <c r="AD65" s="368">
        <f>[2]東京事務!$I$65</f>
        <v>0</v>
      </c>
      <c r="AE65" s="15">
        <f t="shared" si="49"/>
        <v>0</v>
      </c>
      <c r="AF65" s="370">
        <f>[2]東京事務!$L$65</f>
        <v>0</v>
      </c>
      <c r="AG65" s="86">
        <f t="shared" si="50"/>
        <v>0</v>
      </c>
      <c r="AH65" s="394">
        <f>[2]東京工場!$I$65</f>
        <v>0</v>
      </c>
      <c r="AI65" s="178">
        <f t="shared" si="25"/>
        <v>0</v>
      </c>
      <c r="AJ65" s="370">
        <f>[2]東京工場!$L$65</f>
        <v>0</v>
      </c>
      <c r="AK65" s="106">
        <f t="shared" si="36"/>
        <v>0</v>
      </c>
      <c r="AL65" s="552">
        <f t="shared" si="26"/>
        <v>0</v>
      </c>
      <c r="AM65" s="320">
        <f t="shared" si="51"/>
        <v>0</v>
      </c>
      <c r="AN65" s="539">
        <f t="shared" si="27"/>
        <v>0</v>
      </c>
      <c r="AO65" s="143">
        <f t="shared" si="52"/>
        <v>0</v>
      </c>
      <c r="AP65" s="532">
        <f t="shared" si="28"/>
        <v>0</v>
      </c>
      <c r="AQ65" s="288">
        <f t="shared" si="53"/>
        <v>0</v>
      </c>
      <c r="AR65" s="519">
        <f t="shared" si="29"/>
        <v>0</v>
      </c>
      <c r="AS65" s="289">
        <f t="shared" si="54"/>
        <v>0</v>
      </c>
      <c r="AT65" s="589">
        <f>[2]全社合計!$G$65</f>
        <v>0</v>
      </c>
      <c r="AU65" s="144">
        <f t="shared" si="30"/>
        <v>0</v>
      </c>
      <c r="AV65" s="599">
        <f>[2]全社合計!$N$65</f>
        <v>0</v>
      </c>
      <c r="AW65" s="145">
        <f t="shared" si="31"/>
        <v>0</v>
      </c>
      <c r="AX65" s="589">
        <f t="shared" si="32"/>
        <v>0</v>
      </c>
      <c r="AY65" s="144" t="str">
        <f t="shared" si="33"/>
        <v/>
      </c>
      <c r="AZ65" s="599">
        <f t="shared" si="34"/>
        <v>0</v>
      </c>
      <c r="BA65" s="145" t="str">
        <f t="shared" si="35"/>
        <v/>
      </c>
      <c r="BB65" s="11"/>
    </row>
    <row r="66" spans="1:54" ht="15.95" customHeight="1">
      <c r="A66" s="40" t="s">
        <v>52</v>
      </c>
      <c r="B66" s="715">
        <f>[2]本部!$I$66</f>
        <v>0</v>
      </c>
      <c r="C66" s="262" t="str">
        <f t="shared" si="38"/>
        <v/>
      </c>
      <c r="D66" s="734">
        <f>[2]本部!$L$66</f>
        <v>0</v>
      </c>
      <c r="E66" s="147" t="str">
        <f t="shared" si="39"/>
        <v/>
      </c>
      <c r="F66" s="369">
        <f>[2]本社営業!$I$66</f>
        <v>0</v>
      </c>
      <c r="G66" s="16">
        <f t="shared" si="40"/>
        <v>0</v>
      </c>
      <c r="H66" s="371">
        <f>[2]本社営業!$L$66</f>
        <v>0</v>
      </c>
      <c r="I66" s="149">
        <f t="shared" si="19"/>
        <v>0</v>
      </c>
      <c r="J66" s="395">
        <f>[2]東大阪!$I$66</f>
        <v>0</v>
      </c>
      <c r="K66" s="16">
        <f>IF(ISERR(J66/$J$11),"",J66/$J$11)</f>
        <v>0</v>
      </c>
      <c r="L66" s="371">
        <f>[2]東大阪!$L$66</f>
        <v>0</v>
      </c>
      <c r="M66" s="149">
        <f t="shared" si="37"/>
        <v>0</v>
      </c>
      <c r="N66" s="415">
        <f>[2]南港工場!$I$66</f>
        <v>0</v>
      </c>
      <c r="O66" s="16">
        <f t="shared" si="41"/>
        <v>0</v>
      </c>
      <c r="P66" s="371">
        <f>[2]南港工場!$L$66</f>
        <v>0</v>
      </c>
      <c r="Q66" s="179">
        <f t="shared" si="42"/>
        <v>0</v>
      </c>
      <c r="R66" s="449">
        <f>[2]南港事務!$I$66</f>
        <v>0</v>
      </c>
      <c r="S66" s="16" t="str">
        <f t="shared" si="43"/>
        <v/>
      </c>
      <c r="T66" s="371">
        <f>[2]南港事務!$L$66</f>
        <v>0</v>
      </c>
      <c r="U66" s="212" t="str">
        <f t="shared" si="44"/>
        <v/>
      </c>
      <c r="V66" s="493">
        <f t="shared" si="21"/>
        <v>0</v>
      </c>
      <c r="W66" s="179">
        <f t="shared" si="45"/>
        <v>0</v>
      </c>
      <c r="X66" s="433">
        <f t="shared" si="22"/>
        <v>0</v>
      </c>
      <c r="Y66" s="233">
        <f t="shared" si="46"/>
        <v>0</v>
      </c>
      <c r="Z66" s="572">
        <f t="shared" si="23"/>
        <v>0</v>
      </c>
      <c r="AA66" s="196">
        <f t="shared" si="47"/>
        <v>0</v>
      </c>
      <c r="AB66" s="569">
        <f t="shared" si="24"/>
        <v>0</v>
      </c>
      <c r="AC66" s="148">
        <f t="shared" si="48"/>
        <v>0</v>
      </c>
      <c r="AD66" s="369">
        <f>[2]東京事務!$I$66</f>
        <v>0</v>
      </c>
      <c r="AE66" s="16">
        <f t="shared" si="49"/>
        <v>0</v>
      </c>
      <c r="AF66" s="371">
        <f>[2]東京事務!$L$66</f>
        <v>0</v>
      </c>
      <c r="AG66" s="88">
        <f t="shared" si="50"/>
        <v>0</v>
      </c>
      <c r="AH66" s="395">
        <f>[2]東京工場!$I$66</f>
        <v>0</v>
      </c>
      <c r="AI66" s="179">
        <f t="shared" si="25"/>
        <v>0</v>
      </c>
      <c r="AJ66" s="371">
        <f>[2]東京工場!$L$66</f>
        <v>0</v>
      </c>
      <c r="AK66" s="107">
        <f t="shared" si="36"/>
        <v>0</v>
      </c>
      <c r="AL66" s="553">
        <f t="shared" si="26"/>
        <v>0</v>
      </c>
      <c r="AM66" s="322">
        <f t="shared" si="51"/>
        <v>0</v>
      </c>
      <c r="AN66" s="540">
        <f t="shared" si="27"/>
        <v>0</v>
      </c>
      <c r="AO66" s="148">
        <f t="shared" si="52"/>
        <v>0</v>
      </c>
      <c r="AP66" s="533">
        <f t="shared" si="28"/>
        <v>0</v>
      </c>
      <c r="AQ66" s="290">
        <f t="shared" si="53"/>
        <v>0</v>
      </c>
      <c r="AR66" s="520">
        <f t="shared" si="29"/>
        <v>0</v>
      </c>
      <c r="AS66" s="291">
        <f t="shared" si="54"/>
        <v>0</v>
      </c>
      <c r="AT66" s="590">
        <f>[2]全社合計!$G$66</f>
        <v>0</v>
      </c>
      <c r="AU66" s="149">
        <f t="shared" si="30"/>
        <v>0</v>
      </c>
      <c r="AV66" s="600">
        <f>[2]全社合計!$N$66</f>
        <v>0</v>
      </c>
      <c r="AW66" s="150">
        <f t="shared" si="31"/>
        <v>0</v>
      </c>
      <c r="AX66" s="590">
        <f t="shared" si="32"/>
        <v>0</v>
      </c>
      <c r="AY66" s="149" t="str">
        <f t="shared" si="33"/>
        <v/>
      </c>
      <c r="AZ66" s="600">
        <f t="shared" si="34"/>
        <v>0</v>
      </c>
      <c r="BA66" s="150" t="str">
        <f t="shared" si="35"/>
        <v/>
      </c>
      <c r="BB66" s="11"/>
    </row>
    <row r="67" spans="1:54" ht="18" customHeight="1">
      <c r="A67" s="68" t="s">
        <v>60</v>
      </c>
      <c r="B67" s="716">
        <f>+B64+B65-B66</f>
        <v>0</v>
      </c>
      <c r="C67" s="152" t="str">
        <f t="shared" si="38"/>
        <v/>
      </c>
      <c r="D67" s="377">
        <f>D64+D65-D66</f>
        <v>0</v>
      </c>
      <c r="E67" s="218" t="str">
        <f t="shared" si="39"/>
        <v/>
      </c>
      <c r="F67" s="372">
        <f>F64+F65-F66</f>
        <v>46528150</v>
      </c>
      <c r="G67" s="69">
        <f t="shared" si="40"/>
        <v>8.9434431781943685E-2</v>
      </c>
      <c r="H67" s="377">
        <f>H64+H65-H66</f>
        <v>124033359</v>
      </c>
      <c r="I67" s="152">
        <f t="shared" si="19"/>
        <v>0.11756702362560573</v>
      </c>
      <c r="J67" s="396">
        <f>J64+J65-J66</f>
        <v>2476274</v>
      </c>
      <c r="K67" s="69">
        <f>IF(ISERR(J67/$J$11),"",J67/$J$11)</f>
        <v>0.26398471104921351</v>
      </c>
      <c r="L67" s="377">
        <f>L64+L65-L66</f>
        <v>5839967</v>
      </c>
      <c r="M67" s="152">
        <f t="shared" si="37"/>
        <v>0.31985396831204166</v>
      </c>
      <c r="N67" s="416">
        <f>N64+N65-N66</f>
        <v>6208010</v>
      </c>
      <c r="O67" s="69">
        <f t="shared" si="41"/>
        <v>0.22317741137627767</v>
      </c>
      <c r="P67" s="377">
        <f>P64+P65-P66</f>
        <v>20072630</v>
      </c>
      <c r="Q67" s="180">
        <f t="shared" si="42"/>
        <v>0.35819068062141279</v>
      </c>
      <c r="R67" s="450">
        <f>R64+R65-R66</f>
        <v>-5012560</v>
      </c>
      <c r="S67" s="69" t="str">
        <f t="shared" si="43"/>
        <v/>
      </c>
      <c r="T67" s="377">
        <f>T64+T65-T66</f>
        <v>-8593078</v>
      </c>
      <c r="U67" s="213" t="str">
        <f t="shared" si="44"/>
        <v/>
      </c>
      <c r="V67" s="494">
        <f t="shared" si="21"/>
        <v>1195450</v>
      </c>
      <c r="W67" s="180">
        <f t="shared" si="45"/>
        <v>4.2976321950153287E-2</v>
      </c>
      <c r="X67" s="434">
        <f t="shared" si="22"/>
        <v>11479552</v>
      </c>
      <c r="Y67" s="234">
        <f t="shared" si="46"/>
        <v>0.20484951618741043</v>
      </c>
      <c r="Z67" s="494">
        <f t="shared" si="23"/>
        <v>50199874</v>
      </c>
      <c r="AA67" s="197">
        <f t="shared" si="47"/>
        <v>9.0053406898995186E-2</v>
      </c>
      <c r="AB67" s="434">
        <f t="shared" si="24"/>
        <v>141352878</v>
      </c>
      <c r="AC67" s="186">
        <f t="shared" si="48"/>
        <v>0.12516875255636586</v>
      </c>
      <c r="AD67" s="372">
        <f>AD64+AD65-AD66</f>
        <v>3980769</v>
      </c>
      <c r="AE67" s="69">
        <f t="shared" si="49"/>
        <v>1.6425931381763053E-2</v>
      </c>
      <c r="AF67" s="377">
        <f>AF64+AF65-AF66</f>
        <v>14883314</v>
      </c>
      <c r="AG67" s="89">
        <f t="shared" si="50"/>
        <v>3.0458161427485687E-2</v>
      </c>
      <c r="AH67" s="396">
        <f>AH64+AH65-AH66</f>
        <v>1076240</v>
      </c>
      <c r="AI67" s="180">
        <f t="shared" si="25"/>
        <v>0.10188110475832016</v>
      </c>
      <c r="AJ67" s="377">
        <f>AJ64+AJ65-AJ66</f>
        <v>4290862</v>
      </c>
      <c r="AK67" s="108">
        <f t="shared" si="36"/>
        <v>0.21060767446457129</v>
      </c>
      <c r="AL67" s="554">
        <f t="shared" si="26"/>
        <v>5057009</v>
      </c>
      <c r="AM67" s="323">
        <f t="shared" si="51"/>
        <v>1.9995266385127861E-2</v>
      </c>
      <c r="AN67" s="541">
        <f t="shared" si="27"/>
        <v>19174176</v>
      </c>
      <c r="AO67" s="151">
        <f t="shared" si="52"/>
        <v>3.7668693132992891E-2</v>
      </c>
      <c r="AP67" s="534">
        <f t="shared" si="28"/>
        <v>55256883</v>
      </c>
      <c r="AQ67" s="152">
        <f t="shared" si="53"/>
        <v>6.8188413852874885E-2</v>
      </c>
      <c r="AR67" s="521">
        <f t="shared" si="29"/>
        <v>160527054</v>
      </c>
      <c r="AS67" s="151">
        <f t="shared" si="54"/>
        <v>9.7982723561762228E-2</v>
      </c>
      <c r="AT67" s="534">
        <f>AT64+AT65-AT66</f>
        <v>64092378</v>
      </c>
      <c r="AU67" s="152">
        <f t="shared" si="30"/>
        <v>6.869467274250593E-2</v>
      </c>
      <c r="AV67" s="601">
        <f>AV64+AV65-AV66</f>
        <v>156806420</v>
      </c>
      <c r="AW67" s="151">
        <f t="shared" si="31"/>
        <v>8.2524855826769494E-2</v>
      </c>
      <c r="AX67" s="534">
        <f t="shared" si="32"/>
        <v>-8835495</v>
      </c>
      <c r="AY67" s="152">
        <f t="shared" si="33"/>
        <v>0.86214437229962038</v>
      </c>
      <c r="AZ67" s="601">
        <f t="shared" si="34"/>
        <v>3720634</v>
      </c>
      <c r="BA67" s="151">
        <f t="shared" si="35"/>
        <v>1.023727561664886</v>
      </c>
      <c r="BB67" s="11"/>
    </row>
    <row r="68" spans="1:54" ht="18" customHeight="1">
      <c r="A68" s="70" t="s">
        <v>61</v>
      </c>
      <c r="B68" s="717"/>
      <c r="C68" s="155" t="str">
        <f t="shared" si="38"/>
        <v/>
      </c>
      <c r="D68" s="378"/>
      <c r="E68" s="153" t="str">
        <f t="shared" si="39"/>
        <v/>
      </c>
      <c r="F68" s="373"/>
      <c r="G68" s="71">
        <f t="shared" si="40"/>
        <v>0</v>
      </c>
      <c r="H68" s="378"/>
      <c r="I68" s="155">
        <f t="shared" si="19"/>
        <v>0</v>
      </c>
      <c r="J68" s="397"/>
      <c r="K68" s="71">
        <f t="shared" si="20"/>
        <v>0</v>
      </c>
      <c r="L68" s="378"/>
      <c r="M68" s="155">
        <f t="shared" si="37"/>
        <v>0</v>
      </c>
      <c r="N68" s="417"/>
      <c r="O68" s="71">
        <f t="shared" si="41"/>
        <v>0</v>
      </c>
      <c r="P68" s="378"/>
      <c r="Q68" s="181">
        <f t="shared" si="42"/>
        <v>0</v>
      </c>
      <c r="R68" s="451"/>
      <c r="S68" s="71" t="str">
        <f t="shared" si="43"/>
        <v/>
      </c>
      <c r="T68" s="378"/>
      <c r="U68" s="214" t="str">
        <f t="shared" si="44"/>
        <v/>
      </c>
      <c r="V68" s="495">
        <f t="shared" si="21"/>
        <v>0</v>
      </c>
      <c r="W68" s="181">
        <f t="shared" si="45"/>
        <v>0</v>
      </c>
      <c r="X68" s="435">
        <f t="shared" si="22"/>
        <v>0</v>
      </c>
      <c r="Y68" s="235">
        <f t="shared" si="46"/>
        <v>0</v>
      </c>
      <c r="Z68" s="495">
        <f t="shared" si="23"/>
        <v>0</v>
      </c>
      <c r="AA68" s="198">
        <f t="shared" si="47"/>
        <v>0</v>
      </c>
      <c r="AB68" s="435">
        <f t="shared" si="24"/>
        <v>0</v>
      </c>
      <c r="AC68" s="154">
        <f t="shared" si="48"/>
        <v>0</v>
      </c>
      <c r="AD68" s="373"/>
      <c r="AE68" s="71">
        <f t="shared" si="49"/>
        <v>0</v>
      </c>
      <c r="AF68" s="378"/>
      <c r="AG68" s="90">
        <f t="shared" si="50"/>
        <v>0</v>
      </c>
      <c r="AH68" s="561"/>
      <c r="AI68" s="181">
        <f t="shared" si="25"/>
        <v>0</v>
      </c>
      <c r="AJ68" s="378"/>
      <c r="AK68" s="109">
        <f t="shared" si="36"/>
        <v>0</v>
      </c>
      <c r="AL68" s="555">
        <f t="shared" si="26"/>
        <v>0</v>
      </c>
      <c r="AM68" s="324"/>
      <c r="AN68" s="542">
        <f t="shared" si="27"/>
        <v>0</v>
      </c>
      <c r="AO68" s="154">
        <f t="shared" si="52"/>
        <v>0</v>
      </c>
      <c r="AP68" s="535">
        <f t="shared" si="28"/>
        <v>0</v>
      </c>
      <c r="AQ68" s="293">
        <f t="shared" si="53"/>
        <v>0</v>
      </c>
      <c r="AR68" s="522">
        <f t="shared" si="29"/>
        <v>0</v>
      </c>
      <c r="AS68" s="292">
        <f t="shared" si="54"/>
        <v>0</v>
      </c>
      <c r="AT68" s="591"/>
      <c r="AU68" s="155">
        <f t="shared" si="30"/>
        <v>0</v>
      </c>
      <c r="AV68" s="602"/>
      <c r="AW68" s="154">
        <f t="shared" si="31"/>
        <v>0</v>
      </c>
      <c r="AX68" s="591">
        <f t="shared" si="32"/>
        <v>0</v>
      </c>
      <c r="AY68" s="155" t="str">
        <f t="shared" si="33"/>
        <v/>
      </c>
      <c r="AZ68" s="602">
        <f t="shared" si="34"/>
        <v>0</v>
      </c>
      <c r="BA68" s="154" t="str">
        <f t="shared" si="35"/>
        <v/>
      </c>
      <c r="BB68" s="11"/>
    </row>
    <row r="69" spans="1:54" ht="18" customHeight="1">
      <c r="A69" s="58" t="s">
        <v>62</v>
      </c>
      <c r="B69" s="718">
        <f>+B67-B68</f>
        <v>0</v>
      </c>
      <c r="C69" s="157" t="str">
        <f t="shared" si="38"/>
        <v/>
      </c>
      <c r="D69" s="376">
        <f>D67-D68</f>
        <v>0</v>
      </c>
      <c r="E69" s="219" t="str">
        <f t="shared" si="39"/>
        <v/>
      </c>
      <c r="F69" s="374">
        <f>F67-F68</f>
        <v>46528150</v>
      </c>
      <c r="G69" s="59">
        <f t="shared" si="40"/>
        <v>8.9434431781943685E-2</v>
      </c>
      <c r="H69" s="376">
        <f>H67-H68</f>
        <v>124033359</v>
      </c>
      <c r="I69" s="157">
        <f t="shared" si="19"/>
        <v>0.11756702362560573</v>
      </c>
      <c r="J69" s="398">
        <f>J67-J68</f>
        <v>2476274</v>
      </c>
      <c r="K69" s="59">
        <f t="shared" si="20"/>
        <v>0.26398471104921351</v>
      </c>
      <c r="L69" s="376">
        <f>L67-L68</f>
        <v>5839967</v>
      </c>
      <c r="M69" s="157">
        <f t="shared" si="37"/>
        <v>0.31985396831204166</v>
      </c>
      <c r="N69" s="418">
        <f>N67-N68</f>
        <v>6208010</v>
      </c>
      <c r="O69" s="59">
        <f t="shared" si="41"/>
        <v>0.22317741137627767</v>
      </c>
      <c r="P69" s="376">
        <f>P67-P68</f>
        <v>20072630</v>
      </c>
      <c r="Q69" s="182">
        <f t="shared" si="42"/>
        <v>0.35819068062141279</v>
      </c>
      <c r="R69" s="443">
        <f>R67-R68</f>
        <v>-5012560</v>
      </c>
      <c r="S69" s="59" t="str">
        <f t="shared" si="43"/>
        <v/>
      </c>
      <c r="T69" s="376">
        <f>T67-T68</f>
        <v>-8593078</v>
      </c>
      <c r="U69" s="215" t="str">
        <f t="shared" si="44"/>
        <v/>
      </c>
      <c r="V69" s="496">
        <f t="shared" si="21"/>
        <v>1195450</v>
      </c>
      <c r="W69" s="182">
        <f t="shared" si="45"/>
        <v>4.2976321950153287E-2</v>
      </c>
      <c r="X69" s="424">
        <f t="shared" si="22"/>
        <v>11479552</v>
      </c>
      <c r="Y69" s="236">
        <f t="shared" si="46"/>
        <v>0.20484951618741043</v>
      </c>
      <c r="Z69" s="490">
        <f t="shared" si="23"/>
        <v>50199874</v>
      </c>
      <c r="AA69" s="199">
        <f t="shared" si="47"/>
        <v>9.0053406898995186E-2</v>
      </c>
      <c r="AB69" s="424">
        <f t="shared" si="24"/>
        <v>141352878</v>
      </c>
      <c r="AC69" s="187">
        <f t="shared" si="48"/>
        <v>0.12516875255636586</v>
      </c>
      <c r="AD69" s="374">
        <f>AD67-AD68</f>
        <v>3980769</v>
      </c>
      <c r="AE69" s="59">
        <f t="shared" si="49"/>
        <v>1.6425931381763053E-2</v>
      </c>
      <c r="AF69" s="376">
        <f>AF67-AF68</f>
        <v>14883314</v>
      </c>
      <c r="AG69" s="91">
        <f t="shared" si="50"/>
        <v>3.0458161427485687E-2</v>
      </c>
      <c r="AH69" s="398">
        <f>+AH67-AH68</f>
        <v>1076240</v>
      </c>
      <c r="AI69" s="182">
        <f t="shared" si="25"/>
        <v>0.10188110475832016</v>
      </c>
      <c r="AJ69" s="376">
        <f>AJ67-AJ68</f>
        <v>4290862</v>
      </c>
      <c r="AK69" s="110">
        <f t="shared" si="36"/>
        <v>0.21060767446457129</v>
      </c>
      <c r="AL69" s="545">
        <f t="shared" si="26"/>
        <v>5057009</v>
      </c>
      <c r="AM69" s="325"/>
      <c r="AN69" s="543">
        <f t="shared" si="27"/>
        <v>19174176</v>
      </c>
      <c r="AO69" s="156">
        <f t="shared" si="52"/>
        <v>3.7668693132992891E-2</v>
      </c>
      <c r="AP69" s="525">
        <f t="shared" si="28"/>
        <v>55256883</v>
      </c>
      <c r="AQ69" s="152">
        <f t="shared" si="53"/>
        <v>6.8188413852874885E-2</v>
      </c>
      <c r="AR69" s="523">
        <f t="shared" si="29"/>
        <v>160527054</v>
      </c>
      <c r="AS69" s="151">
        <f t="shared" si="54"/>
        <v>9.7982723561762228E-2</v>
      </c>
      <c r="AT69" s="582">
        <f>AT67-AT68</f>
        <v>64092378</v>
      </c>
      <c r="AU69" s="157">
        <f t="shared" si="30"/>
        <v>6.869467274250593E-2</v>
      </c>
      <c r="AV69" s="603">
        <f>AV67-AV68</f>
        <v>156806420</v>
      </c>
      <c r="AW69" s="156">
        <f t="shared" si="31"/>
        <v>8.2524855826769494E-2</v>
      </c>
      <c r="AX69" s="582">
        <f t="shared" si="32"/>
        <v>-8835495</v>
      </c>
      <c r="AY69" s="157">
        <f t="shared" si="33"/>
        <v>0.86214437229962038</v>
      </c>
      <c r="AZ69" s="603">
        <f t="shared" si="34"/>
        <v>3720634</v>
      </c>
      <c r="BA69" s="156">
        <f t="shared" si="35"/>
        <v>1.023727561664886</v>
      </c>
      <c r="BB69" s="11"/>
    </row>
    <row r="70" spans="1:54" ht="15.95" customHeight="1" thickBot="1">
      <c r="A70" s="41" t="s">
        <v>84</v>
      </c>
      <c r="B70" s="263">
        <f>[2]本部!$I$68</f>
        <v>6</v>
      </c>
      <c r="C70" s="264"/>
      <c r="D70" s="248">
        <f>[2]本部!$L$68</f>
        <v>6</v>
      </c>
      <c r="E70" s="46"/>
      <c r="F70" s="28">
        <f>[2]本社営業!$I$68</f>
        <v>19</v>
      </c>
      <c r="G70" s="19"/>
      <c r="H70" s="249">
        <f>[2]本社営業!$L$68</f>
        <v>19</v>
      </c>
      <c r="I70" s="20"/>
      <c r="J70" s="31">
        <f>[2]東大阪!$I$68</f>
        <v>15</v>
      </c>
      <c r="K70" s="19"/>
      <c r="L70" s="249">
        <f>J70</f>
        <v>15</v>
      </c>
      <c r="M70" s="20"/>
      <c r="N70" s="237">
        <f>[2]南港工場!$I$68</f>
        <v>17</v>
      </c>
      <c r="O70" s="19"/>
      <c r="P70" s="249">
        <f>N70</f>
        <v>17</v>
      </c>
      <c r="Q70" s="246"/>
      <c r="R70" s="247">
        <f>[2]南港事務!$I$68</f>
        <v>6</v>
      </c>
      <c r="S70" s="19"/>
      <c r="T70" s="249">
        <f>R70</f>
        <v>6</v>
      </c>
      <c r="U70" s="73"/>
      <c r="V70" s="18">
        <f t="shared" si="21"/>
        <v>23</v>
      </c>
      <c r="W70" s="19"/>
      <c r="X70" s="250">
        <f t="shared" si="22"/>
        <v>23</v>
      </c>
      <c r="Y70" s="238"/>
      <c r="Z70" s="53">
        <f t="shared" si="23"/>
        <v>57</v>
      </c>
      <c r="AA70" s="75"/>
      <c r="AB70" s="251">
        <f t="shared" si="24"/>
        <v>57</v>
      </c>
      <c r="AC70" s="333"/>
      <c r="AD70" s="28">
        <f>[2]東京事務!$I$68</f>
        <v>8</v>
      </c>
      <c r="AE70" s="19"/>
      <c r="AF70" s="249">
        <f>AD70</f>
        <v>8</v>
      </c>
      <c r="AG70" s="32"/>
      <c r="AH70" s="31">
        <f>[2]東京工場!$I$68</f>
        <v>12</v>
      </c>
      <c r="AI70" s="19"/>
      <c r="AJ70" s="249">
        <f>AH70</f>
        <v>12</v>
      </c>
      <c r="AK70" s="45"/>
      <c r="AL70" s="48">
        <f t="shared" si="26"/>
        <v>20</v>
      </c>
      <c r="AM70" s="326"/>
      <c r="AN70" s="252">
        <f t="shared" si="27"/>
        <v>20</v>
      </c>
      <c r="AO70" s="54"/>
      <c r="AP70" s="294">
        <f t="shared" si="28"/>
        <v>83</v>
      </c>
      <c r="AQ70" s="295"/>
      <c r="AR70" s="296">
        <f t="shared" si="29"/>
        <v>83</v>
      </c>
      <c r="AS70" s="297"/>
      <c r="AT70" s="17">
        <f>[2]全社合計!$G$68</f>
        <v>79</v>
      </c>
      <c r="AU70" s="20"/>
      <c r="AV70" s="257">
        <f>[2]全社合計!$N$68</f>
        <v>79</v>
      </c>
      <c r="AW70" s="34"/>
      <c r="AX70" s="17">
        <f t="shared" si="32"/>
        <v>4</v>
      </c>
      <c r="AY70" s="311"/>
      <c r="AZ70" s="257">
        <f t="shared" si="34"/>
        <v>4</v>
      </c>
      <c r="BA70" s="34"/>
      <c r="BB70" s="11"/>
    </row>
    <row r="71" spans="1:54" ht="16.149999999999999" customHeight="1" thickTop="1">
      <c r="A71" s="42" t="s">
        <v>63</v>
      </c>
      <c r="B71" s="705">
        <f>[2]本部!$I$71</f>
        <v>850000</v>
      </c>
      <c r="C71" s="265" t="str">
        <f t="shared" ref="C71:C79" si="55">IF(ISERR(B71/$B$11),"",B71/$B$11)</f>
        <v/>
      </c>
      <c r="D71" s="725">
        <f>[2]本部!$L$71</f>
        <v>1700000</v>
      </c>
      <c r="E71" s="158" t="str">
        <f t="shared" ref="E71:E76" si="56">IF(ISERR(D72/$D$11),"",D72/$D$11)</f>
        <v/>
      </c>
      <c r="F71" s="379">
        <f>[2]本社営業!$I$71</f>
        <v>2050000</v>
      </c>
      <c r="G71" s="307">
        <f t="shared" ref="G71:G78" si="57">IF(ISERR(F71/$F$11),"",F71/$F$11)</f>
        <v>3.9404228440843786E-3</v>
      </c>
      <c r="H71" s="360">
        <f>[2]本社営業!$L$71</f>
        <v>4100000</v>
      </c>
      <c r="I71" s="160">
        <f t="shared" si="19"/>
        <v>3.8862512533018112E-3</v>
      </c>
      <c r="J71" s="399">
        <f>[2]東大阪!$I$71</f>
        <v>-1047000</v>
      </c>
      <c r="K71" s="308">
        <f t="shared" si="20"/>
        <v>-0.11161607821611282</v>
      </c>
      <c r="L71" s="360">
        <f>[2]東大阪!$L$71</f>
        <v>-297000</v>
      </c>
      <c r="M71" s="160">
        <f t="shared" si="37"/>
        <v>-1.6266637908857424E-2</v>
      </c>
      <c r="N71" s="419">
        <f>[2]南港工場!$I$71</f>
        <v>1550000</v>
      </c>
      <c r="O71" s="79">
        <f t="shared" ref="O71:O78" si="58">IF(ISERR(N71/$N$11),"",N71/$N$11)</f>
        <v>5.5722363145876114E-2</v>
      </c>
      <c r="P71" s="360">
        <f>[2]南港工場!$L$71</f>
        <v>3100000</v>
      </c>
      <c r="Q71" s="169">
        <f t="shared" ref="Q71:Q79" si="59">IF(ISERR(P71/$P$11),"",P71/$P$11)</f>
        <v>5.5318665761605712E-2</v>
      </c>
      <c r="R71" s="452">
        <f>[2]南港事務!$I$71</f>
        <v>520000</v>
      </c>
      <c r="S71" s="21" t="str">
        <f t="shared" ref="S71:S78" si="60">IF(ISERR(R71/$R$11),"",R71/$R$11)</f>
        <v/>
      </c>
      <c r="T71" s="360">
        <f>[2]南港事務!$L$71</f>
        <v>1040000</v>
      </c>
      <c r="U71" s="216" t="str">
        <f t="shared" ref="U71:U79" si="61">IF(ISERR(T71/$T$11),"",T71/$T$11)</f>
        <v/>
      </c>
      <c r="V71" s="497">
        <f t="shared" si="21"/>
        <v>2070000</v>
      </c>
      <c r="W71" s="21">
        <f t="shared" ref="W71:W78" si="62">IF(ISERR(V71/$V$11),"",V71/$V$11)</f>
        <v>7.4416317233524876E-2</v>
      </c>
      <c r="X71" s="421">
        <f t="shared" si="22"/>
        <v>4140000</v>
      </c>
      <c r="Y71" s="239">
        <f t="shared" ref="Y71:Y79" si="63">IF(ISERR(X71/$X$11),"",X71/$X$11)</f>
        <v>7.3877185888079885E-2</v>
      </c>
      <c r="Z71" s="500">
        <f t="shared" si="23"/>
        <v>3073000</v>
      </c>
      <c r="AA71" s="200">
        <f t="shared" ref="AA71:AA78" si="64">IF(ISERR(Z71/$Z$11),"",Z71/$Z$11)</f>
        <v>5.5126456970910368E-3</v>
      </c>
      <c r="AB71" s="502">
        <f t="shared" si="24"/>
        <v>7943000</v>
      </c>
      <c r="AC71" s="334">
        <f t="shared" ref="AC71:AC79" si="65">IF(ISERR(AB71/$AB$11),"",AB71/$AB$11)</f>
        <v>7.0335702790233533E-3</v>
      </c>
      <c r="AD71" s="379">
        <f>[2]東京事務!$I$71</f>
        <v>750000</v>
      </c>
      <c r="AE71" s="22">
        <f t="shared" ref="AE71:AE79" si="66">IF(ISERR(AD71/$AD$11),"",AD71/$AD$11)</f>
        <v>3.0947408745200466E-3</v>
      </c>
      <c r="AF71" s="360">
        <f>[2]東京事務!$L$71</f>
        <v>1500000</v>
      </c>
      <c r="AG71" s="92">
        <f t="shared" ref="AG71:AG79" si="67">IF(ISERR(AF71/$AF$11),"",AF71/$AF$11)</f>
        <v>3.0696955087575607E-3</v>
      </c>
      <c r="AH71" s="399">
        <f>[2]東京工場!$I$71</f>
        <v>920000</v>
      </c>
      <c r="AI71" s="183">
        <f t="shared" si="25"/>
        <v>8.7090812809089549E-2</v>
      </c>
      <c r="AJ71" s="360">
        <f>[2]東京工場!$L$71</f>
        <v>1840000</v>
      </c>
      <c r="AK71" s="111">
        <f t="shared" si="36"/>
        <v>9.031241764820476E-2</v>
      </c>
      <c r="AL71" s="506">
        <f t="shared" si="26"/>
        <v>1670000</v>
      </c>
      <c r="AM71" s="327">
        <f t="shared" ref="AM71:AM79" si="68">IF(ISERR(AL71/$AL$11),"",AL71/AL$11)</f>
        <v>6.6031313891597833E-3</v>
      </c>
      <c r="AN71" s="508">
        <f t="shared" si="27"/>
        <v>3340000</v>
      </c>
      <c r="AO71" s="159">
        <f t="shared" ref="AO71:AO78" si="69">IF(ISERR(AN71/$AN$11),"",AN71/$AN$11)</f>
        <v>6.5616084396114991E-3</v>
      </c>
      <c r="AP71" s="511">
        <f t="shared" si="28"/>
        <v>5593000</v>
      </c>
      <c r="AQ71" s="298">
        <f t="shared" ref="AQ71:AQ79" si="70">IF(ISERR(AP71/$AP$11),"",AP71/$AP$11)</f>
        <v>6.9019057531552993E-3</v>
      </c>
      <c r="AR71" s="513">
        <f t="shared" si="29"/>
        <v>12983000</v>
      </c>
      <c r="AS71" s="310">
        <f t="shared" ref="AS71:AS78" si="71">IF(ISERR(AR71/$AR$11),"",AR71/$AR$11)</f>
        <v>7.9245813606120194E-3</v>
      </c>
      <c r="AT71" s="592">
        <f>[2]全社合計!$G$71</f>
        <v>5077000</v>
      </c>
      <c r="AU71" s="160">
        <f t="shared" si="30"/>
        <v>5.4415651969365632E-3</v>
      </c>
      <c r="AV71" s="594">
        <f>[2]全社合計!$N$71</f>
        <v>12172000</v>
      </c>
      <c r="AW71" s="306">
        <f t="shared" si="31"/>
        <v>6.4059401721143711E-3</v>
      </c>
      <c r="AX71" s="592">
        <f t="shared" si="32"/>
        <v>516000</v>
      </c>
      <c r="AY71" s="160">
        <f t="shared" si="33"/>
        <v>1.1016348237147922</v>
      </c>
      <c r="AZ71" s="594">
        <f t="shared" si="34"/>
        <v>811000</v>
      </c>
      <c r="BA71" s="306">
        <f t="shared" si="35"/>
        <v>1.066628327308577</v>
      </c>
      <c r="BB71" s="11"/>
    </row>
    <row r="72" spans="1:54" ht="16.149999999999999" customHeight="1">
      <c r="A72" s="43" t="s">
        <v>64</v>
      </c>
      <c r="B72" s="706">
        <f>[2]本部!$I$72</f>
        <v>115000</v>
      </c>
      <c r="C72" s="266" t="str">
        <f t="shared" si="55"/>
        <v/>
      </c>
      <c r="D72" s="723">
        <f>[2]本部!$L$72</f>
        <v>230000</v>
      </c>
      <c r="E72" s="161" t="str">
        <f t="shared" si="56"/>
        <v/>
      </c>
      <c r="F72" s="352">
        <f>[2]本社営業!$I$72</f>
        <v>55000</v>
      </c>
      <c r="G72" s="10">
        <f t="shared" si="57"/>
        <v>1.0571866167055649E-4</v>
      </c>
      <c r="H72" s="356">
        <f>[2]本社営業!$L$72</f>
        <v>110000</v>
      </c>
      <c r="I72" s="163">
        <f t="shared" si="19"/>
        <v>1.0426527752760957E-4</v>
      </c>
      <c r="J72" s="388">
        <f>[2]東大阪!$I$72</f>
        <v>440000</v>
      </c>
      <c r="K72" s="77">
        <f t="shared" si="20"/>
        <v>4.6906470310496315E-2</v>
      </c>
      <c r="L72" s="356">
        <f>[2]東大阪!$L$72</f>
        <v>880000</v>
      </c>
      <c r="M72" s="163">
        <f t="shared" si="37"/>
        <v>4.8197445655873854E-2</v>
      </c>
      <c r="N72" s="403">
        <f>[2]南港工場!$I$72</f>
        <v>525000</v>
      </c>
      <c r="O72" s="77">
        <f t="shared" si="58"/>
        <v>1.8873703646183845E-2</v>
      </c>
      <c r="P72" s="356">
        <f>[2]南港工場!$L$72</f>
        <v>1050000</v>
      </c>
      <c r="Q72" s="170">
        <f t="shared" si="59"/>
        <v>1.8736967435382577E-2</v>
      </c>
      <c r="R72" s="445">
        <f>[2]南港事務!$I$72</f>
        <v>20000</v>
      </c>
      <c r="S72" s="10" t="str">
        <f t="shared" si="60"/>
        <v/>
      </c>
      <c r="T72" s="356">
        <f>[2]南港事務!$L$72</f>
        <v>40000</v>
      </c>
      <c r="U72" s="217" t="str">
        <f t="shared" si="61"/>
        <v/>
      </c>
      <c r="V72" s="456">
        <f t="shared" si="21"/>
        <v>545000</v>
      </c>
      <c r="W72" s="170">
        <f t="shared" si="62"/>
        <v>1.9592701880324182E-2</v>
      </c>
      <c r="X72" s="408">
        <f t="shared" si="22"/>
        <v>1090000</v>
      </c>
      <c r="Y72" s="240">
        <f t="shared" si="63"/>
        <v>1.9450756671016201E-2</v>
      </c>
      <c r="Z72" s="460">
        <f t="shared" si="23"/>
        <v>1040000</v>
      </c>
      <c r="AA72" s="201">
        <f t="shared" si="64"/>
        <v>1.8656529531320136E-3</v>
      </c>
      <c r="AB72" s="464">
        <f t="shared" si="24"/>
        <v>2080000</v>
      </c>
      <c r="AC72" s="162">
        <f t="shared" si="65"/>
        <v>1.8418514642287013E-3</v>
      </c>
      <c r="AD72" s="352">
        <f>[2]東京事務!$I$72</f>
        <v>55000</v>
      </c>
      <c r="AE72" s="10">
        <f t="shared" si="66"/>
        <v>2.2694766413147008E-4</v>
      </c>
      <c r="AF72" s="356">
        <f>[2]東京事務!$L$72</f>
        <v>110000</v>
      </c>
      <c r="AG72" s="93">
        <f t="shared" si="67"/>
        <v>2.2511100397555446E-4</v>
      </c>
      <c r="AH72" s="388">
        <f>[2]東京工場!$I$72</f>
        <v>325000</v>
      </c>
      <c r="AI72" s="170">
        <f t="shared" si="25"/>
        <v>3.0765776264080551E-2</v>
      </c>
      <c r="AJ72" s="356">
        <f>[2]東京工場!$L$72</f>
        <v>650000</v>
      </c>
      <c r="AK72" s="98">
        <f t="shared" si="36"/>
        <v>3.1903843190941902E-2</v>
      </c>
      <c r="AL72" s="474">
        <f t="shared" si="26"/>
        <v>380000</v>
      </c>
      <c r="AM72" s="328">
        <f t="shared" si="68"/>
        <v>1.502508938850729E-3</v>
      </c>
      <c r="AN72" s="478">
        <f t="shared" si="27"/>
        <v>760000</v>
      </c>
      <c r="AO72" s="162">
        <f t="shared" si="69"/>
        <v>1.493060603025371E-3</v>
      </c>
      <c r="AP72" s="483">
        <f t="shared" si="28"/>
        <v>1535000</v>
      </c>
      <c r="AQ72" s="299">
        <f t="shared" si="70"/>
        <v>1.8942294530830295E-3</v>
      </c>
      <c r="AR72" s="487">
        <f t="shared" si="29"/>
        <v>3070000</v>
      </c>
      <c r="AS72" s="300">
        <f t="shared" si="71"/>
        <v>1.8738708139165753E-3</v>
      </c>
      <c r="AT72" s="575">
        <f>[2]全社合計!$G$72</f>
        <v>1495000</v>
      </c>
      <c r="AU72" s="163">
        <f t="shared" si="30"/>
        <v>1.6023517765255389E-3</v>
      </c>
      <c r="AV72" s="578">
        <f>[2]全社合計!$N$72</f>
        <v>2990000</v>
      </c>
      <c r="AW72" s="164">
        <f t="shared" si="31"/>
        <v>1.5735919417205035E-3</v>
      </c>
      <c r="AX72" s="575">
        <f t="shared" si="32"/>
        <v>40000</v>
      </c>
      <c r="AY72" s="163">
        <f t="shared" si="33"/>
        <v>1.0267558528428093</v>
      </c>
      <c r="AZ72" s="578">
        <f t="shared" si="34"/>
        <v>80000</v>
      </c>
      <c r="BA72" s="164">
        <f t="shared" si="35"/>
        <v>1.0267558528428093</v>
      </c>
      <c r="BB72" s="11"/>
    </row>
    <row r="73" spans="1:54" ht="16.149999999999999" customHeight="1">
      <c r="A73" s="43" t="s">
        <v>65</v>
      </c>
      <c r="B73" s="706">
        <f>[2]本部!$I$70</f>
        <v>252290</v>
      </c>
      <c r="C73" s="266" t="str">
        <f t="shared" si="55"/>
        <v/>
      </c>
      <c r="D73" s="723">
        <f>[2]本部!$L$70</f>
        <v>252290</v>
      </c>
      <c r="E73" s="161" t="str">
        <f t="shared" si="56"/>
        <v/>
      </c>
      <c r="F73" s="352">
        <f>[2]本社営業!$I$70</f>
        <v>1022369</v>
      </c>
      <c r="G73" s="10">
        <f t="shared" si="57"/>
        <v>1.9651542256993665E-3</v>
      </c>
      <c r="H73" s="356">
        <f>[2]本社営業!$L$70</f>
        <v>1022369</v>
      </c>
      <c r="I73" s="163">
        <f t="shared" si="19"/>
        <v>9.6906897746022421E-4</v>
      </c>
      <c r="J73" s="388">
        <f>[2]東大阪!$I$70</f>
        <v>1000069</v>
      </c>
      <c r="K73" s="77">
        <f t="shared" si="20"/>
        <v>0.10661297012942668</v>
      </c>
      <c r="L73" s="356">
        <f>[2]東大阪!$L$70</f>
        <v>1000069</v>
      </c>
      <c r="M73" s="163">
        <f t="shared" si="37"/>
        <v>5.4773603726845581E-2</v>
      </c>
      <c r="N73" s="403">
        <f>[2]南港工場!$I$70</f>
        <v>1455768</v>
      </c>
      <c r="O73" s="77">
        <f t="shared" si="58"/>
        <v>5.2334731065900503E-2</v>
      </c>
      <c r="P73" s="356">
        <f>[2]南港工場!$L$70</f>
        <v>1455768</v>
      </c>
      <c r="Q73" s="170">
        <f t="shared" si="59"/>
        <v>2.5977788199497167E-2</v>
      </c>
      <c r="R73" s="445">
        <f>[2]南港事務!$I$70</f>
        <v>618994</v>
      </c>
      <c r="S73" s="10" t="str">
        <f t="shared" si="60"/>
        <v/>
      </c>
      <c r="T73" s="356">
        <f>[2]南港事務!$L$70</f>
        <v>618994</v>
      </c>
      <c r="U73" s="217" t="str">
        <f t="shared" si="61"/>
        <v/>
      </c>
      <c r="V73" s="456">
        <f t="shared" si="21"/>
        <v>2074762</v>
      </c>
      <c r="W73" s="170">
        <f t="shared" si="62"/>
        <v>7.4587510713073693E-2</v>
      </c>
      <c r="X73" s="408">
        <f t="shared" si="22"/>
        <v>2074762</v>
      </c>
      <c r="Y73" s="240">
        <f t="shared" si="63"/>
        <v>3.7023569552542122E-2</v>
      </c>
      <c r="Z73" s="460">
        <f t="shared" si="23"/>
        <v>4097200</v>
      </c>
      <c r="AA73" s="201">
        <f t="shared" si="64"/>
        <v>7.349955076512006E-3</v>
      </c>
      <c r="AB73" s="464">
        <f t="shared" si="24"/>
        <v>4097200</v>
      </c>
      <c r="AC73" s="162">
        <f t="shared" si="65"/>
        <v>3.6280931823258825E-3</v>
      </c>
      <c r="AD73" s="352">
        <f>[2]東京事務!$I$70</f>
        <v>556906</v>
      </c>
      <c r="AE73" s="10">
        <f t="shared" si="66"/>
        <v>2.2979730152872815E-3</v>
      </c>
      <c r="AF73" s="356">
        <f>[2]東京事務!$L$70</f>
        <v>556906</v>
      </c>
      <c r="AG73" s="93">
        <f t="shared" si="67"/>
        <v>1.1396878980000922E-3</v>
      </c>
      <c r="AH73" s="388">
        <f>[2]東京工場!$I$70</f>
        <v>896529</v>
      </c>
      <c r="AI73" s="170">
        <f t="shared" si="25"/>
        <v>8.4868955779261138E-2</v>
      </c>
      <c r="AJ73" s="356">
        <f>[2]東京工場!$L$70</f>
        <v>896529</v>
      </c>
      <c r="AK73" s="98">
        <f t="shared" si="36"/>
        <v>4.400418558789531E-2</v>
      </c>
      <c r="AL73" s="474">
        <f t="shared" si="26"/>
        <v>1453435</v>
      </c>
      <c r="AM73" s="328">
        <f t="shared" si="68"/>
        <v>5.7468396829960773E-3</v>
      </c>
      <c r="AN73" s="478">
        <f t="shared" si="27"/>
        <v>1453435</v>
      </c>
      <c r="AO73" s="162">
        <f t="shared" si="69"/>
        <v>2.8553507073133949E-3</v>
      </c>
      <c r="AP73" s="483">
        <f t="shared" si="28"/>
        <v>5802925</v>
      </c>
      <c r="AQ73" s="299">
        <f t="shared" si="70"/>
        <v>7.1609585987178108E-3</v>
      </c>
      <c r="AR73" s="487">
        <f t="shared" si="29"/>
        <v>5802925</v>
      </c>
      <c r="AS73" s="300">
        <f t="shared" si="71"/>
        <v>3.5419973266602096E-3</v>
      </c>
      <c r="AT73" s="575">
        <f>[2]全社合計!$G$70</f>
        <v>5155835</v>
      </c>
      <c r="AU73" s="163">
        <f t="shared" si="30"/>
        <v>5.5260611182090654E-3</v>
      </c>
      <c r="AV73" s="578">
        <f>[2]全社合計!$N$70</f>
        <v>5155835</v>
      </c>
      <c r="AW73" s="164">
        <f t="shared" si="31"/>
        <v>2.713438263826265E-3</v>
      </c>
      <c r="AX73" s="575">
        <f t="shared" si="32"/>
        <v>647090</v>
      </c>
      <c r="AY73" s="163">
        <f t="shared" si="33"/>
        <v>1.1255063437833057</v>
      </c>
      <c r="AZ73" s="578">
        <f t="shared" si="34"/>
        <v>647090</v>
      </c>
      <c r="BA73" s="164">
        <f t="shared" si="35"/>
        <v>1.1255063437833057</v>
      </c>
      <c r="BB73" s="11"/>
    </row>
    <row r="74" spans="1:54" ht="16.149999999999999" customHeight="1">
      <c r="A74" s="43" t="s">
        <v>66</v>
      </c>
      <c r="B74" s="706">
        <f>[2]本部!$I$74</f>
        <v>0</v>
      </c>
      <c r="C74" s="266" t="str">
        <f t="shared" si="55"/>
        <v/>
      </c>
      <c r="D74" s="723">
        <f>[2]本部!$L$74</f>
        <v>0</v>
      </c>
      <c r="E74" s="161" t="str">
        <f t="shared" si="56"/>
        <v/>
      </c>
      <c r="F74" s="352">
        <f>[2]本社営業!$I$74</f>
        <v>0</v>
      </c>
      <c r="G74" s="10">
        <f t="shared" si="57"/>
        <v>0</v>
      </c>
      <c r="H74" s="356">
        <f>[2]本社営業!$L$74</f>
        <v>0</v>
      </c>
      <c r="I74" s="163">
        <f t="shared" ref="I74:I79" si="72">IF(ISERR(H74/$H$11),"",H74/$H$11)</f>
        <v>0</v>
      </c>
      <c r="J74" s="388">
        <f>[2]東大阪!$I$74</f>
        <v>1189000</v>
      </c>
      <c r="K74" s="77">
        <f t="shared" ref="K74:K79" si="73">IF(ISERR(J74/$J$11),"",J74/$J$11)</f>
        <v>0.12675407545268208</v>
      </c>
      <c r="L74" s="356">
        <f>[2]東大阪!$L$74</f>
        <v>1189000</v>
      </c>
      <c r="M74" s="163">
        <f t="shared" si="37"/>
        <v>6.5121321460038642E-2</v>
      </c>
      <c r="N74" s="403">
        <f>[2]南港工場!$I$74</f>
        <v>0</v>
      </c>
      <c r="O74" s="77">
        <f t="shared" si="58"/>
        <v>0</v>
      </c>
      <c r="P74" s="356">
        <f>[2]南港工場!$L$74</f>
        <v>0</v>
      </c>
      <c r="Q74" s="170">
        <f t="shared" si="59"/>
        <v>0</v>
      </c>
      <c r="R74" s="445">
        <f>[2]南港事務!$I$74</f>
        <v>0</v>
      </c>
      <c r="S74" s="10" t="str">
        <f t="shared" si="60"/>
        <v/>
      </c>
      <c r="T74" s="356">
        <f>[2]南港事務!$L$74</f>
        <v>0</v>
      </c>
      <c r="U74" s="217" t="str">
        <f t="shared" si="61"/>
        <v/>
      </c>
      <c r="V74" s="456">
        <f t="shared" ref="V74:V79" si="74">N74+R74</f>
        <v>0</v>
      </c>
      <c r="W74" s="170">
        <f t="shared" si="62"/>
        <v>0</v>
      </c>
      <c r="X74" s="408">
        <f t="shared" ref="X74:X79" si="75">P74+T74</f>
        <v>0</v>
      </c>
      <c r="Y74" s="240">
        <f t="shared" si="63"/>
        <v>0</v>
      </c>
      <c r="Z74" s="460">
        <f>F74+J74+N74+R74</f>
        <v>1189000</v>
      </c>
      <c r="AA74" s="201">
        <f t="shared" si="64"/>
        <v>2.1329436166095811E-3</v>
      </c>
      <c r="AB74" s="464">
        <f t="shared" ref="AB74:AB83" si="76">H74+L74+P74+T74</f>
        <v>1189000</v>
      </c>
      <c r="AC74" s="162">
        <f t="shared" si="65"/>
        <v>1.0528660533499644E-3</v>
      </c>
      <c r="AD74" s="352">
        <f>[2]東京事務!$I$74</f>
        <v>760000</v>
      </c>
      <c r="AE74" s="10">
        <f t="shared" si="66"/>
        <v>3.1360040861803137E-3</v>
      </c>
      <c r="AF74" s="356">
        <f>[2]東京事務!$L$74</f>
        <v>760000</v>
      </c>
      <c r="AG74" s="93">
        <f t="shared" si="67"/>
        <v>1.5553123911038308E-3</v>
      </c>
      <c r="AH74" s="388">
        <f>[2]東京工場!$I$74</f>
        <v>0</v>
      </c>
      <c r="AI74" s="170">
        <f t="shared" ref="AI74:AI79" si="77">IF(ISERR(AH74/$AH$11),"",AH74/$AH$11)</f>
        <v>0</v>
      </c>
      <c r="AJ74" s="356">
        <f>[2]東京工場!$L$74</f>
        <v>0</v>
      </c>
      <c r="AK74" s="98">
        <f t="shared" si="36"/>
        <v>0</v>
      </c>
      <c r="AL74" s="474">
        <f t="shared" ref="AL74:AL79" si="78">AD74+AH74</f>
        <v>760000</v>
      </c>
      <c r="AM74" s="328">
        <f t="shared" si="68"/>
        <v>3.005017877701458E-3</v>
      </c>
      <c r="AN74" s="478">
        <f t="shared" ref="AN74:AN83" si="79">AF74+AJ74</f>
        <v>760000</v>
      </c>
      <c r="AO74" s="162">
        <f t="shared" si="69"/>
        <v>1.493060603025371E-3</v>
      </c>
      <c r="AP74" s="483">
        <f t="shared" ref="AP74:AP79" si="80">B74+Z74+AL74</f>
        <v>1949000</v>
      </c>
      <c r="AQ74" s="299">
        <f t="shared" si="70"/>
        <v>2.4051160938493971E-3</v>
      </c>
      <c r="AR74" s="487">
        <f t="shared" ref="AR74:AR79" si="81">D74+AB74+AN74</f>
        <v>1949000</v>
      </c>
      <c r="AS74" s="300">
        <f t="shared" si="71"/>
        <v>1.1896332952193503E-3</v>
      </c>
      <c r="AT74" s="575">
        <f>[2]全社合計!$G$74</f>
        <v>1949000</v>
      </c>
      <c r="AU74" s="163">
        <f t="shared" ref="AU74:AU79" si="82">IF(ISERR(AT74/$AT$11),"",AT74/$AT$11)</f>
        <v>2.0889522491292813E-3</v>
      </c>
      <c r="AV74" s="578">
        <f>[2]全社合計!$N$74</f>
        <v>1949000</v>
      </c>
      <c r="AW74" s="164">
        <f t="shared" ref="AW74:AW79" si="83">IF(ISERR(AV74/$AV$11),"",AV74/$AV$11)</f>
        <v>1.0257293292352046E-3</v>
      </c>
      <c r="AX74" s="575">
        <f t="shared" ref="AX74:AX79" si="84">AP74-AT74</f>
        <v>0</v>
      </c>
      <c r="AY74" s="163">
        <f t="shared" ref="AY74:AY79" si="85">IF(ISERROR(AP74/AT74),"",AP74/AT74)</f>
        <v>1</v>
      </c>
      <c r="AZ74" s="578">
        <f t="shared" ref="AZ74:AZ79" si="86">AR74-AV74</f>
        <v>0</v>
      </c>
      <c r="BA74" s="164">
        <f t="shared" ref="BA74:BA79" si="87">IF(ISERROR(AR74/AV74),"",AR74/AV74)</f>
        <v>1</v>
      </c>
      <c r="BB74" s="11"/>
    </row>
    <row r="75" spans="1:54" ht="16.149999999999999" customHeight="1">
      <c r="A75" s="43" t="s">
        <v>67</v>
      </c>
      <c r="B75" s="706">
        <f>[2]本部!$I$73</f>
        <v>0</v>
      </c>
      <c r="C75" s="266" t="str">
        <f t="shared" si="55"/>
        <v/>
      </c>
      <c r="D75" s="723">
        <f>[2]本部!$L$73</f>
        <v>0</v>
      </c>
      <c r="E75" s="161" t="str">
        <f t="shared" si="56"/>
        <v/>
      </c>
      <c r="F75" s="352">
        <f>[2]本社営業!$I$73</f>
        <v>0</v>
      </c>
      <c r="G75" s="10">
        <f t="shared" si="57"/>
        <v>0</v>
      </c>
      <c r="H75" s="356">
        <f>[2]本社営業!$L$73</f>
        <v>0</v>
      </c>
      <c r="I75" s="163">
        <f t="shared" si="72"/>
        <v>0</v>
      </c>
      <c r="J75" s="388">
        <f>[2]東大阪!$I$73</f>
        <v>0</v>
      </c>
      <c r="K75" s="77">
        <f t="shared" si="73"/>
        <v>0</v>
      </c>
      <c r="L75" s="356">
        <f>[2]東大阪!$L$73</f>
        <v>0</v>
      </c>
      <c r="M75" s="163">
        <f t="shared" si="37"/>
        <v>0</v>
      </c>
      <c r="N75" s="403">
        <f>[2]南港工場!$I$73</f>
        <v>0</v>
      </c>
      <c r="O75" s="77">
        <f t="shared" si="58"/>
        <v>0</v>
      </c>
      <c r="P75" s="356">
        <f>[2]南港工場!$L$73</f>
        <v>0</v>
      </c>
      <c r="Q75" s="170">
        <f t="shared" si="59"/>
        <v>0</v>
      </c>
      <c r="R75" s="445">
        <f>[2]南港事務!$I$73</f>
        <v>0</v>
      </c>
      <c r="S75" s="10" t="str">
        <f t="shared" si="60"/>
        <v/>
      </c>
      <c r="T75" s="356">
        <f>[2]南港事務!$L$73</f>
        <v>0</v>
      </c>
      <c r="U75" s="217" t="str">
        <f t="shared" si="61"/>
        <v/>
      </c>
      <c r="V75" s="456">
        <f t="shared" si="74"/>
        <v>0</v>
      </c>
      <c r="W75" s="170">
        <f t="shared" si="62"/>
        <v>0</v>
      </c>
      <c r="X75" s="408">
        <f t="shared" si="75"/>
        <v>0</v>
      </c>
      <c r="Y75" s="240">
        <f t="shared" si="63"/>
        <v>0</v>
      </c>
      <c r="Z75" s="460">
        <f>F75+J75+N75+R75</f>
        <v>0</v>
      </c>
      <c r="AA75" s="201">
        <f t="shared" si="64"/>
        <v>0</v>
      </c>
      <c r="AB75" s="464">
        <f t="shared" si="76"/>
        <v>0</v>
      </c>
      <c r="AC75" s="162">
        <f t="shared" si="65"/>
        <v>0</v>
      </c>
      <c r="AD75" s="352">
        <f>[2]東京事務!$I$73</f>
        <v>12860</v>
      </c>
      <c r="AE75" s="10">
        <f t="shared" si="66"/>
        <v>5.3064490195103732E-5</v>
      </c>
      <c r="AF75" s="356">
        <f>[2]東京事務!$L$73</f>
        <v>242721</v>
      </c>
      <c r="AG75" s="93">
        <f t="shared" si="67"/>
        <v>4.9671970905409599E-4</v>
      </c>
      <c r="AH75" s="388">
        <f>[2]東京工場!$I$73</f>
        <v>0</v>
      </c>
      <c r="AI75" s="170">
        <f t="shared" si="77"/>
        <v>0</v>
      </c>
      <c r="AJ75" s="356">
        <f>[2]東京工場!$L$73</f>
        <v>0</v>
      </c>
      <c r="AK75" s="98">
        <f t="shared" si="36"/>
        <v>0</v>
      </c>
      <c r="AL75" s="474">
        <f t="shared" si="78"/>
        <v>12860</v>
      </c>
      <c r="AM75" s="328">
        <f t="shared" si="68"/>
        <v>5.084806566742204E-5</v>
      </c>
      <c r="AN75" s="478">
        <f t="shared" si="79"/>
        <v>242721</v>
      </c>
      <c r="AO75" s="162">
        <f t="shared" si="69"/>
        <v>4.7683837187752773E-4</v>
      </c>
      <c r="AP75" s="483">
        <f t="shared" si="80"/>
        <v>12860</v>
      </c>
      <c r="AQ75" s="299">
        <f t="shared" si="70"/>
        <v>1.5869570532018083E-5</v>
      </c>
      <c r="AR75" s="487">
        <f t="shared" si="81"/>
        <v>242721</v>
      </c>
      <c r="AS75" s="300">
        <f t="shared" si="71"/>
        <v>1.4815237714157822E-4</v>
      </c>
      <c r="AT75" s="575">
        <f>[2]全社合計!$G$73</f>
        <v>587191</v>
      </c>
      <c r="AU75" s="163">
        <f t="shared" si="82"/>
        <v>6.2935554649485464E-4</v>
      </c>
      <c r="AV75" s="578">
        <f>[2]全社合計!$N$73</f>
        <v>613969</v>
      </c>
      <c r="AW75" s="164">
        <f t="shared" si="83"/>
        <v>3.2312263239672105E-4</v>
      </c>
      <c r="AX75" s="575">
        <f t="shared" si="84"/>
        <v>-574331</v>
      </c>
      <c r="AY75" s="163">
        <f t="shared" si="85"/>
        <v>2.1900880633388454E-2</v>
      </c>
      <c r="AZ75" s="578">
        <f t="shared" si="86"/>
        <v>-371248</v>
      </c>
      <c r="BA75" s="164">
        <f t="shared" si="87"/>
        <v>0.39533103462878422</v>
      </c>
      <c r="BB75" s="11"/>
    </row>
    <row r="76" spans="1:54" ht="16.149999999999999" customHeight="1">
      <c r="A76" s="43" t="s">
        <v>68</v>
      </c>
      <c r="B76" s="706"/>
      <c r="C76" s="266" t="str">
        <f t="shared" si="55"/>
        <v/>
      </c>
      <c r="D76" s="723">
        <f>B76</f>
        <v>0</v>
      </c>
      <c r="E76" s="161" t="str">
        <f t="shared" si="56"/>
        <v/>
      </c>
      <c r="F76" s="352"/>
      <c r="G76" s="10">
        <f t="shared" si="57"/>
        <v>0</v>
      </c>
      <c r="H76" s="356">
        <f>F76</f>
        <v>0</v>
      </c>
      <c r="I76" s="163">
        <f t="shared" si="72"/>
        <v>0</v>
      </c>
      <c r="J76" s="388"/>
      <c r="K76" s="77">
        <f t="shared" si="73"/>
        <v>0</v>
      </c>
      <c r="L76" s="356">
        <f>J76</f>
        <v>0</v>
      </c>
      <c r="M76" s="163">
        <f t="shared" si="37"/>
        <v>0</v>
      </c>
      <c r="N76" s="403"/>
      <c r="O76" s="77">
        <f t="shared" si="58"/>
        <v>0</v>
      </c>
      <c r="P76" s="356">
        <f>N76</f>
        <v>0</v>
      </c>
      <c r="Q76" s="170">
        <f t="shared" si="59"/>
        <v>0</v>
      </c>
      <c r="R76" s="445"/>
      <c r="S76" s="10" t="str">
        <f t="shared" si="60"/>
        <v/>
      </c>
      <c r="T76" s="356">
        <f>R76</f>
        <v>0</v>
      </c>
      <c r="U76" s="217" t="str">
        <f t="shared" si="61"/>
        <v/>
      </c>
      <c r="V76" s="456">
        <f t="shared" si="74"/>
        <v>0</v>
      </c>
      <c r="W76" s="170">
        <f t="shared" si="62"/>
        <v>0</v>
      </c>
      <c r="X76" s="408">
        <f t="shared" si="75"/>
        <v>0</v>
      </c>
      <c r="Y76" s="240">
        <f t="shared" si="63"/>
        <v>0</v>
      </c>
      <c r="Z76" s="460">
        <f>F76+J76+N76+R76</f>
        <v>0</v>
      </c>
      <c r="AA76" s="201">
        <f t="shared" si="64"/>
        <v>0</v>
      </c>
      <c r="AB76" s="464">
        <f t="shared" si="76"/>
        <v>0</v>
      </c>
      <c r="AC76" s="162">
        <f t="shared" si="65"/>
        <v>0</v>
      </c>
      <c r="AD76" s="352"/>
      <c r="AE76" s="10">
        <f t="shared" si="66"/>
        <v>0</v>
      </c>
      <c r="AF76" s="356">
        <f>AD76</f>
        <v>0</v>
      </c>
      <c r="AG76" s="93">
        <f t="shared" si="67"/>
        <v>0</v>
      </c>
      <c r="AH76" s="388"/>
      <c r="AI76" s="170">
        <f t="shared" si="77"/>
        <v>0</v>
      </c>
      <c r="AJ76" s="356">
        <f>AH76</f>
        <v>0</v>
      </c>
      <c r="AK76" s="98">
        <f t="shared" si="36"/>
        <v>0</v>
      </c>
      <c r="AL76" s="474">
        <f t="shared" si="78"/>
        <v>0</v>
      </c>
      <c r="AM76" s="328">
        <f t="shared" si="68"/>
        <v>0</v>
      </c>
      <c r="AN76" s="478">
        <f t="shared" si="79"/>
        <v>0</v>
      </c>
      <c r="AO76" s="162">
        <f t="shared" si="69"/>
        <v>0</v>
      </c>
      <c r="AP76" s="483">
        <f t="shared" si="80"/>
        <v>0</v>
      </c>
      <c r="AQ76" s="299">
        <f t="shared" si="70"/>
        <v>0</v>
      </c>
      <c r="AR76" s="487">
        <f t="shared" si="81"/>
        <v>0</v>
      </c>
      <c r="AS76" s="300">
        <f t="shared" si="71"/>
        <v>0</v>
      </c>
      <c r="AT76" s="575">
        <v>0</v>
      </c>
      <c r="AU76" s="163">
        <f t="shared" si="82"/>
        <v>0</v>
      </c>
      <c r="AV76" s="578">
        <f>AT76</f>
        <v>0</v>
      </c>
      <c r="AW76" s="164">
        <f t="shared" si="83"/>
        <v>0</v>
      </c>
      <c r="AX76" s="575">
        <f t="shared" si="84"/>
        <v>0</v>
      </c>
      <c r="AY76" s="163" t="str">
        <f t="shared" si="85"/>
        <v/>
      </c>
      <c r="AZ76" s="578">
        <f t="shared" si="86"/>
        <v>0</v>
      </c>
      <c r="BA76" s="164" t="str">
        <f t="shared" si="87"/>
        <v/>
      </c>
      <c r="BB76" s="11"/>
    </row>
    <row r="77" spans="1:54" ht="16.149999999999999" customHeight="1">
      <c r="A77" s="43" t="s">
        <v>69</v>
      </c>
      <c r="B77" s="706"/>
      <c r="C77" s="266" t="str">
        <f t="shared" si="55"/>
        <v/>
      </c>
      <c r="D77" s="723">
        <f>[2]本部!$L$75</f>
        <v>0</v>
      </c>
      <c r="E77" s="161" t="str">
        <f>IF(ISERR(#REF!/$D$11),"",#REF!/$D$11)</f>
        <v/>
      </c>
      <c r="F77" s="352">
        <f>[2]本社営業!$I$75</f>
        <v>0</v>
      </c>
      <c r="G77" s="10">
        <f t="shared" si="57"/>
        <v>0</v>
      </c>
      <c r="H77" s="356">
        <f>[2]本社営業!$L$75</f>
        <v>672000</v>
      </c>
      <c r="I77" s="163">
        <f t="shared" si="72"/>
        <v>6.3696605907776025E-4</v>
      </c>
      <c r="J77" s="388"/>
      <c r="K77" s="77">
        <f t="shared" si="73"/>
        <v>0</v>
      </c>
      <c r="L77" s="356">
        <f>[2]東大阪!$L$75</f>
        <v>0</v>
      </c>
      <c r="M77" s="163">
        <f t="shared" si="37"/>
        <v>0</v>
      </c>
      <c r="N77" s="403"/>
      <c r="O77" s="77">
        <f t="shared" si="58"/>
        <v>0</v>
      </c>
      <c r="P77" s="356">
        <f>[2]南港工場!$L$75</f>
        <v>0</v>
      </c>
      <c r="Q77" s="170">
        <f t="shared" si="59"/>
        <v>0</v>
      </c>
      <c r="R77" s="445"/>
      <c r="S77" s="10" t="str">
        <f t="shared" si="60"/>
        <v/>
      </c>
      <c r="T77" s="356">
        <f>[2]南港事務!$L$75</f>
        <v>0</v>
      </c>
      <c r="U77" s="217" t="str">
        <f t="shared" si="61"/>
        <v/>
      </c>
      <c r="V77" s="456">
        <f t="shared" si="74"/>
        <v>0</v>
      </c>
      <c r="W77" s="170">
        <f t="shared" si="62"/>
        <v>0</v>
      </c>
      <c r="X77" s="408">
        <f t="shared" si="75"/>
        <v>0</v>
      </c>
      <c r="Y77" s="240">
        <f t="shared" si="63"/>
        <v>0</v>
      </c>
      <c r="Z77" s="460">
        <f>F77+J77+N77+R77</f>
        <v>0</v>
      </c>
      <c r="AA77" s="201">
        <f t="shared" si="64"/>
        <v>0</v>
      </c>
      <c r="AB77" s="464">
        <f t="shared" si="76"/>
        <v>672000</v>
      </c>
      <c r="AC77" s="162">
        <f t="shared" si="65"/>
        <v>5.9505970382773426E-4</v>
      </c>
      <c r="AD77" s="352"/>
      <c r="AE77" s="10">
        <f t="shared" si="66"/>
        <v>0</v>
      </c>
      <c r="AF77" s="356">
        <f>[2]東京事務!$L$75</f>
        <v>0</v>
      </c>
      <c r="AG77" s="93">
        <f t="shared" si="67"/>
        <v>0</v>
      </c>
      <c r="AH77" s="388"/>
      <c r="AI77" s="170">
        <f t="shared" si="77"/>
        <v>0</v>
      </c>
      <c r="AJ77" s="356">
        <f>[2]東京工場!$L$75</f>
        <v>0</v>
      </c>
      <c r="AK77" s="98">
        <f t="shared" si="36"/>
        <v>0</v>
      </c>
      <c r="AL77" s="474">
        <f t="shared" si="78"/>
        <v>0</v>
      </c>
      <c r="AM77" s="328">
        <f t="shared" si="68"/>
        <v>0</v>
      </c>
      <c r="AN77" s="478">
        <f t="shared" si="79"/>
        <v>0</v>
      </c>
      <c r="AO77" s="162">
        <f t="shared" si="69"/>
        <v>0</v>
      </c>
      <c r="AP77" s="483">
        <f t="shared" si="80"/>
        <v>0</v>
      </c>
      <c r="AQ77" s="299">
        <f t="shared" si="70"/>
        <v>0</v>
      </c>
      <c r="AR77" s="487">
        <f t="shared" si="81"/>
        <v>672000</v>
      </c>
      <c r="AS77" s="300">
        <f t="shared" si="71"/>
        <v>4.1017628239476832E-4</v>
      </c>
      <c r="AT77" s="575">
        <f>[2]全社合計!$G$75</f>
        <v>0</v>
      </c>
      <c r="AU77" s="163">
        <f t="shared" si="82"/>
        <v>0</v>
      </c>
      <c r="AV77" s="578">
        <f>[2]全社合計!$N$75</f>
        <v>672000</v>
      </c>
      <c r="AW77" s="164">
        <f t="shared" si="83"/>
        <v>3.5366347318935732E-4</v>
      </c>
      <c r="AX77" s="575">
        <f t="shared" si="84"/>
        <v>0</v>
      </c>
      <c r="AY77" s="163" t="str">
        <f t="shared" si="85"/>
        <v/>
      </c>
      <c r="AZ77" s="578">
        <f t="shared" si="86"/>
        <v>0</v>
      </c>
      <c r="BA77" s="164">
        <f t="shared" si="87"/>
        <v>1</v>
      </c>
      <c r="BB77" s="11"/>
    </row>
    <row r="78" spans="1:54" ht="16.149999999999999" customHeight="1" thickBot="1">
      <c r="A78" s="44"/>
      <c r="B78" s="707"/>
      <c r="C78" s="267" t="str">
        <f t="shared" si="55"/>
        <v/>
      </c>
      <c r="D78" s="735">
        <f>B78</f>
        <v>0</v>
      </c>
      <c r="E78" s="165" t="str">
        <f>IF(ISERR(#REF!/$D$11),"",#REF!/$D$11)</f>
        <v/>
      </c>
      <c r="F78" s="380"/>
      <c r="G78" s="23">
        <f t="shared" si="57"/>
        <v>0</v>
      </c>
      <c r="H78" s="381">
        <f>F78</f>
        <v>0</v>
      </c>
      <c r="I78" s="167">
        <f t="shared" si="72"/>
        <v>0</v>
      </c>
      <c r="J78" s="400"/>
      <c r="K78" s="78">
        <f t="shared" si="73"/>
        <v>0</v>
      </c>
      <c r="L78" s="381">
        <f>J78</f>
        <v>0</v>
      </c>
      <c r="M78" s="167">
        <f t="shared" si="37"/>
        <v>0</v>
      </c>
      <c r="N78" s="420"/>
      <c r="O78" s="241">
        <f t="shared" si="58"/>
        <v>0</v>
      </c>
      <c r="P78" s="381">
        <f>N78</f>
        <v>0</v>
      </c>
      <c r="Q78" s="244">
        <f t="shared" si="59"/>
        <v>0</v>
      </c>
      <c r="R78" s="453"/>
      <c r="S78" s="243" t="str">
        <f t="shared" si="60"/>
        <v/>
      </c>
      <c r="T78" s="381">
        <f>R78</f>
        <v>0</v>
      </c>
      <c r="U78" s="242" t="str">
        <f t="shared" si="61"/>
        <v/>
      </c>
      <c r="V78" s="498">
        <f t="shared" si="74"/>
        <v>0</v>
      </c>
      <c r="W78" s="244">
        <f t="shared" si="62"/>
        <v>0</v>
      </c>
      <c r="X78" s="422">
        <f t="shared" si="75"/>
        <v>0</v>
      </c>
      <c r="Y78" s="245">
        <f t="shared" si="63"/>
        <v>0</v>
      </c>
      <c r="Z78" s="501">
        <f>F78+J78+N78+R78</f>
        <v>0</v>
      </c>
      <c r="AA78" s="202">
        <f t="shared" si="64"/>
        <v>0</v>
      </c>
      <c r="AB78" s="503">
        <f t="shared" si="76"/>
        <v>0</v>
      </c>
      <c r="AC78" s="166">
        <f t="shared" si="65"/>
        <v>0</v>
      </c>
      <c r="AD78" s="380"/>
      <c r="AE78" s="23">
        <f t="shared" si="66"/>
        <v>0</v>
      </c>
      <c r="AF78" s="381">
        <f>AD78</f>
        <v>0</v>
      </c>
      <c r="AG78" s="94">
        <f t="shared" si="67"/>
        <v>0</v>
      </c>
      <c r="AH78" s="400"/>
      <c r="AI78" s="184">
        <f t="shared" si="77"/>
        <v>0</v>
      </c>
      <c r="AJ78" s="381">
        <f>AH78</f>
        <v>0</v>
      </c>
      <c r="AK78" s="112">
        <f>IF(ISERR(AJ78/$AJ$11),"",AJ78/$AJ$11)</f>
        <v>0</v>
      </c>
      <c r="AL78" s="507">
        <f t="shared" si="78"/>
        <v>0</v>
      </c>
      <c r="AM78" s="329">
        <f t="shared" si="68"/>
        <v>0</v>
      </c>
      <c r="AN78" s="509">
        <f t="shared" si="79"/>
        <v>0</v>
      </c>
      <c r="AO78" s="166">
        <f t="shared" si="69"/>
        <v>0</v>
      </c>
      <c r="AP78" s="512">
        <f t="shared" si="80"/>
        <v>0</v>
      </c>
      <c r="AQ78" s="301">
        <f t="shared" si="70"/>
        <v>0</v>
      </c>
      <c r="AR78" s="514">
        <f t="shared" si="81"/>
        <v>0</v>
      </c>
      <c r="AS78" s="302">
        <f t="shared" si="71"/>
        <v>0</v>
      </c>
      <c r="AT78" s="593">
        <v>0</v>
      </c>
      <c r="AU78" s="167">
        <f t="shared" si="82"/>
        <v>0</v>
      </c>
      <c r="AV78" s="595">
        <f>AT78</f>
        <v>0</v>
      </c>
      <c r="AW78" s="168">
        <f t="shared" si="83"/>
        <v>0</v>
      </c>
      <c r="AX78" s="593">
        <f t="shared" si="84"/>
        <v>0</v>
      </c>
      <c r="AY78" s="167" t="str">
        <f t="shared" si="85"/>
        <v/>
      </c>
      <c r="AZ78" s="595">
        <f t="shared" si="86"/>
        <v>0</v>
      </c>
      <c r="BA78" s="168" t="str">
        <f t="shared" si="87"/>
        <v/>
      </c>
      <c r="BB78" s="11"/>
    </row>
    <row r="79" spans="1:54" s="25" customFormat="1" ht="15.75" thickTop="1">
      <c r="A79" s="24" t="s">
        <v>70</v>
      </c>
      <c r="B79" s="737">
        <f>+B18-B67</f>
        <v>0</v>
      </c>
      <c r="C79" s="220" t="str">
        <f t="shared" si="55"/>
        <v/>
      </c>
      <c r="D79" s="736">
        <f>D18-D67</f>
        <v>0</v>
      </c>
      <c r="E79" s="220" t="str">
        <f>IF(ISERR(#REF!/$D$11),"",#REF!/$D$11)</f>
        <v/>
      </c>
      <c r="F79" s="382">
        <f>F18-F67</f>
        <v>27511318</v>
      </c>
      <c r="G79" s="309">
        <f>IF(ISERR(F79/$F$11),"",F79/$F$11)</f>
        <v>5.2881085813692559E-2</v>
      </c>
      <c r="H79" s="383">
        <f>H18-H67</f>
        <v>21294137</v>
      </c>
      <c r="I79" s="95">
        <f t="shared" si="72"/>
        <v>2.0183991854690359E-2</v>
      </c>
      <c r="J79" s="382">
        <f>J18-J67</f>
        <v>6340684</v>
      </c>
      <c r="K79" s="309">
        <f t="shared" si="73"/>
        <v>0.67595251316872507</v>
      </c>
      <c r="L79" s="383">
        <f>L18-L67</f>
        <v>11358966</v>
      </c>
      <c r="M79" s="95">
        <f>IF(ISERR(L79/$L$11),"",L79/$L$11)</f>
        <v>0.62212857555899859</v>
      </c>
      <c r="N79" s="382">
        <f>N18-N67</f>
        <v>19777861</v>
      </c>
      <c r="O79" s="95">
        <f>IF(ISERR(N79/$N$11),"",N79/$N$11)</f>
        <v>0.71101235670365193</v>
      </c>
      <c r="P79" s="383">
        <f>P18-P67</f>
        <v>31994373</v>
      </c>
      <c r="Q79" s="95">
        <f t="shared" si="59"/>
        <v>0.57093097620617483</v>
      </c>
      <c r="R79" s="382">
        <f>R18-R67</f>
        <v>5012560</v>
      </c>
      <c r="S79" s="113"/>
      <c r="T79" s="383">
        <f>T18-T67</f>
        <v>8593078</v>
      </c>
      <c r="U79" s="95" t="str">
        <f t="shared" si="61"/>
        <v/>
      </c>
      <c r="V79" s="499">
        <f t="shared" si="74"/>
        <v>24790421</v>
      </c>
      <c r="W79" s="95">
        <f>IF(ISERR(V79/$V$11),"",V79/$V$11)</f>
        <v>0.89121344612977627</v>
      </c>
      <c r="X79" s="383">
        <f t="shared" si="75"/>
        <v>40587451</v>
      </c>
      <c r="Y79" s="95">
        <f t="shared" si="63"/>
        <v>0.7242721406401772</v>
      </c>
      <c r="Z79" s="499">
        <f>F79+J79+V79</f>
        <v>58642423</v>
      </c>
      <c r="AA79" s="95">
        <f>IF(ISERR(Z79/$Z$11),"",Z79/$Z$11)</f>
        <v>0.10519847081612185</v>
      </c>
      <c r="AB79" s="383">
        <f t="shared" si="76"/>
        <v>73240554</v>
      </c>
      <c r="AC79" s="95">
        <f t="shared" si="65"/>
        <v>6.4854914243183306E-2</v>
      </c>
      <c r="AD79" s="382">
        <f>AD18-AD67</f>
        <v>15502499</v>
      </c>
      <c r="AE79" s="309">
        <f t="shared" si="66"/>
        <v>6.3968289750008192E-2</v>
      </c>
      <c r="AF79" s="383">
        <f>AF18-AF67</f>
        <v>25961160</v>
      </c>
      <c r="AG79" s="95">
        <f t="shared" si="67"/>
        <v>5.312857083609096E-2</v>
      </c>
      <c r="AH79" s="382">
        <f>AH18-AH67</f>
        <v>9487446</v>
      </c>
      <c r="AI79" s="309">
        <f t="shared" si="77"/>
        <v>0.89811889524167987</v>
      </c>
      <c r="AJ79" s="383">
        <f>AJ18-AJ67</f>
        <v>16082859</v>
      </c>
      <c r="AK79" s="309">
        <f>IF(ISERR(AJ79/$AJ$11),"",AJ79/$AJ$11)</f>
        <v>0.78939232553542871</v>
      </c>
      <c r="AL79" s="382">
        <f t="shared" si="78"/>
        <v>24989945</v>
      </c>
      <c r="AM79" s="95">
        <f t="shared" si="68"/>
        <v>9.8809515115494961E-2</v>
      </c>
      <c r="AN79" s="510">
        <f t="shared" si="79"/>
        <v>42044019</v>
      </c>
      <c r="AO79" s="113"/>
      <c r="AP79" s="382">
        <f t="shared" si="80"/>
        <v>83632368</v>
      </c>
      <c r="AQ79" s="95">
        <f t="shared" si="70"/>
        <v>0.10320449165907404</v>
      </c>
      <c r="AR79" s="515">
        <f t="shared" si="81"/>
        <v>115284573</v>
      </c>
      <c r="AS79" s="95">
        <f>IF(ISERR(AR79/$AR$11),"",AR79/$AR$11)</f>
        <v>7.036755590864327E-2</v>
      </c>
      <c r="AT79" s="382">
        <f>AT18-AT67</f>
        <v>83239551</v>
      </c>
      <c r="AU79" s="95">
        <f t="shared" si="82"/>
        <v>8.9216750783972038E-2</v>
      </c>
      <c r="AV79" s="383">
        <f>AT79</f>
        <v>83239551</v>
      </c>
      <c r="AW79" s="309">
        <f t="shared" si="83"/>
        <v>4.3807721299676548E-2</v>
      </c>
      <c r="AX79" s="382">
        <f t="shared" si="84"/>
        <v>392817</v>
      </c>
      <c r="AY79" s="95">
        <f t="shared" si="85"/>
        <v>1.0047191148352062</v>
      </c>
      <c r="AZ79" s="383">
        <f t="shared" si="86"/>
        <v>32045022</v>
      </c>
      <c r="BA79" s="309">
        <f t="shared" si="87"/>
        <v>1.3849735085668591</v>
      </c>
    </row>
    <row r="80" spans="1:54">
      <c r="A80" s="26"/>
      <c r="B80" s="26"/>
      <c r="AX80" s="604"/>
    </row>
    <row r="81" spans="1:53" s="679" customFormat="1">
      <c r="A81" s="664" t="s">
        <v>85</v>
      </c>
      <c r="B81" s="665"/>
      <c r="C81" s="666"/>
      <c r="D81" s="740">
        <f>'6月'!D81</f>
        <v>0</v>
      </c>
      <c r="E81" s="741"/>
      <c r="F81" s="773">
        <f>'6月'!F83</f>
        <v>6865951</v>
      </c>
      <c r="G81" s="774"/>
      <c r="H81" s="669">
        <f>'6月'!H81</f>
        <v>6712201</v>
      </c>
      <c r="I81" s="670"/>
      <c r="J81" s="667"/>
      <c r="K81" s="668"/>
      <c r="L81" s="669">
        <f>+J81</f>
        <v>0</v>
      </c>
      <c r="M81" s="670"/>
      <c r="N81" s="667"/>
      <c r="O81" s="668"/>
      <c r="P81" s="669">
        <f>+N81</f>
        <v>0</v>
      </c>
      <c r="Q81" s="670"/>
      <c r="R81" s="671"/>
      <c r="S81" s="672"/>
      <c r="T81" s="669">
        <f>+R81</f>
        <v>0</v>
      </c>
      <c r="U81" s="670"/>
      <c r="V81" s="667">
        <f>N81+R81</f>
        <v>0</v>
      </c>
      <c r="W81" s="668"/>
      <c r="X81" s="673">
        <f>P81+T81</f>
        <v>0</v>
      </c>
      <c r="Y81" s="674"/>
      <c r="Z81" s="667">
        <f>F81+J81+N81+R81</f>
        <v>6865951</v>
      </c>
      <c r="AA81" s="668"/>
      <c r="AB81" s="675">
        <f t="shared" si="76"/>
        <v>6712201</v>
      </c>
      <c r="AC81" s="676"/>
      <c r="AD81" s="671">
        <f>'6月'!AD83</f>
        <v>4129816</v>
      </c>
      <c r="AE81" s="672"/>
      <c r="AF81" s="669">
        <f>'6月'!AF81</f>
        <v>4214746</v>
      </c>
      <c r="AG81" s="670"/>
      <c r="AH81" s="671"/>
      <c r="AI81" s="672"/>
      <c r="AJ81" s="669">
        <f>+AH81</f>
        <v>0</v>
      </c>
      <c r="AK81" s="670"/>
      <c r="AL81" s="671">
        <f>+AD81+AH81</f>
        <v>4129816</v>
      </c>
      <c r="AM81" s="672"/>
      <c r="AN81" s="669">
        <f t="shared" si="79"/>
        <v>4214746</v>
      </c>
      <c r="AO81" s="670"/>
      <c r="AP81" s="671">
        <f>+AB81+AL81</f>
        <v>10842017</v>
      </c>
      <c r="AQ81" s="672"/>
      <c r="AR81" s="669">
        <f>D81+AB81+AN81</f>
        <v>10926947</v>
      </c>
      <c r="AS81" s="670"/>
      <c r="AT81" s="671">
        <f>'6月'!AT83</f>
        <v>10538573</v>
      </c>
      <c r="AU81" s="672"/>
      <c r="AV81" s="669">
        <f>'6月'!AV81</f>
        <v>10388772</v>
      </c>
      <c r="AW81" s="670"/>
      <c r="AX81" s="671">
        <f>AP81-AT81</f>
        <v>303444</v>
      </c>
      <c r="AY81" s="677">
        <f>IF(ISERROR(AP81/AT81),"",AP81/AT81)</f>
        <v>1.0287936516642244</v>
      </c>
      <c r="AZ81" s="669">
        <f>AR81-AV81</f>
        <v>538175</v>
      </c>
      <c r="BA81" s="678">
        <f>IF(ISERROR(AR81/AV81),"",AR81/AV81)</f>
        <v>1.051803524035372</v>
      </c>
    </row>
    <row r="82" spans="1:53" s="679" customFormat="1">
      <c r="A82" s="680" t="s">
        <v>86</v>
      </c>
      <c r="B82" s="681"/>
      <c r="C82" s="682"/>
      <c r="D82" s="738">
        <f>B82+'6月'!D82</f>
        <v>0</v>
      </c>
      <c r="E82" s="742"/>
      <c r="F82" s="771">
        <v>2271909</v>
      </c>
      <c r="G82" s="772"/>
      <c r="H82" s="685">
        <f>F82+'6月'!H82</f>
        <v>4892445</v>
      </c>
      <c r="I82" s="686"/>
      <c r="J82" s="683">
        <v>35091</v>
      </c>
      <c r="K82" s="684"/>
      <c r="L82" s="685">
        <f>J82+'6月'!L82</f>
        <v>52141</v>
      </c>
      <c r="M82" s="686"/>
      <c r="N82" s="683">
        <v>64178</v>
      </c>
      <c r="O82" s="684"/>
      <c r="P82" s="685">
        <f>N82+'6月'!P82</f>
        <v>138220</v>
      </c>
      <c r="Q82" s="686"/>
      <c r="R82" s="683"/>
      <c r="S82" s="684"/>
      <c r="T82" s="685">
        <f>R82+'6月'!T82</f>
        <v>0</v>
      </c>
      <c r="U82" s="686"/>
      <c r="V82" s="683">
        <f>N82+R82</f>
        <v>64178</v>
      </c>
      <c r="W82" s="684"/>
      <c r="X82" s="687">
        <f>P82+T82</f>
        <v>138220</v>
      </c>
      <c r="Y82" s="688"/>
      <c r="Z82" s="683">
        <f>F82+J82+N82+R82</f>
        <v>2371178</v>
      </c>
      <c r="AA82" s="684"/>
      <c r="AB82" s="687">
        <f t="shared" si="76"/>
        <v>5082806</v>
      </c>
      <c r="AC82" s="688"/>
      <c r="AD82" s="683">
        <v>891498</v>
      </c>
      <c r="AE82" s="684"/>
      <c r="AF82" s="685">
        <f>AD82+'6月'!AF82</f>
        <v>1708396</v>
      </c>
      <c r="AG82" s="686"/>
      <c r="AH82" s="683"/>
      <c r="AI82" s="684"/>
      <c r="AJ82" s="685">
        <f>AH82+'6月'!AJ82</f>
        <v>0</v>
      </c>
      <c r="AK82" s="686"/>
      <c r="AL82" s="683">
        <f>+AD82+AH82</f>
        <v>891498</v>
      </c>
      <c r="AM82" s="684"/>
      <c r="AN82" s="685">
        <f t="shared" si="79"/>
        <v>1708396</v>
      </c>
      <c r="AO82" s="686"/>
      <c r="AP82" s="683">
        <f>+AL82+Z82</f>
        <v>3262676</v>
      </c>
      <c r="AQ82" s="684"/>
      <c r="AR82" s="685">
        <f>D82+AB82+AN82</f>
        <v>6791202</v>
      </c>
      <c r="AS82" s="686"/>
      <c r="AT82" s="683">
        <v>4165401</v>
      </c>
      <c r="AU82" s="684"/>
      <c r="AV82" s="685">
        <f>AT82+'6月'!AV82</f>
        <v>8532182</v>
      </c>
      <c r="AW82" s="686"/>
      <c r="AX82" s="683">
        <f>AP82-AT82</f>
        <v>-902725</v>
      </c>
      <c r="AY82" s="689">
        <f>IF(ISERROR(AP82/AT82),"",AP82/AT82)</f>
        <v>0.78328016918419141</v>
      </c>
      <c r="AZ82" s="685">
        <f>AR82-AV82</f>
        <v>-1740980</v>
      </c>
      <c r="BA82" s="690">
        <f>IF(ISERROR(AR82/AV82),"",AR82/AV82)</f>
        <v>0.79595137562700846</v>
      </c>
    </row>
    <row r="83" spans="1:53" s="679" customFormat="1" ht="14.25" thickBot="1">
      <c r="A83" s="691" t="s">
        <v>87</v>
      </c>
      <c r="B83" s="692"/>
      <c r="C83" s="693"/>
      <c r="D83" s="739">
        <f>+B83</f>
        <v>0</v>
      </c>
      <c r="E83" s="743"/>
      <c r="F83" s="769">
        <f>[2]本社営業!$I$13</f>
        <v>6710886</v>
      </c>
      <c r="G83" s="770"/>
      <c r="H83" s="696">
        <f>+F83</f>
        <v>6710886</v>
      </c>
      <c r="I83" s="697"/>
      <c r="J83" s="694"/>
      <c r="K83" s="695"/>
      <c r="L83" s="696">
        <f>+J83</f>
        <v>0</v>
      </c>
      <c r="M83" s="697"/>
      <c r="N83" s="694"/>
      <c r="O83" s="695"/>
      <c r="P83" s="696">
        <f>+N83</f>
        <v>0</v>
      </c>
      <c r="Q83" s="697"/>
      <c r="R83" s="694"/>
      <c r="S83" s="695"/>
      <c r="T83" s="696">
        <f>+R83</f>
        <v>0</v>
      </c>
      <c r="U83" s="697"/>
      <c r="V83" s="694">
        <f>N83+R83</f>
        <v>0</v>
      </c>
      <c r="W83" s="695"/>
      <c r="X83" s="698">
        <f>P83+T83</f>
        <v>0</v>
      </c>
      <c r="Y83" s="699"/>
      <c r="Z83" s="694">
        <f>F83+J83+N83+R83</f>
        <v>6710886</v>
      </c>
      <c r="AA83" s="695"/>
      <c r="AB83" s="698">
        <f t="shared" si="76"/>
        <v>6710886</v>
      </c>
      <c r="AC83" s="699"/>
      <c r="AD83" s="694">
        <f>[2]東京事務!$I$13</f>
        <v>4009738</v>
      </c>
      <c r="AE83" s="695"/>
      <c r="AF83" s="696">
        <f>+AD83</f>
        <v>4009738</v>
      </c>
      <c r="AG83" s="697"/>
      <c r="AH83" s="694"/>
      <c r="AI83" s="695"/>
      <c r="AJ83" s="696">
        <f>+AH83</f>
        <v>0</v>
      </c>
      <c r="AK83" s="697"/>
      <c r="AL83" s="694">
        <f>+AD83+AH83</f>
        <v>4009738</v>
      </c>
      <c r="AM83" s="695"/>
      <c r="AN83" s="696">
        <f t="shared" si="79"/>
        <v>4009738</v>
      </c>
      <c r="AO83" s="697"/>
      <c r="AP83" s="694">
        <f>+AB83+AL83</f>
        <v>10720624</v>
      </c>
      <c r="AQ83" s="695"/>
      <c r="AR83" s="696">
        <f>D83+AB83+AN83</f>
        <v>10720624</v>
      </c>
      <c r="AS83" s="697"/>
      <c r="AT83" s="694">
        <f>[2]全社合計!$G$13</f>
        <v>10777595</v>
      </c>
      <c r="AU83" s="695"/>
      <c r="AV83" s="696">
        <f>AT83</f>
        <v>10777595</v>
      </c>
      <c r="AW83" s="697"/>
      <c r="AX83" s="694">
        <f>AP83-AT83</f>
        <v>-56971</v>
      </c>
      <c r="AY83" s="700">
        <f>IF(ISERROR(AP83/AT83),"",AP83/AT83)</f>
        <v>0.99471394128281865</v>
      </c>
      <c r="AZ83" s="696">
        <f>AR83-AV83</f>
        <v>-56971</v>
      </c>
      <c r="BA83" s="701">
        <f>IF(ISERROR(AR83/AV83),"",AR83/AV83)</f>
        <v>0.99471394128281865</v>
      </c>
    </row>
    <row r="84" spans="1:53" ht="14.25" thickTop="1">
      <c r="D84" s="26"/>
      <c r="H84" s="26"/>
      <c r="L84" s="26"/>
      <c r="P84" s="26"/>
      <c r="T84" s="26"/>
      <c r="AL84" s="26"/>
      <c r="AP84" s="26"/>
      <c r="AT84" s="26"/>
      <c r="AX84" s="26"/>
    </row>
    <row r="85" spans="1:53">
      <c r="AL85" s="26"/>
    </row>
    <row r="89" spans="1:53">
      <c r="B89" s="27"/>
      <c r="D89" s="27"/>
      <c r="H89" s="27"/>
      <c r="L89" s="27"/>
      <c r="P89" s="27"/>
      <c r="T89" s="27"/>
      <c r="X89" s="27"/>
      <c r="AB89" s="27"/>
      <c r="AF89" s="27"/>
      <c r="AL89" s="27"/>
      <c r="AP89" s="27"/>
      <c r="AT89" s="27"/>
      <c r="AX89" s="27"/>
    </row>
    <row r="90" spans="1:53">
      <c r="B90" s="27"/>
      <c r="D90" s="27"/>
      <c r="H90" s="27"/>
      <c r="L90" s="27"/>
      <c r="P90" s="27"/>
      <c r="T90" s="27"/>
      <c r="X90" s="27"/>
      <c r="AB90" s="27"/>
      <c r="AF90" s="27"/>
      <c r="AL90" s="27"/>
      <c r="AP90" s="27"/>
      <c r="AT90" s="27"/>
      <c r="AX90" s="27"/>
    </row>
    <row r="91" spans="1:53">
      <c r="B91" s="27"/>
      <c r="D91" s="27"/>
      <c r="H91" s="27"/>
      <c r="L91" s="27"/>
      <c r="P91" s="27"/>
      <c r="T91" s="27"/>
      <c r="X91" s="27"/>
      <c r="AB91" s="27"/>
      <c r="AF91" s="27"/>
      <c r="AL91" s="27"/>
      <c r="AP91" s="27"/>
      <c r="AT91" s="27"/>
      <c r="AX91" s="27"/>
    </row>
    <row r="92" spans="1:53">
      <c r="B92" s="27"/>
      <c r="D92" s="27"/>
      <c r="H92" s="27"/>
      <c r="L92" s="27"/>
      <c r="P92" s="27"/>
      <c r="T92" s="27"/>
      <c r="X92" s="27"/>
      <c r="AB92" s="27"/>
      <c r="AF92" s="27"/>
      <c r="AL92" s="27"/>
      <c r="AP92" s="27"/>
      <c r="AT92" s="27"/>
      <c r="AX92" s="27"/>
    </row>
    <row r="93" spans="1:53">
      <c r="B93" s="27"/>
      <c r="D93" s="27"/>
      <c r="H93" s="27"/>
      <c r="L93" s="27"/>
      <c r="P93" s="27"/>
      <c r="T93" s="27"/>
      <c r="X93" s="27"/>
      <c r="AB93" s="27"/>
      <c r="AF93" s="27"/>
      <c r="AL93" s="27"/>
      <c r="AP93" s="27"/>
      <c r="AT93" s="27"/>
      <c r="AX93" s="27"/>
    </row>
    <row r="94" spans="1:53">
      <c r="B94" s="27"/>
    </row>
    <row r="95" spans="1:53">
      <c r="B95" s="27"/>
    </row>
  </sheetData>
  <mergeCells count="45">
    <mergeCell ref="A2:A5"/>
    <mergeCell ref="B2:E3"/>
    <mergeCell ref="F2:AC2"/>
    <mergeCell ref="AD2:AO2"/>
    <mergeCell ref="AP2:AS3"/>
    <mergeCell ref="N4:O4"/>
    <mergeCell ref="P4:Q4"/>
    <mergeCell ref="R4:S4"/>
    <mergeCell ref="T4:U4"/>
    <mergeCell ref="L4:M4"/>
    <mergeCell ref="J3:M3"/>
    <mergeCell ref="N3:Q3"/>
    <mergeCell ref="R3:U3"/>
    <mergeCell ref="V3:Y3"/>
    <mergeCell ref="Z3:AC3"/>
    <mergeCell ref="B4:C4"/>
    <mergeCell ref="D4:E4"/>
    <mergeCell ref="F4:G4"/>
    <mergeCell ref="H4:I4"/>
    <mergeCell ref="F3:I3"/>
    <mergeCell ref="AX2:BA3"/>
    <mergeCell ref="AD3:AG3"/>
    <mergeCell ref="AH3:AK3"/>
    <mergeCell ref="AL3:AO3"/>
    <mergeCell ref="AX4:AY4"/>
    <mergeCell ref="AZ4:BA4"/>
    <mergeCell ref="AV4:AW4"/>
    <mergeCell ref="AP4:AQ4"/>
    <mergeCell ref="AT2:AW3"/>
    <mergeCell ref="F82:G82"/>
    <mergeCell ref="F83:G83"/>
    <mergeCell ref="AT4:AU4"/>
    <mergeCell ref="J4:K4"/>
    <mergeCell ref="F81:G81"/>
    <mergeCell ref="AH4:AI4"/>
    <mergeCell ref="AJ4:AK4"/>
    <mergeCell ref="AL4:AM4"/>
    <mergeCell ref="AN4:AO4"/>
    <mergeCell ref="V4:W4"/>
    <mergeCell ref="X4:Y4"/>
    <mergeCell ref="Z4:AA4"/>
    <mergeCell ref="AB4:AC4"/>
    <mergeCell ref="AF4:AG4"/>
    <mergeCell ref="AR4:AS4"/>
    <mergeCell ref="AD4:AE4"/>
  </mergeCells>
  <phoneticPr fontId="32"/>
  <dataValidations count="2">
    <dataValidation imeMode="on" allowBlank="1" showInputMessage="1" showErrorMessage="1" sqref="A2:BA5" xr:uid="{A5DE9D61-0FC2-4C52-A4B8-AA17708862BD}"/>
    <dataValidation imeMode="off" allowBlank="1" showInputMessage="1" showErrorMessage="1" sqref="B1 AP1 AV1:AX1 AZ1:BA1 AR1:AT1 B6:BA65536" xr:uid="{1EF200E0-E163-4765-BB30-8EB1D687273B}"/>
  </dataValidations>
  <printOptions gridLinesSet="0"/>
  <pageMargins left="0.39370078740157483" right="0.19685039370078741" top="0.39370078740157483" bottom="0.19685039370078741" header="0" footer="0"/>
  <pageSetup paperSize="8" scale="68" orientation="landscape" r:id="rId1"/>
  <headerFooter alignWithMargins="0">
    <oddHeader>&amp;L&amp;D&amp;T&amp;C&amp;"明朝,太字"&amp;16&amp;F&amp;R&amp;"明朝,太字"&amp;A</oddHeader>
    <oddFooter>&amp;C&amp;"明朝,太字"&amp;14&amp;F&amp;R&amp;"明朝,太字"&amp;14&amp;A</oddFooter>
  </headerFooter>
  <colBreaks count="1" manualBreakCount="1">
    <brk id="29" min="1" max="7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94A9-2763-4A88-B368-44BF2E3A07F4}">
  <dimension ref="A1:BB95"/>
  <sheetViews>
    <sheetView view="pageBreakPreview" zoomScale="80" zoomScaleNormal="80" zoomScaleSheetLayoutView="80" workbookViewId="0">
      <pane xSplit="1" ySplit="5" topLeftCell="AP66" activePane="bottomRight" state="frozen"/>
      <selection activeCell="B4" sqref="A4:XFD4"/>
      <selection pane="topRight" activeCell="B4" sqref="A4:XFD4"/>
      <selection pane="bottomLeft" activeCell="B4" sqref="A4:XFD4"/>
      <selection pane="bottomRight" activeCell="AT83" sqref="AT83"/>
    </sheetView>
  </sheetViews>
  <sheetFormatPr defaultRowHeight="13.5"/>
  <cols>
    <col min="1" max="1" width="23.75" style="1" customWidth="1"/>
    <col min="2" max="2" width="11.375" style="1" bestFit="1" customWidth="1"/>
    <col min="3" max="3" width="7.875" style="1" customWidth="1"/>
    <col min="4" max="4" width="12.625" style="1" customWidth="1"/>
    <col min="5" max="5" width="8.25" style="1" customWidth="1"/>
    <col min="6" max="6" width="11.625" style="1" customWidth="1"/>
    <col min="7" max="7" width="8.375" style="1" customWidth="1"/>
    <col min="8" max="8" width="12.625" style="1" customWidth="1"/>
    <col min="9" max="9" width="7.375" style="1" customWidth="1"/>
    <col min="10" max="10" width="11.625" style="1" customWidth="1"/>
    <col min="11" max="11" width="8.375" style="1" customWidth="1"/>
    <col min="12" max="12" width="12.625" style="1" customWidth="1"/>
    <col min="13" max="13" width="7.625" style="1" customWidth="1"/>
    <col min="14" max="14" width="11.625" style="1" customWidth="1"/>
    <col min="15" max="15" width="8.375" style="1" customWidth="1"/>
    <col min="16" max="16" width="12.625" style="1" customWidth="1"/>
    <col min="17" max="17" width="8.625" style="1" customWidth="1"/>
    <col min="18" max="18" width="11.625" style="1" customWidth="1"/>
    <col min="19" max="19" width="8.375" style="1" customWidth="1"/>
    <col min="20" max="20" width="12.625" style="1" customWidth="1"/>
    <col min="21" max="21" width="7.25" style="1" customWidth="1"/>
    <col min="22" max="22" width="11.625" style="1" customWidth="1"/>
    <col min="23" max="23" width="8.375" style="1" customWidth="1"/>
    <col min="24" max="24" width="12.625" style="1" customWidth="1"/>
    <col min="25" max="25" width="7.375" style="1" customWidth="1"/>
    <col min="26" max="26" width="11.625" style="1" customWidth="1"/>
    <col min="27" max="27" width="8.375" style="1" customWidth="1"/>
    <col min="28" max="28" width="12.625" style="1" customWidth="1"/>
    <col min="29" max="29" width="7.375" style="1" customWidth="1"/>
    <col min="30" max="30" width="11.625" style="1" customWidth="1"/>
    <col min="31" max="31" width="8.375" style="1" customWidth="1"/>
    <col min="32" max="32" width="12.625" style="1" customWidth="1"/>
    <col min="33" max="33" width="7.375" style="1" customWidth="1"/>
    <col min="34" max="34" width="11.625" style="1" customWidth="1"/>
    <col min="35" max="35" width="8.375" style="1" customWidth="1"/>
    <col min="36" max="36" width="12.625" style="1" customWidth="1"/>
    <col min="37" max="37" width="8.375" style="1" customWidth="1"/>
    <col min="38" max="38" width="11.625" style="1" customWidth="1"/>
    <col min="39" max="39" width="7.375" style="1" customWidth="1"/>
    <col min="40" max="40" width="12.625" style="1" customWidth="1"/>
    <col min="41" max="41" width="8.375" style="1" customWidth="1"/>
    <col min="42" max="42" width="13.625" style="1" customWidth="1"/>
    <col min="43" max="43" width="7.375" style="1" customWidth="1"/>
    <col min="44" max="44" width="13.625" style="1" customWidth="1"/>
    <col min="45" max="45" width="8.375" style="1" customWidth="1"/>
    <col min="46" max="46" width="13.625" style="1" customWidth="1"/>
    <col min="47" max="47" width="7.375" style="1" customWidth="1"/>
    <col min="48" max="48" width="13.625" style="1" customWidth="1"/>
    <col min="49" max="49" width="8.375" style="1" customWidth="1"/>
    <col min="50" max="50" width="13.625" style="1" customWidth="1"/>
    <col min="51" max="51" width="7.375" style="1" customWidth="1"/>
    <col min="52" max="52" width="13.625" style="1" customWidth="1"/>
    <col min="53" max="53" width="8.375" style="1" customWidth="1"/>
  </cols>
  <sheetData>
    <row r="1" spans="1:54" ht="10.5" customHeight="1" thickBot="1"/>
    <row r="2" spans="1:54" ht="14.25" customHeight="1" thickTop="1">
      <c r="A2" s="798" t="s">
        <v>0</v>
      </c>
      <c r="B2" s="759" t="s">
        <v>71</v>
      </c>
      <c r="C2" s="760"/>
      <c r="D2" s="760"/>
      <c r="E2" s="761"/>
      <c r="F2" s="812" t="s">
        <v>82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4"/>
      <c r="AD2" s="807" t="s">
        <v>83</v>
      </c>
      <c r="AE2" s="808"/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759" t="s">
        <v>81</v>
      </c>
      <c r="AQ2" s="760"/>
      <c r="AR2" s="760"/>
      <c r="AS2" s="761"/>
      <c r="AT2" s="759" t="s">
        <v>88</v>
      </c>
      <c r="AU2" s="760"/>
      <c r="AV2" s="760"/>
      <c r="AW2" s="761"/>
      <c r="AX2" s="759" t="s">
        <v>89</v>
      </c>
      <c r="AY2" s="760"/>
      <c r="AZ2" s="760"/>
      <c r="BA2" s="761"/>
    </row>
    <row r="3" spans="1:54">
      <c r="A3" s="799"/>
      <c r="B3" s="762"/>
      <c r="C3" s="763"/>
      <c r="D3" s="763"/>
      <c r="E3" s="764"/>
      <c r="F3" s="784" t="s">
        <v>73</v>
      </c>
      <c r="G3" s="785"/>
      <c r="H3" s="785"/>
      <c r="I3" s="823"/>
      <c r="J3" s="787" t="s">
        <v>74</v>
      </c>
      <c r="K3" s="787"/>
      <c r="L3" s="787"/>
      <c r="M3" s="787"/>
      <c r="N3" s="788" t="s">
        <v>92</v>
      </c>
      <c r="O3" s="789"/>
      <c r="P3" s="789"/>
      <c r="Q3" s="790"/>
      <c r="R3" s="820" t="s">
        <v>75</v>
      </c>
      <c r="S3" s="789"/>
      <c r="T3" s="789"/>
      <c r="U3" s="790"/>
      <c r="V3" s="789" t="s">
        <v>76</v>
      </c>
      <c r="W3" s="789"/>
      <c r="X3" s="789"/>
      <c r="Y3" s="821"/>
      <c r="Z3" s="816" t="s">
        <v>79</v>
      </c>
      <c r="AA3" s="817"/>
      <c r="AB3" s="817"/>
      <c r="AC3" s="818"/>
      <c r="AD3" s="819" t="s">
        <v>77</v>
      </c>
      <c r="AE3" s="805"/>
      <c r="AF3" s="805"/>
      <c r="AG3" s="805"/>
      <c r="AH3" s="804" t="s">
        <v>78</v>
      </c>
      <c r="AI3" s="805"/>
      <c r="AJ3" s="805"/>
      <c r="AK3" s="806"/>
      <c r="AL3" s="805" t="s">
        <v>80</v>
      </c>
      <c r="AM3" s="805"/>
      <c r="AN3" s="805"/>
      <c r="AO3" s="811"/>
      <c r="AP3" s="762"/>
      <c r="AQ3" s="763"/>
      <c r="AR3" s="763"/>
      <c r="AS3" s="764"/>
      <c r="AT3" s="762"/>
      <c r="AU3" s="763"/>
      <c r="AV3" s="763"/>
      <c r="AW3" s="764"/>
      <c r="AX3" s="762"/>
      <c r="AY3" s="763"/>
      <c r="AZ3" s="763"/>
      <c r="BA3" s="764"/>
    </row>
    <row r="4" spans="1:54" ht="15.95" customHeight="1">
      <c r="A4" s="799"/>
      <c r="B4" s="779">
        <v>45900</v>
      </c>
      <c r="C4" s="776"/>
      <c r="D4" s="780" t="s">
        <v>72</v>
      </c>
      <c r="E4" s="781"/>
      <c r="F4" s="765">
        <v>45900</v>
      </c>
      <c r="G4" s="766"/>
      <c r="H4" s="767" t="s">
        <v>72</v>
      </c>
      <c r="I4" s="822"/>
      <c r="J4" s="797">
        <v>45900</v>
      </c>
      <c r="K4" s="766"/>
      <c r="L4" s="767" t="s">
        <v>72</v>
      </c>
      <c r="M4" s="782"/>
      <c r="N4" s="795">
        <v>45900</v>
      </c>
      <c r="O4" s="766"/>
      <c r="P4" s="767" t="s">
        <v>72</v>
      </c>
      <c r="Q4" s="783"/>
      <c r="R4" s="796">
        <v>45900</v>
      </c>
      <c r="S4" s="766"/>
      <c r="T4" s="767" t="s">
        <v>72</v>
      </c>
      <c r="U4" s="783"/>
      <c r="V4" s="797">
        <v>45900</v>
      </c>
      <c r="W4" s="766"/>
      <c r="X4" s="767" t="s">
        <v>72</v>
      </c>
      <c r="Y4" s="793"/>
      <c r="Z4" s="775">
        <v>45900</v>
      </c>
      <c r="AA4" s="815"/>
      <c r="AB4" s="780" t="s">
        <v>72</v>
      </c>
      <c r="AC4" s="781"/>
      <c r="AD4" s="765">
        <v>45900</v>
      </c>
      <c r="AE4" s="766"/>
      <c r="AF4" s="791" t="s">
        <v>72</v>
      </c>
      <c r="AG4" s="792"/>
      <c r="AH4" s="797">
        <v>45900</v>
      </c>
      <c r="AI4" s="766"/>
      <c r="AJ4" s="767" t="s">
        <v>72</v>
      </c>
      <c r="AK4" s="810"/>
      <c r="AL4" s="775">
        <v>45900</v>
      </c>
      <c r="AM4" s="776"/>
      <c r="AN4" s="780" t="s">
        <v>72</v>
      </c>
      <c r="AO4" s="803"/>
      <c r="AP4" s="777">
        <v>45900</v>
      </c>
      <c r="AQ4" s="778"/>
      <c r="AR4" s="801" t="s">
        <v>72</v>
      </c>
      <c r="AS4" s="802"/>
      <c r="AT4" s="765">
        <v>45535</v>
      </c>
      <c r="AU4" s="766"/>
      <c r="AV4" s="767" t="s">
        <v>72</v>
      </c>
      <c r="AW4" s="768"/>
      <c r="AX4" s="765" t="s">
        <v>90</v>
      </c>
      <c r="AY4" s="766"/>
      <c r="AZ4" s="767" t="s">
        <v>91</v>
      </c>
      <c r="BA4" s="768"/>
    </row>
    <row r="5" spans="1:54" ht="15.95" customHeight="1">
      <c r="A5" s="800"/>
      <c r="B5" s="49" t="s">
        <v>1</v>
      </c>
      <c r="C5" s="50" t="s">
        <v>2</v>
      </c>
      <c r="D5" s="47" t="s">
        <v>1</v>
      </c>
      <c r="E5" s="51" t="s">
        <v>2</v>
      </c>
      <c r="F5" s="2" t="s">
        <v>1</v>
      </c>
      <c r="G5" s="4" t="s">
        <v>2</v>
      </c>
      <c r="H5" s="29" t="s">
        <v>1</v>
      </c>
      <c r="I5" s="335" t="s">
        <v>2</v>
      </c>
      <c r="J5" s="3" t="s">
        <v>1</v>
      </c>
      <c r="K5" s="4" t="s">
        <v>2</v>
      </c>
      <c r="L5" s="29" t="s">
        <v>1</v>
      </c>
      <c r="M5" s="5" t="s">
        <v>2</v>
      </c>
      <c r="N5" s="222" t="s">
        <v>1</v>
      </c>
      <c r="O5" s="4" t="s">
        <v>2</v>
      </c>
      <c r="P5" s="33" t="s">
        <v>1</v>
      </c>
      <c r="Q5" s="72" t="s">
        <v>2</v>
      </c>
      <c r="R5" s="67" t="s">
        <v>1</v>
      </c>
      <c r="S5" s="4" t="s">
        <v>2</v>
      </c>
      <c r="T5" s="33" t="s">
        <v>1</v>
      </c>
      <c r="U5" s="72" t="s">
        <v>2</v>
      </c>
      <c r="V5" s="3" t="s">
        <v>1</v>
      </c>
      <c r="W5" s="4" t="s">
        <v>2</v>
      </c>
      <c r="X5" s="33" t="s">
        <v>1</v>
      </c>
      <c r="Y5" s="223" t="s">
        <v>2</v>
      </c>
      <c r="Z5" s="52" t="s">
        <v>1</v>
      </c>
      <c r="AA5" s="74" t="s">
        <v>2</v>
      </c>
      <c r="AB5" s="76" t="s">
        <v>1</v>
      </c>
      <c r="AC5" s="332" t="s">
        <v>2</v>
      </c>
      <c r="AD5" s="2" t="s">
        <v>1</v>
      </c>
      <c r="AE5" s="4" t="s">
        <v>2</v>
      </c>
      <c r="AF5" s="29" t="s">
        <v>1</v>
      </c>
      <c r="AG5" s="6" t="s">
        <v>2</v>
      </c>
      <c r="AH5" s="3" t="s">
        <v>1</v>
      </c>
      <c r="AI5" s="4" t="s">
        <v>2</v>
      </c>
      <c r="AJ5" s="33" t="s">
        <v>1</v>
      </c>
      <c r="AK5" s="96" t="s">
        <v>2</v>
      </c>
      <c r="AL5" s="114" t="s">
        <v>1</v>
      </c>
      <c r="AM5" s="312" t="s">
        <v>2</v>
      </c>
      <c r="AN5" s="52" t="s">
        <v>1</v>
      </c>
      <c r="AO5" s="115" t="s">
        <v>2</v>
      </c>
      <c r="AP5" s="278" t="s">
        <v>1</v>
      </c>
      <c r="AQ5" s="279" t="s">
        <v>2</v>
      </c>
      <c r="AR5" s="280" t="s">
        <v>1</v>
      </c>
      <c r="AS5" s="281" t="s">
        <v>2</v>
      </c>
      <c r="AT5" s="116" t="s">
        <v>1</v>
      </c>
      <c r="AU5" s="5" t="s">
        <v>2</v>
      </c>
      <c r="AV5" s="33" t="s">
        <v>1</v>
      </c>
      <c r="AW5" s="117" t="s">
        <v>2</v>
      </c>
      <c r="AX5" s="116" t="s">
        <v>1</v>
      </c>
      <c r="AY5" s="5" t="s">
        <v>2</v>
      </c>
      <c r="AZ5" s="33" t="s">
        <v>1</v>
      </c>
      <c r="BA5" s="117" t="s">
        <v>2</v>
      </c>
    </row>
    <row r="6" spans="1:54" ht="15.95" customHeight="1">
      <c r="A6" s="253" t="s">
        <v>3</v>
      </c>
      <c r="B6" s="721"/>
      <c r="C6" s="258" t="str">
        <f t="shared" ref="C6:C11" si="0">IF(ISERR(B6/$B$11),"",B6/$B$11)</f>
        <v/>
      </c>
      <c r="D6" s="723"/>
      <c r="E6" s="118" t="str">
        <f t="shared" ref="E6:E11" si="1">IF(ISERR(D6/$D$11),"",D6/$D$11)</f>
        <v/>
      </c>
      <c r="F6" s="351">
        <f>[3]本社営業!$I$5</f>
        <v>369676493</v>
      </c>
      <c r="G6" s="7">
        <f t="shared" ref="G6:G11" si="2">IF(ISERR(F6/$F$11),"",F6/$F$11)</f>
        <v>0.8292283296595121</v>
      </c>
      <c r="H6" s="354">
        <f>[3]本社営業!$L$5</f>
        <v>1240078182</v>
      </c>
      <c r="I6" s="120">
        <f>IF(ISERR(H6/$H$11),"",H6/$H$11)</f>
        <v>0.82627309023579087</v>
      </c>
      <c r="J6" s="744">
        <f>[3]東大阪!$I$5</f>
        <v>385650</v>
      </c>
      <c r="K6" s="7">
        <f>IF(ISERR(J6/$J$11),"",J6/$J$11)</f>
        <v>5.1185243996932465E-2</v>
      </c>
      <c r="L6" s="354">
        <f>[3]東大阪!$L$5</f>
        <v>1385035</v>
      </c>
      <c r="M6" s="120">
        <f t="shared" ref="M6:M11" si="3">IF(ISERR(L6/$L$11),"",L6/$L$11)</f>
        <v>5.3698872937603448E-2</v>
      </c>
      <c r="N6" s="402">
        <f>[3]南港工場!$I$5</f>
        <v>2341310</v>
      </c>
      <c r="O6" s="7">
        <f t="shared" ref="O6:O11" si="4">IF(ISERR(N6/$N$11),"",N6/$N$11)</f>
        <v>0.11564890499779155</v>
      </c>
      <c r="P6" s="354">
        <f>[3]南港工場!$L$5</f>
        <v>9502984</v>
      </c>
      <c r="Q6" s="203">
        <f t="shared" ref="Q6:Q11" si="5">IF(ISERR(P6/$P$11),"",P6/$P$11)</f>
        <v>0.12457386013382399</v>
      </c>
      <c r="R6" s="436"/>
      <c r="S6" s="7" t="str">
        <f t="shared" ref="S6:S11" si="6">IF(ISERR(R6/$R$11),"",R6/$R$11)</f>
        <v/>
      </c>
      <c r="T6" s="354">
        <f>[3]南港事務!$L$5</f>
        <v>0</v>
      </c>
      <c r="U6" s="203" t="str">
        <f t="shared" ref="U6:U11" si="7">IF(ISERR(T6/$T$11),"",T6/$T$11)</f>
        <v/>
      </c>
      <c r="V6" s="455">
        <f>N6+R6</f>
        <v>2341310</v>
      </c>
      <c r="W6" s="174">
        <f t="shared" ref="W6:W11" si="8">IF(ISERR(V6/$V$11),"",V6/$V$11)</f>
        <v>0.11564890499779155</v>
      </c>
      <c r="X6" s="406">
        <f>P6+T6</f>
        <v>9502984</v>
      </c>
      <c r="Y6" s="224">
        <f t="shared" ref="Y6:Y11" si="9">IF(ISERR(X6/$X$11),"",X6/$X$11)</f>
        <v>0.12457386013382399</v>
      </c>
      <c r="Z6" s="459">
        <f>F6+J6+N6+R6</f>
        <v>372403453</v>
      </c>
      <c r="AA6" s="188">
        <f t="shared" ref="AA6:AA11" si="10">IF(ISERR(Z6/$Z$11),"",Z6/$Z$11)</f>
        <v>0.78634607293871184</v>
      </c>
      <c r="AB6" s="462">
        <f>H6+L6+P6+T6</f>
        <v>1250966201</v>
      </c>
      <c r="AC6" s="119">
        <f t="shared" ref="AC6:AC11" si="11">IF(ISERR(AB6/$AB$11),"",AB6/$AB$11)</f>
        <v>0.78044630607968046</v>
      </c>
      <c r="AD6" s="351">
        <f>[3]東京事務!$I$5</f>
        <v>145385939</v>
      </c>
      <c r="AE6" s="7">
        <f t="shared" ref="AE6:AE11" si="12">IF(ISERR(AD6/$AD$11),"",AD6/$AD$11)</f>
        <v>0.64041735410269363</v>
      </c>
      <c r="AF6" s="354">
        <f>[3]東京事務!$L$5</f>
        <v>452202087</v>
      </c>
      <c r="AG6" s="80">
        <f t="shared" ref="AG6:AG11" si="13">IF(ISERR(AF6/$AF$11),"",AF6/$AF$11)</f>
        <v>0.63186252810674903</v>
      </c>
      <c r="AH6" s="467">
        <f>[3]東京工場!$I$5</f>
        <v>0</v>
      </c>
      <c r="AI6" s="169">
        <f>IF(ISERR(AH6/$AH$11),"",AH6/$AH$11)</f>
        <v>0</v>
      </c>
      <c r="AJ6" s="354">
        <f>[3]東京工場!$L$5</f>
        <v>0</v>
      </c>
      <c r="AK6" s="97">
        <f t="shared" ref="AK6:AK11" si="14">IF(ISERR(AJ6/$AJ$11),"",AJ6/$AJ$11)</f>
        <v>0</v>
      </c>
      <c r="AL6" s="472">
        <f>AD6+AH6</f>
        <v>145385939</v>
      </c>
      <c r="AM6" s="313">
        <f t="shared" ref="AM6:AM11" si="15">IF(ISERR(AL6/$AL$11),"",AL6/AL$11)</f>
        <v>0.61649388425987994</v>
      </c>
      <c r="AN6" s="477">
        <f>AF6+AJ6</f>
        <v>452202087</v>
      </c>
      <c r="AO6" s="119">
        <f t="shared" ref="AO6:AO11" si="16">IF(ISERR(AN6/$AN$11),"",AN6/$AN$11)</f>
        <v>0.60710604980628591</v>
      </c>
      <c r="AP6" s="481">
        <f>B6+Z6+AL6</f>
        <v>517789392</v>
      </c>
      <c r="AQ6" s="282">
        <f t="shared" ref="AQ6:AQ11" si="17">IF(ISERR(AP6/$AP$11),"",AP6/$AP$11)</f>
        <v>0.72988295537287051</v>
      </c>
      <c r="AR6" s="486">
        <f>D6+AB6+AN6</f>
        <v>1703168288</v>
      </c>
      <c r="AS6" s="283">
        <f t="shared" ref="AS6:AS11" si="18">IF(ISERR(AR6/$AR$11),"",AR6/$AR$11)</f>
        <v>0.72545190233676293</v>
      </c>
      <c r="AT6" s="573">
        <f>[3]全社合計!$G$5</f>
        <v>614676065</v>
      </c>
      <c r="AU6" s="120">
        <f>IF(ISERR(AT6/$AT$11),"",AT6/$AT$11)</f>
        <v>0.77285321034519805</v>
      </c>
      <c r="AV6" s="577">
        <f>[3]全社合計!$N$5</f>
        <v>1960415025</v>
      </c>
      <c r="AW6" s="121">
        <f>IF(ISERR(AV6/$AV$11),"",AV6/$AV$11)</f>
        <v>0.72730665127233995</v>
      </c>
      <c r="AX6" s="573">
        <f>AP6-AT6</f>
        <v>-96886673</v>
      </c>
      <c r="AY6" s="120">
        <f>IF(ISERROR(AP6/AT6),"",AP6/AT6)</f>
        <v>0.84237767091191362</v>
      </c>
      <c r="AZ6" s="577">
        <f>AR6-AV6</f>
        <v>-257246737</v>
      </c>
      <c r="BA6" s="121">
        <f>IF(ISERROR(AR6/AV6),"",AR6/AV6)</f>
        <v>0.86877945041254723</v>
      </c>
      <c r="BB6" s="8"/>
    </row>
    <row r="7" spans="1:54" ht="15.95" customHeight="1">
      <c r="A7" s="254" t="s">
        <v>53</v>
      </c>
      <c r="B7" s="719"/>
      <c r="C7" s="259" t="str">
        <f t="shared" si="0"/>
        <v/>
      </c>
      <c r="D7" s="723"/>
      <c r="E7" s="122" t="str">
        <f t="shared" si="1"/>
        <v/>
      </c>
      <c r="F7" s="352">
        <f>[3]本社営業!$I$6</f>
        <v>34388071</v>
      </c>
      <c r="G7" s="9">
        <f t="shared" si="2"/>
        <v>7.7136532117942122E-2</v>
      </c>
      <c r="H7" s="355">
        <f>[3]本社営業!$L$6</f>
        <v>113484763</v>
      </c>
      <c r="I7" s="124">
        <f t="shared" ref="I7:I73" si="19">IF(ISERR(H7/$H$11),"",H7/$H$11)</f>
        <v>7.5615720992248156E-2</v>
      </c>
      <c r="J7" s="745">
        <f>[3]東大阪!$I$6</f>
        <v>0</v>
      </c>
      <c r="K7" s="9">
        <f t="shared" ref="K7:K73" si="20">IF(ISERR(J7/$J$11),"",J7/$J$11)</f>
        <v>0</v>
      </c>
      <c r="L7" s="355">
        <f>[3]東大阪!$L$6</f>
        <v>0</v>
      </c>
      <c r="M7" s="124">
        <f t="shared" si="3"/>
        <v>0</v>
      </c>
      <c r="N7" s="403">
        <f>[3]南港工場!$I$6</f>
        <v>0</v>
      </c>
      <c r="O7" s="9">
        <f>IF(ISERR(N7/$N$11),"",N7/$N$11)</f>
        <v>0</v>
      </c>
      <c r="P7" s="355">
        <f>[3]南港工場!$L$6</f>
        <v>0</v>
      </c>
      <c r="Q7" s="204">
        <f t="shared" si="5"/>
        <v>0</v>
      </c>
      <c r="R7" s="437"/>
      <c r="S7" s="9" t="str">
        <f t="shared" si="6"/>
        <v/>
      </c>
      <c r="T7" s="355">
        <f>[3]南港事務!$L$6</f>
        <v>0</v>
      </c>
      <c r="U7" s="204" t="str">
        <f t="shared" si="7"/>
        <v/>
      </c>
      <c r="V7" s="456">
        <f t="shared" ref="V7:V73" si="21">N7+R7</f>
        <v>0</v>
      </c>
      <c r="W7" s="171">
        <f t="shared" si="8"/>
        <v>0</v>
      </c>
      <c r="X7" s="407">
        <f t="shared" ref="X7:X73" si="22">P7+T7</f>
        <v>0</v>
      </c>
      <c r="Y7" s="225">
        <f t="shared" si="9"/>
        <v>0</v>
      </c>
      <c r="Z7" s="460">
        <f t="shared" ref="Z7:Z73" si="23">F7+J7+N7+R7</f>
        <v>34388071</v>
      </c>
      <c r="AA7" s="189">
        <f t="shared" si="10"/>
        <v>7.2611906170450047E-2</v>
      </c>
      <c r="AB7" s="463">
        <f t="shared" ref="AB7:AB73" si="24">H7+L7+P7+T7</f>
        <v>113484763</v>
      </c>
      <c r="AC7" s="123">
        <f t="shared" si="11"/>
        <v>7.0800285418485098E-2</v>
      </c>
      <c r="AD7" s="352">
        <f>[3]東京事務!$I$6</f>
        <v>0</v>
      </c>
      <c r="AE7" s="9">
        <f t="shared" si="12"/>
        <v>0</v>
      </c>
      <c r="AF7" s="355">
        <f>[3]東京事務!$L$6</f>
        <v>0</v>
      </c>
      <c r="AG7" s="81">
        <f t="shared" si="13"/>
        <v>0</v>
      </c>
      <c r="AH7" s="468">
        <f>[3]東京工場!$I$6</f>
        <v>0</v>
      </c>
      <c r="AI7" s="170">
        <f t="shared" ref="AI7:AI73" si="25">IF(ISERR(AH7/$AH$11),"",AH7/$AH$11)</f>
        <v>0</v>
      </c>
      <c r="AJ7" s="355">
        <f>[3]東京工場!$L$6</f>
        <v>0</v>
      </c>
      <c r="AK7" s="98">
        <f t="shared" si="14"/>
        <v>0</v>
      </c>
      <c r="AL7" s="473">
        <f t="shared" ref="AL7:AL73" si="26">AD7+AH7</f>
        <v>0</v>
      </c>
      <c r="AM7" s="314">
        <f t="shared" si="15"/>
        <v>0</v>
      </c>
      <c r="AN7" s="478">
        <f t="shared" ref="AN7:AN73" si="27">AF7+AJ7</f>
        <v>0</v>
      </c>
      <c r="AO7" s="123">
        <f t="shared" si="16"/>
        <v>0</v>
      </c>
      <c r="AP7" s="482">
        <f t="shared" ref="AP7:AP73" si="28">B7+Z7+AL7</f>
        <v>34388071</v>
      </c>
      <c r="AQ7" s="284">
        <f t="shared" si="17"/>
        <v>4.847389166105609E-2</v>
      </c>
      <c r="AR7" s="487">
        <f t="shared" ref="AR7:AR73" si="29">D7+AB7+AN7</f>
        <v>113484763</v>
      </c>
      <c r="AS7" s="285">
        <f t="shared" si="18"/>
        <v>4.8337993247433389E-2</v>
      </c>
      <c r="AT7" s="574">
        <f>[3]全社合計!$G$6</f>
        <v>20314102</v>
      </c>
      <c r="AU7" s="124">
        <f t="shared" ref="AU7:AU73" si="30">IF(ISERR(AT7/$AT$11),"",AT7/$AT$11)</f>
        <v>2.5541614258202502E-2</v>
      </c>
      <c r="AV7" s="578">
        <f>[3]全社合計!$N$6</f>
        <v>124552669</v>
      </c>
      <c r="AW7" s="125">
        <f t="shared" ref="AW7:AW73" si="31">IF(ISERR(AV7/$AV$11),"",AV7/$AV$11)</f>
        <v>4.6208574940616046E-2</v>
      </c>
      <c r="AX7" s="574">
        <f t="shared" ref="AX7:AX73" si="32">AP7-AT7</f>
        <v>14073969</v>
      </c>
      <c r="AY7" s="124">
        <f t="shared" ref="AY7:AY73" si="33">IF(ISERROR(AP7/AT7),"",AP7/AT7)</f>
        <v>1.6928176790684619</v>
      </c>
      <c r="AZ7" s="578">
        <f t="shared" ref="AZ7:AZ73" si="34">AR7-AV7</f>
        <v>-11067906</v>
      </c>
      <c r="BA7" s="125">
        <f t="shared" ref="BA7:BA73" si="35">IF(ISERROR(AR7/AV7),"",AR7/AV7)</f>
        <v>0.91113874886133517</v>
      </c>
      <c r="BB7" s="8"/>
    </row>
    <row r="8" spans="1:54" ht="15.95" customHeight="1">
      <c r="A8" s="255" t="s">
        <v>4</v>
      </c>
      <c r="B8" s="706"/>
      <c r="C8" s="259" t="str">
        <f t="shared" si="0"/>
        <v/>
      </c>
      <c r="D8" s="723"/>
      <c r="E8" s="122" t="str">
        <f t="shared" si="1"/>
        <v/>
      </c>
      <c r="F8" s="352">
        <f>[3]本社営業!$I$7</f>
        <v>1581414</v>
      </c>
      <c r="G8" s="9">
        <f t="shared" si="2"/>
        <v>3.5472996377948424E-3</v>
      </c>
      <c r="H8" s="356">
        <f>[3]本社営業!$L$7</f>
        <v>6056481</v>
      </c>
      <c r="I8" s="124">
        <f t="shared" si="19"/>
        <v>4.0354772339864882E-3</v>
      </c>
      <c r="J8" s="745">
        <f>[3]東大阪!$I$7</f>
        <v>0</v>
      </c>
      <c r="K8" s="9">
        <f t="shared" si="20"/>
        <v>0</v>
      </c>
      <c r="L8" s="356">
        <f>[3]東大阪!$L$7</f>
        <v>0</v>
      </c>
      <c r="M8" s="124">
        <f t="shared" si="3"/>
        <v>0</v>
      </c>
      <c r="N8" s="403">
        <f>[3]南港工場!$I$7</f>
        <v>10926102</v>
      </c>
      <c r="O8" s="9">
        <f t="shared" si="4"/>
        <v>0.53969433018018986</v>
      </c>
      <c r="P8" s="356">
        <f>[3]南港工場!$L$7</f>
        <v>40199648</v>
      </c>
      <c r="Q8" s="204">
        <f t="shared" si="5"/>
        <v>0.52697398284380537</v>
      </c>
      <c r="R8" s="437"/>
      <c r="S8" s="9" t="str">
        <f t="shared" si="6"/>
        <v/>
      </c>
      <c r="T8" s="356">
        <f>[3]南港事務!$L$7</f>
        <v>0</v>
      </c>
      <c r="U8" s="204" t="str">
        <f t="shared" si="7"/>
        <v/>
      </c>
      <c r="V8" s="456">
        <f t="shared" si="21"/>
        <v>10926102</v>
      </c>
      <c r="W8" s="171">
        <f t="shared" si="8"/>
        <v>0.53969433018018986</v>
      </c>
      <c r="X8" s="408">
        <f t="shared" si="22"/>
        <v>40199648</v>
      </c>
      <c r="Y8" s="225">
        <f t="shared" si="9"/>
        <v>0.52697398284380537</v>
      </c>
      <c r="Z8" s="460">
        <f t="shared" si="23"/>
        <v>12507516</v>
      </c>
      <c r="AA8" s="189">
        <f t="shared" si="10"/>
        <v>2.6410163519128557E-2</v>
      </c>
      <c r="AB8" s="464">
        <f t="shared" si="24"/>
        <v>46256129</v>
      </c>
      <c r="AC8" s="123">
        <f t="shared" si="11"/>
        <v>2.8858033880321588E-2</v>
      </c>
      <c r="AD8" s="352">
        <f>[3]東京事務!$I$7</f>
        <v>157808</v>
      </c>
      <c r="AE8" s="9">
        <f t="shared" si="12"/>
        <v>6.9513587429000188E-4</v>
      </c>
      <c r="AF8" s="356">
        <f>[3]東京事務!$L$7</f>
        <v>489432</v>
      </c>
      <c r="AG8" s="81">
        <f t="shared" si="13"/>
        <v>6.8388393098314554E-4</v>
      </c>
      <c r="AH8" s="468">
        <f>[3]東京工場!$I$7</f>
        <v>0</v>
      </c>
      <c r="AI8" s="171">
        <f t="shared" si="25"/>
        <v>0</v>
      </c>
      <c r="AJ8" s="356">
        <f>[3]東京工場!$L$7</f>
        <v>0</v>
      </c>
      <c r="AK8" s="99">
        <f t="shared" si="14"/>
        <v>0</v>
      </c>
      <c r="AL8" s="474">
        <f t="shared" si="26"/>
        <v>157808</v>
      </c>
      <c r="AM8" s="314">
        <f t="shared" si="15"/>
        <v>6.6916833606091124E-4</v>
      </c>
      <c r="AN8" s="478">
        <f t="shared" si="27"/>
        <v>489432</v>
      </c>
      <c r="AO8" s="123">
        <f t="shared" si="16"/>
        <v>6.5708924551865263E-4</v>
      </c>
      <c r="AP8" s="483">
        <f t="shared" si="28"/>
        <v>12665324</v>
      </c>
      <c r="AQ8" s="284">
        <f t="shared" si="17"/>
        <v>1.7853212627953849E-2</v>
      </c>
      <c r="AR8" s="487">
        <f t="shared" si="29"/>
        <v>46745561</v>
      </c>
      <c r="AS8" s="285">
        <f t="shared" si="18"/>
        <v>1.9910925063706442E-2</v>
      </c>
      <c r="AT8" s="575">
        <f>[3]全社合計!$G$7</f>
        <v>13119933</v>
      </c>
      <c r="AU8" s="124">
        <f t="shared" si="30"/>
        <v>1.6496139862813602E-2</v>
      </c>
      <c r="AV8" s="578">
        <f>[3]全社合計!$N$7</f>
        <v>44660581</v>
      </c>
      <c r="AW8" s="125">
        <f t="shared" si="31"/>
        <v>1.6568908724308051E-2</v>
      </c>
      <c r="AX8" s="575">
        <f t="shared" si="32"/>
        <v>-454609</v>
      </c>
      <c r="AY8" s="124">
        <f t="shared" si="33"/>
        <v>0.96534974683178643</v>
      </c>
      <c r="AZ8" s="578">
        <f t="shared" si="34"/>
        <v>2084980</v>
      </c>
      <c r="BA8" s="125">
        <f t="shared" si="35"/>
        <v>1.0466850173758375</v>
      </c>
      <c r="BB8" s="11"/>
    </row>
    <row r="9" spans="1:54" ht="15.95" customHeight="1">
      <c r="A9" s="255" t="s">
        <v>5</v>
      </c>
      <c r="B9" s="706"/>
      <c r="C9" s="259" t="str">
        <f t="shared" si="0"/>
        <v/>
      </c>
      <c r="D9" s="723"/>
      <c r="E9" s="122" t="str">
        <f t="shared" si="1"/>
        <v/>
      </c>
      <c r="F9" s="352">
        <f>[3]本社営業!$I$8</f>
        <v>594000</v>
      </c>
      <c r="G9" s="9">
        <f t="shared" si="2"/>
        <v>1.332412628729818E-3</v>
      </c>
      <c r="H9" s="356">
        <f>[3]本社営業!$L$8</f>
        <v>2068370</v>
      </c>
      <c r="I9" s="124">
        <f>IF(ISERR(H9/$H$11),"",H9/$H$11)</f>
        <v>1.3781699383620012E-3</v>
      </c>
      <c r="J9" s="745">
        <f>[3]東大阪!$I$8</f>
        <v>0</v>
      </c>
      <c r="K9" s="9">
        <f>IF(ISERR(J9/$J$11),"",J9/$J$11)</f>
        <v>0</v>
      </c>
      <c r="L9" s="356">
        <f>[3]東大阪!$L$8</f>
        <v>0</v>
      </c>
      <c r="M9" s="124">
        <f t="shared" si="3"/>
        <v>0</v>
      </c>
      <c r="N9" s="403">
        <f>[3]南港工場!$I$8</f>
        <v>3211016</v>
      </c>
      <c r="O9" s="9">
        <f t="shared" si="4"/>
        <v>0.15860799481076349</v>
      </c>
      <c r="P9" s="356">
        <f>[3]南港工場!$L$8</f>
        <v>12145568</v>
      </c>
      <c r="Q9" s="204">
        <f t="shared" si="5"/>
        <v>0.15921528324975065</v>
      </c>
      <c r="R9" s="437"/>
      <c r="S9" s="9" t="str">
        <f t="shared" si="6"/>
        <v/>
      </c>
      <c r="T9" s="356">
        <f>[3]南港事務!$L$8</f>
        <v>0</v>
      </c>
      <c r="U9" s="204" t="str">
        <f t="shared" si="7"/>
        <v/>
      </c>
      <c r="V9" s="456">
        <f t="shared" si="21"/>
        <v>3211016</v>
      </c>
      <c r="W9" s="171">
        <f t="shared" si="8"/>
        <v>0.15860799481076349</v>
      </c>
      <c r="X9" s="408">
        <f t="shared" si="22"/>
        <v>12145568</v>
      </c>
      <c r="Y9" s="225">
        <f t="shared" si="9"/>
        <v>0.15921528324975065</v>
      </c>
      <c r="Z9" s="460">
        <f t="shared" si="23"/>
        <v>3805016</v>
      </c>
      <c r="AA9" s="189">
        <f t="shared" si="10"/>
        <v>8.0344566221542679E-3</v>
      </c>
      <c r="AB9" s="464">
        <f t="shared" si="24"/>
        <v>14213938</v>
      </c>
      <c r="AC9" s="123">
        <f t="shared" si="11"/>
        <v>8.8677179272132877E-3</v>
      </c>
      <c r="AD9" s="352">
        <f>[3]東京事務!$I$8</f>
        <v>23000</v>
      </c>
      <c r="AE9" s="9">
        <f t="shared" si="12"/>
        <v>1.0131378072512193E-4</v>
      </c>
      <c r="AF9" s="356">
        <f>[3]東京事務!$L$8</f>
        <v>44180</v>
      </c>
      <c r="AG9" s="81">
        <f t="shared" si="13"/>
        <v>6.1732767924523461E-5</v>
      </c>
      <c r="AH9" s="468">
        <f>[3]東京工場!$I$8</f>
        <v>0</v>
      </c>
      <c r="AI9" s="171">
        <f t="shared" si="25"/>
        <v>0</v>
      </c>
      <c r="AJ9" s="356">
        <f>[3]東京工場!$L$8</f>
        <v>0</v>
      </c>
      <c r="AK9" s="99">
        <f t="shared" si="14"/>
        <v>0</v>
      </c>
      <c r="AL9" s="474">
        <f t="shared" si="26"/>
        <v>23000</v>
      </c>
      <c r="AM9" s="314">
        <f t="shared" si="15"/>
        <v>9.752909693679001E-5</v>
      </c>
      <c r="AN9" s="478">
        <f t="shared" si="27"/>
        <v>44180</v>
      </c>
      <c r="AO9" s="123">
        <f t="shared" si="16"/>
        <v>5.9314067872583064E-5</v>
      </c>
      <c r="AP9" s="483">
        <f t="shared" si="28"/>
        <v>3828016</v>
      </c>
      <c r="AQ9" s="284">
        <f t="shared" si="17"/>
        <v>5.3960233146194587E-3</v>
      </c>
      <c r="AR9" s="487">
        <f t="shared" si="29"/>
        <v>14258118</v>
      </c>
      <c r="AS9" s="285">
        <f t="shared" si="18"/>
        <v>6.0731396302524639E-3</v>
      </c>
      <c r="AT9" s="575">
        <f>[3]全社合計!$G$8</f>
        <v>4851111</v>
      </c>
      <c r="AU9" s="124">
        <f t="shared" si="30"/>
        <v>6.0994675465212787E-3</v>
      </c>
      <c r="AV9" s="578">
        <f>[3]全社合計!$N$8</f>
        <v>14479018</v>
      </c>
      <c r="AW9" s="125">
        <f t="shared" si="31"/>
        <v>5.3716615925711612E-3</v>
      </c>
      <c r="AX9" s="575">
        <f t="shared" si="32"/>
        <v>-1023095</v>
      </c>
      <c r="AY9" s="124">
        <f t="shared" si="33"/>
        <v>0.7891008884356594</v>
      </c>
      <c r="AZ9" s="578">
        <f t="shared" si="34"/>
        <v>-220900</v>
      </c>
      <c r="BA9" s="125">
        <f t="shared" si="35"/>
        <v>0.98474344047365647</v>
      </c>
      <c r="BB9" s="11"/>
    </row>
    <row r="10" spans="1:54" ht="15.95" customHeight="1">
      <c r="A10" s="256" t="s">
        <v>6</v>
      </c>
      <c r="B10" s="720"/>
      <c r="C10" s="260" t="str">
        <f t="shared" si="0"/>
        <v/>
      </c>
      <c r="D10" s="724"/>
      <c r="E10" s="126" t="str">
        <f t="shared" si="1"/>
        <v/>
      </c>
      <c r="F10" s="353">
        <f>[3]本社営業!$I$9</f>
        <v>39567865</v>
      </c>
      <c r="G10" s="12">
        <f t="shared" si="2"/>
        <v>8.875542595602115E-2</v>
      </c>
      <c r="H10" s="357">
        <f>[3]本社営業!$L$9</f>
        <v>139121315</v>
      </c>
      <c r="I10" s="128">
        <f>IF(ISERR(H10/$H$11),"",H10/$H$11)</f>
        <v>9.2697541599612535E-2</v>
      </c>
      <c r="J10" s="746">
        <f>[3]東大阪!$I$9</f>
        <v>7148748</v>
      </c>
      <c r="K10" s="12">
        <f t="shared" si="20"/>
        <v>0.94881475600306753</v>
      </c>
      <c r="L10" s="357">
        <f>[3]東大阪!$L$9</f>
        <v>24407592</v>
      </c>
      <c r="M10" s="128">
        <f t="shared" si="3"/>
        <v>0.94630112706239655</v>
      </c>
      <c r="N10" s="404">
        <f>[3]南港工場!$I$9</f>
        <v>3766554</v>
      </c>
      <c r="O10" s="12">
        <f t="shared" si="4"/>
        <v>0.18604877001125514</v>
      </c>
      <c r="P10" s="357">
        <f>[3]南港工場!$L$9</f>
        <v>14435733</v>
      </c>
      <c r="Q10" s="205">
        <f t="shared" si="5"/>
        <v>0.18923687377262</v>
      </c>
      <c r="R10" s="438"/>
      <c r="S10" s="12" t="str">
        <f t="shared" si="6"/>
        <v/>
      </c>
      <c r="T10" s="357">
        <f>[3]南港事務!$L$9</f>
        <v>0</v>
      </c>
      <c r="U10" s="205" t="str">
        <f t="shared" si="7"/>
        <v/>
      </c>
      <c r="V10" s="457">
        <f t="shared" si="21"/>
        <v>3766554</v>
      </c>
      <c r="W10" s="172">
        <f t="shared" si="8"/>
        <v>0.18604877001125514</v>
      </c>
      <c r="X10" s="409">
        <f t="shared" si="22"/>
        <v>14435733</v>
      </c>
      <c r="Y10" s="226">
        <f t="shared" si="9"/>
        <v>0.18923687377262</v>
      </c>
      <c r="Z10" s="461">
        <f t="shared" si="23"/>
        <v>50483167</v>
      </c>
      <c r="AA10" s="190">
        <f t="shared" si="10"/>
        <v>0.10659740074955527</v>
      </c>
      <c r="AB10" s="465">
        <f t="shared" si="24"/>
        <v>177964640</v>
      </c>
      <c r="AC10" s="127">
        <f t="shared" si="11"/>
        <v>0.11102765669429956</v>
      </c>
      <c r="AD10" s="353">
        <f>[3]東京事務!$I$9</f>
        <v>81450741</v>
      </c>
      <c r="AE10" s="12">
        <f t="shared" si="12"/>
        <v>0.35878619624229124</v>
      </c>
      <c r="AF10" s="357">
        <f>[3]東京事務!$L$9</f>
        <v>262929603</v>
      </c>
      <c r="AG10" s="82">
        <f t="shared" si="13"/>
        <v>0.36739185519434336</v>
      </c>
      <c r="AH10" s="469">
        <f>[3]東京工場!$I$9</f>
        <v>8809570</v>
      </c>
      <c r="AI10" s="172">
        <f t="shared" si="25"/>
        <v>1</v>
      </c>
      <c r="AJ10" s="357">
        <f>[3]東京工場!$L$9</f>
        <v>29183291</v>
      </c>
      <c r="AK10" s="100">
        <f t="shared" si="14"/>
        <v>1</v>
      </c>
      <c r="AL10" s="475">
        <f t="shared" si="26"/>
        <v>90260311</v>
      </c>
      <c r="AM10" s="315">
        <f t="shared" si="15"/>
        <v>0.38273941830712233</v>
      </c>
      <c r="AN10" s="479">
        <f t="shared" si="27"/>
        <v>292112894</v>
      </c>
      <c r="AO10" s="127">
        <f t="shared" si="16"/>
        <v>0.39217754688032286</v>
      </c>
      <c r="AP10" s="484">
        <f t="shared" si="28"/>
        <v>140743478</v>
      </c>
      <c r="AQ10" s="286">
        <f t="shared" si="17"/>
        <v>0.19839391702350012</v>
      </c>
      <c r="AR10" s="488">
        <f t="shared" si="29"/>
        <v>470077534</v>
      </c>
      <c r="AS10" s="287">
        <f t="shared" si="18"/>
        <v>0.20022603972184477</v>
      </c>
      <c r="AT10" s="576">
        <f>[3]全社合計!$G$9</f>
        <v>142372310</v>
      </c>
      <c r="AU10" s="128">
        <f t="shared" si="30"/>
        <v>0.17900956798726456</v>
      </c>
      <c r="AV10" s="579">
        <f>[3]全社合計!$N$9</f>
        <v>551337636</v>
      </c>
      <c r="AW10" s="129">
        <f t="shared" si="31"/>
        <v>0.20454420347016483</v>
      </c>
      <c r="AX10" s="576">
        <f t="shared" si="32"/>
        <v>-1628832</v>
      </c>
      <c r="AY10" s="128">
        <f t="shared" si="33"/>
        <v>0.98855934837328974</v>
      </c>
      <c r="AZ10" s="579">
        <f t="shared" si="34"/>
        <v>-81260102</v>
      </c>
      <c r="BA10" s="129">
        <f t="shared" si="35"/>
        <v>0.85261281528039923</v>
      </c>
      <c r="BB10" s="11"/>
    </row>
    <row r="11" spans="1:54" ht="19.899999999999999" customHeight="1">
      <c r="A11" s="62" t="s">
        <v>7</v>
      </c>
      <c r="B11" s="722"/>
      <c r="C11" s="132" t="str">
        <f t="shared" si="0"/>
        <v/>
      </c>
      <c r="D11" s="359"/>
      <c r="E11" s="130" t="str">
        <f t="shared" si="1"/>
        <v/>
      </c>
      <c r="F11" s="358">
        <f>SUM(F6:F10)</f>
        <v>445807843</v>
      </c>
      <c r="G11" s="63">
        <f t="shared" si="2"/>
        <v>1</v>
      </c>
      <c r="H11" s="359">
        <f>SUM(H6:H10)</f>
        <v>1500809111</v>
      </c>
      <c r="I11" s="132">
        <f>IF(ISERR(H11/$H$11),"",H11/$H$11)</f>
        <v>1</v>
      </c>
      <c r="J11" s="747">
        <f>SUM(J6:J10)</f>
        <v>7534398</v>
      </c>
      <c r="K11" s="63">
        <f t="shared" si="20"/>
        <v>1</v>
      </c>
      <c r="L11" s="359">
        <f>SUM(L6:L10)</f>
        <v>25792627</v>
      </c>
      <c r="M11" s="132">
        <f t="shared" si="3"/>
        <v>1</v>
      </c>
      <c r="N11" s="405">
        <f>SUM(N6:N10)</f>
        <v>20244982</v>
      </c>
      <c r="O11" s="63">
        <f t="shared" si="4"/>
        <v>1</v>
      </c>
      <c r="P11" s="359">
        <f>SUM(P6:P10)</f>
        <v>76283933</v>
      </c>
      <c r="Q11" s="206">
        <f t="shared" si="5"/>
        <v>1</v>
      </c>
      <c r="R11" s="439">
        <f>SUM(R6:R10)</f>
        <v>0</v>
      </c>
      <c r="S11" s="63" t="str">
        <f t="shared" si="6"/>
        <v/>
      </c>
      <c r="T11" s="359">
        <f>SUM(T6:T10)</f>
        <v>0</v>
      </c>
      <c r="U11" s="206" t="str">
        <f t="shared" si="7"/>
        <v/>
      </c>
      <c r="V11" s="458">
        <f t="shared" si="21"/>
        <v>20244982</v>
      </c>
      <c r="W11" s="173">
        <f t="shared" si="8"/>
        <v>1</v>
      </c>
      <c r="X11" s="410">
        <f t="shared" si="22"/>
        <v>76283933</v>
      </c>
      <c r="Y11" s="227">
        <f t="shared" si="9"/>
        <v>1</v>
      </c>
      <c r="Z11" s="458">
        <f t="shared" si="23"/>
        <v>473587223</v>
      </c>
      <c r="AA11" s="191">
        <f t="shared" si="10"/>
        <v>1</v>
      </c>
      <c r="AB11" s="410">
        <f t="shared" si="24"/>
        <v>1602885671</v>
      </c>
      <c r="AC11" s="131">
        <f t="shared" si="11"/>
        <v>1</v>
      </c>
      <c r="AD11" s="466">
        <f>SUM(AD6:AD10)</f>
        <v>227017488</v>
      </c>
      <c r="AE11" s="63">
        <f t="shared" si="12"/>
        <v>1</v>
      </c>
      <c r="AF11" s="359">
        <f>SUM(AF6:AF10)</f>
        <v>715665302</v>
      </c>
      <c r="AG11" s="83">
        <f t="shared" si="13"/>
        <v>1</v>
      </c>
      <c r="AH11" s="470">
        <f>SUM(AH6:AH10)</f>
        <v>8809570</v>
      </c>
      <c r="AI11" s="173">
        <f t="shared" si="25"/>
        <v>1</v>
      </c>
      <c r="AJ11" s="359">
        <f>SUM(AJ6:AJ10)</f>
        <v>29183291</v>
      </c>
      <c r="AK11" s="101">
        <f t="shared" si="14"/>
        <v>1</v>
      </c>
      <c r="AL11" s="476">
        <f t="shared" si="26"/>
        <v>235827058</v>
      </c>
      <c r="AM11" s="316">
        <f t="shared" si="15"/>
        <v>1</v>
      </c>
      <c r="AN11" s="480">
        <f t="shared" si="27"/>
        <v>744848593</v>
      </c>
      <c r="AO11" s="131">
        <f t="shared" si="16"/>
        <v>1</v>
      </c>
      <c r="AP11" s="485">
        <f t="shared" si="28"/>
        <v>709414281</v>
      </c>
      <c r="AQ11" s="132">
        <f t="shared" si="17"/>
        <v>1</v>
      </c>
      <c r="AR11" s="428">
        <f t="shared" si="29"/>
        <v>2347734264</v>
      </c>
      <c r="AS11" s="131">
        <f t="shared" si="18"/>
        <v>1</v>
      </c>
      <c r="AT11" s="485">
        <f>SUM(AT6:AT10)</f>
        <v>795333521</v>
      </c>
      <c r="AU11" s="132">
        <f t="shared" si="30"/>
        <v>1</v>
      </c>
      <c r="AV11" s="410">
        <f>SUM(AV6:AV10)</f>
        <v>2695444929</v>
      </c>
      <c r="AW11" s="131">
        <f t="shared" si="31"/>
        <v>1</v>
      </c>
      <c r="AX11" s="485">
        <f t="shared" si="32"/>
        <v>-85919240</v>
      </c>
      <c r="AY11" s="132">
        <f t="shared" si="33"/>
        <v>0.89197080503790305</v>
      </c>
      <c r="AZ11" s="410">
        <f t="shared" si="34"/>
        <v>-347710665</v>
      </c>
      <c r="BA11" s="131">
        <f t="shared" si="35"/>
        <v>0.87100064213554551</v>
      </c>
      <c r="BB11" s="13"/>
    </row>
    <row r="12" spans="1:54" ht="15.95" customHeight="1">
      <c r="A12" s="65" t="s">
        <v>8</v>
      </c>
      <c r="B12" s="606"/>
      <c r="C12" s="607"/>
      <c r="D12" s="608"/>
      <c r="E12" s="609"/>
      <c r="F12" s="386">
        <f>[3]本社営業!$I$11</f>
        <v>2155633</v>
      </c>
      <c r="G12" s="610"/>
      <c r="H12" s="608">
        <f>[3]本社営業!$L$11</f>
        <v>7058083</v>
      </c>
      <c r="I12" s="607"/>
      <c r="J12" s="748">
        <f>[3]東大阪!$I$11</f>
        <v>32543</v>
      </c>
      <c r="K12" s="610"/>
      <c r="L12" s="608">
        <f>[3]東大阪!$L$11</f>
        <v>84684</v>
      </c>
      <c r="M12" s="607"/>
      <c r="N12" s="612">
        <f>[3]南港工場!$I$11</f>
        <v>60625</v>
      </c>
      <c r="O12" s="610"/>
      <c r="P12" s="608">
        <f>[3]南港工場!$L$11</f>
        <v>238459</v>
      </c>
      <c r="Q12" s="614"/>
      <c r="R12" s="615"/>
      <c r="S12" s="610"/>
      <c r="T12" s="608">
        <f>[3]南港事務!$L$11</f>
        <v>0</v>
      </c>
      <c r="U12" s="614"/>
      <c r="V12" s="616">
        <f t="shared" si="21"/>
        <v>60625</v>
      </c>
      <c r="W12" s="617"/>
      <c r="X12" s="613">
        <f t="shared" si="22"/>
        <v>238459</v>
      </c>
      <c r="Y12" s="618"/>
      <c r="Z12" s="616">
        <f t="shared" si="23"/>
        <v>2248801</v>
      </c>
      <c r="AA12" s="619"/>
      <c r="AB12" s="613">
        <f t="shared" si="24"/>
        <v>7381226</v>
      </c>
      <c r="AC12" s="620"/>
      <c r="AD12" s="386">
        <f>[3]東京事務!$I$11</f>
        <v>929287</v>
      </c>
      <c r="AE12" s="610"/>
      <c r="AF12" s="608">
        <f>[3]東京事務!$L$11</f>
        <v>2950124</v>
      </c>
      <c r="AG12" s="621"/>
      <c r="AH12" s="622"/>
      <c r="AI12" s="617">
        <f t="shared" si="25"/>
        <v>0</v>
      </c>
      <c r="AJ12" s="608">
        <f>[3]東京工場!$L$11</f>
        <v>0</v>
      </c>
      <c r="AK12" s="623"/>
      <c r="AL12" s="624">
        <f t="shared" si="26"/>
        <v>929287</v>
      </c>
      <c r="AM12" s="625"/>
      <c r="AN12" s="626">
        <f t="shared" si="27"/>
        <v>2950124</v>
      </c>
      <c r="AO12" s="620"/>
      <c r="AP12" s="627">
        <f t="shared" si="28"/>
        <v>3178088</v>
      </c>
      <c r="AQ12" s="628"/>
      <c r="AR12" s="629">
        <f t="shared" si="29"/>
        <v>10331350</v>
      </c>
      <c r="AS12" s="630"/>
      <c r="AT12" s="631">
        <f>[3]全社合計!$G$11</f>
        <v>3348741</v>
      </c>
      <c r="AU12" s="607"/>
      <c r="AV12" s="632">
        <f>[3]全社合計!$N$11</f>
        <v>11530139</v>
      </c>
      <c r="AW12" s="620"/>
      <c r="AX12" s="631">
        <f t="shared" si="32"/>
        <v>-170653</v>
      </c>
      <c r="AY12" s="607"/>
      <c r="AZ12" s="632">
        <f t="shared" si="34"/>
        <v>-1198789</v>
      </c>
      <c r="BA12" s="620"/>
      <c r="BB12" s="11"/>
    </row>
    <row r="13" spans="1:54" ht="15.95" customHeight="1">
      <c r="A13" s="66" t="s">
        <v>9</v>
      </c>
      <c r="B13" s="636"/>
      <c r="C13" s="637"/>
      <c r="D13" s="638"/>
      <c r="E13" s="639"/>
      <c r="F13" s="640"/>
      <c r="G13" s="641"/>
      <c r="H13" s="638">
        <f>[3]本社営業!$N$12</f>
        <v>0</v>
      </c>
      <c r="I13" s="637"/>
      <c r="J13" s="749"/>
      <c r="K13" s="641"/>
      <c r="L13" s="638">
        <f>[3]東大阪!$L$12</f>
        <v>0</v>
      </c>
      <c r="M13" s="637"/>
      <c r="N13" s="643">
        <f>[3]南港工場!$I$12</f>
        <v>2896154</v>
      </c>
      <c r="O13" s="641"/>
      <c r="P13" s="638">
        <f>[3]南港工場!$L$12</f>
        <v>10761115</v>
      </c>
      <c r="Q13" s="645"/>
      <c r="R13" s="646"/>
      <c r="S13" s="641"/>
      <c r="T13" s="638">
        <f>[3]南港事務!$N$12</f>
        <v>0</v>
      </c>
      <c r="U13" s="645"/>
      <c r="V13" s="647">
        <f t="shared" si="21"/>
        <v>2896154</v>
      </c>
      <c r="W13" s="648"/>
      <c r="X13" s="644">
        <f t="shared" si="22"/>
        <v>10761115</v>
      </c>
      <c r="Y13" s="649"/>
      <c r="Z13" s="647">
        <f t="shared" si="23"/>
        <v>2896154</v>
      </c>
      <c r="AA13" s="650"/>
      <c r="AB13" s="644">
        <f t="shared" si="24"/>
        <v>10761115</v>
      </c>
      <c r="AC13" s="651"/>
      <c r="AD13" s="640"/>
      <c r="AE13" s="641"/>
      <c r="AF13" s="638">
        <f>[3]東京事務!$L$12</f>
        <v>0</v>
      </c>
      <c r="AG13" s="652"/>
      <c r="AH13" s="653"/>
      <c r="AI13" s="648">
        <f t="shared" si="25"/>
        <v>0</v>
      </c>
      <c r="AJ13" s="638">
        <f>[3]東京工場!$L$12</f>
        <v>0</v>
      </c>
      <c r="AK13" s="654"/>
      <c r="AL13" s="655">
        <f t="shared" si="26"/>
        <v>0</v>
      </c>
      <c r="AM13" s="656"/>
      <c r="AN13" s="657">
        <f t="shared" si="27"/>
        <v>0</v>
      </c>
      <c r="AO13" s="651"/>
      <c r="AP13" s="658">
        <f t="shared" si="28"/>
        <v>2896154</v>
      </c>
      <c r="AQ13" s="659"/>
      <c r="AR13" s="660">
        <f t="shared" si="29"/>
        <v>10761115</v>
      </c>
      <c r="AS13" s="661"/>
      <c r="AT13" s="662">
        <f>[3]全社合計!$G$12</f>
        <v>3523928</v>
      </c>
      <c r="AU13" s="637"/>
      <c r="AV13" s="663">
        <f>[3]全社合計!$N$12</f>
        <v>11140844</v>
      </c>
      <c r="AW13" s="651"/>
      <c r="AX13" s="662">
        <f t="shared" si="32"/>
        <v>-627774</v>
      </c>
      <c r="AY13" s="637"/>
      <c r="AZ13" s="663">
        <f t="shared" si="34"/>
        <v>-379729</v>
      </c>
      <c r="BA13" s="651"/>
      <c r="BB13" s="11"/>
    </row>
    <row r="14" spans="1:54" ht="15.95" customHeight="1">
      <c r="A14" s="35" t="s">
        <v>10</v>
      </c>
      <c r="B14" s="705"/>
      <c r="C14" s="258" t="str">
        <f>IF(ISERR(B14/$B$11),"",B14/$B$11)</f>
        <v/>
      </c>
      <c r="D14" s="725"/>
      <c r="E14" s="118" t="str">
        <f>IF(ISERR(D14/$D$11),"",D14/$D$11)</f>
        <v/>
      </c>
      <c r="F14" s="351">
        <f>[3]本社営業!$I$14</f>
        <v>1186732279</v>
      </c>
      <c r="G14" s="7">
        <f>IF(ISERR(F14/$F$11),"",F14/$F$11)</f>
        <v>2.6619816085200636</v>
      </c>
      <c r="H14" s="360">
        <f>[3]本社営業!$L$14</f>
        <v>1205973702</v>
      </c>
      <c r="I14" s="120">
        <f>IF(ISERR(H14/$H$11),"",H14/$H$11)</f>
        <v>0.80354902776173243</v>
      </c>
      <c r="J14" s="744"/>
      <c r="K14" s="7">
        <f t="shared" si="20"/>
        <v>0</v>
      </c>
      <c r="L14" s="360">
        <f>[3]東大阪!$L$14</f>
        <v>0</v>
      </c>
      <c r="M14" s="203">
        <f>IF(ISERR(L14/$L$11),"",L14/$L$11)</f>
        <v>0</v>
      </c>
      <c r="N14" s="402"/>
      <c r="O14" s="7">
        <f>IF(ISERR(N14/$N$11),"",N14/$N$11)</f>
        <v>0</v>
      </c>
      <c r="P14" s="360">
        <f>[3]南港工場!$L$14</f>
        <v>0</v>
      </c>
      <c r="Q14" s="203">
        <f>IF(ISERR(P14/$P$11),"",P14/$P$11)</f>
        <v>0</v>
      </c>
      <c r="R14" s="436"/>
      <c r="S14" s="7" t="str">
        <f>IF(ISERR(R14/$R$11),"",R14/$R$11)</f>
        <v/>
      </c>
      <c r="T14" s="360">
        <f>[3]南港事務!$L$14</f>
        <v>0</v>
      </c>
      <c r="U14" s="203" t="str">
        <f>IF(ISERR(T14/$T$11),"",T14/$T$11)</f>
        <v/>
      </c>
      <c r="V14" s="455">
        <f t="shared" si="21"/>
        <v>0</v>
      </c>
      <c r="W14" s="174">
        <f>IF(ISERR(V14/$V$11),"",V14/$V$11)</f>
        <v>0</v>
      </c>
      <c r="X14" s="421">
        <f t="shared" si="22"/>
        <v>0</v>
      </c>
      <c r="Y14" s="224">
        <f>IF(ISERR(X14/$X$11),"",X14/$X$11)</f>
        <v>0</v>
      </c>
      <c r="Z14" s="459">
        <f t="shared" si="23"/>
        <v>1186732279</v>
      </c>
      <c r="AA14" s="188">
        <f>IF(ISERR(Z14/$Z$11),"",Z14/$Z$11)</f>
        <v>2.5058367738100906</v>
      </c>
      <c r="AB14" s="502">
        <f t="shared" si="24"/>
        <v>1205973702</v>
      </c>
      <c r="AC14" s="119">
        <f>IF(ISERR(AB14/$AB$11),"",AB14/$AB$11)</f>
        <v>0.75237661913068532</v>
      </c>
      <c r="AD14" s="351">
        <f>[3]東京事務!$I$14</f>
        <v>755986627</v>
      </c>
      <c r="AE14" s="7">
        <f>IF(ISERR(AD14/$AD$11),"",AD14/$AD$11)</f>
        <v>3.3300810156088061</v>
      </c>
      <c r="AF14" s="360">
        <f>[3]東京事務!$L$14</f>
        <v>804499700</v>
      </c>
      <c r="AG14" s="80">
        <f>IF(ISERR(AF14/$AF$11),"",AF14/$AF$11)</f>
        <v>1.1241284127534801</v>
      </c>
      <c r="AH14" s="467"/>
      <c r="AI14" s="174">
        <f t="shared" si="25"/>
        <v>0</v>
      </c>
      <c r="AJ14" s="360">
        <f>[3]東京工場!$L$14</f>
        <v>0</v>
      </c>
      <c r="AK14" s="102">
        <f t="shared" ref="AK14:AK77" si="36">IF(ISERR(AJ14/$AJ$11),"",AJ14/$AJ$11)</f>
        <v>0</v>
      </c>
      <c r="AL14" s="506">
        <f t="shared" si="26"/>
        <v>755986627</v>
      </c>
      <c r="AM14" s="313">
        <f>IF(ISERR(AL14/$AL$11),"",AL14/AL$11)</f>
        <v>3.2056823055478221</v>
      </c>
      <c r="AN14" s="477">
        <f>AF14+AJ14</f>
        <v>804499700</v>
      </c>
      <c r="AO14" s="119">
        <f>IF(ISERR(AN14/$AN$11),"",AN14/$AN$11)</f>
        <v>1.0800848757191652</v>
      </c>
      <c r="AP14" s="511">
        <f>B14+Z14+AL14</f>
        <v>1942718906</v>
      </c>
      <c r="AQ14" s="282">
        <f>IF(ISERR(AP14/$AP$11),"",AP14/$AP$11)</f>
        <v>2.7384829401256443</v>
      </c>
      <c r="AR14" s="486">
        <f>D14+AB14+AN14</f>
        <v>2010473402</v>
      </c>
      <c r="AS14" s="283">
        <f>IF(ISERR(AR14/$AR$11),"",AR14/$AR$11)</f>
        <v>0.85634623680731869</v>
      </c>
      <c r="AT14" s="580">
        <f>[3]全社合計!$G$14</f>
        <v>1899825427</v>
      </c>
      <c r="AU14" s="120">
        <f t="shared" si="30"/>
        <v>2.3887153965436849</v>
      </c>
      <c r="AV14" s="577">
        <f>[3]全社合計!$N$14</f>
        <v>1816376496</v>
      </c>
      <c r="AW14" s="121">
        <f t="shared" si="31"/>
        <v>0.6738688950598849</v>
      </c>
      <c r="AX14" s="592">
        <f t="shared" si="32"/>
        <v>42893479</v>
      </c>
      <c r="AY14" s="120">
        <f t="shared" si="33"/>
        <v>1.0225775897039828</v>
      </c>
      <c r="AZ14" s="577">
        <f t="shared" si="34"/>
        <v>194096906</v>
      </c>
      <c r="BA14" s="121">
        <f t="shared" si="35"/>
        <v>1.1068594019067288</v>
      </c>
      <c r="BB14" s="13"/>
    </row>
    <row r="15" spans="1:54" ht="15.95" customHeight="1">
      <c r="A15" s="35" t="s">
        <v>11</v>
      </c>
      <c r="B15" s="719"/>
      <c r="C15" s="259" t="str">
        <f>IF(ISERR(B15/$B$11),"",B15/$B$11)</f>
        <v/>
      </c>
      <c r="D15" s="726"/>
      <c r="E15" s="122" t="str">
        <f>IF(ISERR(D15/$D$11),"",D15/$D$11)</f>
        <v/>
      </c>
      <c r="F15" s="352">
        <f>[3]本社営業!$I$15</f>
        <v>347642189</v>
      </c>
      <c r="G15" s="9">
        <f>IF(ISERR(F15/$F$11),"",F15/$F$11)</f>
        <v>0.77980276582976127</v>
      </c>
      <c r="H15" s="355">
        <f>[3]本社営業!$L$15</f>
        <v>1238074538</v>
      </c>
      <c r="I15" s="124">
        <f t="shared" si="19"/>
        <v>0.82493804770085777</v>
      </c>
      <c r="J15" s="745">
        <f>[3]東大阪!$I$15</f>
        <v>480943</v>
      </c>
      <c r="K15" s="9">
        <f>IF(ISERR(J15/$J$11),"",J15/$J$11)</f>
        <v>6.3832969800639683E-2</v>
      </c>
      <c r="L15" s="355">
        <f>[3]東大阪!$L$15</f>
        <v>1540239</v>
      </c>
      <c r="M15" s="124">
        <f>IF(ISERR(L15/$L$11),"",L15/$L$11)</f>
        <v>5.9716251469848339E-2</v>
      </c>
      <c r="N15" s="403">
        <f>[3]南港工場!$I$15</f>
        <v>1209000</v>
      </c>
      <c r="O15" s="9">
        <f>IF(ISERR(N15/$N$11),"",N15/$N$11)</f>
        <v>5.9718502095976178E-2</v>
      </c>
      <c r="P15" s="355">
        <f>[3]南港工場!$L$15</f>
        <v>5180948</v>
      </c>
      <c r="Q15" s="204">
        <f>IF(ISERR(P15/$P$11),"",P15/$P$11)</f>
        <v>6.7916634555273914E-2</v>
      </c>
      <c r="R15" s="437"/>
      <c r="S15" s="9" t="str">
        <f>IF(ISERR(R15/$R$11),"",R15/$R$11)</f>
        <v/>
      </c>
      <c r="T15" s="355">
        <f>[3]南港事務!$L$15</f>
        <v>0</v>
      </c>
      <c r="U15" s="204" t="str">
        <f>IF(ISERR(T15/$T$11),"",T15/$T$11)</f>
        <v/>
      </c>
      <c r="V15" s="456">
        <f t="shared" si="21"/>
        <v>1209000</v>
      </c>
      <c r="W15" s="171">
        <f>IF(ISERR(V15/$V$11),"",V15/$V$11)</f>
        <v>5.9718502095976178E-2</v>
      </c>
      <c r="X15" s="407">
        <f t="shared" si="22"/>
        <v>5180948</v>
      </c>
      <c r="Y15" s="225">
        <f>IF(ISERR(X15/$X$11),"",X15/$X$11)</f>
        <v>6.7916634555273914E-2</v>
      </c>
      <c r="Z15" s="460">
        <f t="shared" si="23"/>
        <v>349332132</v>
      </c>
      <c r="AA15" s="189">
        <f>IF(ISERR(Z15/$Z$11),"",Z15/$Z$11)</f>
        <v>0.73762997613641279</v>
      </c>
      <c r="AB15" s="463">
        <f t="shared" si="24"/>
        <v>1244795725</v>
      </c>
      <c r="AC15" s="123">
        <f>IF(ISERR(AB15/$AB$11),"",AB15/$AB$11)</f>
        <v>0.77659670151234383</v>
      </c>
      <c r="AD15" s="352">
        <f>[3]東京事務!$I$15</f>
        <v>180312752</v>
      </c>
      <c r="AE15" s="9">
        <f>IF(ISERR(AD15/$AD$11),"",AD15/$AD$11)</f>
        <v>0.79426811382918661</v>
      </c>
      <c r="AF15" s="355">
        <f>[3]東京事務!$L$15</f>
        <v>579603019</v>
      </c>
      <c r="AG15" s="81">
        <f>IF(ISERR(AF15/$AF$11),"",AF15/$AF$11)</f>
        <v>0.80988000589135734</v>
      </c>
      <c r="AH15" s="468">
        <f>[3]東京工場!$I$15</f>
        <v>0</v>
      </c>
      <c r="AI15" s="171">
        <f t="shared" si="25"/>
        <v>0</v>
      </c>
      <c r="AJ15" s="355">
        <f>[3]東京工場!$L$15</f>
        <v>0</v>
      </c>
      <c r="AK15" s="99">
        <f t="shared" si="36"/>
        <v>0</v>
      </c>
      <c r="AL15" s="473">
        <f t="shared" si="26"/>
        <v>180312752</v>
      </c>
      <c r="AM15" s="314">
        <f>IF(ISERR(AL15/$AL$11),"",AL15/AL$11)</f>
        <v>0.76459738559771206</v>
      </c>
      <c r="AN15" s="478">
        <f t="shared" si="27"/>
        <v>579603019</v>
      </c>
      <c r="AO15" s="123">
        <f>IF(ISERR(AN15/$AN$11),"",AN15/$AN$11)</f>
        <v>0.77814877338433797</v>
      </c>
      <c r="AP15" s="482">
        <f t="shared" si="28"/>
        <v>529644884</v>
      </c>
      <c r="AQ15" s="284">
        <f>IF(ISERR(AP15/$AP$11),"",AP15/$AP$11)</f>
        <v>0.74659461782106418</v>
      </c>
      <c r="AR15" s="487">
        <f t="shared" si="29"/>
        <v>1824398744</v>
      </c>
      <c r="AS15" s="285">
        <f>IF(ISERR(AR15/$AR$11),"",AR15/$AR$11)</f>
        <v>0.77708911607893971</v>
      </c>
      <c r="AT15" s="574">
        <f>[3]全社合計!$G$15</f>
        <v>582100611</v>
      </c>
      <c r="AU15" s="124">
        <f t="shared" si="30"/>
        <v>0.73189497943970094</v>
      </c>
      <c r="AV15" s="578">
        <f>[3]全社合計!$N$15</f>
        <v>2271236672</v>
      </c>
      <c r="AW15" s="125">
        <f t="shared" si="31"/>
        <v>0.84262032125531883</v>
      </c>
      <c r="AX15" s="574">
        <f t="shared" si="32"/>
        <v>-52455727</v>
      </c>
      <c r="AY15" s="124">
        <f t="shared" si="33"/>
        <v>0.90988546308191387</v>
      </c>
      <c r="AZ15" s="578">
        <f t="shared" si="34"/>
        <v>-446837928</v>
      </c>
      <c r="BA15" s="125">
        <f t="shared" si="35"/>
        <v>0.80326227842802289</v>
      </c>
      <c r="BB15" s="11"/>
    </row>
    <row r="16" spans="1:54" ht="15.95" customHeight="1">
      <c r="A16" s="36" t="s">
        <v>12</v>
      </c>
      <c r="B16" s="720"/>
      <c r="C16" s="260" t="str">
        <f>IF(ISERR(B16/$B$11),"",B16/$B$11)</f>
        <v/>
      </c>
      <c r="D16" s="724"/>
      <c r="E16" s="126" t="str">
        <f>IF(ISERR(D16/$D$11),"",D16/$D$11)</f>
        <v/>
      </c>
      <c r="F16" s="353">
        <f>[3]本社営業!$I$16</f>
        <v>1151284248</v>
      </c>
      <c r="G16" s="12">
        <f>IF(ISERR(F16/$F$11),"",F16/$F$11)</f>
        <v>2.5824674600890769</v>
      </c>
      <c r="H16" s="357">
        <f>[3]本社営業!$L$16</f>
        <v>1151284248</v>
      </c>
      <c r="I16" s="128">
        <f t="shared" si="19"/>
        <v>0.7671090477541751</v>
      </c>
      <c r="J16" s="746"/>
      <c r="K16" s="12">
        <f t="shared" si="20"/>
        <v>0</v>
      </c>
      <c r="L16" s="357">
        <f>[3]東大阪!$L$16</f>
        <v>0</v>
      </c>
      <c r="M16" s="128">
        <f t="shared" ref="M16:M78" si="37">IF(ISERR(L16/$L$11),"",L16/$L$11)</f>
        <v>0</v>
      </c>
      <c r="N16" s="404"/>
      <c r="O16" s="12">
        <f>IF(ISERR(N16/$N$11),"",N16/$N$11)</f>
        <v>0</v>
      </c>
      <c r="P16" s="357">
        <f>[3]南港工場!$L$16</f>
        <v>0</v>
      </c>
      <c r="Q16" s="205">
        <f>IF(ISERR(P16/$P$11),"",P16/$P$11)</f>
        <v>0</v>
      </c>
      <c r="R16" s="438"/>
      <c r="S16" s="12" t="str">
        <f>IF(ISERR(R16/$R$11),"",R16/$R$11)</f>
        <v/>
      </c>
      <c r="T16" s="357">
        <f>[3]南港事務!$L$16</f>
        <v>0</v>
      </c>
      <c r="U16" s="205" t="str">
        <f>IF(ISERR(T16/$T$11),"",T16/$T$11)</f>
        <v/>
      </c>
      <c r="V16" s="457">
        <f t="shared" si="21"/>
        <v>0</v>
      </c>
      <c r="W16" s="172">
        <f>IF(ISERR(V16/$V$11),"",V16/$V$11)</f>
        <v>0</v>
      </c>
      <c r="X16" s="409">
        <f t="shared" si="22"/>
        <v>0</v>
      </c>
      <c r="Y16" s="226">
        <f>IF(ISERR(X16/$X$11),"",X16/$X$11)</f>
        <v>0</v>
      </c>
      <c r="Z16" s="461">
        <f t="shared" si="23"/>
        <v>1151284248</v>
      </c>
      <c r="AA16" s="190">
        <f>IF(ISERR(Z16/$Z$11),"",Z16/$Z$11)</f>
        <v>2.4309867160415348</v>
      </c>
      <c r="AB16" s="465">
        <f t="shared" si="24"/>
        <v>1151284248</v>
      </c>
      <c r="AC16" s="127">
        <f>IF(ISERR(AB16/$AB$11),"",AB16/$AB$11)</f>
        <v>0.71825724618384212</v>
      </c>
      <c r="AD16" s="353">
        <f>[3]東京事務!$I$16</f>
        <v>730606458</v>
      </c>
      <c r="AE16" s="12">
        <f>IF(ISERR(AD16/$AD$11),"",AD16/$AD$11)</f>
        <v>3.2182827166160872</v>
      </c>
      <c r="AF16" s="357">
        <f>[3]東京事務!$L$16</f>
        <v>730606458</v>
      </c>
      <c r="AG16" s="82">
        <f>IF(ISERR(AF16/$AF$11),"",AF16/$AF$11)</f>
        <v>1.020877295515439</v>
      </c>
      <c r="AH16" s="469"/>
      <c r="AI16" s="172">
        <f t="shared" si="25"/>
        <v>0</v>
      </c>
      <c r="AJ16" s="357">
        <f>[3]東京工場!$L$16</f>
        <v>0</v>
      </c>
      <c r="AK16" s="100">
        <f t="shared" si="36"/>
        <v>0</v>
      </c>
      <c r="AL16" s="475">
        <f t="shared" si="26"/>
        <v>730606458</v>
      </c>
      <c r="AM16" s="315">
        <f>IF(ISERR(AL16/$AL$11),"",AL16/AL$11)</f>
        <v>3.0980603506489914</v>
      </c>
      <c r="AN16" s="479">
        <f t="shared" si="27"/>
        <v>730606458</v>
      </c>
      <c r="AO16" s="127">
        <f>IF(ISERR(AN16/$AN$11),"",AN16/$AN$11)</f>
        <v>0.98087915432230666</v>
      </c>
      <c r="AP16" s="484">
        <f t="shared" si="28"/>
        <v>1881890706</v>
      </c>
      <c r="AQ16" s="286">
        <f>IF(ISERR(AP16/$AP$11),"",AP16/$AP$11)</f>
        <v>2.6527386837311218</v>
      </c>
      <c r="AR16" s="488">
        <f t="shared" si="29"/>
        <v>1881890706</v>
      </c>
      <c r="AS16" s="287">
        <f>IF(ISERR(AR16/$AR$11),"",AR16/$AR$11)</f>
        <v>0.80157739095807645</v>
      </c>
      <c r="AT16" s="581">
        <f>[3]全社合計!$G$16</f>
        <v>1815075108</v>
      </c>
      <c r="AU16" s="128">
        <f t="shared" si="30"/>
        <v>2.2821559258785471</v>
      </c>
      <c r="AV16" s="579">
        <f>[3]全社合計!$N$16</f>
        <v>1815075108</v>
      </c>
      <c r="AW16" s="129">
        <f t="shared" si="31"/>
        <v>0.67338608497313501</v>
      </c>
      <c r="AX16" s="576">
        <f t="shared" si="32"/>
        <v>66815598</v>
      </c>
      <c r="AY16" s="128">
        <f t="shared" si="33"/>
        <v>1.0368114783269895</v>
      </c>
      <c r="AZ16" s="579">
        <f t="shared" si="34"/>
        <v>66815598</v>
      </c>
      <c r="BA16" s="129">
        <f t="shared" si="35"/>
        <v>1.0368114783269895</v>
      </c>
      <c r="BB16" s="11"/>
    </row>
    <row r="17" spans="1:54" ht="19.899999999999999" customHeight="1">
      <c r="A17" s="60" t="s">
        <v>13</v>
      </c>
      <c r="B17" s="524"/>
      <c r="C17" s="135" t="str">
        <f>IF(ISERR(B17/$B$11),"",B17/$B$11)</f>
        <v/>
      </c>
      <c r="D17" s="385"/>
      <c r="E17" s="133" t="str">
        <f>IF(ISERR(D17/$D$11),"",D17/$D$11)</f>
        <v/>
      </c>
      <c r="F17" s="384">
        <f>F14+F15-F16</f>
        <v>383090220</v>
      </c>
      <c r="G17" s="61">
        <f>IF(ISERR(F17/$F$11),"",F17/$F$11)</f>
        <v>0.85931691426074797</v>
      </c>
      <c r="H17" s="385">
        <f>H14+H15-H16</f>
        <v>1292763992</v>
      </c>
      <c r="I17" s="135">
        <f>IF(ISERR(H17/$H$11),"",H17/$H$11)</f>
        <v>0.86137802770841521</v>
      </c>
      <c r="J17" s="750">
        <f>J14+J15-J16</f>
        <v>480943</v>
      </c>
      <c r="K17" s="61">
        <f t="shared" si="20"/>
        <v>6.3832969800639683E-2</v>
      </c>
      <c r="L17" s="385">
        <f>L14+L15-L16</f>
        <v>1540239</v>
      </c>
      <c r="M17" s="135">
        <f t="shared" si="37"/>
        <v>5.9716251469848339E-2</v>
      </c>
      <c r="N17" s="411">
        <f>N14+N15-N16</f>
        <v>1209000</v>
      </c>
      <c r="O17" s="61">
        <f>IF(ISERR(N17/$N$11),"",N17/$N$11)</f>
        <v>5.9718502095976178E-2</v>
      </c>
      <c r="P17" s="385">
        <f>P14+P15-P16</f>
        <v>5180948</v>
      </c>
      <c r="Q17" s="207">
        <f>IF(ISERR(P17/$P$11),"",P17/$P$11)</f>
        <v>6.7916634555273914E-2</v>
      </c>
      <c r="R17" s="440">
        <f>R14+R15-R16</f>
        <v>0</v>
      </c>
      <c r="S17" s="61" t="str">
        <f>IF(ISERR(R17/$R$11),"",R17/$R$11)</f>
        <v/>
      </c>
      <c r="T17" s="385">
        <f>T14+T15-T16</f>
        <v>0</v>
      </c>
      <c r="U17" s="207" t="str">
        <f>IF(ISERR(T17/$T$11),"",T17/$T$11)</f>
        <v/>
      </c>
      <c r="V17" s="489">
        <f t="shared" si="21"/>
        <v>1209000</v>
      </c>
      <c r="W17" s="175">
        <f>IF(ISERR(V17/$V$11),"",V17/$V$11)</f>
        <v>5.9718502095976178E-2</v>
      </c>
      <c r="X17" s="423">
        <f t="shared" si="22"/>
        <v>5180948</v>
      </c>
      <c r="Y17" s="228">
        <f>IF(ISERR(X17/$X$11),"",X17/$X$11)</f>
        <v>6.7916634555273914E-2</v>
      </c>
      <c r="Z17" s="489">
        <f t="shared" si="23"/>
        <v>384780163</v>
      </c>
      <c r="AA17" s="192">
        <f>IF(ISERR(Z17/$Z$11),"",Z17/$Z$11)</f>
        <v>0.81248003390496881</v>
      </c>
      <c r="AB17" s="423">
        <f t="shared" si="24"/>
        <v>1299485179</v>
      </c>
      <c r="AC17" s="134">
        <f>IF(ISERR(AB17/$AB$11),"",AB17/$AB$11)</f>
        <v>0.81071607445918703</v>
      </c>
      <c r="AD17" s="384">
        <f>AD14+AD15-AD16</f>
        <v>205692921</v>
      </c>
      <c r="AE17" s="331">
        <f>IF(ISERR(AD17/$AD$11),"",AD17/$AD$11)</f>
        <v>0.90606641282190559</v>
      </c>
      <c r="AF17" s="385">
        <f>AF14+AF15-AF16</f>
        <v>653496261</v>
      </c>
      <c r="AG17" s="330">
        <f>IF(ISERR(AF17/$AF$11),"",AF17/$AF$11)</f>
        <v>0.91313112312939826</v>
      </c>
      <c r="AH17" s="489">
        <f>AH14+AH15-AH16</f>
        <v>0</v>
      </c>
      <c r="AI17" s="194">
        <f t="shared" si="25"/>
        <v>0</v>
      </c>
      <c r="AJ17" s="385">
        <f>AJ14+AJ15-AJ16</f>
        <v>0</v>
      </c>
      <c r="AK17" s="103">
        <f t="shared" si="36"/>
        <v>0</v>
      </c>
      <c r="AL17" s="544">
        <f t="shared" si="26"/>
        <v>205692921</v>
      </c>
      <c r="AM17" s="317">
        <f>IF(ISERR(AL17/$AL$11),"",AL17/AL$11)</f>
        <v>0.87221934049654304</v>
      </c>
      <c r="AN17" s="536">
        <f t="shared" si="27"/>
        <v>653496261</v>
      </c>
      <c r="AO17" s="134">
        <f>IF(ISERR(AN17/$AN$11),"",AN17/$AN$11)</f>
        <v>0.87735449478119643</v>
      </c>
      <c r="AP17" s="524">
        <f t="shared" si="28"/>
        <v>590473084</v>
      </c>
      <c r="AQ17" s="135">
        <f>IF(ISERR(AP17/$AP$11),"",AP17/$AP$11)</f>
        <v>0.83233887421558683</v>
      </c>
      <c r="AR17" s="516">
        <f t="shared" si="29"/>
        <v>1952981440</v>
      </c>
      <c r="AS17" s="134">
        <f>IF(ISERR(AR17/$AR$11),"",AR17/$AR$11)</f>
        <v>0.83185796192818184</v>
      </c>
      <c r="AT17" s="524">
        <f>AT14+AT15-AT16</f>
        <v>666850930</v>
      </c>
      <c r="AU17" s="135">
        <f t="shared" si="30"/>
        <v>0.83845445010483843</v>
      </c>
      <c r="AV17" s="596">
        <f>AV14+AV15-AV16</f>
        <v>2272538060</v>
      </c>
      <c r="AW17" s="134">
        <f t="shared" si="31"/>
        <v>0.84310313134206871</v>
      </c>
      <c r="AX17" s="524">
        <f t="shared" si="32"/>
        <v>-76377846</v>
      </c>
      <c r="AY17" s="135">
        <f t="shared" si="33"/>
        <v>0.88546488793229994</v>
      </c>
      <c r="AZ17" s="596">
        <f t="shared" si="34"/>
        <v>-319556620</v>
      </c>
      <c r="BA17" s="134">
        <f t="shared" si="35"/>
        <v>0.85938338036019513</v>
      </c>
      <c r="BB17" s="11"/>
    </row>
    <row r="18" spans="1:54" ht="19.899999999999999" customHeight="1">
      <c r="A18" s="55" t="s">
        <v>14</v>
      </c>
      <c r="B18" s="709"/>
      <c r="C18" s="138" t="str">
        <f>IF(ISERR(B18/$B$11),"",B18/$B$11)</f>
        <v/>
      </c>
      <c r="D18" s="376"/>
      <c r="E18" s="136" t="str">
        <f>IF(ISERR(D18/$D$11),"",D18/$D$11)</f>
        <v/>
      </c>
      <c r="F18" s="375">
        <f>F11-F17</f>
        <v>62717623</v>
      </c>
      <c r="G18" s="56">
        <f>IF(ISERR(F18/$F$11),"",F18/$F$11)</f>
        <v>0.14068308573925201</v>
      </c>
      <c r="H18" s="376">
        <f>H11-H17</f>
        <v>208045119</v>
      </c>
      <c r="I18" s="138">
        <f t="shared" si="19"/>
        <v>0.13862197229158479</v>
      </c>
      <c r="J18" s="374">
        <f>J11-J17</f>
        <v>7053455</v>
      </c>
      <c r="K18" s="56">
        <f t="shared" si="20"/>
        <v>0.93616703019936032</v>
      </c>
      <c r="L18" s="376">
        <f>L11-L17</f>
        <v>24252388</v>
      </c>
      <c r="M18" s="138">
        <f t="shared" si="37"/>
        <v>0.94028374853015162</v>
      </c>
      <c r="N18" s="412">
        <f>N11-N17</f>
        <v>19035982</v>
      </c>
      <c r="O18" s="56">
        <f>IF(ISERR(N18/$N$11),"",N18/$N$11)</f>
        <v>0.94028149790402382</v>
      </c>
      <c r="P18" s="376">
        <f>P11-P17</f>
        <v>71102985</v>
      </c>
      <c r="Q18" s="208">
        <f>IF(ISERR(P18/$P$11),"",P18/$P$11)</f>
        <v>0.93208336544472614</v>
      </c>
      <c r="R18" s="441">
        <f>R11-R17</f>
        <v>0</v>
      </c>
      <c r="S18" s="56" t="str">
        <f>IF(ISERR(R18/$R$11),"",R18/$R$11)</f>
        <v/>
      </c>
      <c r="T18" s="376">
        <f>T11-T17</f>
        <v>0</v>
      </c>
      <c r="U18" s="208" t="str">
        <f>IF(ISERR(T18/$T$11),"",T18/$T$11)</f>
        <v/>
      </c>
      <c r="V18" s="490">
        <f t="shared" si="21"/>
        <v>19035982</v>
      </c>
      <c r="W18" s="176">
        <f>IF(ISERR(V18/$V$11),"",V18/$V$11)</f>
        <v>0.94028149790402382</v>
      </c>
      <c r="X18" s="424">
        <f t="shared" si="22"/>
        <v>71102985</v>
      </c>
      <c r="Y18" s="229">
        <f>IF(ISERR(X18/$X$11),"",X18/$X$11)</f>
        <v>0.93208336544472614</v>
      </c>
      <c r="Z18" s="490">
        <f t="shared" si="23"/>
        <v>88807060</v>
      </c>
      <c r="AA18" s="193">
        <f>IF(ISERR(Z18/$Z$11),"",Z18/$Z$11)</f>
        <v>0.18751996609503124</v>
      </c>
      <c r="AB18" s="424">
        <f t="shared" si="24"/>
        <v>303400492</v>
      </c>
      <c r="AC18" s="137">
        <f>IF(ISERR(AB18/$AB$11),"",AB18/$AB$11)</f>
        <v>0.18928392554081294</v>
      </c>
      <c r="AD18" s="375">
        <f>AD11-AD17</f>
        <v>21324567</v>
      </c>
      <c r="AE18" s="56">
        <f>IF(ISERR(AD18/$AD$11),"",AD18/$AD$11)</f>
        <v>9.3933587178094399E-2</v>
      </c>
      <c r="AF18" s="376">
        <f>AF11-AF17</f>
        <v>62169041</v>
      </c>
      <c r="AG18" s="84">
        <f>IF(ISERR(AF18/$AF$11),"",AF18/$AF$11)</f>
        <v>8.6868876870601727E-2</v>
      </c>
      <c r="AH18" s="392">
        <f>AH11-AH17</f>
        <v>8809570</v>
      </c>
      <c r="AI18" s="176">
        <f t="shared" si="25"/>
        <v>1</v>
      </c>
      <c r="AJ18" s="376">
        <f>AJ11-AJ17</f>
        <v>29183291</v>
      </c>
      <c r="AK18" s="104">
        <f t="shared" si="36"/>
        <v>1</v>
      </c>
      <c r="AL18" s="545">
        <f t="shared" si="26"/>
        <v>30134137</v>
      </c>
      <c r="AM18" s="318">
        <f>IF(ISERR(AL18/$AL$11),"",AL18/AL$11)</f>
        <v>0.12778065950345699</v>
      </c>
      <c r="AN18" s="537">
        <f t="shared" si="27"/>
        <v>91352332</v>
      </c>
      <c r="AO18" s="137">
        <f>IF(ISERR(AN18/$AN$11),"",AN18/$AN$11)</f>
        <v>0.12264550521880357</v>
      </c>
      <c r="AP18" s="525">
        <f t="shared" si="28"/>
        <v>118941197</v>
      </c>
      <c r="AQ18" s="305">
        <f>IF(ISERR(AP18/$AP$11),"",AP18/$AP$11)</f>
        <v>0.16766112578441314</v>
      </c>
      <c r="AR18" s="517">
        <f t="shared" si="29"/>
        <v>394752824</v>
      </c>
      <c r="AS18" s="304">
        <f>IF(ISERR(AR18/$AR$11),"",AR18/$AR$11)</f>
        <v>0.16814203807181816</v>
      </c>
      <c r="AT18" s="582">
        <f>AT11-AT17</f>
        <v>128482591</v>
      </c>
      <c r="AU18" s="138">
        <f t="shared" si="30"/>
        <v>0.16154554989516154</v>
      </c>
      <c r="AV18" s="597">
        <f>AV11-AV17</f>
        <v>422906869</v>
      </c>
      <c r="AW18" s="137">
        <f t="shared" si="31"/>
        <v>0.15689686865793132</v>
      </c>
      <c r="AX18" s="582">
        <f t="shared" si="32"/>
        <v>-9541394</v>
      </c>
      <c r="AY18" s="138">
        <f t="shared" si="33"/>
        <v>0.92573784568214379</v>
      </c>
      <c r="AZ18" s="597">
        <f t="shared" si="34"/>
        <v>-28154045</v>
      </c>
      <c r="BA18" s="137">
        <f t="shared" si="35"/>
        <v>0.93342731683083635</v>
      </c>
      <c r="BB18" s="13"/>
    </row>
    <row r="19" spans="1:54" ht="15.95" customHeight="1">
      <c r="A19" s="37" t="s">
        <v>15</v>
      </c>
      <c r="B19" s="702">
        <f>[3]本部!$I$19</f>
        <v>5756800</v>
      </c>
      <c r="C19" s="258" t="str">
        <f t="shared" ref="C19:C69" si="38">IF(ISERR(B19/$B$11),"",B19/$B$11)</f>
        <v/>
      </c>
      <c r="D19" s="727">
        <f>[3]本部!$L$19</f>
        <v>17270400</v>
      </c>
      <c r="E19" s="118" t="str">
        <f t="shared" ref="E19:E69" si="39">IF(ISERR(D19/$D$11),"",D19/$D$11)</f>
        <v/>
      </c>
      <c r="F19" s="351">
        <f>[3]本社営業!$I$19</f>
        <v>10204169</v>
      </c>
      <c r="G19" s="7">
        <f t="shared" ref="G19:G69" si="40">IF(ISERR(F19/$F$11),"",F19/$F$11)</f>
        <v>2.2889164379281682E-2</v>
      </c>
      <c r="H19" s="361">
        <f>[3]本社営業!$L$19</f>
        <v>30651004</v>
      </c>
      <c r="I19" s="120">
        <f t="shared" si="19"/>
        <v>2.0422986358056564E-2</v>
      </c>
      <c r="J19" s="744">
        <f>[3]東大阪!$I$19</f>
        <v>3636711</v>
      </c>
      <c r="K19" s="7">
        <f t="shared" si="20"/>
        <v>0.48268103171613713</v>
      </c>
      <c r="L19" s="361">
        <f>[3]東大阪!$L$19</f>
        <v>9472511</v>
      </c>
      <c r="M19" s="120">
        <f t="shared" si="37"/>
        <v>0.36725654195673824</v>
      </c>
      <c r="N19" s="402">
        <f>[3]南港工場!$I$19</f>
        <v>7051913</v>
      </c>
      <c r="O19" s="7">
        <f t="shared" ref="O19:O69" si="41">IF(ISERR(N19/$N$11),"",N19/$N$11)</f>
        <v>0.3483289340538806</v>
      </c>
      <c r="P19" s="361">
        <f>[3]南港工場!$L$19</f>
        <v>21172557</v>
      </c>
      <c r="Q19" s="203">
        <f t="shared" ref="Q19:Q69" si="42">IF(ISERR(P19/$P$11),"",P19/$P$11)</f>
        <v>0.27754936285207005</v>
      </c>
      <c r="R19" s="436">
        <f>[3]南港事務!$I$19</f>
        <v>2781263</v>
      </c>
      <c r="S19" s="7" t="str">
        <f t="shared" ref="S19:S69" si="43">IF(ISERR(R19/$R$11),"",R19/$R$11)</f>
        <v/>
      </c>
      <c r="T19" s="361">
        <f>[3]南港事務!$L$19</f>
        <v>8364005</v>
      </c>
      <c r="U19" s="203" t="str">
        <f t="shared" ref="U19:U69" si="44">IF(ISERR(T19/$T$11),"",T19/$T$11)</f>
        <v/>
      </c>
      <c r="V19" s="455">
        <f t="shared" si="21"/>
        <v>9833176</v>
      </c>
      <c r="W19" s="174">
        <f t="shared" ref="W19:W69" si="45">IF(ISERR(V19/$V$11),"",V19/$V$11)</f>
        <v>0.48570929823498976</v>
      </c>
      <c r="X19" s="425">
        <f t="shared" si="22"/>
        <v>29536562</v>
      </c>
      <c r="Y19" s="224">
        <f t="shared" ref="Y19:Y69" si="46">IF(ISERR(X19/$X$11),"",X19/$X$11)</f>
        <v>0.38719243801968101</v>
      </c>
      <c r="Z19" s="459">
        <f t="shared" si="23"/>
        <v>23674056</v>
      </c>
      <c r="AA19" s="188">
        <f t="shared" ref="AA19:AA69" si="47">IF(ISERR(Z19/$Z$11),"",Z19/$Z$11)</f>
        <v>4.9988797945251996E-2</v>
      </c>
      <c r="AB19" s="563">
        <f t="shared" si="24"/>
        <v>69660077</v>
      </c>
      <c r="AC19" s="119">
        <f t="shared" ref="AC19:AC69" si="48">IF(ISERR(AB19/$AB$11),"",AB19/$AB$11)</f>
        <v>4.3459167587754921E-2</v>
      </c>
      <c r="AD19" s="351">
        <f>[3]東京事務!$I$19</f>
        <v>3796900</v>
      </c>
      <c r="AE19" s="7">
        <f t="shared" ref="AE19:AE69" si="49">IF(ISERR(AD19/$AD$11),"",AD19/$AD$11)</f>
        <v>1.6725143218922413E-2</v>
      </c>
      <c r="AF19" s="361">
        <f>[3]東京事務!$L$19</f>
        <v>12824700</v>
      </c>
      <c r="AG19" s="80">
        <f t="shared" ref="AG19:AG69" si="50">IF(ISERR(AF19/$AF$11),"",AF19/$AF$11)</f>
        <v>1.7919968963368858E-2</v>
      </c>
      <c r="AH19" s="387">
        <f>[3]東京工場!$I$19</f>
        <v>4493215</v>
      </c>
      <c r="AI19" s="174">
        <f t="shared" si="25"/>
        <v>0.51003794736860031</v>
      </c>
      <c r="AJ19" s="361">
        <f>[3]東京工場!$L$19</f>
        <v>13575557</v>
      </c>
      <c r="AK19" s="102">
        <f t="shared" si="36"/>
        <v>0.46518252516482805</v>
      </c>
      <c r="AL19" s="546">
        <f t="shared" si="26"/>
        <v>8290115</v>
      </c>
      <c r="AM19" s="313">
        <f t="shared" ref="AM19:AM67" si="51">IF(ISERR(AL19/$AL$11),"",AL19/AL$11)</f>
        <v>3.5153366497918996E-2</v>
      </c>
      <c r="AN19" s="477">
        <f t="shared" si="27"/>
        <v>26400257</v>
      </c>
      <c r="AO19" s="119">
        <f t="shared" ref="AO19:AO69" si="52">IF(ISERR(AN19/$AN$11),"",AN19/$AN$11)</f>
        <v>3.544378984951644E-2</v>
      </c>
      <c r="AP19" s="526">
        <f t="shared" si="28"/>
        <v>37720971</v>
      </c>
      <c r="AQ19" s="282">
        <f t="shared" ref="AQ19:AQ69" si="53">IF(ISERR(AP19/$AP$11),"",AP19/$AP$11)</f>
        <v>5.3171992741431716E-2</v>
      </c>
      <c r="AR19" s="486">
        <f t="shared" si="29"/>
        <v>113330734</v>
      </c>
      <c r="AS19" s="283">
        <f t="shared" ref="AS19:AS69" si="54">IF(ISERR(AR19/$AR$11),"",AR19/$AR$11)</f>
        <v>4.8272385737093797E-2</v>
      </c>
      <c r="AT19" s="583">
        <f>[3]全社合計!$G$19</f>
        <v>37541471</v>
      </c>
      <c r="AU19" s="120">
        <f t="shared" si="30"/>
        <v>4.7202173690350464E-2</v>
      </c>
      <c r="AV19" s="577">
        <f>[3]全社合計!$N$19</f>
        <v>109369523</v>
      </c>
      <c r="AW19" s="121">
        <f t="shared" si="31"/>
        <v>4.0575684490269173E-2</v>
      </c>
      <c r="AX19" s="583">
        <f t="shared" si="32"/>
        <v>179500</v>
      </c>
      <c r="AY19" s="120">
        <f t="shared" si="33"/>
        <v>1.0047813789715379</v>
      </c>
      <c r="AZ19" s="577">
        <f t="shared" si="34"/>
        <v>3961211</v>
      </c>
      <c r="BA19" s="121">
        <f t="shared" si="35"/>
        <v>1.036218599947629</v>
      </c>
      <c r="BB19" s="11"/>
    </row>
    <row r="20" spans="1:54" ht="15.95" customHeight="1">
      <c r="A20" s="37" t="s">
        <v>16</v>
      </c>
      <c r="B20" s="703">
        <f>[3]本部!$I$20</f>
        <v>56110</v>
      </c>
      <c r="C20" s="259" t="str">
        <f t="shared" si="38"/>
        <v/>
      </c>
      <c r="D20" s="728">
        <f>[3]本部!$L$20</f>
        <v>168330</v>
      </c>
      <c r="E20" s="122" t="str">
        <f t="shared" si="39"/>
        <v/>
      </c>
      <c r="F20" s="352">
        <f>[3]本社営業!$I$20</f>
        <v>-55036</v>
      </c>
      <c r="G20" s="9">
        <f t="shared" si="40"/>
        <v>-1.2345229197773444E-4</v>
      </c>
      <c r="H20" s="362">
        <f>[3]本社営業!$L$20</f>
        <v>469266</v>
      </c>
      <c r="I20" s="124">
        <f t="shared" si="19"/>
        <v>3.1267534062831261E-4</v>
      </c>
      <c r="J20" s="745">
        <f>[3]東大阪!$I$20</f>
        <v>163642</v>
      </c>
      <c r="K20" s="9">
        <f t="shared" si="20"/>
        <v>2.1719319844797157E-2</v>
      </c>
      <c r="L20" s="362">
        <f>[3]東大阪!$L$20</f>
        <v>490926</v>
      </c>
      <c r="M20" s="124">
        <f t="shared" si="37"/>
        <v>1.9033578859570993E-2</v>
      </c>
      <c r="N20" s="403">
        <f>[3]南港工場!$I$20</f>
        <v>241330</v>
      </c>
      <c r="O20" s="9">
        <f t="shared" si="41"/>
        <v>1.192048478976173E-2</v>
      </c>
      <c r="P20" s="362">
        <f>[3]南港工場!$L$20</f>
        <v>723990</v>
      </c>
      <c r="Q20" s="204">
        <f t="shared" si="42"/>
        <v>9.490727228235598E-3</v>
      </c>
      <c r="R20" s="437">
        <f>[3]南港事務!$I$20</f>
        <v>88532</v>
      </c>
      <c r="S20" s="9" t="str">
        <f t="shared" si="43"/>
        <v/>
      </c>
      <c r="T20" s="362">
        <f>[3]南港事務!$L$20</f>
        <v>265596</v>
      </c>
      <c r="U20" s="204" t="str">
        <f t="shared" si="44"/>
        <v/>
      </c>
      <c r="V20" s="456">
        <f t="shared" si="21"/>
        <v>329862</v>
      </c>
      <c r="W20" s="171">
        <f t="shared" si="45"/>
        <v>1.6293519055734403E-2</v>
      </c>
      <c r="X20" s="426">
        <f t="shared" si="22"/>
        <v>989586</v>
      </c>
      <c r="Y20" s="225">
        <f t="shared" si="46"/>
        <v>1.2972404031658934E-2</v>
      </c>
      <c r="Z20" s="460">
        <f t="shared" si="23"/>
        <v>438468</v>
      </c>
      <c r="AA20" s="189">
        <f t="shared" si="47"/>
        <v>9.2584423461103383E-4</v>
      </c>
      <c r="AB20" s="564">
        <f t="shared" si="24"/>
        <v>1949778</v>
      </c>
      <c r="AC20" s="123">
        <f t="shared" si="48"/>
        <v>1.2164173872635487E-3</v>
      </c>
      <c r="AD20" s="352">
        <f>[3]東京事務!$I$20</f>
        <v>94954</v>
      </c>
      <c r="AE20" s="9">
        <f t="shared" si="49"/>
        <v>4.1826733630318381E-4</v>
      </c>
      <c r="AF20" s="362">
        <f>[3]東京事務!$L$20</f>
        <v>344862</v>
      </c>
      <c r="AG20" s="81">
        <f t="shared" si="50"/>
        <v>4.8187609352618859E-4</v>
      </c>
      <c r="AH20" s="388">
        <f>[3]東京工場!$I$20</f>
        <v>111642</v>
      </c>
      <c r="AI20" s="171">
        <f t="shared" si="25"/>
        <v>1.2672809229054312E-2</v>
      </c>
      <c r="AJ20" s="362">
        <f>[3]東京工場!$L$20</f>
        <v>334926</v>
      </c>
      <c r="AK20" s="99">
        <f t="shared" si="36"/>
        <v>1.1476635722818238E-2</v>
      </c>
      <c r="AL20" s="547">
        <f t="shared" si="26"/>
        <v>206596</v>
      </c>
      <c r="AM20" s="314">
        <f t="shared" si="51"/>
        <v>8.7604875264143782E-4</v>
      </c>
      <c r="AN20" s="478">
        <f t="shared" si="27"/>
        <v>679788</v>
      </c>
      <c r="AO20" s="123">
        <f t="shared" si="52"/>
        <v>9.126525932767654E-4</v>
      </c>
      <c r="AP20" s="527">
        <f t="shared" si="28"/>
        <v>701174</v>
      </c>
      <c r="AQ20" s="284">
        <f t="shared" si="53"/>
        <v>9.8838438804983676E-4</v>
      </c>
      <c r="AR20" s="487">
        <f t="shared" si="29"/>
        <v>2797896</v>
      </c>
      <c r="AS20" s="285">
        <f t="shared" si="54"/>
        <v>1.1917430532504252E-3</v>
      </c>
      <c r="AT20" s="584">
        <f>[3]全社合計!$G$20</f>
        <v>1050628</v>
      </c>
      <c r="AU20" s="124">
        <f t="shared" si="30"/>
        <v>1.3209904678467589E-3</v>
      </c>
      <c r="AV20" s="578">
        <f>[3]全社合計!$N$20</f>
        <v>3213084</v>
      </c>
      <c r="AW20" s="125">
        <f t="shared" si="31"/>
        <v>1.1920421617339599E-3</v>
      </c>
      <c r="AX20" s="584">
        <f t="shared" si="32"/>
        <v>-349454</v>
      </c>
      <c r="AY20" s="124">
        <f t="shared" si="33"/>
        <v>0.66738560175437933</v>
      </c>
      <c r="AZ20" s="578">
        <f t="shared" si="34"/>
        <v>-415188</v>
      </c>
      <c r="BA20" s="125">
        <f t="shared" si="35"/>
        <v>0.870782089730614</v>
      </c>
      <c r="BB20" s="11"/>
    </row>
    <row r="21" spans="1:54" ht="15.95" customHeight="1">
      <c r="A21" s="37" t="s">
        <v>17</v>
      </c>
      <c r="B21" s="703">
        <f>[3]本部!$I$21</f>
        <v>0</v>
      </c>
      <c r="C21" s="259" t="str">
        <f t="shared" si="38"/>
        <v/>
      </c>
      <c r="D21" s="728">
        <f>[3]本部!$L$21</f>
        <v>0</v>
      </c>
      <c r="E21" s="122" t="str">
        <f t="shared" si="39"/>
        <v/>
      </c>
      <c r="F21" s="352">
        <f>[3]本社営業!$I$21</f>
        <v>0</v>
      </c>
      <c r="G21" s="9">
        <f t="shared" si="40"/>
        <v>0</v>
      </c>
      <c r="H21" s="362">
        <f>[3]本社営業!$L$21</f>
        <v>0</v>
      </c>
      <c r="I21" s="124">
        <f t="shared" si="19"/>
        <v>0</v>
      </c>
      <c r="J21" s="745">
        <f>[3]東大阪!$I$21</f>
        <v>0</v>
      </c>
      <c r="K21" s="9">
        <f t="shared" si="20"/>
        <v>0</v>
      </c>
      <c r="L21" s="362">
        <f>[3]東大阪!$L$21</f>
        <v>0</v>
      </c>
      <c r="M21" s="124">
        <f t="shared" si="37"/>
        <v>0</v>
      </c>
      <c r="N21" s="403">
        <f>[3]南港工場!$I$21</f>
        <v>0</v>
      </c>
      <c r="O21" s="9">
        <f t="shared" si="41"/>
        <v>0</v>
      </c>
      <c r="P21" s="362">
        <f>[3]南港工場!$L$21</f>
        <v>0</v>
      </c>
      <c r="Q21" s="204">
        <f t="shared" si="42"/>
        <v>0</v>
      </c>
      <c r="R21" s="437">
        <f>[3]南港事務!$I$21</f>
        <v>0</v>
      </c>
      <c r="S21" s="9" t="str">
        <f t="shared" si="43"/>
        <v/>
      </c>
      <c r="T21" s="362">
        <f>[3]南港事務!$L$21</f>
        <v>0</v>
      </c>
      <c r="U21" s="204" t="str">
        <f t="shared" si="44"/>
        <v/>
      </c>
      <c r="V21" s="456">
        <f t="shared" si="21"/>
        <v>0</v>
      </c>
      <c r="W21" s="171">
        <f t="shared" si="45"/>
        <v>0</v>
      </c>
      <c r="X21" s="426">
        <f t="shared" si="22"/>
        <v>0</v>
      </c>
      <c r="Y21" s="225">
        <f t="shared" si="46"/>
        <v>0</v>
      </c>
      <c r="Z21" s="460">
        <f t="shared" si="23"/>
        <v>0</v>
      </c>
      <c r="AA21" s="189">
        <f t="shared" si="47"/>
        <v>0</v>
      </c>
      <c r="AB21" s="564">
        <f t="shared" si="24"/>
        <v>0</v>
      </c>
      <c r="AC21" s="123">
        <f t="shared" si="48"/>
        <v>0</v>
      </c>
      <c r="AD21" s="352">
        <f>[3]東京事務!$I$21</f>
        <v>0</v>
      </c>
      <c r="AE21" s="9">
        <f t="shared" si="49"/>
        <v>0</v>
      </c>
      <c r="AF21" s="362">
        <f>[3]東京事務!$L$21</f>
        <v>0</v>
      </c>
      <c r="AG21" s="81">
        <f t="shared" si="50"/>
        <v>0</v>
      </c>
      <c r="AH21" s="388">
        <f>[3]東京工場!$I$21</f>
        <v>0</v>
      </c>
      <c r="AI21" s="171">
        <f t="shared" si="25"/>
        <v>0</v>
      </c>
      <c r="AJ21" s="362">
        <f>[3]東京工場!$L$21</f>
        <v>0</v>
      </c>
      <c r="AK21" s="99">
        <f t="shared" si="36"/>
        <v>0</v>
      </c>
      <c r="AL21" s="547">
        <f t="shared" si="26"/>
        <v>0</v>
      </c>
      <c r="AM21" s="314">
        <f t="shared" si="51"/>
        <v>0</v>
      </c>
      <c r="AN21" s="478">
        <f t="shared" si="27"/>
        <v>0</v>
      </c>
      <c r="AO21" s="123">
        <f t="shared" si="52"/>
        <v>0</v>
      </c>
      <c r="AP21" s="527">
        <f t="shared" si="28"/>
        <v>0</v>
      </c>
      <c r="AQ21" s="284">
        <f t="shared" si="53"/>
        <v>0</v>
      </c>
      <c r="AR21" s="487">
        <f t="shared" si="29"/>
        <v>0</v>
      </c>
      <c r="AS21" s="285">
        <f t="shared" si="54"/>
        <v>0</v>
      </c>
      <c r="AT21" s="584">
        <f>[3]全社合計!$G$21</f>
        <v>0</v>
      </c>
      <c r="AU21" s="124">
        <f t="shared" si="30"/>
        <v>0</v>
      </c>
      <c r="AV21" s="578">
        <f>[3]全社合計!$N$21</f>
        <v>2035207</v>
      </c>
      <c r="AW21" s="125">
        <f t="shared" si="31"/>
        <v>7.5505419461678787E-4</v>
      </c>
      <c r="AX21" s="584">
        <f t="shared" si="32"/>
        <v>0</v>
      </c>
      <c r="AY21" s="124" t="str">
        <f t="shared" si="33"/>
        <v/>
      </c>
      <c r="AZ21" s="578">
        <f t="shared" si="34"/>
        <v>-2035207</v>
      </c>
      <c r="BA21" s="125">
        <f t="shared" si="35"/>
        <v>0</v>
      </c>
      <c r="BB21" s="11"/>
    </row>
    <row r="22" spans="1:54" ht="15.95" customHeight="1">
      <c r="A22" s="37" t="s">
        <v>18</v>
      </c>
      <c r="B22" s="703">
        <f>[3]本部!$I$22</f>
        <v>976838</v>
      </c>
      <c r="C22" s="259" t="str">
        <f t="shared" si="38"/>
        <v/>
      </c>
      <c r="D22" s="728">
        <f>[3]本部!$L$22</f>
        <v>1385337</v>
      </c>
      <c r="E22" s="122" t="str">
        <f t="shared" si="39"/>
        <v/>
      </c>
      <c r="F22" s="352">
        <f>[3]本社営業!$I$22</f>
        <v>2807660</v>
      </c>
      <c r="G22" s="9">
        <f t="shared" si="40"/>
        <v>6.2979152208410116E-3</v>
      </c>
      <c r="H22" s="362">
        <f>[3]本社営業!$L$22</f>
        <v>4971172</v>
      </c>
      <c r="I22" s="124">
        <f t="shared" si="19"/>
        <v>3.3123279726678047E-3</v>
      </c>
      <c r="J22" s="745">
        <f>[3]東大阪!$I$22</f>
        <v>1619313</v>
      </c>
      <c r="K22" s="9">
        <f t="shared" si="20"/>
        <v>0.2149226786267463</v>
      </c>
      <c r="L22" s="362">
        <f>[3]東大阪!$L$22</f>
        <v>3284272</v>
      </c>
      <c r="M22" s="124">
        <f t="shared" si="37"/>
        <v>0.12733375316907425</v>
      </c>
      <c r="N22" s="403">
        <f>[3]南港工場!$I$22</f>
        <v>2259866</v>
      </c>
      <c r="O22" s="9">
        <f t="shared" si="41"/>
        <v>0.11162598218165865</v>
      </c>
      <c r="P22" s="362">
        <f>[3]南港工場!$L$22</f>
        <v>4590950</v>
      </c>
      <c r="Q22" s="204">
        <f t="shared" si="42"/>
        <v>6.018239777962156E-2</v>
      </c>
      <c r="R22" s="437">
        <f>[3]南港事務!$I$22</f>
        <v>845103</v>
      </c>
      <c r="S22" s="9" t="str">
        <f t="shared" si="43"/>
        <v/>
      </c>
      <c r="T22" s="362">
        <f>[3]南港事務!$L$22</f>
        <v>1830582</v>
      </c>
      <c r="U22" s="204" t="str">
        <f t="shared" si="44"/>
        <v/>
      </c>
      <c r="V22" s="456">
        <f t="shared" si="21"/>
        <v>3104969</v>
      </c>
      <c r="W22" s="171">
        <f t="shared" si="45"/>
        <v>0.1533698078862209</v>
      </c>
      <c r="X22" s="426">
        <f t="shared" si="22"/>
        <v>6421532</v>
      </c>
      <c r="Y22" s="225">
        <f t="shared" si="46"/>
        <v>8.4179351371408709E-2</v>
      </c>
      <c r="Z22" s="460">
        <f t="shared" si="23"/>
        <v>7531942</v>
      </c>
      <c r="AA22" s="189">
        <f t="shared" si="47"/>
        <v>1.5904022816088517E-2</v>
      </c>
      <c r="AB22" s="564">
        <f t="shared" si="24"/>
        <v>14676976</v>
      </c>
      <c r="AC22" s="123">
        <f t="shared" si="48"/>
        <v>9.1565956733791285E-3</v>
      </c>
      <c r="AD22" s="352">
        <f>[3]東京事務!$I$22</f>
        <v>1263213</v>
      </c>
      <c r="AE22" s="9">
        <f t="shared" si="49"/>
        <v>5.5643862996140629E-3</v>
      </c>
      <c r="AF22" s="362">
        <f>[3]東京事務!$L$22</f>
        <v>2327665</v>
      </c>
      <c r="AG22" s="81">
        <f t="shared" si="50"/>
        <v>3.2524491455644166E-3</v>
      </c>
      <c r="AH22" s="388">
        <f>[3]東京工場!$I$22</f>
        <v>1325850</v>
      </c>
      <c r="AI22" s="171">
        <f t="shared" si="25"/>
        <v>0.15050110277800166</v>
      </c>
      <c r="AJ22" s="362">
        <f>[3]東京工場!$L$22</f>
        <v>2785227</v>
      </c>
      <c r="AK22" s="99">
        <f t="shared" si="36"/>
        <v>9.5439099037870678E-2</v>
      </c>
      <c r="AL22" s="547">
        <f t="shared" si="26"/>
        <v>2589063</v>
      </c>
      <c r="AM22" s="314">
        <f t="shared" si="51"/>
        <v>1.097865114358506E-2</v>
      </c>
      <c r="AN22" s="478">
        <f t="shared" si="27"/>
        <v>5112892</v>
      </c>
      <c r="AO22" s="123">
        <f t="shared" si="52"/>
        <v>6.8643373271432091E-3</v>
      </c>
      <c r="AP22" s="527">
        <f t="shared" si="28"/>
        <v>11097843</v>
      </c>
      <c r="AQ22" s="284">
        <f t="shared" si="53"/>
        <v>1.5643670133559096E-2</v>
      </c>
      <c r="AR22" s="487">
        <f t="shared" si="29"/>
        <v>21175205</v>
      </c>
      <c r="AS22" s="285">
        <f t="shared" si="54"/>
        <v>9.019421543868561E-3</v>
      </c>
      <c r="AT22" s="584">
        <f>[3]全社合計!$G$22</f>
        <v>10514824</v>
      </c>
      <c r="AU22" s="124">
        <f t="shared" si="30"/>
        <v>1.3220647341481788E-2</v>
      </c>
      <c r="AV22" s="578">
        <f>[3]全社合計!$N$22</f>
        <v>19665048</v>
      </c>
      <c r="AW22" s="125">
        <f t="shared" si="31"/>
        <v>7.2956593504938201E-3</v>
      </c>
      <c r="AX22" s="584">
        <f t="shared" si="32"/>
        <v>583019</v>
      </c>
      <c r="AY22" s="124">
        <f t="shared" si="33"/>
        <v>1.0554473379678062</v>
      </c>
      <c r="AZ22" s="578">
        <f t="shared" si="34"/>
        <v>1510157</v>
      </c>
      <c r="BA22" s="125">
        <f t="shared" si="35"/>
        <v>1.0767939646015612</v>
      </c>
      <c r="BB22" s="11"/>
    </row>
    <row r="23" spans="1:54" ht="15.95" customHeight="1">
      <c r="A23" s="37" t="s">
        <v>19</v>
      </c>
      <c r="B23" s="703">
        <f>[3]本部!$I$23</f>
        <v>538147</v>
      </c>
      <c r="C23" s="259" t="str">
        <f t="shared" si="38"/>
        <v/>
      </c>
      <c r="D23" s="728">
        <f>[3]本部!$L$23</f>
        <v>1610639</v>
      </c>
      <c r="E23" s="122" t="str">
        <f t="shared" si="39"/>
        <v/>
      </c>
      <c r="F23" s="352">
        <f>[3]本社営業!$I$23</f>
        <v>409168</v>
      </c>
      <c r="G23" s="9">
        <f t="shared" si="40"/>
        <v>9.1781247554229321E-4</v>
      </c>
      <c r="H23" s="362">
        <f>[3]本社営業!$L$23</f>
        <v>1006977</v>
      </c>
      <c r="I23" s="124">
        <f t="shared" si="19"/>
        <v>6.7095608136936481E-4</v>
      </c>
      <c r="J23" s="745">
        <f>[3]東大阪!$I$23</f>
        <v>94913</v>
      </c>
      <c r="K23" s="9">
        <f t="shared" si="20"/>
        <v>1.2597290453729681E-2</v>
      </c>
      <c r="L23" s="362">
        <f>[3]東大阪!$L$23</f>
        <v>285572</v>
      </c>
      <c r="M23" s="124">
        <f t="shared" si="37"/>
        <v>1.107184622954459E-2</v>
      </c>
      <c r="N23" s="403">
        <f>[3]南港工場!$I$23</f>
        <v>107392</v>
      </c>
      <c r="O23" s="9">
        <f t="shared" si="41"/>
        <v>5.3046231406874058E-3</v>
      </c>
      <c r="P23" s="362">
        <f>[3]南港工場!$L$23</f>
        <v>270437</v>
      </c>
      <c r="Q23" s="204">
        <f t="shared" si="42"/>
        <v>3.5451370867309634E-3</v>
      </c>
      <c r="R23" s="437">
        <f>[3]南港事務!$I$23</f>
        <v>69630</v>
      </c>
      <c r="S23" s="9" t="str">
        <f t="shared" si="43"/>
        <v/>
      </c>
      <c r="T23" s="362">
        <f>[3]南港事務!$L$23</f>
        <v>244653</v>
      </c>
      <c r="U23" s="204" t="str">
        <f t="shared" si="44"/>
        <v/>
      </c>
      <c r="V23" s="456">
        <f t="shared" si="21"/>
        <v>177022</v>
      </c>
      <c r="W23" s="171">
        <f t="shared" si="45"/>
        <v>8.7439939437832046E-3</v>
      </c>
      <c r="X23" s="426">
        <f t="shared" si="22"/>
        <v>515090</v>
      </c>
      <c r="Y23" s="225">
        <f t="shared" si="46"/>
        <v>6.7522737717259545E-3</v>
      </c>
      <c r="Z23" s="460">
        <f t="shared" si="23"/>
        <v>681103</v>
      </c>
      <c r="AA23" s="189">
        <f t="shared" si="47"/>
        <v>1.438178580252787E-3</v>
      </c>
      <c r="AB23" s="564">
        <f t="shared" si="24"/>
        <v>1807639</v>
      </c>
      <c r="AC23" s="123">
        <f t="shared" si="48"/>
        <v>1.1277404450638451E-3</v>
      </c>
      <c r="AD23" s="352">
        <f>[3]東京事務!$I$23</f>
        <v>65697</v>
      </c>
      <c r="AE23" s="9">
        <f t="shared" si="49"/>
        <v>2.8939180227384069E-4</v>
      </c>
      <c r="AF23" s="362">
        <f>[3]東京事務!$L$23</f>
        <v>224271</v>
      </c>
      <c r="AG23" s="81">
        <f t="shared" si="50"/>
        <v>3.1337414203713905E-4</v>
      </c>
      <c r="AH23" s="388">
        <f>[3]東京工場!$I$23</f>
        <v>57730</v>
      </c>
      <c r="AI23" s="171">
        <f t="shared" si="25"/>
        <v>6.5531007756337708E-3</v>
      </c>
      <c r="AJ23" s="362">
        <f>[3]東京工場!$L$23</f>
        <v>204285</v>
      </c>
      <c r="AK23" s="99">
        <f t="shared" si="36"/>
        <v>7.0000672645179054E-3</v>
      </c>
      <c r="AL23" s="547">
        <f t="shared" si="26"/>
        <v>123427</v>
      </c>
      <c r="AM23" s="314">
        <f t="shared" si="51"/>
        <v>5.2337929772248613E-4</v>
      </c>
      <c r="AN23" s="478">
        <f t="shared" si="27"/>
        <v>428556</v>
      </c>
      <c r="AO23" s="123">
        <f t="shared" si="52"/>
        <v>5.7535988391133335E-4</v>
      </c>
      <c r="AP23" s="527">
        <f t="shared" si="28"/>
        <v>1342677</v>
      </c>
      <c r="AQ23" s="284">
        <f t="shared" si="53"/>
        <v>1.8926557245328417E-3</v>
      </c>
      <c r="AR23" s="487">
        <f t="shared" si="29"/>
        <v>3846834</v>
      </c>
      <c r="AS23" s="285">
        <f t="shared" si="54"/>
        <v>1.638530415893781E-3</v>
      </c>
      <c r="AT23" s="584">
        <f>[3]全社合計!$G$23</f>
        <v>1410680</v>
      </c>
      <c r="AU23" s="124">
        <f t="shared" si="30"/>
        <v>1.7736961447649079E-3</v>
      </c>
      <c r="AV23" s="578">
        <f>[3]全社合計!$N$23</f>
        <v>3671519</v>
      </c>
      <c r="AW23" s="125">
        <f t="shared" si="31"/>
        <v>1.3621198342798715E-3</v>
      </c>
      <c r="AX23" s="584">
        <f t="shared" si="32"/>
        <v>-68003</v>
      </c>
      <c r="AY23" s="124">
        <f t="shared" si="33"/>
        <v>0.95179417018742729</v>
      </c>
      <c r="AZ23" s="578">
        <f t="shared" si="34"/>
        <v>175315</v>
      </c>
      <c r="BA23" s="125">
        <f t="shared" si="35"/>
        <v>1.0477499912161696</v>
      </c>
      <c r="BB23" s="11"/>
    </row>
    <row r="24" spans="1:54" ht="15.95" customHeight="1">
      <c r="A24" s="37" t="s">
        <v>20</v>
      </c>
      <c r="B24" s="703">
        <f>[3]本部!$I$24</f>
        <v>45000</v>
      </c>
      <c r="C24" s="259" t="str">
        <f t="shared" si="38"/>
        <v/>
      </c>
      <c r="D24" s="728">
        <f>[3]本部!$L$24</f>
        <v>135000</v>
      </c>
      <c r="E24" s="122" t="str">
        <f t="shared" si="39"/>
        <v/>
      </c>
      <c r="F24" s="352">
        <f>[3]本社営業!$I$24</f>
        <v>181650</v>
      </c>
      <c r="G24" s="9">
        <f t="shared" si="40"/>
        <v>4.0746254883631557E-4</v>
      </c>
      <c r="H24" s="362">
        <f>[3]本社営業!$L$24</f>
        <v>1216950</v>
      </c>
      <c r="I24" s="124">
        <f t="shared" si="19"/>
        <v>8.1086261475927298E-4</v>
      </c>
      <c r="J24" s="745">
        <f>[3]東大阪!$I$24</f>
        <v>96410</v>
      </c>
      <c r="K24" s="9">
        <f t="shared" si="20"/>
        <v>1.2795979187720108E-2</v>
      </c>
      <c r="L24" s="362">
        <f>[3]東大阪!$L$24</f>
        <v>289230</v>
      </c>
      <c r="M24" s="124">
        <f t="shared" si="37"/>
        <v>1.1213669704912183E-2</v>
      </c>
      <c r="N24" s="403">
        <f>[3]南港工場!$I$24</f>
        <v>28600</v>
      </c>
      <c r="O24" s="9">
        <f t="shared" si="41"/>
        <v>1.4126957485069633E-3</v>
      </c>
      <c r="P24" s="362">
        <f>[3]南港工場!$L$24</f>
        <v>85800</v>
      </c>
      <c r="Q24" s="204">
        <f t="shared" si="42"/>
        <v>1.1247453641384747E-3</v>
      </c>
      <c r="R24" s="437">
        <f>[3]南港事務!$I$24</f>
        <v>0</v>
      </c>
      <c r="S24" s="9" t="str">
        <f t="shared" si="43"/>
        <v/>
      </c>
      <c r="T24" s="362">
        <f>[3]南港事務!$L$24</f>
        <v>0</v>
      </c>
      <c r="U24" s="204" t="str">
        <f t="shared" si="44"/>
        <v/>
      </c>
      <c r="V24" s="456">
        <f t="shared" si="21"/>
        <v>28600</v>
      </c>
      <c r="W24" s="171">
        <f t="shared" si="45"/>
        <v>1.4126957485069633E-3</v>
      </c>
      <c r="X24" s="426">
        <f t="shared" si="22"/>
        <v>85800</v>
      </c>
      <c r="Y24" s="225">
        <f t="shared" si="46"/>
        <v>1.1247453641384747E-3</v>
      </c>
      <c r="Z24" s="460">
        <f t="shared" si="23"/>
        <v>306660</v>
      </c>
      <c r="AA24" s="189">
        <f t="shared" si="47"/>
        <v>6.4752591519978567E-4</v>
      </c>
      <c r="AB24" s="564">
        <f t="shared" si="24"/>
        <v>1591980</v>
      </c>
      <c r="AC24" s="123">
        <f t="shared" si="48"/>
        <v>9.9319622653236623E-4</v>
      </c>
      <c r="AD24" s="352">
        <f>[3]東京事務!$I$24</f>
        <v>143500</v>
      </c>
      <c r="AE24" s="9">
        <f t="shared" si="49"/>
        <v>6.3210989278499985E-4</v>
      </c>
      <c r="AF24" s="362">
        <f>[3]東京事務!$L$24</f>
        <v>430500</v>
      </c>
      <c r="AG24" s="81">
        <f t="shared" si="50"/>
        <v>6.0153817545285991E-4</v>
      </c>
      <c r="AH24" s="388">
        <f>[3]東京工場!$I$24</f>
        <v>0</v>
      </c>
      <c r="AI24" s="171">
        <f t="shared" si="25"/>
        <v>0</v>
      </c>
      <c r="AJ24" s="362">
        <f>[3]東京工場!$L$24</f>
        <v>0</v>
      </c>
      <c r="AK24" s="99">
        <f t="shared" si="36"/>
        <v>0</v>
      </c>
      <c r="AL24" s="547">
        <f t="shared" si="26"/>
        <v>143500</v>
      </c>
      <c r="AM24" s="314">
        <f t="shared" si="51"/>
        <v>6.0849675697518982E-4</v>
      </c>
      <c r="AN24" s="478">
        <f t="shared" si="27"/>
        <v>430500</v>
      </c>
      <c r="AO24" s="123">
        <f t="shared" si="52"/>
        <v>5.7796981030210526E-4</v>
      </c>
      <c r="AP24" s="527">
        <f t="shared" si="28"/>
        <v>495160</v>
      </c>
      <c r="AQ24" s="284">
        <f t="shared" si="53"/>
        <v>6.9798425724108023E-4</v>
      </c>
      <c r="AR24" s="487">
        <f t="shared" si="29"/>
        <v>2157480</v>
      </c>
      <c r="AS24" s="285">
        <f t="shared" si="54"/>
        <v>9.1896260709001601E-4</v>
      </c>
      <c r="AT24" s="584">
        <f>[3]全社合計!$G$24</f>
        <v>571228</v>
      </c>
      <c r="AU24" s="124">
        <f t="shared" si="30"/>
        <v>7.1822447428316054E-4</v>
      </c>
      <c r="AV24" s="578">
        <f>[3]全社合計!$N$24</f>
        <v>2155184</v>
      </c>
      <c r="AW24" s="125">
        <f t="shared" si="31"/>
        <v>7.9956521345051748E-4</v>
      </c>
      <c r="AX24" s="584">
        <f t="shared" si="32"/>
        <v>-76068</v>
      </c>
      <c r="AY24" s="124">
        <f t="shared" si="33"/>
        <v>0.86683425882484755</v>
      </c>
      <c r="AZ24" s="578">
        <f t="shared" si="34"/>
        <v>2296</v>
      </c>
      <c r="BA24" s="125">
        <f t="shared" si="35"/>
        <v>1.0010653382727415</v>
      </c>
      <c r="BB24" s="11"/>
    </row>
    <row r="25" spans="1:54" ht="15.95" customHeight="1">
      <c r="A25" s="37" t="s">
        <v>54</v>
      </c>
      <c r="B25" s="703">
        <f>[3]本部!$I$25</f>
        <v>129379</v>
      </c>
      <c r="C25" s="259" t="str">
        <f t="shared" si="38"/>
        <v/>
      </c>
      <c r="D25" s="728">
        <f>[3]本部!$L$25</f>
        <v>388137</v>
      </c>
      <c r="E25" s="122" t="str">
        <f t="shared" si="39"/>
        <v/>
      </c>
      <c r="F25" s="352">
        <f>[3]本社営業!$I$25</f>
        <v>86370</v>
      </c>
      <c r="G25" s="9">
        <f t="shared" si="40"/>
        <v>1.9373817970268415E-4</v>
      </c>
      <c r="H25" s="362">
        <f>[3]本社営業!$L$25</f>
        <v>259110</v>
      </c>
      <c r="I25" s="124">
        <f t="shared" si="19"/>
        <v>1.72646873010621E-4</v>
      </c>
      <c r="J25" s="745">
        <f>[3]東大阪!$I$25</f>
        <v>10180</v>
      </c>
      <c r="K25" s="9">
        <f t="shared" si="20"/>
        <v>1.3511364809769804E-3</v>
      </c>
      <c r="L25" s="362">
        <f>[3]東大阪!$L$25</f>
        <v>30540</v>
      </c>
      <c r="M25" s="124">
        <f t="shared" si="37"/>
        <v>1.1840593050099163E-3</v>
      </c>
      <c r="N25" s="403">
        <f>[3]南港工場!$I$25</f>
        <v>0</v>
      </c>
      <c r="O25" s="9">
        <f t="shared" si="41"/>
        <v>0</v>
      </c>
      <c r="P25" s="362">
        <f>[3]南港工場!$L$25</f>
        <v>0</v>
      </c>
      <c r="Q25" s="204">
        <f t="shared" si="42"/>
        <v>0</v>
      </c>
      <c r="R25" s="437">
        <f>[3]南港事務!$I$25</f>
        <v>10180</v>
      </c>
      <c r="S25" s="9" t="str">
        <f t="shared" si="43"/>
        <v/>
      </c>
      <c r="T25" s="362">
        <f>[3]南港事務!$L$25</f>
        <v>40200</v>
      </c>
      <c r="U25" s="204" t="str">
        <f t="shared" si="44"/>
        <v/>
      </c>
      <c r="V25" s="456">
        <f t="shared" si="21"/>
        <v>10180</v>
      </c>
      <c r="W25" s="171">
        <f t="shared" si="45"/>
        <v>5.0284065453849258E-4</v>
      </c>
      <c r="X25" s="426">
        <f t="shared" si="22"/>
        <v>40200</v>
      </c>
      <c r="Y25" s="225">
        <f t="shared" si="46"/>
        <v>5.2697859718376088E-4</v>
      </c>
      <c r="Z25" s="460">
        <f t="shared" si="23"/>
        <v>106730</v>
      </c>
      <c r="AA25" s="189">
        <f t="shared" si="47"/>
        <v>2.2536503270486247E-4</v>
      </c>
      <c r="AB25" s="564">
        <f t="shared" si="24"/>
        <v>329850</v>
      </c>
      <c r="AC25" s="123">
        <f t="shared" si="48"/>
        <v>2.0578510742704119E-4</v>
      </c>
      <c r="AD25" s="352">
        <f>[3]東京事務!$I$25</f>
        <v>18542</v>
      </c>
      <c r="AE25" s="9">
        <f t="shared" si="49"/>
        <v>8.167652705240047E-5</v>
      </c>
      <c r="AF25" s="362">
        <f>[3]東京事務!$L$25</f>
        <v>74166</v>
      </c>
      <c r="AG25" s="81">
        <f t="shared" si="50"/>
        <v>1.0363224232435961E-4</v>
      </c>
      <c r="AH25" s="388">
        <f>[3]東京工場!$I$25</f>
        <v>8300</v>
      </c>
      <c r="AI25" s="171">
        <f t="shared" si="25"/>
        <v>9.4215722220267282E-4</v>
      </c>
      <c r="AJ25" s="362">
        <f>[3]東京工場!$L$25</f>
        <v>24900</v>
      </c>
      <c r="AK25" s="99">
        <f t="shared" si="36"/>
        <v>8.5322796527643162E-4</v>
      </c>
      <c r="AL25" s="547">
        <f t="shared" si="26"/>
        <v>26842</v>
      </c>
      <c r="AM25" s="314">
        <f t="shared" si="51"/>
        <v>1.1382069652075293E-4</v>
      </c>
      <c r="AN25" s="478">
        <f t="shared" si="27"/>
        <v>99066</v>
      </c>
      <c r="AO25" s="123">
        <f t="shared" si="52"/>
        <v>1.3300152666060014E-4</v>
      </c>
      <c r="AP25" s="527">
        <f t="shared" si="28"/>
        <v>262951</v>
      </c>
      <c r="AQ25" s="284">
        <f t="shared" si="53"/>
        <v>3.7065929886460799E-4</v>
      </c>
      <c r="AR25" s="487">
        <f t="shared" si="29"/>
        <v>817053</v>
      </c>
      <c r="AS25" s="285">
        <f t="shared" si="54"/>
        <v>3.4801766644915313E-4</v>
      </c>
      <c r="AT25" s="584">
        <f>[3]全社合計!$G$25</f>
        <v>240981</v>
      </c>
      <c r="AU25" s="124">
        <f t="shared" si="30"/>
        <v>3.0299364183343654E-4</v>
      </c>
      <c r="AV25" s="578">
        <f>[3]全社合計!$N$25</f>
        <v>751143</v>
      </c>
      <c r="AW25" s="125">
        <f t="shared" si="31"/>
        <v>2.7867124715423932E-4</v>
      </c>
      <c r="AX25" s="584">
        <f t="shared" si="32"/>
        <v>21970</v>
      </c>
      <c r="AY25" s="124">
        <f t="shared" si="33"/>
        <v>1.0911690133247018</v>
      </c>
      <c r="AZ25" s="578">
        <f t="shared" si="34"/>
        <v>65910</v>
      </c>
      <c r="BA25" s="125">
        <f t="shared" si="35"/>
        <v>1.0877462746773916</v>
      </c>
      <c r="BB25" s="11"/>
    </row>
    <row r="26" spans="1:54" ht="15.95" customHeight="1">
      <c r="A26" s="37" t="s">
        <v>55</v>
      </c>
      <c r="B26" s="703">
        <f>[3]本部!$I$26</f>
        <v>348701</v>
      </c>
      <c r="C26" s="259" t="str">
        <f t="shared" si="38"/>
        <v/>
      </c>
      <c r="D26" s="728">
        <f>[3]本部!$L$26</f>
        <v>1006103</v>
      </c>
      <c r="E26" s="122" t="str">
        <f t="shared" si="39"/>
        <v/>
      </c>
      <c r="F26" s="352">
        <f>[3]本社営業!$I$26</f>
        <v>680</v>
      </c>
      <c r="G26" s="9">
        <f t="shared" si="40"/>
        <v>1.5253208544381755E-6</v>
      </c>
      <c r="H26" s="362">
        <f>[3]本社営業!$L$26</f>
        <v>2040</v>
      </c>
      <c r="I26" s="124">
        <f t="shared" si="19"/>
        <v>1.3592668015193038E-6</v>
      </c>
      <c r="J26" s="745">
        <f>[3]東大阪!$I$26</f>
        <v>57273</v>
      </c>
      <c r="K26" s="9">
        <f t="shared" si="20"/>
        <v>7.6015363138501576E-3</v>
      </c>
      <c r="L26" s="362">
        <f>[3]東大阪!$L$26</f>
        <v>71613</v>
      </c>
      <c r="M26" s="124">
        <f t="shared" si="37"/>
        <v>2.7764911267084192E-3</v>
      </c>
      <c r="N26" s="403">
        <f>[3]南港工場!$I$26</f>
        <v>78417</v>
      </c>
      <c r="O26" s="9">
        <f t="shared" si="41"/>
        <v>3.873404283589879E-3</v>
      </c>
      <c r="P26" s="362">
        <f>[3]南港工場!$L$26</f>
        <v>78417</v>
      </c>
      <c r="Q26" s="204">
        <f t="shared" si="42"/>
        <v>1.0279622053571884E-3</v>
      </c>
      <c r="R26" s="437">
        <f>[3]南港事務!$I$26</f>
        <v>5520</v>
      </c>
      <c r="S26" s="9" t="str">
        <f t="shared" si="43"/>
        <v/>
      </c>
      <c r="T26" s="362">
        <f>[3]南港事務!$L$26</f>
        <v>16560</v>
      </c>
      <c r="U26" s="204" t="str">
        <f t="shared" si="44"/>
        <v/>
      </c>
      <c r="V26" s="456">
        <f>N26+R26</f>
        <v>83937</v>
      </c>
      <c r="W26" s="171">
        <f t="shared" si="45"/>
        <v>4.1460644420429713E-3</v>
      </c>
      <c r="X26" s="426">
        <f t="shared" si="22"/>
        <v>94977</v>
      </c>
      <c r="Y26" s="225">
        <f t="shared" si="46"/>
        <v>1.2450459259881108E-3</v>
      </c>
      <c r="Z26" s="460">
        <f t="shared" si="23"/>
        <v>141890</v>
      </c>
      <c r="AA26" s="189">
        <f t="shared" si="47"/>
        <v>2.9960690050119868E-4</v>
      </c>
      <c r="AB26" s="564">
        <f t="shared" si="24"/>
        <v>168630</v>
      </c>
      <c r="AC26" s="123">
        <f t="shared" si="48"/>
        <v>1.0520400989971792E-4</v>
      </c>
      <c r="AD26" s="352">
        <f>[3]東京事務!$I$26</f>
        <v>7170</v>
      </c>
      <c r="AE26" s="9">
        <f t="shared" si="49"/>
        <v>3.1583469904309751E-5</v>
      </c>
      <c r="AF26" s="362">
        <f>[3]東京事務!$L$26</f>
        <v>21510</v>
      </c>
      <c r="AG26" s="81">
        <f t="shared" si="50"/>
        <v>3.0055949254334536E-5</v>
      </c>
      <c r="AH26" s="388">
        <f>[3]東京工場!$I$26</f>
        <v>25000</v>
      </c>
      <c r="AI26" s="171">
        <f t="shared" si="25"/>
        <v>2.8378229584417854E-3</v>
      </c>
      <c r="AJ26" s="362">
        <f>[3]東京工場!$L$26</f>
        <v>63000</v>
      </c>
      <c r="AK26" s="99">
        <f t="shared" si="36"/>
        <v>2.1587695506994054E-3</v>
      </c>
      <c r="AL26" s="547">
        <f t="shared" si="26"/>
        <v>32170</v>
      </c>
      <c r="AM26" s="314">
        <f t="shared" si="51"/>
        <v>1.364135238459363E-4</v>
      </c>
      <c r="AN26" s="478">
        <f t="shared" si="27"/>
        <v>84510</v>
      </c>
      <c r="AO26" s="123">
        <f t="shared" si="52"/>
        <v>1.1345930004327739E-4</v>
      </c>
      <c r="AP26" s="527">
        <f t="shared" si="28"/>
        <v>522761</v>
      </c>
      <c r="AQ26" s="284">
        <f t="shared" si="53"/>
        <v>7.3689100149366743E-4</v>
      </c>
      <c r="AR26" s="487">
        <f t="shared" si="29"/>
        <v>1259243</v>
      </c>
      <c r="AS26" s="285">
        <f t="shared" si="54"/>
        <v>5.3636521786521916E-4</v>
      </c>
      <c r="AT26" s="584">
        <f>[3]全社合計!$G$26</f>
        <v>518801</v>
      </c>
      <c r="AU26" s="124">
        <f t="shared" si="30"/>
        <v>6.5230621657652978E-4</v>
      </c>
      <c r="AV26" s="578">
        <f>[3]全社合計!$N$26</f>
        <v>1286373</v>
      </c>
      <c r="AW26" s="125">
        <f t="shared" si="31"/>
        <v>4.7723957783742945E-4</v>
      </c>
      <c r="AX26" s="584">
        <f t="shared" si="32"/>
        <v>3960</v>
      </c>
      <c r="AY26" s="124">
        <f t="shared" si="33"/>
        <v>1.0076329845162211</v>
      </c>
      <c r="AZ26" s="578">
        <f t="shared" si="34"/>
        <v>-27130</v>
      </c>
      <c r="BA26" s="125">
        <f t="shared" si="35"/>
        <v>0.97890969415558315</v>
      </c>
      <c r="BB26" s="11"/>
    </row>
    <row r="27" spans="1:54" ht="15.95" customHeight="1">
      <c r="A27" s="37" t="s">
        <v>21</v>
      </c>
      <c r="B27" s="703">
        <f>[3]本部!$I$27</f>
        <v>0</v>
      </c>
      <c r="C27" s="259" t="str">
        <f t="shared" si="38"/>
        <v/>
      </c>
      <c r="D27" s="728">
        <f>[3]本部!$L$27</f>
        <v>0</v>
      </c>
      <c r="E27" s="122" t="str">
        <f t="shared" si="39"/>
        <v/>
      </c>
      <c r="F27" s="352">
        <f>[3]本社営業!$I$27</f>
        <v>0</v>
      </c>
      <c r="G27" s="9">
        <f t="shared" si="40"/>
        <v>0</v>
      </c>
      <c r="H27" s="362">
        <f>[3]本社営業!$L$27</f>
        <v>0</v>
      </c>
      <c r="I27" s="124">
        <f t="shared" si="19"/>
        <v>0</v>
      </c>
      <c r="J27" s="745">
        <f>[3]東大阪!$I$27</f>
        <v>0</v>
      </c>
      <c r="K27" s="9">
        <f t="shared" si="20"/>
        <v>0</v>
      </c>
      <c r="L27" s="362">
        <f>[3]東大阪!$L$27</f>
        <v>174900</v>
      </c>
      <c r="M27" s="124">
        <f t="shared" si="37"/>
        <v>6.7810076112061017E-3</v>
      </c>
      <c r="N27" s="403">
        <f>[3]南港工場!$I$27</f>
        <v>1505000</v>
      </c>
      <c r="O27" s="9">
        <f t="shared" si="41"/>
        <v>7.4339409143460836E-2</v>
      </c>
      <c r="P27" s="362">
        <f>[3]南港工場!$L$27</f>
        <v>3202550</v>
      </c>
      <c r="Q27" s="204">
        <f t="shared" si="42"/>
        <v>4.1981972796289881E-2</v>
      </c>
      <c r="R27" s="437">
        <f>[3]南港事務!$I$27</f>
        <v>0</v>
      </c>
      <c r="S27" s="9" t="str">
        <f t="shared" si="43"/>
        <v/>
      </c>
      <c r="T27" s="362">
        <f>[3]南港事務!$L$27</f>
        <v>0</v>
      </c>
      <c r="U27" s="204" t="str">
        <f t="shared" si="44"/>
        <v/>
      </c>
      <c r="V27" s="456">
        <f>N27+R27</f>
        <v>1505000</v>
      </c>
      <c r="W27" s="171">
        <f t="shared" si="45"/>
        <v>7.4339409143460836E-2</v>
      </c>
      <c r="X27" s="426">
        <f t="shared" si="22"/>
        <v>3202550</v>
      </c>
      <c r="Y27" s="225">
        <f t="shared" si="46"/>
        <v>4.1981972796289881E-2</v>
      </c>
      <c r="Z27" s="460">
        <f t="shared" si="23"/>
        <v>1505000</v>
      </c>
      <c r="AA27" s="189">
        <f t="shared" si="47"/>
        <v>3.1778728962879982E-3</v>
      </c>
      <c r="AB27" s="564">
        <f t="shared" si="24"/>
        <v>3377450</v>
      </c>
      <c r="AC27" s="123">
        <f t="shared" si="48"/>
        <v>2.1071059908426867E-3</v>
      </c>
      <c r="AD27" s="352">
        <f>[3]東京事務!$I$27</f>
        <v>0</v>
      </c>
      <c r="AE27" s="9">
        <f t="shared" si="49"/>
        <v>0</v>
      </c>
      <c r="AF27" s="362">
        <f>[3]東京事務!$L$27</f>
        <v>0</v>
      </c>
      <c r="AG27" s="81">
        <f t="shared" si="50"/>
        <v>0</v>
      </c>
      <c r="AH27" s="388">
        <f>[3]東京工場!$I$27</f>
        <v>208400</v>
      </c>
      <c r="AI27" s="171">
        <f t="shared" si="25"/>
        <v>2.3656092181570724E-2</v>
      </c>
      <c r="AJ27" s="362">
        <f>[3]東京工場!$L$27</f>
        <v>314260</v>
      </c>
      <c r="AK27" s="99">
        <f t="shared" si="36"/>
        <v>1.0768490777822146E-2</v>
      </c>
      <c r="AL27" s="547">
        <f t="shared" si="26"/>
        <v>208400</v>
      </c>
      <c r="AM27" s="314">
        <f t="shared" si="51"/>
        <v>8.8369842615769727E-4</v>
      </c>
      <c r="AN27" s="478">
        <f t="shared" si="27"/>
        <v>314260</v>
      </c>
      <c r="AO27" s="123">
        <f t="shared" si="52"/>
        <v>4.2191124874689799E-4</v>
      </c>
      <c r="AP27" s="527">
        <f t="shared" si="28"/>
        <v>1713400</v>
      </c>
      <c r="AQ27" s="284">
        <f t="shared" si="53"/>
        <v>2.4152318974813534E-3</v>
      </c>
      <c r="AR27" s="487">
        <f t="shared" si="29"/>
        <v>3691710</v>
      </c>
      <c r="AS27" s="285">
        <f t="shared" si="54"/>
        <v>1.5724564984242186E-3</v>
      </c>
      <c r="AT27" s="584">
        <f>[3]全社合計!$G$27</f>
        <v>273300</v>
      </c>
      <c r="AU27" s="124">
        <f t="shared" si="30"/>
        <v>3.4362942436573095E-4</v>
      </c>
      <c r="AV27" s="578">
        <f>[3]全社合計!$N$27</f>
        <v>1450684</v>
      </c>
      <c r="AW27" s="125">
        <f t="shared" si="31"/>
        <v>5.3819834506438921E-4</v>
      </c>
      <c r="AX27" s="584">
        <f t="shared" si="32"/>
        <v>1440100</v>
      </c>
      <c r="AY27" s="124">
        <f t="shared" si="33"/>
        <v>6.2693011342846692</v>
      </c>
      <c r="AZ27" s="578">
        <f t="shared" si="34"/>
        <v>2241026</v>
      </c>
      <c r="BA27" s="125">
        <f t="shared" si="35"/>
        <v>2.544806449922933</v>
      </c>
      <c r="BB27" s="11"/>
    </row>
    <row r="28" spans="1:54" ht="15.95" customHeight="1">
      <c r="A28" s="37" t="s">
        <v>22</v>
      </c>
      <c r="B28" s="703">
        <f>[3]本部!$I$28</f>
        <v>133793</v>
      </c>
      <c r="C28" s="259" t="str">
        <f t="shared" si="38"/>
        <v/>
      </c>
      <c r="D28" s="728">
        <f>[3]本部!$L$28</f>
        <v>1154259</v>
      </c>
      <c r="E28" s="122" t="str">
        <f t="shared" si="39"/>
        <v/>
      </c>
      <c r="F28" s="352">
        <f>[3]本社営業!$I$28</f>
        <v>102472</v>
      </c>
      <c r="G28" s="9">
        <f t="shared" si="40"/>
        <v>2.2985688028821872E-4</v>
      </c>
      <c r="H28" s="362">
        <f>[3]本社営業!$L$28</f>
        <v>309497</v>
      </c>
      <c r="I28" s="124">
        <f t="shared" si="19"/>
        <v>2.0622009670089215E-4</v>
      </c>
      <c r="J28" s="745">
        <f>[3]東大阪!$I$28</f>
        <v>81229</v>
      </c>
      <c r="K28" s="9">
        <f t="shared" si="20"/>
        <v>1.0781086956117795E-2</v>
      </c>
      <c r="L28" s="362">
        <f>[3]東大阪!$L$28</f>
        <v>96711</v>
      </c>
      <c r="M28" s="124">
        <f t="shared" si="37"/>
        <v>3.7495599033010481E-3</v>
      </c>
      <c r="N28" s="403">
        <f>[3]南港工場!$I$28</f>
        <v>0</v>
      </c>
      <c r="O28" s="9">
        <f t="shared" si="41"/>
        <v>0</v>
      </c>
      <c r="P28" s="362">
        <f>[3]南港工場!$L$28</f>
        <v>0</v>
      </c>
      <c r="Q28" s="204">
        <f t="shared" si="42"/>
        <v>0</v>
      </c>
      <c r="R28" s="437">
        <f>[3]南港事務!$I$28</f>
        <v>25324</v>
      </c>
      <c r="S28" s="9" t="str">
        <f t="shared" si="43"/>
        <v/>
      </c>
      <c r="T28" s="362">
        <f>[3]南港事務!$L$28</f>
        <v>71642</v>
      </c>
      <c r="U28" s="204" t="str">
        <f t="shared" si="44"/>
        <v/>
      </c>
      <c r="V28" s="456">
        <f>N28+R28</f>
        <v>25324</v>
      </c>
      <c r="W28" s="171">
        <f t="shared" si="45"/>
        <v>1.2508778718598021E-3</v>
      </c>
      <c r="X28" s="426">
        <f t="shared" si="22"/>
        <v>71642</v>
      </c>
      <c r="Y28" s="225">
        <f t="shared" si="46"/>
        <v>9.3914927013529837E-4</v>
      </c>
      <c r="Z28" s="460">
        <f t="shared" si="23"/>
        <v>209025</v>
      </c>
      <c r="AA28" s="189">
        <f t="shared" si="47"/>
        <v>4.4136537019707562E-4</v>
      </c>
      <c r="AB28" s="564">
        <f t="shared" si="24"/>
        <v>477850</v>
      </c>
      <c r="AC28" s="123">
        <f t="shared" si="48"/>
        <v>2.9811857991211653E-4</v>
      </c>
      <c r="AD28" s="352">
        <f>[3]東京事務!$I$28</f>
        <v>21661</v>
      </c>
      <c r="AE28" s="9">
        <f t="shared" si="49"/>
        <v>9.5415556708124621E-5</v>
      </c>
      <c r="AF28" s="362">
        <f>[3]東京事務!$L$28</f>
        <v>35897</v>
      </c>
      <c r="AG28" s="81">
        <f t="shared" si="50"/>
        <v>5.0158921914590739E-5</v>
      </c>
      <c r="AH28" s="388">
        <f>[3]東京工場!$I$28</f>
        <v>59534</v>
      </c>
      <c r="AI28" s="171">
        <f t="shared" si="25"/>
        <v>6.7578780803149302E-3</v>
      </c>
      <c r="AJ28" s="362">
        <f>[3]東京工場!$L$28</f>
        <v>75197</v>
      </c>
      <c r="AK28" s="99">
        <f t="shared" si="36"/>
        <v>2.5767141889514789E-3</v>
      </c>
      <c r="AL28" s="547">
        <f t="shared" si="26"/>
        <v>81195</v>
      </c>
      <c r="AM28" s="314">
        <f t="shared" si="51"/>
        <v>3.4429891416446368E-4</v>
      </c>
      <c r="AN28" s="478">
        <f t="shared" si="27"/>
        <v>111094</v>
      </c>
      <c r="AO28" s="123">
        <f t="shared" si="52"/>
        <v>1.4914977492613723E-4</v>
      </c>
      <c r="AP28" s="527">
        <f t="shared" si="28"/>
        <v>424013</v>
      </c>
      <c r="AQ28" s="284">
        <f t="shared" si="53"/>
        <v>5.9769448030043252E-4</v>
      </c>
      <c r="AR28" s="487">
        <f t="shared" si="29"/>
        <v>1743203</v>
      </c>
      <c r="AS28" s="285">
        <f t="shared" si="54"/>
        <v>7.4250439103358415E-4</v>
      </c>
      <c r="AT28" s="584">
        <f>[3]全社合計!$G$28</f>
        <v>182731</v>
      </c>
      <c r="AU28" s="124">
        <f t="shared" si="30"/>
        <v>2.2975392734641195E-4</v>
      </c>
      <c r="AV28" s="578">
        <f>[3]全社合計!$N$28</f>
        <v>1283801</v>
      </c>
      <c r="AW28" s="125">
        <f t="shared" si="31"/>
        <v>4.7628537544496793E-4</v>
      </c>
      <c r="AX28" s="584">
        <f t="shared" si="32"/>
        <v>241282</v>
      </c>
      <c r="AY28" s="124">
        <f t="shared" si="33"/>
        <v>2.3204218222414368</v>
      </c>
      <c r="AZ28" s="578">
        <f t="shared" si="34"/>
        <v>459402</v>
      </c>
      <c r="BA28" s="125">
        <f t="shared" si="35"/>
        <v>1.3578451800551643</v>
      </c>
      <c r="BB28" s="11"/>
    </row>
    <row r="29" spans="1:54" ht="15.95" customHeight="1">
      <c r="A29" s="37" t="s">
        <v>23</v>
      </c>
      <c r="B29" s="703">
        <f>[3]本部!$I$29</f>
        <v>0</v>
      </c>
      <c r="C29" s="259" t="str">
        <f t="shared" si="38"/>
        <v/>
      </c>
      <c r="D29" s="728">
        <f>[3]本部!$L$29</f>
        <v>0</v>
      </c>
      <c r="E29" s="122" t="str">
        <f t="shared" si="39"/>
        <v/>
      </c>
      <c r="F29" s="352">
        <f>[3]本社営業!$I$29</f>
        <v>14920</v>
      </c>
      <c r="G29" s="9">
        <f t="shared" si="40"/>
        <v>3.3467334041496439E-5</v>
      </c>
      <c r="H29" s="362">
        <f>[3]本社営業!$L$29</f>
        <v>89140</v>
      </c>
      <c r="I29" s="124">
        <f t="shared" si="19"/>
        <v>5.939462876834841E-5</v>
      </c>
      <c r="J29" s="745">
        <f>[3]東大阪!$I$29</f>
        <v>420696</v>
      </c>
      <c r="K29" s="9">
        <f t="shared" si="20"/>
        <v>5.5836710510912747E-2</v>
      </c>
      <c r="L29" s="362">
        <f>[3]東大阪!$L$29</f>
        <v>897892</v>
      </c>
      <c r="M29" s="124">
        <f t="shared" si="37"/>
        <v>3.4811963899605884E-2</v>
      </c>
      <c r="N29" s="403">
        <f>[3]南港工場!$I$29</f>
        <v>3359061</v>
      </c>
      <c r="O29" s="9">
        <f t="shared" si="41"/>
        <v>0.16592067110753667</v>
      </c>
      <c r="P29" s="362">
        <f>[3]南港工場!$L$29</f>
        <v>8017258</v>
      </c>
      <c r="Q29" s="204">
        <f t="shared" si="42"/>
        <v>0.10509759637065383</v>
      </c>
      <c r="R29" s="437">
        <f>[3]南港事務!$I$29</f>
        <v>18979</v>
      </c>
      <c r="S29" s="9" t="str">
        <f t="shared" si="43"/>
        <v/>
      </c>
      <c r="T29" s="362">
        <f>[3]南港事務!$L$29</f>
        <v>18979</v>
      </c>
      <c r="U29" s="204" t="str">
        <f t="shared" si="44"/>
        <v/>
      </c>
      <c r="V29" s="456">
        <f t="shared" si="21"/>
        <v>3378040</v>
      </c>
      <c r="W29" s="171">
        <f t="shared" si="45"/>
        <v>0.16685813798204413</v>
      </c>
      <c r="X29" s="426">
        <f t="shared" si="22"/>
        <v>8036237</v>
      </c>
      <c r="Y29" s="225">
        <f t="shared" si="46"/>
        <v>0.10534639056955808</v>
      </c>
      <c r="Z29" s="460">
        <f t="shared" si="23"/>
        <v>3813656</v>
      </c>
      <c r="AA29" s="189">
        <f t="shared" si="47"/>
        <v>8.0527003575854503E-3</v>
      </c>
      <c r="AB29" s="564">
        <f t="shared" si="24"/>
        <v>9023269</v>
      </c>
      <c r="AC29" s="123">
        <f t="shared" si="48"/>
        <v>5.6293902698441424E-3</v>
      </c>
      <c r="AD29" s="352">
        <f>[3]東京事務!$I$29</f>
        <v>0</v>
      </c>
      <c r="AE29" s="9">
        <f t="shared" si="49"/>
        <v>0</v>
      </c>
      <c r="AF29" s="362">
        <f>[3]東京事務!$L$29</f>
        <v>15800</v>
      </c>
      <c r="AG29" s="81">
        <f t="shared" si="50"/>
        <v>2.2077359284913326E-5</v>
      </c>
      <c r="AH29" s="388">
        <f>[3]東京工場!$I$29</f>
        <v>463109</v>
      </c>
      <c r="AI29" s="171">
        <f t="shared" si="25"/>
        <v>5.256885409844067E-2</v>
      </c>
      <c r="AJ29" s="362">
        <f>[3]東京工場!$L$29</f>
        <v>2219924</v>
      </c>
      <c r="AK29" s="99">
        <f t="shared" si="36"/>
        <v>7.606832279471154E-2</v>
      </c>
      <c r="AL29" s="547">
        <f t="shared" si="26"/>
        <v>463109</v>
      </c>
      <c r="AM29" s="314">
        <f t="shared" si="51"/>
        <v>1.9637653284043429E-3</v>
      </c>
      <c r="AN29" s="478">
        <f t="shared" si="27"/>
        <v>2235724</v>
      </c>
      <c r="AO29" s="123">
        <f t="shared" si="52"/>
        <v>3.0015818261738998E-3</v>
      </c>
      <c r="AP29" s="527">
        <f t="shared" si="28"/>
        <v>4276765</v>
      </c>
      <c r="AQ29" s="284">
        <f t="shared" si="53"/>
        <v>6.0285859962833201E-3</v>
      </c>
      <c r="AR29" s="487">
        <f t="shared" si="29"/>
        <v>11258993</v>
      </c>
      <c r="AS29" s="285">
        <f t="shared" si="54"/>
        <v>4.7956845766766046E-3</v>
      </c>
      <c r="AT29" s="584">
        <f>[3]全社合計!$G$29</f>
        <v>4915338</v>
      </c>
      <c r="AU29" s="124">
        <f t="shared" si="30"/>
        <v>6.1802223472484574E-3</v>
      </c>
      <c r="AV29" s="578">
        <f>[3]全社合計!$N$29</f>
        <v>10577895</v>
      </c>
      <c r="AW29" s="125">
        <f t="shared" si="31"/>
        <v>3.9243595319620791E-3</v>
      </c>
      <c r="AX29" s="584">
        <f t="shared" si="32"/>
        <v>-638573</v>
      </c>
      <c r="AY29" s="124">
        <f t="shared" si="33"/>
        <v>0.87008563805785077</v>
      </c>
      <c r="AZ29" s="578">
        <f t="shared" si="34"/>
        <v>681098</v>
      </c>
      <c r="BA29" s="125">
        <f t="shared" si="35"/>
        <v>1.0643888032543336</v>
      </c>
      <c r="BB29" s="11"/>
    </row>
    <row r="30" spans="1:54" ht="15.95" customHeight="1">
      <c r="A30" s="37" t="s">
        <v>24</v>
      </c>
      <c r="B30" s="703">
        <f>[3]本部!$I$30</f>
        <v>23133</v>
      </c>
      <c r="C30" s="259" t="str">
        <f t="shared" si="38"/>
        <v/>
      </c>
      <c r="D30" s="728">
        <f>[3]本部!$L$30</f>
        <v>56604</v>
      </c>
      <c r="E30" s="122" t="str">
        <f t="shared" si="39"/>
        <v/>
      </c>
      <c r="F30" s="352">
        <f>[3]本社営業!$I$30</f>
        <v>46265</v>
      </c>
      <c r="G30" s="9">
        <f t="shared" si="40"/>
        <v>1.0377789607438557E-4</v>
      </c>
      <c r="H30" s="362">
        <f>[3]本社営業!$L$30</f>
        <v>113208</v>
      </c>
      <c r="I30" s="124">
        <f t="shared" si="19"/>
        <v>7.5431311797253614E-5</v>
      </c>
      <c r="J30" s="745">
        <f>[3]東大阪!$I$30</f>
        <v>505648</v>
      </c>
      <c r="K30" s="9">
        <f t="shared" si="20"/>
        <v>6.7111931172205125E-2</v>
      </c>
      <c r="L30" s="362">
        <f>[3]東大阪!$L$30</f>
        <v>1372462</v>
      </c>
      <c r="M30" s="124">
        <f t="shared" si="37"/>
        <v>5.3211408050835615E-2</v>
      </c>
      <c r="N30" s="403">
        <f>[3]南港工場!$I$30</f>
        <v>643321</v>
      </c>
      <c r="O30" s="9">
        <f t="shared" si="41"/>
        <v>3.1776812644239448E-2</v>
      </c>
      <c r="P30" s="362">
        <f>[3]南港工場!$L$30</f>
        <v>1786226</v>
      </c>
      <c r="Q30" s="204">
        <f t="shared" si="42"/>
        <v>2.3415494321720406E-2</v>
      </c>
      <c r="R30" s="437">
        <f>[3]南港事務!$I$30</f>
        <v>25817</v>
      </c>
      <c r="S30" s="9" t="str">
        <f t="shared" si="43"/>
        <v/>
      </c>
      <c r="T30" s="362">
        <f>[3]南港事務!$L$30</f>
        <v>72272</v>
      </c>
      <c r="U30" s="204" t="str">
        <f t="shared" si="44"/>
        <v/>
      </c>
      <c r="V30" s="456">
        <f t="shared" si="21"/>
        <v>669138</v>
      </c>
      <c r="W30" s="171">
        <f t="shared" si="45"/>
        <v>3.3052042229526311E-2</v>
      </c>
      <c r="X30" s="426">
        <f t="shared" si="22"/>
        <v>1858498</v>
      </c>
      <c r="Y30" s="225">
        <f t="shared" si="46"/>
        <v>2.4362902211662318E-2</v>
      </c>
      <c r="Z30" s="460">
        <f t="shared" si="23"/>
        <v>1221051</v>
      </c>
      <c r="AA30" s="189">
        <f t="shared" si="47"/>
        <v>2.5783022444420974E-3</v>
      </c>
      <c r="AB30" s="564">
        <f t="shared" si="24"/>
        <v>3344168</v>
      </c>
      <c r="AC30" s="123">
        <f t="shared" si="48"/>
        <v>2.0863421892801984E-3</v>
      </c>
      <c r="AD30" s="352">
        <f>[3]東京事務!$I$30</f>
        <v>53924</v>
      </c>
      <c r="AE30" s="9">
        <f t="shared" si="49"/>
        <v>2.3753236138354241E-4</v>
      </c>
      <c r="AF30" s="362">
        <f>[3]東京事務!$L$30</f>
        <v>161356</v>
      </c>
      <c r="AG30" s="81">
        <f t="shared" si="50"/>
        <v>2.254629357453465E-4</v>
      </c>
      <c r="AH30" s="388">
        <f>[3]東京工場!$I$30</f>
        <v>331855</v>
      </c>
      <c r="AI30" s="171">
        <f t="shared" si="25"/>
        <v>3.7669829514947947E-2</v>
      </c>
      <c r="AJ30" s="362">
        <f>[3]東京工場!$L$30</f>
        <v>800531</v>
      </c>
      <c r="AK30" s="99">
        <f t="shared" si="36"/>
        <v>2.7431142018903898E-2</v>
      </c>
      <c r="AL30" s="547">
        <f t="shared" si="26"/>
        <v>385779</v>
      </c>
      <c r="AM30" s="314">
        <f t="shared" si="51"/>
        <v>1.6358555429207789E-3</v>
      </c>
      <c r="AN30" s="478">
        <f t="shared" si="27"/>
        <v>961887</v>
      </c>
      <c r="AO30" s="123">
        <f t="shared" si="52"/>
        <v>1.2913859394240675E-3</v>
      </c>
      <c r="AP30" s="527">
        <f t="shared" si="28"/>
        <v>1629963</v>
      </c>
      <c r="AQ30" s="284">
        <f t="shared" si="53"/>
        <v>2.2976179697177536E-3</v>
      </c>
      <c r="AR30" s="487">
        <f t="shared" si="29"/>
        <v>4362659</v>
      </c>
      <c r="AS30" s="285">
        <f t="shared" si="54"/>
        <v>1.85824224951551E-3</v>
      </c>
      <c r="AT30" s="584">
        <f>[3]全社合計!$G$30</f>
        <v>1740167</v>
      </c>
      <c r="AU30" s="124">
        <f t="shared" si="30"/>
        <v>2.1879714032573762E-3</v>
      </c>
      <c r="AV30" s="578">
        <f>[3]全社合計!$N$30</f>
        <v>4522875</v>
      </c>
      <c r="AW30" s="125">
        <f t="shared" si="31"/>
        <v>1.6779697300949754E-3</v>
      </c>
      <c r="AX30" s="584">
        <f t="shared" si="32"/>
        <v>-110204</v>
      </c>
      <c r="AY30" s="124">
        <f t="shared" si="33"/>
        <v>0.93667044599742444</v>
      </c>
      <c r="AZ30" s="578">
        <f t="shared" si="34"/>
        <v>-160216</v>
      </c>
      <c r="BA30" s="125">
        <f t="shared" si="35"/>
        <v>0.96457651383246279</v>
      </c>
      <c r="BB30" s="11"/>
    </row>
    <row r="31" spans="1:54" ht="15.95" customHeight="1">
      <c r="A31" s="37" t="s">
        <v>25</v>
      </c>
      <c r="B31" s="703">
        <f>[3]本部!$I$31</f>
        <v>108502</v>
      </c>
      <c r="C31" s="259" t="str">
        <f t="shared" si="38"/>
        <v/>
      </c>
      <c r="D31" s="728">
        <f>[3]本部!$L$31</f>
        <v>431635</v>
      </c>
      <c r="E31" s="122" t="str">
        <f t="shared" si="39"/>
        <v/>
      </c>
      <c r="F31" s="352">
        <f>[3]本社営業!$I$31</f>
        <v>614689</v>
      </c>
      <c r="G31" s="9">
        <f t="shared" si="40"/>
        <v>1.3788205157260994E-3</v>
      </c>
      <c r="H31" s="362">
        <f>[3]本社営業!$L$31</f>
        <v>2274423</v>
      </c>
      <c r="I31" s="124">
        <f t="shared" si="19"/>
        <v>1.5154645473097743E-3</v>
      </c>
      <c r="J31" s="745">
        <f>[3]東大阪!$I$31</f>
        <v>117474</v>
      </c>
      <c r="K31" s="9">
        <f t="shared" si="20"/>
        <v>1.5591690271737702E-2</v>
      </c>
      <c r="L31" s="362">
        <f>[3]東大阪!$L$31</f>
        <v>344020</v>
      </c>
      <c r="M31" s="124">
        <f t="shared" si="37"/>
        <v>1.3337920173854335E-2</v>
      </c>
      <c r="N31" s="403">
        <f>[3]南港工場!$I$31</f>
        <v>265719</v>
      </c>
      <c r="O31" s="9">
        <f t="shared" si="41"/>
        <v>1.3125178377535728E-2</v>
      </c>
      <c r="P31" s="362">
        <f>[3]南港工場!$L$31</f>
        <v>797157</v>
      </c>
      <c r="Q31" s="204">
        <f t="shared" si="42"/>
        <v>1.0449867601871025E-2</v>
      </c>
      <c r="R31" s="437">
        <f>[3]南港事務!$I$31</f>
        <v>135159</v>
      </c>
      <c r="S31" s="9" t="str">
        <f t="shared" si="43"/>
        <v/>
      </c>
      <c r="T31" s="362">
        <f>[3]南港事務!$L$31</f>
        <v>398105</v>
      </c>
      <c r="U31" s="204" t="str">
        <f t="shared" si="44"/>
        <v/>
      </c>
      <c r="V31" s="456">
        <f t="shared" si="21"/>
        <v>400878</v>
      </c>
      <c r="W31" s="171">
        <f t="shared" si="45"/>
        <v>1.9801351268180924E-2</v>
      </c>
      <c r="X31" s="426">
        <f t="shared" si="22"/>
        <v>1195262</v>
      </c>
      <c r="Y31" s="225">
        <f t="shared" si="46"/>
        <v>1.5668594329031251E-2</v>
      </c>
      <c r="Z31" s="460">
        <f t="shared" si="23"/>
        <v>1133041</v>
      </c>
      <c r="AA31" s="189">
        <f t="shared" si="47"/>
        <v>2.3924653051714613E-3</v>
      </c>
      <c r="AB31" s="564">
        <f t="shared" si="24"/>
        <v>3813705</v>
      </c>
      <c r="AC31" s="123">
        <f t="shared" si="48"/>
        <v>2.3792744978627985E-3</v>
      </c>
      <c r="AD31" s="352">
        <f>[3]東京事務!$I$31</f>
        <v>237816</v>
      </c>
      <c r="AE31" s="9">
        <f t="shared" si="49"/>
        <v>1.0475668729098087E-3</v>
      </c>
      <c r="AF31" s="362">
        <f>[3]東京事務!$L$31</f>
        <v>738631</v>
      </c>
      <c r="AG31" s="81">
        <f t="shared" si="50"/>
        <v>1.0320899978465074E-3</v>
      </c>
      <c r="AH31" s="388">
        <f>[3]東京工場!$I$31</f>
        <v>144291</v>
      </c>
      <c r="AI31" s="171">
        <f t="shared" si="25"/>
        <v>1.6378892499860947E-2</v>
      </c>
      <c r="AJ31" s="362">
        <f>[3]東京工場!$L$31</f>
        <v>494001</v>
      </c>
      <c r="AK31" s="99">
        <f t="shared" si="36"/>
        <v>1.6927528838334236E-2</v>
      </c>
      <c r="AL31" s="547">
        <f t="shared" si="26"/>
        <v>382107</v>
      </c>
      <c r="AM31" s="314">
        <f t="shared" si="51"/>
        <v>1.6202848105750444E-3</v>
      </c>
      <c r="AN31" s="478">
        <f t="shared" si="27"/>
        <v>1232632</v>
      </c>
      <c r="AO31" s="123">
        <f t="shared" si="52"/>
        <v>1.6548759191923452E-3</v>
      </c>
      <c r="AP31" s="527">
        <f t="shared" si="28"/>
        <v>1623650</v>
      </c>
      <c r="AQ31" s="284">
        <f t="shared" si="53"/>
        <v>2.2887190792258661E-3</v>
      </c>
      <c r="AR31" s="487">
        <f t="shared" si="29"/>
        <v>5477972</v>
      </c>
      <c r="AS31" s="285">
        <f t="shared" si="54"/>
        <v>2.3333015512014524E-3</v>
      </c>
      <c r="AT31" s="584">
        <f>[3]全社合計!$G$31</f>
        <v>1510622</v>
      </c>
      <c r="AU31" s="124">
        <f t="shared" si="30"/>
        <v>1.899356634812328E-3</v>
      </c>
      <c r="AV31" s="578">
        <f>[3]全社合計!$N$31</f>
        <v>4710411</v>
      </c>
      <c r="AW31" s="125">
        <f t="shared" si="31"/>
        <v>1.74754488556646E-3</v>
      </c>
      <c r="AX31" s="584">
        <f t="shared" si="32"/>
        <v>113028</v>
      </c>
      <c r="AY31" s="124">
        <f t="shared" si="33"/>
        <v>1.0748221593489304</v>
      </c>
      <c r="AZ31" s="578">
        <f t="shared" si="34"/>
        <v>767561</v>
      </c>
      <c r="BA31" s="125">
        <f t="shared" si="35"/>
        <v>1.1629498997008967</v>
      </c>
      <c r="BB31" s="11"/>
    </row>
    <row r="32" spans="1:54" ht="15.95" customHeight="1">
      <c r="A32" s="37" t="s">
        <v>26</v>
      </c>
      <c r="B32" s="703">
        <f>[3]本部!$I$32</f>
        <v>1052480</v>
      </c>
      <c r="C32" s="259" t="str">
        <f t="shared" si="38"/>
        <v/>
      </c>
      <c r="D32" s="728">
        <f>[3]本部!$L$32</f>
        <v>2200620</v>
      </c>
      <c r="E32" s="122" t="str">
        <f t="shared" si="39"/>
        <v/>
      </c>
      <c r="F32" s="352">
        <f>[3]本社営業!$I$32</f>
        <v>1345473</v>
      </c>
      <c r="G32" s="9">
        <f t="shared" si="40"/>
        <v>3.0180559205639636E-3</v>
      </c>
      <c r="H32" s="362">
        <f>[3]本社営業!$L$32</f>
        <v>3771566</v>
      </c>
      <c r="I32" s="124">
        <f t="shared" si="19"/>
        <v>2.5130217909504681E-3</v>
      </c>
      <c r="J32" s="745">
        <f>[3]東大阪!$I$32</f>
        <v>50618</v>
      </c>
      <c r="K32" s="9">
        <f t="shared" si="20"/>
        <v>6.7182540662173674E-3</v>
      </c>
      <c r="L32" s="362">
        <f>[3]東大阪!$L$32</f>
        <v>467718</v>
      </c>
      <c r="M32" s="124">
        <f t="shared" si="37"/>
        <v>1.8133786837610608E-2</v>
      </c>
      <c r="N32" s="403">
        <f>[3]南港工場!$I$32</f>
        <v>221850</v>
      </c>
      <c r="O32" s="9">
        <f t="shared" si="41"/>
        <v>1.0958271042177267E-2</v>
      </c>
      <c r="P32" s="362">
        <f>[3]南港工場!$L$32</f>
        <v>485200</v>
      </c>
      <c r="Q32" s="204">
        <f t="shared" si="42"/>
        <v>6.3604481431234015E-3</v>
      </c>
      <c r="R32" s="437">
        <f>[3]南港事務!$I$32</f>
        <v>0</v>
      </c>
      <c r="S32" s="9" t="str">
        <f t="shared" si="43"/>
        <v/>
      </c>
      <c r="T32" s="362">
        <f>[3]南港事務!$L$32</f>
        <v>150707</v>
      </c>
      <c r="U32" s="204" t="str">
        <f t="shared" si="44"/>
        <v/>
      </c>
      <c r="V32" s="456">
        <f t="shared" si="21"/>
        <v>221850</v>
      </c>
      <c r="W32" s="171">
        <f t="shared" si="45"/>
        <v>1.0958271042177267E-2</v>
      </c>
      <c r="X32" s="426">
        <f t="shared" si="22"/>
        <v>635907</v>
      </c>
      <c r="Y32" s="225">
        <f t="shared" si="46"/>
        <v>8.3360541989884029E-3</v>
      </c>
      <c r="Z32" s="460">
        <f t="shared" si="23"/>
        <v>1617941</v>
      </c>
      <c r="AA32" s="189">
        <f t="shared" si="47"/>
        <v>3.4163527253774748E-3</v>
      </c>
      <c r="AB32" s="564">
        <f t="shared" si="24"/>
        <v>4875191</v>
      </c>
      <c r="AC32" s="123">
        <f t="shared" si="48"/>
        <v>3.0415088787701817E-3</v>
      </c>
      <c r="AD32" s="352">
        <f>[3]東京事務!$I$32</f>
        <v>84500</v>
      </c>
      <c r="AE32" s="9">
        <f t="shared" si="49"/>
        <v>3.7221802049012187E-4</v>
      </c>
      <c r="AF32" s="362">
        <f>[3]東京事務!$L$32</f>
        <v>242000</v>
      </c>
      <c r="AG32" s="81">
        <f t="shared" si="50"/>
        <v>3.3814689537652059E-4</v>
      </c>
      <c r="AH32" s="388">
        <f>[3]東京工場!$I$32</f>
        <v>92500</v>
      </c>
      <c r="AI32" s="171">
        <f t="shared" si="25"/>
        <v>1.0499944946234607E-2</v>
      </c>
      <c r="AJ32" s="362">
        <f>[3]東京工場!$L$32</f>
        <v>203826</v>
      </c>
      <c r="AK32" s="99">
        <f t="shared" si="36"/>
        <v>6.9843390863628093E-3</v>
      </c>
      <c r="AL32" s="547">
        <f t="shared" si="26"/>
        <v>177000</v>
      </c>
      <c r="AM32" s="314">
        <f t="shared" si="51"/>
        <v>7.5055000686138397E-4</v>
      </c>
      <c r="AN32" s="478">
        <f t="shared" si="27"/>
        <v>445826</v>
      </c>
      <c r="AO32" s="123">
        <f t="shared" si="52"/>
        <v>5.9854580405980574E-4</v>
      </c>
      <c r="AP32" s="527">
        <f t="shared" si="28"/>
        <v>2847421</v>
      </c>
      <c r="AQ32" s="284">
        <f t="shared" si="53"/>
        <v>4.013763292143255E-3</v>
      </c>
      <c r="AR32" s="487">
        <f t="shared" si="29"/>
        <v>7521637</v>
      </c>
      <c r="AS32" s="285">
        <f t="shared" si="54"/>
        <v>3.2037855030427752E-3</v>
      </c>
      <c r="AT32" s="584">
        <f>[3]全社合計!$G$32</f>
        <v>2889325</v>
      </c>
      <c r="AU32" s="124">
        <f t="shared" si="30"/>
        <v>3.6328470053257067E-3</v>
      </c>
      <c r="AV32" s="578">
        <f>[3]全社合計!$N$32</f>
        <v>8339765</v>
      </c>
      <c r="AW32" s="125">
        <f t="shared" si="31"/>
        <v>3.0940216623509434E-3</v>
      </c>
      <c r="AX32" s="584">
        <f t="shared" si="32"/>
        <v>-41904</v>
      </c>
      <c r="AY32" s="124">
        <f t="shared" si="33"/>
        <v>0.98549695863220643</v>
      </c>
      <c r="AZ32" s="578">
        <f t="shared" si="34"/>
        <v>-818128</v>
      </c>
      <c r="BA32" s="125">
        <f t="shared" si="35"/>
        <v>0.90190035330731744</v>
      </c>
      <c r="BB32" s="11"/>
    </row>
    <row r="33" spans="1:54" ht="15.95" customHeight="1">
      <c r="A33" s="37" t="s">
        <v>27</v>
      </c>
      <c r="B33" s="703">
        <f>[3]本部!$I$33</f>
        <v>536339</v>
      </c>
      <c r="C33" s="259" t="str">
        <f t="shared" si="38"/>
        <v/>
      </c>
      <c r="D33" s="728">
        <f>[3]本部!$L$33</f>
        <v>905924</v>
      </c>
      <c r="E33" s="122" t="str">
        <f t="shared" si="39"/>
        <v/>
      </c>
      <c r="F33" s="352">
        <f>[3]本社営業!$I$33</f>
        <v>55000</v>
      </c>
      <c r="G33" s="9">
        <f t="shared" si="40"/>
        <v>1.2337153969720538E-4</v>
      </c>
      <c r="H33" s="362">
        <f>[3]本社営業!$L$33</f>
        <v>165000</v>
      </c>
      <c r="I33" s="124">
        <f t="shared" si="19"/>
        <v>1.0994069718170841E-4</v>
      </c>
      <c r="J33" s="745">
        <f>[3]東大阪!$I$33</f>
        <v>440000</v>
      </c>
      <c r="K33" s="9">
        <f t="shared" si="20"/>
        <v>5.8398826289771257E-2</v>
      </c>
      <c r="L33" s="362">
        <f>[3]東大阪!$L$33</f>
        <v>2559000</v>
      </c>
      <c r="M33" s="124">
        <f t="shared" si="37"/>
        <v>9.9214399525880015E-2</v>
      </c>
      <c r="N33" s="403">
        <f>[3]南港工場!$I$33</f>
        <v>525000</v>
      </c>
      <c r="O33" s="9">
        <f t="shared" si="41"/>
        <v>2.5932352026788664E-2</v>
      </c>
      <c r="P33" s="362">
        <f>[3]南港工場!$L$33</f>
        <v>1575000</v>
      </c>
      <c r="Q33" s="204">
        <f t="shared" si="42"/>
        <v>2.0646549516527942E-2</v>
      </c>
      <c r="R33" s="437">
        <f>[3]南港事務!$I$33</f>
        <v>20000</v>
      </c>
      <c r="S33" s="9" t="str">
        <f t="shared" si="43"/>
        <v/>
      </c>
      <c r="T33" s="362">
        <f>[3]南港事務!$L$33</f>
        <v>60000</v>
      </c>
      <c r="U33" s="204" t="str">
        <f t="shared" si="44"/>
        <v/>
      </c>
      <c r="V33" s="456">
        <f t="shared" si="21"/>
        <v>545000</v>
      </c>
      <c r="W33" s="171">
        <f t="shared" si="45"/>
        <v>2.6920251151618706E-2</v>
      </c>
      <c r="X33" s="426">
        <f t="shared" si="22"/>
        <v>1635000</v>
      </c>
      <c r="Y33" s="225">
        <f t="shared" si="46"/>
        <v>2.1433084736205199E-2</v>
      </c>
      <c r="Z33" s="460">
        <f t="shared" si="23"/>
        <v>1040000</v>
      </c>
      <c r="AA33" s="189">
        <f t="shared" si="47"/>
        <v>2.1960051907903774E-3</v>
      </c>
      <c r="AB33" s="564">
        <f t="shared" si="24"/>
        <v>4359000</v>
      </c>
      <c r="AC33" s="123">
        <f t="shared" si="48"/>
        <v>2.7194703146111035E-3</v>
      </c>
      <c r="AD33" s="352">
        <f>[3]東京事務!$I$33</f>
        <v>55449</v>
      </c>
      <c r="AE33" s="9">
        <f t="shared" si="49"/>
        <v>2.4424990554031676E-4</v>
      </c>
      <c r="AF33" s="362">
        <f>[3]東京事務!$L$33</f>
        <v>925449</v>
      </c>
      <c r="AG33" s="81">
        <f t="shared" si="50"/>
        <v>1.2931310172698577E-3</v>
      </c>
      <c r="AH33" s="388">
        <f>[3]東京工場!$I$33</f>
        <v>325000</v>
      </c>
      <c r="AI33" s="171">
        <f t="shared" si="25"/>
        <v>3.6891698459743209E-2</v>
      </c>
      <c r="AJ33" s="362">
        <f>[3]東京工場!$L$33</f>
        <v>975000</v>
      </c>
      <c r="AK33" s="99">
        <f t="shared" si="36"/>
        <v>3.3409528760824134E-2</v>
      </c>
      <c r="AL33" s="547">
        <f t="shared" si="26"/>
        <v>380449</v>
      </c>
      <c r="AM33" s="314">
        <f t="shared" si="51"/>
        <v>1.6132542348045575E-3</v>
      </c>
      <c r="AN33" s="478">
        <f t="shared" si="27"/>
        <v>1900449</v>
      </c>
      <c r="AO33" s="123">
        <f t="shared" si="52"/>
        <v>2.551456789823056E-3</v>
      </c>
      <c r="AP33" s="527">
        <f t="shared" si="28"/>
        <v>1956788</v>
      </c>
      <c r="AQ33" s="284">
        <f t="shared" si="53"/>
        <v>2.7583149260001997E-3</v>
      </c>
      <c r="AR33" s="487">
        <f t="shared" si="29"/>
        <v>7165373</v>
      </c>
      <c r="AS33" s="285">
        <f t="shared" si="54"/>
        <v>3.052037494137795E-3</v>
      </c>
      <c r="AT33" s="584">
        <f>[3]全社合計!$G$33</f>
        <v>1929371</v>
      </c>
      <c r="AU33" s="124">
        <f t="shared" si="30"/>
        <v>2.4258640545844665E-3</v>
      </c>
      <c r="AV33" s="578">
        <f>[3]全社合計!$N$33</f>
        <v>7099220</v>
      </c>
      <c r="AW33" s="125">
        <f t="shared" si="31"/>
        <v>2.6337841013260041E-3</v>
      </c>
      <c r="AX33" s="584">
        <f t="shared" si="32"/>
        <v>27417</v>
      </c>
      <c r="AY33" s="124">
        <f t="shared" si="33"/>
        <v>1.0142103307243655</v>
      </c>
      <c r="AZ33" s="578">
        <f t="shared" si="34"/>
        <v>66153</v>
      </c>
      <c r="BA33" s="125">
        <f t="shared" si="35"/>
        <v>1.00931834764946</v>
      </c>
      <c r="BB33" s="11"/>
    </row>
    <row r="34" spans="1:54" ht="15.95" customHeight="1">
      <c r="A34" s="37" t="s">
        <v>28</v>
      </c>
      <c r="B34" s="703">
        <f>[3]本部!$I$34</f>
        <v>100500</v>
      </c>
      <c r="C34" s="259" t="str">
        <f t="shared" si="38"/>
        <v/>
      </c>
      <c r="D34" s="728">
        <f>[3]本部!$L$34</f>
        <v>543800</v>
      </c>
      <c r="E34" s="122" t="str">
        <f t="shared" si="39"/>
        <v/>
      </c>
      <c r="F34" s="352">
        <f>[3]本社営業!$I$34</f>
        <v>439552</v>
      </c>
      <c r="G34" s="9">
        <f t="shared" si="40"/>
        <v>9.8596740030883656E-4</v>
      </c>
      <c r="H34" s="362">
        <f>[3]本社営業!$L$34</f>
        <v>1479923</v>
      </c>
      <c r="I34" s="124">
        <f t="shared" si="19"/>
        <v>9.8608343269845737E-4</v>
      </c>
      <c r="J34" s="745">
        <f>[3]東大阪!$I$34</f>
        <v>0</v>
      </c>
      <c r="K34" s="9">
        <f t="shared" si="20"/>
        <v>0</v>
      </c>
      <c r="L34" s="362">
        <f>[3]東大阪!$L$34</f>
        <v>0</v>
      </c>
      <c r="M34" s="124">
        <f t="shared" si="37"/>
        <v>0</v>
      </c>
      <c r="N34" s="403">
        <f>[3]南港工場!$I$34</f>
        <v>0</v>
      </c>
      <c r="O34" s="9">
        <f t="shared" si="41"/>
        <v>0</v>
      </c>
      <c r="P34" s="362">
        <f>[3]南港工場!$L$34</f>
        <v>0</v>
      </c>
      <c r="Q34" s="204">
        <f t="shared" si="42"/>
        <v>0</v>
      </c>
      <c r="R34" s="437">
        <f>[3]南港事務!$I$34</f>
        <v>24400</v>
      </c>
      <c r="S34" s="9" t="str">
        <f t="shared" si="43"/>
        <v/>
      </c>
      <c r="T34" s="362">
        <f>[3]南港事務!$L$34</f>
        <v>76300</v>
      </c>
      <c r="U34" s="204" t="str">
        <f t="shared" si="44"/>
        <v/>
      </c>
      <c r="V34" s="456">
        <f t="shared" si="21"/>
        <v>24400</v>
      </c>
      <c r="W34" s="171">
        <f t="shared" si="45"/>
        <v>1.205236932292654E-3</v>
      </c>
      <c r="X34" s="426">
        <f t="shared" si="22"/>
        <v>76300</v>
      </c>
      <c r="Y34" s="225">
        <f t="shared" si="46"/>
        <v>1.0002106210229092E-3</v>
      </c>
      <c r="Z34" s="460">
        <f t="shared" si="23"/>
        <v>463952</v>
      </c>
      <c r="AA34" s="189">
        <f t="shared" si="47"/>
        <v>9.7965480795920881E-4</v>
      </c>
      <c r="AB34" s="564">
        <f t="shared" si="24"/>
        <v>1556223</v>
      </c>
      <c r="AC34" s="123">
        <f t="shared" si="48"/>
        <v>9.7088833480500928E-4</v>
      </c>
      <c r="AD34" s="352">
        <f>[3]東京事務!$I$34</f>
        <v>445027</v>
      </c>
      <c r="AE34" s="9">
        <f t="shared" si="49"/>
        <v>1.9603203432503845E-3</v>
      </c>
      <c r="AF34" s="362">
        <f>[3]東京事務!$L$34</f>
        <v>1521736</v>
      </c>
      <c r="AG34" s="81">
        <f t="shared" si="50"/>
        <v>2.1263235701763838E-3</v>
      </c>
      <c r="AH34" s="388">
        <f>[3]東京工場!$I$34</f>
        <v>0</v>
      </c>
      <c r="AI34" s="171">
        <f t="shared" si="25"/>
        <v>0</v>
      </c>
      <c r="AJ34" s="362">
        <f>[3]東京工場!$L$34</f>
        <v>0</v>
      </c>
      <c r="AK34" s="99">
        <f t="shared" si="36"/>
        <v>0</v>
      </c>
      <c r="AL34" s="547">
        <f t="shared" si="26"/>
        <v>445027</v>
      </c>
      <c r="AM34" s="314">
        <f t="shared" si="51"/>
        <v>1.88709049662995E-3</v>
      </c>
      <c r="AN34" s="478">
        <f t="shared" si="27"/>
        <v>1521736</v>
      </c>
      <c r="AO34" s="123">
        <f t="shared" si="52"/>
        <v>2.0430138612076293E-3</v>
      </c>
      <c r="AP34" s="527">
        <f t="shared" si="28"/>
        <v>1009479</v>
      </c>
      <c r="AQ34" s="284">
        <f t="shared" si="53"/>
        <v>1.4229753009440756E-3</v>
      </c>
      <c r="AR34" s="487">
        <f t="shared" si="29"/>
        <v>3621759</v>
      </c>
      <c r="AS34" s="285">
        <f t="shared" si="54"/>
        <v>1.5426613886996539E-3</v>
      </c>
      <c r="AT34" s="584">
        <f>[3]全社合計!$G$34</f>
        <v>871182</v>
      </c>
      <c r="AU34" s="124">
        <f t="shared" si="30"/>
        <v>1.0953668831971688E-3</v>
      </c>
      <c r="AV34" s="578">
        <f>[3]全社合計!$N$34</f>
        <v>3165494</v>
      </c>
      <c r="AW34" s="125">
        <f t="shared" si="31"/>
        <v>1.1743864495033058E-3</v>
      </c>
      <c r="AX34" s="584">
        <f t="shared" si="32"/>
        <v>138297</v>
      </c>
      <c r="AY34" s="124">
        <f t="shared" si="33"/>
        <v>1.1587463928318078</v>
      </c>
      <c r="AZ34" s="578">
        <f t="shared" si="34"/>
        <v>456265</v>
      </c>
      <c r="BA34" s="125">
        <f t="shared" si="35"/>
        <v>1.1441370604398555</v>
      </c>
      <c r="BB34" s="11"/>
    </row>
    <row r="35" spans="1:54" ht="15.95" customHeight="1">
      <c r="A35" s="37" t="s">
        <v>29</v>
      </c>
      <c r="B35" s="703">
        <f>[3]本部!$I$35</f>
        <v>221520</v>
      </c>
      <c r="C35" s="259" t="str">
        <f t="shared" si="38"/>
        <v/>
      </c>
      <c r="D35" s="728">
        <f>[3]本部!$L$35</f>
        <v>-244360</v>
      </c>
      <c r="E35" s="122" t="str">
        <f t="shared" si="39"/>
        <v/>
      </c>
      <c r="F35" s="352">
        <f>[3]本社営業!$I$35</f>
        <v>0</v>
      </c>
      <c r="G35" s="9">
        <f t="shared" si="40"/>
        <v>0</v>
      </c>
      <c r="H35" s="362">
        <f>[3]本社営業!$L$35</f>
        <v>0</v>
      </c>
      <c r="I35" s="124">
        <f t="shared" si="19"/>
        <v>0</v>
      </c>
      <c r="J35" s="745">
        <f>[3]東大阪!$I$35</f>
        <v>3300</v>
      </c>
      <c r="K35" s="9">
        <f t="shared" si="20"/>
        <v>4.3799119717328447E-4</v>
      </c>
      <c r="L35" s="362">
        <f>[3]東大阪!$L$35</f>
        <v>3300</v>
      </c>
      <c r="M35" s="124">
        <f t="shared" si="37"/>
        <v>1.2794353983407739E-4</v>
      </c>
      <c r="N35" s="403">
        <f>[3]南港工場!$I$35</f>
        <v>0</v>
      </c>
      <c r="O35" s="9">
        <f t="shared" si="41"/>
        <v>0</v>
      </c>
      <c r="P35" s="362">
        <f>[3]南港工場!$L$35</f>
        <v>0</v>
      </c>
      <c r="Q35" s="204">
        <f t="shared" si="42"/>
        <v>0</v>
      </c>
      <c r="R35" s="437">
        <f>[3]南港事務!$I$35</f>
        <v>0</v>
      </c>
      <c r="S35" s="9" t="str">
        <f t="shared" si="43"/>
        <v/>
      </c>
      <c r="T35" s="362">
        <f>[3]南港事務!$L$35</f>
        <v>0</v>
      </c>
      <c r="U35" s="204" t="str">
        <f t="shared" si="44"/>
        <v/>
      </c>
      <c r="V35" s="456">
        <f t="shared" si="21"/>
        <v>0</v>
      </c>
      <c r="W35" s="171">
        <f t="shared" si="45"/>
        <v>0</v>
      </c>
      <c r="X35" s="426">
        <f t="shared" si="22"/>
        <v>0</v>
      </c>
      <c r="Y35" s="225">
        <f t="shared" si="46"/>
        <v>0</v>
      </c>
      <c r="Z35" s="460">
        <f t="shared" si="23"/>
        <v>3300</v>
      </c>
      <c r="AA35" s="189">
        <f t="shared" si="47"/>
        <v>6.9680933938540823E-6</v>
      </c>
      <c r="AB35" s="564">
        <f t="shared" si="24"/>
        <v>3300</v>
      </c>
      <c r="AC35" s="123">
        <f t="shared" si="48"/>
        <v>2.0587868864915444E-6</v>
      </c>
      <c r="AD35" s="352">
        <f>[3]東京事務!$I$35</f>
        <v>0</v>
      </c>
      <c r="AE35" s="9">
        <f t="shared" si="49"/>
        <v>0</v>
      </c>
      <c r="AF35" s="362">
        <f>[3]東京事務!$L$35</f>
        <v>0</v>
      </c>
      <c r="AG35" s="81">
        <f t="shared" si="50"/>
        <v>0</v>
      </c>
      <c r="AH35" s="388">
        <f>[3]東京工場!$I$35</f>
        <v>0</v>
      </c>
      <c r="AI35" s="171">
        <f t="shared" si="25"/>
        <v>0</v>
      </c>
      <c r="AJ35" s="362">
        <f>[3]東京工場!$L$35</f>
        <v>0</v>
      </c>
      <c r="AK35" s="99">
        <f t="shared" si="36"/>
        <v>0</v>
      </c>
      <c r="AL35" s="547">
        <f t="shared" si="26"/>
        <v>0</v>
      </c>
      <c r="AM35" s="314">
        <f t="shared" si="51"/>
        <v>0</v>
      </c>
      <c r="AN35" s="478">
        <f t="shared" si="27"/>
        <v>0</v>
      </c>
      <c r="AO35" s="123">
        <f t="shared" si="52"/>
        <v>0</v>
      </c>
      <c r="AP35" s="527">
        <f t="shared" si="28"/>
        <v>224820</v>
      </c>
      <c r="AQ35" s="284">
        <f t="shared" si="53"/>
        <v>3.1690932367909295E-4</v>
      </c>
      <c r="AR35" s="487">
        <f t="shared" si="29"/>
        <v>-241060</v>
      </c>
      <c r="AS35" s="285">
        <f t="shared" si="54"/>
        <v>-1.0267771940649242E-4</v>
      </c>
      <c r="AT35" s="584">
        <f>[3]全社合計!$G$35</f>
        <v>-663193</v>
      </c>
      <c r="AU35" s="124">
        <f t="shared" si="30"/>
        <v>-8.3385520978185952E-4</v>
      </c>
      <c r="AV35" s="578">
        <f>[3]全社合計!$N$35</f>
        <v>-174513</v>
      </c>
      <c r="AW35" s="125">
        <f t="shared" si="31"/>
        <v>-6.4743671118053098E-5</v>
      </c>
      <c r="AX35" s="584">
        <f t="shared" si="32"/>
        <v>888013</v>
      </c>
      <c r="AY35" s="124">
        <f t="shared" si="33"/>
        <v>-0.33899634043181998</v>
      </c>
      <c r="AZ35" s="578">
        <f t="shared" si="34"/>
        <v>-66547</v>
      </c>
      <c r="BA35" s="125">
        <f t="shared" si="35"/>
        <v>1.3813297576684831</v>
      </c>
      <c r="BB35" s="11"/>
    </row>
    <row r="36" spans="1:54" ht="15.95" customHeight="1">
      <c r="A36" s="37" t="s">
        <v>30</v>
      </c>
      <c r="B36" s="703">
        <f>[3]本部!$I$36</f>
        <v>56392</v>
      </c>
      <c r="C36" s="259" t="str">
        <f t="shared" si="38"/>
        <v/>
      </c>
      <c r="D36" s="728">
        <f>[3]本部!$L$36</f>
        <v>200503</v>
      </c>
      <c r="E36" s="122" t="str">
        <f t="shared" si="39"/>
        <v/>
      </c>
      <c r="F36" s="352">
        <f>[3]本社営業!$I$36</f>
        <v>98258</v>
      </c>
      <c r="G36" s="9">
        <f t="shared" si="40"/>
        <v>2.204043772285092E-4</v>
      </c>
      <c r="H36" s="362">
        <f>[3]本社営業!$L$36</f>
        <v>166584</v>
      </c>
      <c r="I36" s="124">
        <f t="shared" si="19"/>
        <v>1.1099612787465281E-4</v>
      </c>
      <c r="J36" s="745">
        <f>[3]東大阪!$I$36</f>
        <v>24970</v>
      </c>
      <c r="K36" s="9">
        <f t="shared" si="20"/>
        <v>3.3141333919445189E-3</v>
      </c>
      <c r="L36" s="362">
        <f>[3]東大阪!$L$36</f>
        <v>75006</v>
      </c>
      <c r="M36" s="124">
        <f t="shared" si="37"/>
        <v>2.9080403481196392E-3</v>
      </c>
      <c r="N36" s="403">
        <f>[3]南港工場!$I$36</f>
        <v>9888</v>
      </c>
      <c r="O36" s="9">
        <f t="shared" si="41"/>
        <v>4.8841732731597391E-4</v>
      </c>
      <c r="P36" s="362">
        <f>[3]南港工場!$L$36</f>
        <v>29664</v>
      </c>
      <c r="Q36" s="204">
        <f t="shared" si="42"/>
        <v>3.8886301260843484E-4</v>
      </c>
      <c r="R36" s="437">
        <f>[3]南港事務!$I$36</f>
        <v>32351</v>
      </c>
      <c r="S36" s="9" t="str">
        <f t="shared" si="43"/>
        <v/>
      </c>
      <c r="T36" s="362">
        <f>[3]南港事務!$L$36</f>
        <v>98596</v>
      </c>
      <c r="U36" s="204" t="str">
        <f t="shared" si="44"/>
        <v/>
      </c>
      <c r="V36" s="456">
        <f t="shared" si="21"/>
        <v>42239</v>
      </c>
      <c r="W36" s="171">
        <f t="shared" si="45"/>
        <v>2.0863935566848122E-3</v>
      </c>
      <c r="X36" s="426">
        <f t="shared" si="22"/>
        <v>128260</v>
      </c>
      <c r="Y36" s="225">
        <f t="shared" si="46"/>
        <v>1.6813501212634121E-3</v>
      </c>
      <c r="Z36" s="460">
        <f t="shared" si="23"/>
        <v>165467</v>
      </c>
      <c r="AA36" s="189">
        <f t="shared" si="47"/>
        <v>3.4939076048510711E-4</v>
      </c>
      <c r="AB36" s="564">
        <f t="shared" si="24"/>
        <v>369850</v>
      </c>
      <c r="AC36" s="123">
        <f t="shared" si="48"/>
        <v>2.3074009999057507E-4</v>
      </c>
      <c r="AD36" s="352">
        <f>[3]東京事務!$I$36</f>
        <v>34517</v>
      </c>
      <c r="AE36" s="9">
        <f t="shared" si="49"/>
        <v>1.5204555518647973E-4</v>
      </c>
      <c r="AF36" s="362">
        <f>[3]東京事務!$L$36</f>
        <v>82404</v>
      </c>
      <c r="AG36" s="81">
        <f t="shared" si="50"/>
        <v>1.1514320977936695E-4</v>
      </c>
      <c r="AH36" s="388">
        <f>[3]東京工場!$I$36</f>
        <v>3004</v>
      </c>
      <c r="AI36" s="171">
        <f t="shared" si="25"/>
        <v>3.4099280668636493E-4</v>
      </c>
      <c r="AJ36" s="362">
        <f>[3]東京工場!$L$36</f>
        <v>9010</v>
      </c>
      <c r="AK36" s="99">
        <f t="shared" si="36"/>
        <v>3.0873831193335938E-4</v>
      </c>
      <c r="AL36" s="547">
        <f t="shared" si="26"/>
        <v>37521</v>
      </c>
      <c r="AM36" s="314">
        <f t="shared" si="51"/>
        <v>1.5910388026805643E-4</v>
      </c>
      <c r="AN36" s="478">
        <f t="shared" si="27"/>
        <v>91414</v>
      </c>
      <c r="AO36" s="123">
        <f t="shared" si="52"/>
        <v>1.227282978837553E-4</v>
      </c>
      <c r="AP36" s="527">
        <f t="shared" si="28"/>
        <v>259380</v>
      </c>
      <c r="AQ36" s="284">
        <f t="shared" si="53"/>
        <v>3.6562556879229219E-4</v>
      </c>
      <c r="AR36" s="487">
        <f t="shared" si="29"/>
        <v>661767</v>
      </c>
      <c r="AS36" s="285">
        <f t="shared" si="54"/>
        <v>2.8187474628091043E-4</v>
      </c>
      <c r="AT36" s="584">
        <f>[3]全社合計!$G$36</f>
        <v>262695</v>
      </c>
      <c r="AU36" s="124">
        <f t="shared" si="30"/>
        <v>3.3029539565955247E-4</v>
      </c>
      <c r="AV36" s="578">
        <f>[3]全社合計!$N$36</f>
        <v>748155</v>
      </c>
      <c r="AW36" s="125">
        <f t="shared" si="31"/>
        <v>2.775627103157187E-4</v>
      </c>
      <c r="AX36" s="584">
        <f t="shared" si="32"/>
        <v>-3315</v>
      </c>
      <c r="AY36" s="124">
        <f t="shared" si="33"/>
        <v>0.98738080283218177</v>
      </c>
      <c r="AZ36" s="578">
        <f t="shared" si="34"/>
        <v>-86388</v>
      </c>
      <c r="BA36" s="125">
        <f t="shared" si="35"/>
        <v>0.88453194859354012</v>
      </c>
      <c r="BB36" s="11"/>
    </row>
    <row r="37" spans="1:54" ht="15.95" customHeight="1">
      <c r="A37" s="37" t="s">
        <v>31</v>
      </c>
      <c r="B37" s="703">
        <f>[3]本部!$I$37</f>
        <v>0</v>
      </c>
      <c r="C37" s="259" t="str">
        <f t="shared" si="38"/>
        <v/>
      </c>
      <c r="D37" s="728">
        <f>[3]本部!$L$37</f>
        <v>0</v>
      </c>
      <c r="E37" s="122" t="str">
        <f t="shared" si="39"/>
        <v/>
      </c>
      <c r="F37" s="352">
        <f>[3]本社営業!$I$37</f>
        <v>0</v>
      </c>
      <c r="G37" s="9">
        <f t="shared" si="40"/>
        <v>0</v>
      </c>
      <c r="H37" s="362">
        <f>[3]本社営業!$L$37</f>
        <v>100000</v>
      </c>
      <c r="I37" s="124">
        <f t="shared" si="19"/>
        <v>6.6630725564671757E-5</v>
      </c>
      <c r="J37" s="745">
        <f>[3]東大阪!$I$37</f>
        <v>7919</v>
      </c>
      <c r="K37" s="9">
        <f t="shared" si="20"/>
        <v>1.0510461486106786E-3</v>
      </c>
      <c r="L37" s="362">
        <f>[3]東大阪!$L$37</f>
        <v>79137</v>
      </c>
      <c r="M37" s="124">
        <f t="shared" si="37"/>
        <v>3.0682023975301159E-3</v>
      </c>
      <c r="N37" s="403">
        <f>[3]南港工場!$I$37</f>
        <v>0</v>
      </c>
      <c r="O37" s="9">
        <f t="shared" si="41"/>
        <v>0</v>
      </c>
      <c r="P37" s="362">
        <f>[3]南港工場!$L$37</f>
        <v>0</v>
      </c>
      <c r="Q37" s="204">
        <f t="shared" si="42"/>
        <v>0</v>
      </c>
      <c r="R37" s="437">
        <f>[3]南港事務!$I$37</f>
        <v>0</v>
      </c>
      <c r="S37" s="9" t="str">
        <f t="shared" si="43"/>
        <v/>
      </c>
      <c r="T37" s="362">
        <f>[3]南港事務!$L$37</f>
        <v>0</v>
      </c>
      <c r="U37" s="204" t="str">
        <f t="shared" si="44"/>
        <v/>
      </c>
      <c r="V37" s="456">
        <f t="shared" si="21"/>
        <v>0</v>
      </c>
      <c r="W37" s="171">
        <f t="shared" si="45"/>
        <v>0</v>
      </c>
      <c r="X37" s="426">
        <f t="shared" si="22"/>
        <v>0</v>
      </c>
      <c r="Y37" s="225">
        <f t="shared" si="46"/>
        <v>0</v>
      </c>
      <c r="Z37" s="460">
        <f t="shared" si="23"/>
        <v>7919</v>
      </c>
      <c r="AA37" s="189">
        <f t="shared" si="47"/>
        <v>1.6721312601797114E-5</v>
      </c>
      <c r="AB37" s="564">
        <f t="shared" si="24"/>
        <v>179137</v>
      </c>
      <c r="AC37" s="123">
        <f t="shared" si="48"/>
        <v>1.1175906257134418E-4</v>
      </c>
      <c r="AD37" s="352">
        <f>[3]東京事務!$I$37</f>
        <v>0</v>
      </c>
      <c r="AE37" s="9">
        <f t="shared" si="49"/>
        <v>0</v>
      </c>
      <c r="AF37" s="362">
        <f>[3]東京事務!$L$37</f>
        <v>0</v>
      </c>
      <c r="AG37" s="81">
        <f t="shared" si="50"/>
        <v>0</v>
      </c>
      <c r="AH37" s="388">
        <f>[3]東京工場!$I$37</f>
        <v>62684</v>
      </c>
      <c r="AI37" s="171">
        <f t="shared" si="25"/>
        <v>7.115443773078595E-3</v>
      </c>
      <c r="AJ37" s="362">
        <f>[3]東京工場!$L$37</f>
        <v>123281</v>
      </c>
      <c r="AK37" s="99">
        <f t="shared" si="36"/>
        <v>4.2243693488852917E-3</v>
      </c>
      <c r="AL37" s="547">
        <f t="shared" si="26"/>
        <v>62684</v>
      </c>
      <c r="AM37" s="314">
        <f t="shared" si="51"/>
        <v>2.6580495271242367E-4</v>
      </c>
      <c r="AN37" s="478">
        <f t="shared" si="27"/>
        <v>123281</v>
      </c>
      <c r="AO37" s="123">
        <f t="shared" si="52"/>
        <v>1.6551148939338871E-4</v>
      </c>
      <c r="AP37" s="527">
        <f t="shared" si="28"/>
        <v>70603</v>
      </c>
      <c r="AQ37" s="284">
        <f t="shared" si="53"/>
        <v>9.9522947156458502E-5</v>
      </c>
      <c r="AR37" s="487">
        <f t="shared" si="29"/>
        <v>302418</v>
      </c>
      <c r="AS37" s="285">
        <f t="shared" si="54"/>
        <v>1.2881270450291473E-4</v>
      </c>
      <c r="AT37" s="584">
        <f>[3]全社合計!$G$37</f>
        <v>860881</v>
      </c>
      <c r="AU37" s="124">
        <f t="shared" si="30"/>
        <v>1.0824150840738926E-3</v>
      </c>
      <c r="AV37" s="578">
        <f>[3]全社合計!$N$37</f>
        <v>1440286</v>
      </c>
      <c r="AW37" s="125">
        <f t="shared" si="31"/>
        <v>5.3434072590544102E-4</v>
      </c>
      <c r="AX37" s="584">
        <f t="shared" si="32"/>
        <v>-790278</v>
      </c>
      <c r="AY37" s="124">
        <f t="shared" si="33"/>
        <v>8.2012496500677795E-2</v>
      </c>
      <c r="AZ37" s="578">
        <f t="shared" si="34"/>
        <v>-1137868</v>
      </c>
      <c r="BA37" s="125">
        <f t="shared" si="35"/>
        <v>0.20997079746661426</v>
      </c>
      <c r="BB37" s="11"/>
    </row>
    <row r="38" spans="1:54" ht="15.95" customHeight="1">
      <c r="A38" s="37" t="s">
        <v>32</v>
      </c>
      <c r="B38" s="703">
        <f>[3]本部!$I$38</f>
        <v>12463</v>
      </c>
      <c r="C38" s="259" t="str">
        <f t="shared" si="38"/>
        <v/>
      </c>
      <c r="D38" s="728">
        <f>[3]本部!$L$38</f>
        <v>33096</v>
      </c>
      <c r="E38" s="122" t="str">
        <f t="shared" si="39"/>
        <v/>
      </c>
      <c r="F38" s="352">
        <f>[3]本社営業!$I$38</f>
        <v>204710</v>
      </c>
      <c r="G38" s="9">
        <f t="shared" si="40"/>
        <v>4.5918887075299837E-4</v>
      </c>
      <c r="H38" s="362">
        <f>[3]本社営業!$L$38</f>
        <v>394749</v>
      </c>
      <c r="I38" s="124">
        <f>IF(ISERR(H38/$H$11),"",H38/$H$11)</f>
        <v>2.6302412285928611E-4</v>
      </c>
      <c r="J38" s="745">
        <f>[3]東大阪!$I$38</f>
        <v>0</v>
      </c>
      <c r="K38" s="9">
        <f t="shared" si="20"/>
        <v>0</v>
      </c>
      <c r="L38" s="362">
        <f>[3]東大阪!$L$38</f>
        <v>0</v>
      </c>
      <c r="M38" s="124">
        <f t="shared" si="37"/>
        <v>0</v>
      </c>
      <c r="N38" s="403">
        <f>[3]南港工場!$I$38</f>
        <v>0</v>
      </c>
      <c r="O38" s="9">
        <f t="shared" si="41"/>
        <v>0</v>
      </c>
      <c r="P38" s="362">
        <f>[3]南港工場!$L$38</f>
        <v>0</v>
      </c>
      <c r="Q38" s="204">
        <f t="shared" si="42"/>
        <v>0</v>
      </c>
      <c r="R38" s="437">
        <f>[3]南港事務!$I$38</f>
        <v>15440</v>
      </c>
      <c r="S38" s="9" t="str">
        <f t="shared" si="43"/>
        <v/>
      </c>
      <c r="T38" s="362">
        <f>[3]南港事務!$L$38</f>
        <v>23360</v>
      </c>
      <c r="U38" s="204" t="str">
        <f t="shared" si="44"/>
        <v/>
      </c>
      <c r="V38" s="456">
        <f t="shared" si="21"/>
        <v>15440</v>
      </c>
      <c r="W38" s="171">
        <f t="shared" si="45"/>
        <v>7.6265812436879417E-4</v>
      </c>
      <c r="X38" s="426">
        <f t="shared" si="22"/>
        <v>23360</v>
      </c>
      <c r="Y38" s="225">
        <f t="shared" si="46"/>
        <v>3.0622437886101126E-4</v>
      </c>
      <c r="Z38" s="460">
        <f t="shared" si="23"/>
        <v>220150</v>
      </c>
      <c r="AA38" s="189">
        <f t="shared" si="47"/>
        <v>4.648562911081746E-4</v>
      </c>
      <c r="AB38" s="564">
        <f t="shared" si="24"/>
        <v>418109</v>
      </c>
      <c r="AC38" s="123">
        <f t="shared" si="48"/>
        <v>2.6084767464366459E-4</v>
      </c>
      <c r="AD38" s="352">
        <f>[3]東京事務!$I$38</f>
        <v>64873</v>
      </c>
      <c r="AE38" s="9">
        <f t="shared" si="49"/>
        <v>2.8576212595568849E-4</v>
      </c>
      <c r="AF38" s="362">
        <f>[3]東京事務!$L$38</f>
        <v>144669</v>
      </c>
      <c r="AG38" s="81">
        <f t="shared" si="50"/>
        <v>2.0214617027779279E-4</v>
      </c>
      <c r="AH38" s="388">
        <f>[3]東京工場!$I$38</f>
        <v>3460</v>
      </c>
      <c r="AI38" s="171">
        <f t="shared" si="25"/>
        <v>3.927546974483431E-4</v>
      </c>
      <c r="AJ38" s="362">
        <f>[3]東京工場!$L$38</f>
        <v>6840</v>
      </c>
      <c r="AK38" s="99">
        <f t="shared" si="36"/>
        <v>2.3438069407593544E-4</v>
      </c>
      <c r="AL38" s="547">
        <f t="shared" si="26"/>
        <v>68333</v>
      </c>
      <c r="AM38" s="314">
        <f t="shared" si="51"/>
        <v>2.8975894699920311E-4</v>
      </c>
      <c r="AN38" s="478">
        <f t="shared" si="27"/>
        <v>151509</v>
      </c>
      <c r="AO38" s="123">
        <f t="shared" si="52"/>
        <v>2.0340912424869143E-4</v>
      </c>
      <c r="AP38" s="527">
        <f t="shared" si="28"/>
        <v>300946</v>
      </c>
      <c r="AQ38" s="284">
        <f t="shared" si="53"/>
        <v>4.2421756660407573E-4</v>
      </c>
      <c r="AR38" s="487">
        <f t="shared" si="29"/>
        <v>602714</v>
      </c>
      <c r="AS38" s="285">
        <f t="shared" si="54"/>
        <v>2.5672155884163558E-4</v>
      </c>
      <c r="AT38" s="584">
        <f>[3]全社合計!$G$38</f>
        <v>501876</v>
      </c>
      <c r="AU38" s="124">
        <f t="shared" si="30"/>
        <v>6.3102583601527839E-4</v>
      </c>
      <c r="AV38" s="578">
        <f>[3]全社合計!$N$38</f>
        <v>927863</v>
      </c>
      <c r="AW38" s="125">
        <f t="shared" si="31"/>
        <v>3.4423370702818762E-4</v>
      </c>
      <c r="AX38" s="584">
        <f t="shared" si="32"/>
        <v>-200930</v>
      </c>
      <c r="AY38" s="124">
        <f t="shared" si="33"/>
        <v>0.59964214268066218</v>
      </c>
      <c r="AZ38" s="578">
        <f t="shared" si="34"/>
        <v>-325149</v>
      </c>
      <c r="BA38" s="125">
        <f t="shared" si="35"/>
        <v>0.64957218899772917</v>
      </c>
      <c r="BB38" s="11"/>
    </row>
    <row r="39" spans="1:54" ht="15.95" customHeight="1">
      <c r="A39" s="37" t="s">
        <v>56</v>
      </c>
      <c r="B39" s="703">
        <f>[3]本部!$I$39</f>
        <v>4445</v>
      </c>
      <c r="C39" s="259" t="str">
        <f t="shared" si="38"/>
        <v/>
      </c>
      <c r="D39" s="728">
        <f>[3]本部!$L$39</f>
        <v>35515</v>
      </c>
      <c r="E39" s="122" t="str">
        <f t="shared" si="39"/>
        <v/>
      </c>
      <c r="F39" s="352">
        <f>[3]本社営業!$I$39</f>
        <v>0</v>
      </c>
      <c r="G39" s="9">
        <f t="shared" si="40"/>
        <v>0</v>
      </c>
      <c r="H39" s="362">
        <f>[3]本社営業!$L$39</f>
        <v>0</v>
      </c>
      <c r="I39" s="124">
        <f t="shared" si="19"/>
        <v>0</v>
      </c>
      <c r="J39" s="745">
        <f>[3]東大阪!$I$39</f>
        <v>0</v>
      </c>
      <c r="K39" s="9">
        <f t="shared" si="20"/>
        <v>0</v>
      </c>
      <c r="L39" s="362">
        <f>[3]東大阪!$L$39</f>
        <v>0</v>
      </c>
      <c r="M39" s="124">
        <f t="shared" si="37"/>
        <v>0</v>
      </c>
      <c r="N39" s="403">
        <f>[3]南港工場!$I$39</f>
        <v>0</v>
      </c>
      <c r="O39" s="9">
        <f t="shared" si="41"/>
        <v>0</v>
      </c>
      <c r="P39" s="362">
        <f>[3]南港工場!$L$39</f>
        <v>0</v>
      </c>
      <c r="Q39" s="204">
        <f t="shared" si="42"/>
        <v>0</v>
      </c>
      <c r="R39" s="437">
        <f>[3]南港事務!$I$39</f>
        <v>0</v>
      </c>
      <c r="S39" s="9" t="str">
        <f t="shared" si="43"/>
        <v/>
      </c>
      <c r="T39" s="362">
        <f>[3]南港事務!$L$39</f>
        <v>0</v>
      </c>
      <c r="U39" s="204" t="str">
        <f t="shared" si="44"/>
        <v/>
      </c>
      <c r="V39" s="456">
        <f t="shared" si="21"/>
        <v>0</v>
      </c>
      <c r="W39" s="171">
        <f t="shared" si="45"/>
        <v>0</v>
      </c>
      <c r="X39" s="426">
        <f t="shared" si="22"/>
        <v>0</v>
      </c>
      <c r="Y39" s="225">
        <f t="shared" si="46"/>
        <v>0</v>
      </c>
      <c r="Z39" s="460">
        <f t="shared" si="23"/>
        <v>0</v>
      </c>
      <c r="AA39" s="189">
        <f t="shared" si="47"/>
        <v>0</v>
      </c>
      <c r="AB39" s="564">
        <f t="shared" si="24"/>
        <v>0</v>
      </c>
      <c r="AC39" s="123">
        <f t="shared" si="48"/>
        <v>0</v>
      </c>
      <c r="AD39" s="352">
        <f>[3]東京事務!$I$39</f>
        <v>0</v>
      </c>
      <c r="AE39" s="9">
        <f t="shared" si="49"/>
        <v>0</v>
      </c>
      <c r="AF39" s="362">
        <f>[3]東京事務!$L$39</f>
        <v>71204</v>
      </c>
      <c r="AG39" s="81">
        <f t="shared" si="50"/>
        <v>9.9493436109048645E-5</v>
      </c>
      <c r="AH39" s="388">
        <f>[3]東京工場!$I$39</f>
        <v>0</v>
      </c>
      <c r="AI39" s="171">
        <f t="shared" si="25"/>
        <v>0</v>
      </c>
      <c r="AJ39" s="362">
        <f>[3]東京工場!$L$39</f>
        <v>0</v>
      </c>
      <c r="AK39" s="99">
        <f t="shared" si="36"/>
        <v>0</v>
      </c>
      <c r="AL39" s="547">
        <f t="shared" si="26"/>
        <v>0</v>
      </c>
      <c r="AM39" s="314">
        <f t="shared" si="51"/>
        <v>0</v>
      </c>
      <c r="AN39" s="478">
        <f t="shared" si="27"/>
        <v>71204</v>
      </c>
      <c r="AO39" s="123">
        <f t="shared" si="52"/>
        <v>9.5595266835658775E-5</v>
      </c>
      <c r="AP39" s="527">
        <f t="shared" si="28"/>
        <v>4445</v>
      </c>
      <c r="AQ39" s="284">
        <f t="shared" si="53"/>
        <v>6.2657323358845659E-6</v>
      </c>
      <c r="AR39" s="487">
        <f t="shared" si="29"/>
        <v>106719</v>
      </c>
      <c r="AS39" s="285">
        <f t="shared" si="54"/>
        <v>4.5456166669465962E-5</v>
      </c>
      <c r="AT39" s="584">
        <f>[3]全社合計!$G$39</f>
        <v>4445</v>
      </c>
      <c r="AU39" s="124">
        <f t="shared" si="30"/>
        <v>5.5888503157909774E-6</v>
      </c>
      <c r="AV39" s="578">
        <f>[3]全社合計!$N$39</f>
        <v>90852</v>
      </c>
      <c r="AW39" s="125">
        <f t="shared" si="31"/>
        <v>3.3705752628270446E-5</v>
      </c>
      <c r="AX39" s="584">
        <f t="shared" si="32"/>
        <v>0</v>
      </c>
      <c r="AY39" s="124">
        <f t="shared" si="33"/>
        <v>1</v>
      </c>
      <c r="AZ39" s="578">
        <f t="shared" si="34"/>
        <v>15867</v>
      </c>
      <c r="BA39" s="125">
        <f t="shared" si="35"/>
        <v>1.1746466781138556</v>
      </c>
      <c r="BB39" s="11"/>
    </row>
    <row r="40" spans="1:54" ht="15.95" customHeight="1">
      <c r="A40" s="37" t="s">
        <v>33</v>
      </c>
      <c r="B40" s="703">
        <f>[3]本部!$I$40</f>
        <v>0</v>
      </c>
      <c r="C40" s="259" t="str">
        <f t="shared" si="38"/>
        <v/>
      </c>
      <c r="D40" s="728">
        <f>[3]本部!$L$40</f>
        <v>0</v>
      </c>
      <c r="E40" s="122" t="str">
        <f t="shared" si="39"/>
        <v/>
      </c>
      <c r="F40" s="352">
        <f>[3]本社営業!$I$40</f>
        <v>27117</v>
      </c>
      <c r="G40" s="9">
        <f t="shared" si="40"/>
        <v>6.0826655308529422E-5</v>
      </c>
      <c r="H40" s="362">
        <f>[3]本社営業!$L$40</f>
        <v>64471</v>
      </c>
      <c r="I40" s="124">
        <f t="shared" si="19"/>
        <v>4.2957495078799532E-5</v>
      </c>
      <c r="J40" s="745">
        <f>[3]東大阪!$I$40</f>
        <v>0</v>
      </c>
      <c r="K40" s="9">
        <f t="shared" si="20"/>
        <v>0</v>
      </c>
      <c r="L40" s="362">
        <f>[3]東大阪!$L$40</f>
        <v>0</v>
      </c>
      <c r="M40" s="124">
        <f t="shared" si="37"/>
        <v>0</v>
      </c>
      <c r="N40" s="403">
        <f>[3]南港工場!$I$40</f>
        <v>0</v>
      </c>
      <c r="O40" s="9">
        <f t="shared" si="41"/>
        <v>0</v>
      </c>
      <c r="P40" s="362">
        <f>[3]南港工場!$L$40</f>
        <v>0</v>
      </c>
      <c r="Q40" s="204">
        <f t="shared" si="42"/>
        <v>0</v>
      </c>
      <c r="R40" s="437">
        <f>[3]南港事務!$I$40</f>
        <v>0</v>
      </c>
      <c r="S40" s="9" t="str">
        <f t="shared" si="43"/>
        <v/>
      </c>
      <c r="T40" s="362">
        <f>[3]南港事務!$L$40</f>
        <v>9600</v>
      </c>
      <c r="U40" s="204" t="str">
        <f t="shared" si="44"/>
        <v/>
      </c>
      <c r="V40" s="456">
        <f t="shared" si="21"/>
        <v>0</v>
      </c>
      <c r="W40" s="171">
        <f t="shared" si="45"/>
        <v>0</v>
      </c>
      <c r="X40" s="426">
        <f t="shared" si="22"/>
        <v>9600</v>
      </c>
      <c r="Y40" s="225">
        <f t="shared" si="46"/>
        <v>1.258456351483608E-4</v>
      </c>
      <c r="Z40" s="460">
        <f t="shared" si="23"/>
        <v>27117</v>
      </c>
      <c r="AA40" s="189">
        <f t="shared" si="47"/>
        <v>5.7258723806406405E-5</v>
      </c>
      <c r="AB40" s="564">
        <f t="shared" si="24"/>
        <v>74071</v>
      </c>
      <c r="AC40" s="123">
        <f t="shared" si="48"/>
        <v>4.6211031354337938E-5</v>
      </c>
      <c r="AD40" s="352">
        <f>[3]東京事務!$I$40</f>
        <v>0</v>
      </c>
      <c r="AE40" s="9">
        <f t="shared" si="49"/>
        <v>0</v>
      </c>
      <c r="AF40" s="362">
        <f>[3]東京事務!$L$40</f>
        <v>0</v>
      </c>
      <c r="AG40" s="81">
        <f t="shared" si="50"/>
        <v>0</v>
      </c>
      <c r="AH40" s="388">
        <f>[3]東京工場!$I$40</f>
        <v>0</v>
      </c>
      <c r="AI40" s="171">
        <f t="shared" si="25"/>
        <v>0</v>
      </c>
      <c r="AJ40" s="362">
        <f>[3]東京工場!$L$40</f>
        <v>0</v>
      </c>
      <c r="AK40" s="99">
        <f t="shared" si="36"/>
        <v>0</v>
      </c>
      <c r="AL40" s="547">
        <f t="shared" si="26"/>
        <v>0</v>
      </c>
      <c r="AM40" s="314">
        <f t="shared" si="51"/>
        <v>0</v>
      </c>
      <c r="AN40" s="478">
        <f t="shared" si="27"/>
        <v>0</v>
      </c>
      <c r="AO40" s="123">
        <f t="shared" si="52"/>
        <v>0</v>
      </c>
      <c r="AP40" s="527">
        <f t="shared" si="28"/>
        <v>27117</v>
      </c>
      <c r="AQ40" s="284">
        <f t="shared" si="53"/>
        <v>3.8224491282830544E-5</v>
      </c>
      <c r="AR40" s="487">
        <f t="shared" si="29"/>
        <v>74071</v>
      </c>
      <c r="AS40" s="285">
        <f t="shared" si="54"/>
        <v>3.1549993172481125E-5</v>
      </c>
      <c r="AT40" s="584">
        <f>[3]全社合計!$G$40</f>
        <v>28920</v>
      </c>
      <c r="AU40" s="124">
        <f t="shared" si="30"/>
        <v>3.6362103741884158E-5</v>
      </c>
      <c r="AV40" s="578">
        <f>[3]全社合計!$N$40</f>
        <v>91967</v>
      </c>
      <c r="AW40" s="125">
        <f t="shared" si="31"/>
        <v>3.411941346326056E-5</v>
      </c>
      <c r="AX40" s="584">
        <f t="shared" si="32"/>
        <v>-1803</v>
      </c>
      <c r="AY40" s="124">
        <f t="shared" si="33"/>
        <v>0.93765560165975104</v>
      </c>
      <c r="AZ40" s="578">
        <f t="shared" si="34"/>
        <v>-17896</v>
      </c>
      <c r="BA40" s="125">
        <f t="shared" si="35"/>
        <v>0.80540846173083824</v>
      </c>
      <c r="BB40" s="11"/>
    </row>
    <row r="41" spans="1:54" ht="15.95" customHeight="1">
      <c r="A41" s="37" t="s">
        <v>34</v>
      </c>
      <c r="B41" s="703">
        <f>[3]本部!$I$41</f>
        <v>2000</v>
      </c>
      <c r="C41" s="259" t="str">
        <f t="shared" si="38"/>
        <v/>
      </c>
      <c r="D41" s="728">
        <f>[3]本部!$L$41</f>
        <v>345800</v>
      </c>
      <c r="E41" s="122" t="str">
        <f t="shared" si="39"/>
        <v/>
      </c>
      <c r="F41" s="352">
        <f>[3]本社営業!$I$41</f>
        <v>0</v>
      </c>
      <c r="G41" s="9">
        <f t="shared" si="40"/>
        <v>0</v>
      </c>
      <c r="H41" s="362">
        <f>[3]本社営業!$L$41</f>
        <v>97000</v>
      </c>
      <c r="I41" s="124">
        <f t="shared" si="19"/>
        <v>6.4631803797731606E-5</v>
      </c>
      <c r="J41" s="745">
        <f>[3]東大阪!$I$41</f>
        <v>0</v>
      </c>
      <c r="K41" s="9">
        <f t="shared" si="20"/>
        <v>0</v>
      </c>
      <c r="L41" s="362">
        <f>[3]東大阪!$L$41</f>
        <v>10000</v>
      </c>
      <c r="M41" s="124">
        <f t="shared" si="37"/>
        <v>3.8770769646690118E-4</v>
      </c>
      <c r="N41" s="403">
        <f>[3]南港工場!$I$41</f>
        <v>0</v>
      </c>
      <c r="O41" s="9">
        <f t="shared" si="41"/>
        <v>0</v>
      </c>
      <c r="P41" s="362">
        <f>[3]南港工場!$L$41</f>
        <v>0</v>
      </c>
      <c r="Q41" s="204">
        <f t="shared" si="42"/>
        <v>0</v>
      </c>
      <c r="R41" s="437">
        <f>[3]南港事務!$I$41</f>
        <v>0</v>
      </c>
      <c r="S41" s="9" t="str">
        <f t="shared" si="43"/>
        <v/>
      </c>
      <c r="T41" s="362">
        <f>[3]南港事務!$L$41</f>
        <v>395958</v>
      </c>
      <c r="U41" s="204" t="str">
        <f t="shared" si="44"/>
        <v/>
      </c>
      <c r="V41" s="456">
        <f t="shared" si="21"/>
        <v>0</v>
      </c>
      <c r="W41" s="171">
        <f t="shared" si="45"/>
        <v>0</v>
      </c>
      <c r="X41" s="426">
        <f t="shared" si="22"/>
        <v>395958</v>
      </c>
      <c r="Y41" s="225">
        <f t="shared" si="46"/>
        <v>5.1905818752161085E-3</v>
      </c>
      <c r="Z41" s="460">
        <f t="shared" si="23"/>
        <v>0</v>
      </c>
      <c r="AA41" s="189">
        <f t="shared" si="47"/>
        <v>0</v>
      </c>
      <c r="AB41" s="564">
        <f t="shared" si="24"/>
        <v>502958</v>
      </c>
      <c r="AC41" s="123">
        <f t="shared" si="48"/>
        <v>3.137828287442467E-4</v>
      </c>
      <c r="AD41" s="352">
        <f>[3]東京事務!$I$41</f>
        <v>1000</v>
      </c>
      <c r="AE41" s="9">
        <f t="shared" si="49"/>
        <v>4.4049469880487795E-6</v>
      </c>
      <c r="AF41" s="362">
        <f>[3]東京事務!$L$41</f>
        <v>144000</v>
      </c>
      <c r="AG41" s="81">
        <f t="shared" si="50"/>
        <v>2.0121137576123538E-4</v>
      </c>
      <c r="AH41" s="388">
        <f>[3]東京工場!$I$41</f>
        <v>0</v>
      </c>
      <c r="AI41" s="171">
        <f t="shared" si="25"/>
        <v>0</v>
      </c>
      <c r="AJ41" s="362">
        <f>[3]東京工場!$L$41</f>
        <v>0</v>
      </c>
      <c r="AK41" s="99">
        <f t="shared" si="36"/>
        <v>0</v>
      </c>
      <c r="AL41" s="547">
        <f t="shared" si="26"/>
        <v>1000</v>
      </c>
      <c r="AM41" s="314">
        <f t="shared" si="51"/>
        <v>4.2403955189908703E-6</v>
      </c>
      <c r="AN41" s="478">
        <f t="shared" si="27"/>
        <v>144000</v>
      </c>
      <c r="AO41" s="123">
        <f t="shared" si="52"/>
        <v>1.9332788079791673E-4</v>
      </c>
      <c r="AP41" s="527">
        <f t="shared" si="28"/>
        <v>3000</v>
      </c>
      <c r="AQ41" s="284">
        <f t="shared" si="53"/>
        <v>4.228840721631878E-6</v>
      </c>
      <c r="AR41" s="487">
        <f t="shared" si="29"/>
        <v>992758</v>
      </c>
      <c r="AS41" s="285">
        <f t="shared" si="54"/>
        <v>4.2285790824919358E-4</v>
      </c>
      <c r="AT41" s="584">
        <f>[3]全社合計!$G$41</f>
        <v>-22454</v>
      </c>
      <c r="AU41" s="124">
        <f t="shared" si="30"/>
        <v>-2.823218110028585E-5</v>
      </c>
      <c r="AV41" s="578">
        <f>[3]全社合計!$N$41</f>
        <v>1010577</v>
      </c>
      <c r="AW41" s="125">
        <f t="shared" si="31"/>
        <v>3.7492029205542709E-4</v>
      </c>
      <c r="AX41" s="584">
        <f t="shared" si="32"/>
        <v>25454</v>
      </c>
      <c r="AY41" s="124">
        <f t="shared" si="33"/>
        <v>-0.13360648436804132</v>
      </c>
      <c r="AZ41" s="578">
        <f t="shared" si="34"/>
        <v>-17819</v>
      </c>
      <c r="BA41" s="125">
        <f t="shared" si="35"/>
        <v>0.98236749896346343</v>
      </c>
      <c r="BB41" s="11"/>
    </row>
    <row r="42" spans="1:54" ht="15.95" customHeight="1">
      <c r="A42" s="37" t="s">
        <v>35</v>
      </c>
      <c r="B42" s="703">
        <f>[3]本部!$I$42</f>
        <v>0</v>
      </c>
      <c r="C42" s="259" t="str">
        <f t="shared" si="38"/>
        <v/>
      </c>
      <c r="D42" s="728">
        <f>[3]本部!$L$42</f>
        <v>0</v>
      </c>
      <c r="E42" s="122" t="str">
        <f t="shared" si="39"/>
        <v/>
      </c>
      <c r="F42" s="352">
        <f>[3]本社営業!$I$42</f>
        <v>10000</v>
      </c>
      <c r="G42" s="9">
        <f t="shared" si="40"/>
        <v>2.2431189035855521E-5</v>
      </c>
      <c r="H42" s="362">
        <f>[3]本社営業!$L$42</f>
        <v>520000</v>
      </c>
      <c r="I42" s="124">
        <f t="shared" si="19"/>
        <v>3.4647977293629316E-4</v>
      </c>
      <c r="J42" s="745">
        <f>[3]東大阪!$I$42</f>
        <v>0</v>
      </c>
      <c r="K42" s="9">
        <f t="shared" si="20"/>
        <v>0</v>
      </c>
      <c r="L42" s="362">
        <f>[3]東大阪!$L$42</f>
        <v>0</v>
      </c>
      <c r="M42" s="124">
        <f t="shared" si="37"/>
        <v>0</v>
      </c>
      <c r="N42" s="403">
        <f>[3]南港工場!$I$42</f>
        <v>0</v>
      </c>
      <c r="O42" s="9">
        <f t="shared" si="41"/>
        <v>0</v>
      </c>
      <c r="P42" s="362">
        <f>[3]南港工場!$L$42</f>
        <v>0</v>
      </c>
      <c r="Q42" s="204">
        <f t="shared" si="42"/>
        <v>0</v>
      </c>
      <c r="R42" s="437">
        <f>[3]南港事務!$I$42</f>
        <v>0</v>
      </c>
      <c r="S42" s="9" t="str">
        <f t="shared" si="43"/>
        <v/>
      </c>
      <c r="T42" s="362">
        <f>[3]南港事務!$L$42</f>
        <v>0</v>
      </c>
      <c r="U42" s="204" t="str">
        <f t="shared" si="44"/>
        <v/>
      </c>
      <c r="V42" s="456">
        <f t="shared" si="21"/>
        <v>0</v>
      </c>
      <c r="W42" s="171">
        <f t="shared" si="45"/>
        <v>0</v>
      </c>
      <c r="X42" s="426">
        <f t="shared" si="22"/>
        <v>0</v>
      </c>
      <c r="Y42" s="225">
        <f t="shared" si="46"/>
        <v>0</v>
      </c>
      <c r="Z42" s="460">
        <f t="shared" si="23"/>
        <v>10000</v>
      </c>
      <c r="AA42" s="189">
        <f t="shared" si="47"/>
        <v>2.111543452683055E-5</v>
      </c>
      <c r="AB42" s="564">
        <f t="shared" si="24"/>
        <v>520000</v>
      </c>
      <c r="AC42" s="123">
        <f t="shared" si="48"/>
        <v>3.2441490332594034E-4</v>
      </c>
      <c r="AD42" s="352">
        <f>[3]東京事務!$I$42</f>
        <v>0</v>
      </c>
      <c r="AE42" s="9">
        <f t="shared" si="49"/>
        <v>0</v>
      </c>
      <c r="AF42" s="362">
        <f>[3]東京事務!$L$42</f>
        <v>0</v>
      </c>
      <c r="AG42" s="81">
        <f t="shared" si="50"/>
        <v>0</v>
      </c>
      <c r="AH42" s="388">
        <f>[3]東京工場!$I$42</f>
        <v>0</v>
      </c>
      <c r="AI42" s="171">
        <f t="shared" si="25"/>
        <v>0</v>
      </c>
      <c r="AJ42" s="362">
        <f>[3]東京工場!$L$42</f>
        <v>0</v>
      </c>
      <c r="AK42" s="99">
        <f t="shared" si="36"/>
        <v>0</v>
      </c>
      <c r="AL42" s="547">
        <f t="shared" si="26"/>
        <v>0</v>
      </c>
      <c r="AM42" s="314">
        <f t="shared" si="51"/>
        <v>0</v>
      </c>
      <c r="AN42" s="478">
        <f t="shared" si="27"/>
        <v>0</v>
      </c>
      <c r="AO42" s="123">
        <f t="shared" si="52"/>
        <v>0</v>
      </c>
      <c r="AP42" s="527">
        <f t="shared" si="28"/>
        <v>10000</v>
      </c>
      <c r="AQ42" s="284">
        <f t="shared" si="53"/>
        <v>1.4096135738772927E-5</v>
      </c>
      <c r="AR42" s="487">
        <f t="shared" si="29"/>
        <v>520000</v>
      </c>
      <c r="AS42" s="285">
        <f t="shared" si="54"/>
        <v>2.2149014391178984E-4</v>
      </c>
      <c r="AT42" s="584">
        <f>[3]全社合計!$G$42</f>
        <v>1140576</v>
      </c>
      <c r="AU42" s="124">
        <f t="shared" si="30"/>
        <v>1.4340851603562676E-3</v>
      </c>
      <c r="AV42" s="578">
        <f>[3]全社合計!$N$42</f>
        <v>1990576</v>
      </c>
      <c r="AW42" s="125">
        <f t="shared" si="31"/>
        <v>7.384962603329819E-4</v>
      </c>
      <c r="AX42" s="584">
        <f t="shared" si="32"/>
        <v>-1130576</v>
      </c>
      <c r="AY42" s="124">
        <f t="shared" si="33"/>
        <v>8.7674999298600013E-3</v>
      </c>
      <c r="AZ42" s="578">
        <f t="shared" si="34"/>
        <v>-1470576</v>
      </c>
      <c r="BA42" s="125">
        <f t="shared" si="35"/>
        <v>0.26123092009548993</v>
      </c>
      <c r="BB42" s="11"/>
    </row>
    <row r="43" spans="1:54" ht="15.95" customHeight="1">
      <c r="A43" s="37" t="s">
        <v>36</v>
      </c>
      <c r="B43" s="703">
        <f>[3]本部!$I$43</f>
        <v>0</v>
      </c>
      <c r="C43" s="259" t="str">
        <f t="shared" si="38"/>
        <v/>
      </c>
      <c r="D43" s="728">
        <f>[3]本部!$L$43</f>
        <v>0</v>
      </c>
      <c r="E43" s="122" t="str">
        <f t="shared" si="39"/>
        <v/>
      </c>
      <c r="F43" s="352">
        <f>[3]本社営業!$I$43</f>
        <v>14524262</v>
      </c>
      <c r="G43" s="9">
        <f t="shared" si="40"/>
        <v>3.2579646652829301E-2</v>
      </c>
      <c r="H43" s="362">
        <f>[3]本社営業!$L$43</f>
        <v>38026987</v>
      </c>
      <c r="I43" s="124">
        <f t="shared" si="19"/>
        <v>2.5337657348483408E-2</v>
      </c>
      <c r="J43" s="745">
        <f>[3]東大阪!$I$43</f>
        <v>-478996</v>
      </c>
      <c r="K43" s="9">
        <f t="shared" si="20"/>
        <v>-6.3574554994307447E-2</v>
      </c>
      <c r="L43" s="362">
        <f>[3]東大阪!$L$43</f>
        <v>-1486146</v>
      </c>
      <c r="M43" s="124">
        <f t="shared" si="37"/>
        <v>-5.7619024227349935E-2</v>
      </c>
      <c r="N43" s="403">
        <f>[3]南港工場!$I$43</f>
        <v>1486284</v>
      </c>
      <c r="O43" s="9">
        <f t="shared" si="41"/>
        <v>7.3414933142444877E-2</v>
      </c>
      <c r="P43" s="362">
        <f>[3]南港工場!$L$43</f>
        <v>4433208</v>
      </c>
      <c r="Q43" s="204">
        <f t="shared" si="42"/>
        <v>5.8114570469249401E-2</v>
      </c>
      <c r="R43" s="437">
        <f>[3]南港事務!$I$43</f>
        <v>0</v>
      </c>
      <c r="S43" s="9" t="str">
        <f t="shared" si="43"/>
        <v/>
      </c>
      <c r="T43" s="362">
        <f>[3]南港事務!$L$43</f>
        <v>0</v>
      </c>
      <c r="U43" s="204" t="str">
        <f t="shared" si="44"/>
        <v/>
      </c>
      <c r="V43" s="456">
        <f t="shared" si="21"/>
        <v>1486284</v>
      </c>
      <c r="W43" s="171">
        <f t="shared" si="45"/>
        <v>7.3414933142444877E-2</v>
      </c>
      <c r="X43" s="426">
        <f t="shared" si="22"/>
        <v>4433208</v>
      </c>
      <c r="Y43" s="225">
        <f t="shared" si="46"/>
        <v>5.8114570469249401E-2</v>
      </c>
      <c r="Z43" s="460">
        <f t="shared" si="23"/>
        <v>15531550</v>
      </c>
      <c r="AA43" s="189">
        <f t="shared" si="47"/>
        <v>3.2795542712519506E-2</v>
      </c>
      <c r="AB43" s="564">
        <f t="shared" si="24"/>
        <v>40974049</v>
      </c>
      <c r="AC43" s="123">
        <f t="shared" si="48"/>
        <v>2.5562677202321811E-2</v>
      </c>
      <c r="AD43" s="352">
        <f>[3]東京事務!$I$43</f>
        <v>5867944</v>
      </c>
      <c r="AE43" s="9">
        <f t="shared" si="49"/>
        <v>2.584798224883891E-2</v>
      </c>
      <c r="AF43" s="362">
        <f>[3]東京事務!$L$43</f>
        <v>15422008</v>
      </c>
      <c r="AG43" s="81">
        <f t="shared" si="50"/>
        <v>2.1549190601949847E-2</v>
      </c>
      <c r="AH43" s="388">
        <f>[3]東京工場!$I$43</f>
        <v>0</v>
      </c>
      <c r="AI43" s="171">
        <f t="shared" si="25"/>
        <v>0</v>
      </c>
      <c r="AJ43" s="362">
        <f>[3]東京工場!$L$43</f>
        <v>0</v>
      </c>
      <c r="AK43" s="99">
        <f t="shared" si="36"/>
        <v>0</v>
      </c>
      <c r="AL43" s="547">
        <f t="shared" si="26"/>
        <v>5867944</v>
      </c>
      <c r="AM43" s="314">
        <f t="shared" si="51"/>
        <v>2.4882403443289361E-2</v>
      </c>
      <c r="AN43" s="478">
        <f t="shared" si="27"/>
        <v>15422008</v>
      </c>
      <c r="AO43" s="123">
        <f t="shared" si="52"/>
        <v>2.0704889752003599E-2</v>
      </c>
      <c r="AP43" s="527">
        <f t="shared" si="28"/>
        <v>21399494</v>
      </c>
      <c r="AQ43" s="284">
        <f t="shared" si="53"/>
        <v>3.0165017216505684E-2</v>
      </c>
      <c r="AR43" s="487">
        <f t="shared" si="29"/>
        <v>56396057</v>
      </c>
      <c r="AS43" s="285">
        <f t="shared" si="54"/>
        <v>2.4021482271129813E-2</v>
      </c>
      <c r="AT43" s="584">
        <f>[3]全社合計!$G$43</f>
        <v>20608177</v>
      </c>
      <c r="AU43" s="124">
        <f t="shared" si="30"/>
        <v>2.5911364799623478E-2</v>
      </c>
      <c r="AV43" s="578">
        <f>[3]全社合計!$N$43</f>
        <v>55958166</v>
      </c>
      <c r="AW43" s="125">
        <f t="shared" si="31"/>
        <v>2.0760270557915003E-2</v>
      </c>
      <c r="AX43" s="584">
        <f t="shared" si="32"/>
        <v>791317</v>
      </c>
      <c r="AY43" s="124">
        <f t="shared" si="33"/>
        <v>1.038398204751444</v>
      </c>
      <c r="AZ43" s="578">
        <f>AR43-AV43</f>
        <v>437891</v>
      </c>
      <c r="BA43" s="125">
        <f t="shared" si="35"/>
        <v>1.0078253279423059</v>
      </c>
      <c r="BB43" s="11"/>
    </row>
    <row r="44" spans="1:54" ht="15.95" customHeight="1">
      <c r="A44" s="37" t="s">
        <v>37</v>
      </c>
      <c r="B44" s="703">
        <f>[3]本部!$I$44</f>
        <v>-165000</v>
      </c>
      <c r="C44" s="259" t="str">
        <f t="shared" si="38"/>
        <v/>
      </c>
      <c r="D44" s="728">
        <f>[3]本部!$L$44</f>
        <v>-495000</v>
      </c>
      <c r="E44" s="122" t="str">
        <f t="shared" si="39"/>
        <v/>
      </c>
      <c r="F44" s="352">
        <f>[3]本社営業!$I$44</f>
        <v>475000</v>
      </c>
      <c r="G44" s="9">
        <f t="shared" si="40"/>
        <v>1.0654814792031373E-3</v>
      </c>
      <c r="H44" s="362">
        <f>[3]本社営業!$L$44</f>
        <v>1425000</v>
      </c>
      <c r="I44" s="124">
        <f t="shared" si="19"/>
        <v>9.4948783929657261E-4</v>
      </c>
      <c r="J44" s="745">
        <f>[3]東大阪!$I$44</f>
        <v>375000</v>
      </c>
      <c r="K44" s="9">
        <f t="shared" si="20"/>
        <v>4.9771726951509596E-2</v>
      </c>
      <c r="L44" s="362">
        <f>[3]東大阪!$L$44</f>
        <v>1125000</v>
      </c>
      <c r="M44" s="124">
        <f t="shared" si="37"/>
        <v>4.3617115852526381E-2</v>
      </c>
      <c r="N44" s="403">
        <f>[3]南港工場!$I$44</f>
        <v>360000</v>
      </c>
      <c r="O44" s="9">
        <f t="shared" si="41"/>
        <v>1.7782184246940797E-2</v>
      </c>
      <c r="P44" s="362">
        <f>[3]南港工場!$L$44</f>
        <v>1080000</v>
      </c>
      <c r="Q44" s="204">
        <f t="shared" si="42"/>
        <v>1.4157633954190589E-2</v>
      </c>
      <c r="R44" s="437">
        <f>[3]南港事務!$I$44</f>
        <v>80000</v>
      </c>
      <c r="S44" s="9" t="str">
        <f t="shared" si="43"/>
        <v/>
      </c>
      <c r="T44" s="362">
        <f>[3]南港事務!$L$44</f>
        <v>240000</v>
      </c>
      <c r="U44" s="204" t="str">
        <f t="shared" si="44"/>
        <v/>
      </c>
      <c r="V44" s="456">
        <f t="shared" si="21"/>
        <v>440000</v>
      </c>
      <c r="W44" s="171">
        <f t="shared" si="45"/>
        <v>2.1733780746260974E-2</v>
      </c>
      <c r="X44" s="426">
        <f t="shared" si="22"/>
        <v>1320000</v>
      </c>
      <c r="Y44" s="225">
        <f t="shared" si="46"/>
        <v>1.7303774832899608E-2</v>
      </c>
      <c r="Z44" s="460">
        <f t="shared" si="23"/>
        <v>1290000</v>
      </c>
      <c r="AA44" s="189">
        <f t="shared" si="47"/>
        <v>2.7238910539611411E-3</v>
      </c>
      <c r="AB44" s="564">
        <f t="shared" si="24"/>
        <v>3870000</v>
      </c>
      <c r="AC44" s="123">
        <f t="shared" si="48"/>
        <v>2.4143955305219022E-3</v>
      </c>
      <c r="AD44" s="352">
        <f>[3]東京事務!$I$44</f>
        <v>55000</v>
      </c>
      <c r="AE44" s="9">
        <f t="shared" si="49"/>
        <v>2.4227208434268288E-4</v>
      </c>
      <c r="AF44" s="362">
        <f>[3]東京事務!$L$44</f>
        <v>165000</v>
      </c>
      <c r="AG44" s="81">
        <f t="shared" si="50"/>
        <v>2.3055470139308221E-4</v>
      </c>
      <c r="AH44" s="388">
        <f>[3]東京工場!$I$44</f>
        <v>275000</v>
      </c>
      <c r="AI44" s="171">
        <f t="shared" si="25"/>
        <v>3.121605254285964E-2</v>
      </c>
      <c r="AJ44" s="362">
        <f>[3]東京工場!$L$44</f>
        <v>825000</v>
      </c>
      <c r="AK44" s="99">
        <f t="shared" si="36"/>
        <v>2.826960125915888E-2</v>
      </c>
      <c r="AL44" s="547">
        <f t="shared" si="26"/>
        <v>330000</v>
      </c>
      <c r="AM44" s="314">
        <f t="shared" si="51"/>
        <v>1.3993305212669871E-3</v>
      </c>
      <c r="AN44" s="478">
        <f t="shared" si="27"/>
        <v>990000</v>
      </c>
      <c r="AO44" s="123">
        <f t="shared" si="52"/>
        <v>1.3291291804856775E-3</v>
      </c>
      <c r="AP44" s="527">
        <f t="shared" si="28"/>
        <v>1455000</v>
      </c>
      <c r="AQ44" s="284">
        <f t="shared" si="53"/>
        <v>2.0509877499914611E-3</v>
      </c>
      <c r="AR44" s="487">
        <f t="shared" si="29"/>
        <v>4365000</v>
      </c>
      <c r="AS44" s="285">
        <f t="shared" si="54"/>
        <v>1.8592393811056975E-3</v>
      </c>
      <c r="AT44" s="584">
        <f>[3]全社合計!$G$44</f>
        <v>1280000</v>
      </c>
      <c r="AU44" s="124">
        <f t="shared" si="30"/>
        <v>1.6093877174831162E-3</v>
      </c>
      <c r="AV44" s="578">
        <f>[3]全社合計!$N$44</f>
        <v>3840000</v>
      </c>
      <c r="AW44" s="125">
        <f t="shared" si="31"/>
        <v>1.4246256559300677E-3</v>
      </c>
      <c r="AX44" s="584">
        <f t="shared" si="32"/>
        <v>175000</v>
      </c>
      <c r="AY44" s="124">
        <f t="shared" si="33"/>
        <v>1.13671875</v>
      </c>
      <c r="AZ44" s="578">
        <f t="shared" si="34"/>
        <v>525000</v>
      </c>
      <c r="BA44" s="125">
        <f t="shared" si="35"/>
        <v>1.13671875</v>
      </c>
      <c r="BB44" s="14"/>
    </row>
    <row r="45" spans="1:54" ht="15.95" customHeight="1">
      <c r="A45" s="37" t="s">
        <v>57</v>
      </c>
      <c r="B45" s="703">
        <f>[3]本部!$I$45</f>
        <v>0</v>
      </c>
      <c r="C45" s="259" t="str">
        <f t="shared" si="38"/>
        <v/>
      </c>
      <c r="D45" s="728">
        <f>[3]本部!$L$45</f>
        <v>0</v>
      </c>
      <c r="E45" s="122" t="str">
        <f t="shared" si="39"/>
        <v/>
      </c>
      <c r="F45" s="352">
        <f>[3]本社営業!$I$45</f>
        <v>0</v>
      </c>
      <c r="G45" s="9">
        <f t="shared" si="40"/>
        <v>0</v>
      </c>
      <c r="H45" s="362">
        <f>[3]本社営業!$L$45</f>
        <v>0</v>
      </c>
      <c r="I45" s="124">
        <f t="shared" si="19"/>
        <v>0</v>
      </c>
      <c r="J45" s="745">
        <f>[3]東大阪!$I$45</f>
        <v>0</v>
      </c>
      <c r="K45" s="9">
        <f t="shared" si="20"/>
        <v>0</v>
      </c>
      <c r="L45" s="362">
        <f>[3]東大阪!$L$45</f>
        <v>0</v>
      </c>
      <c r="M45" s="124">
        <f t="shared" si="37"/>
        <v>0</v>
      </c>
      <c r="N45" s="403">
        <f>[3]南港工場!$I$45</f>
        <v>0</v>
      </c>
      <c r="O45" s="9">
        <f t="shared" si="41"/>
        <v>0</v>
      </c>
      <c r="P45" s="362">
        <f>[3]南港工場!$L$45</f>
        <v>0</v>
      </c>
      <c r="Q45" s="204">
        <f t="shared" si="42"/>
        <v>0</v>
      </c>
      <c r="R45" s="437">
        <f>[3]南港事務!$I$45</f>
        <v>0</v>
      </c>
      <c r="S45" s="9" t="str">
        <f t="shared" si="43"/>
        <v/>
      </c>
      <c r="T45" s="362">
        <f>[3]南港事務!$L$45</f>
        <v>0</v>
      </c>
      <c r="U45" s="204" t="str">
        <f t="shared" si="44"/>
        <v/>
      </c>
      <c r="V45" s="456">
        <f t="shared" si="21"/>
        <v>0</v>
      </c>
      <c r="W45" s="171">
        <f t="shared" si="45"/>
        <v>0</v>
      </c>
      <c r="X45" s="426">
        <f t="shared" si="22"/>
        <v>0</v>
      </c>
      <c r="Y45" s="225">
        <f t="shared" si="46"/>
        <v>0</v>
      </c>
      <c r="Z45" s="460">
        <f t="shared" si="23"/>
        <v>0</v>
      </c>
      <c r="AA45" s="189">
        <f t="shared" si="47"/>
        <v>0</v>
      </c>
      <c r="AB45" s="564">
        <f t="shared" si="24"/>
        <v>0</v>
      </c>
      <c r="AC45" s="123">
        <f t="shared" si="48"/>
        <v>0</v>
      </c>
      <c r="AD45" s="352">
        <f>[3]東京事務!$I$45</f>
        <v>0</v>
      </c>
      <c r="AE45" s="9">
        <f t="shared" si="49"/>
        <v>0</v>
      </c>
      <c r="AF45" s="362">
        <f>[3]東京事務!$L$45</f>
        <v>0</v>
      </c>
      <c r="AG45" s="81">
        <f t="shared" si="50"/>
        <v>0</v>
      </c>
      <c r="AH45" s="388">
        <f>[3]東京工場!$I$45</f>
        <v>0</v>
      </c>
      <c r="AI45" s="171">
        <f t="shared" si="25"/>
        <v>0</v>
      </c>
      <c r="AJ45" s="362">
        <f>[3]東京工場!$L$45</f>
        <v>0</v>
      </c>
      <c r="AK45" s="99">
        <f t="shared" si="36"/>
        <v>0</v>
      </c>
      <c r="AL45" s="547">
        <f t="shared" si="26"/>
        <v>0</v>
      </c>
      <c r="AM45" s="314">
        <f t="shared" si="51"/>
        <v>0</v>
      </c>
      <c r="AN45" s="478">
        <f t="shared" si="27"/>
        <v>0</v>
      </c>
      <c r="AO45" s="123">
        <f t="shared" si="52"/>
        <v>0</v>
      </c>
      <c r="AP45" s="527">
        <f t="shared" si="28"/>
        <v>0</v>
      </c>
      <c r="AQ45" s="284">
        <f t="shared" si="53"/>
        <v>0</v>
      </c>
      <c r="AR45" s="487">
        <f t="shared" si="29"/>
        <v>0</v>
      </c>
      <c r="AS45" s="285">
        <f t="shared" si="54"/>
        <v>0</v>
      </c>
      <c r="AT45" s="584">
        <f>[3]全社合計!$G$45</f>
        <v>0</v>
      </c>
      <c r="AU45" s="124">
        <f t="shared" si="30"/>
        <v>0</v>
      </c>
      <c r="AV45" s="578">
        <f>[3]全社合計!$N$45</f>
        <v>0</v>
      </c>
      <c r="AW45" s="125">
        <f t="shared" si="31"/>
        <v>0</v>
      </c>
      <c r="AX45" s="584">
        <f t="shared" si="32"/>
        <v>0</v>
      </c>
      <c r="AY45" s="124" t="str">
        <f t="shared" si="33"/>
        <v/>
      </c>
      <c r="AZ45" s="578">
        <f t="shared" si="34"/>
        <v>0</v>
      </c>
      <c r="BA45" s="125" t="str">
        <f t="shared" si="35"/>
        <v/>
      </c>
      <c r="BB45" s="11"/>
    </row>
    <row r="46" spans="1:54" ht="15.95" customHeight="1">
      <c r="A46" s="36" t="s">
        <v>38</v>
      </c>
      <c r="B46" s="704">
        <f>[3]本部!$I$46</f>
        <v>10000</v>
      </c>
      <c r="C46" s="260" t="str">
        <f t="shared" si="38"/>
        <v/>
      </c>
      <c r="D46" s="729">
        <f>[3]本部!$L$46</f>
        <v>50000</v>
      </c>
      <c r="E46" s="126" t="str">
        <f t="shared" si="39"/>
        <v/>
      </c>
      <c r="F46" s="353">
        <f>[3]本社営業!$I$46</f>
        <v>0</v>
      </c>
      <c r="G46" s="12">
        <f t="shared" si="40"/>
        <v>0</v>
      </c>
      <c r="H46" s="362">
        <f>[3]本社営業!$L$46</f>
        <v>11000</v>
      </c>
      <c r="I46" s="128">
        <f t="shared" si="19"/>
        <v>7.3293798121138934E-6</v>
      </c>
      <c r="J46" s="746">
        <f>[3]東大阪!$I$46</f>
        <v>0</v>
      </c>
      <c r="K46" s="12">
        <f t="shared" si="20"/>
        <v>0</v>
      </c>
      <c r="L46" s="362">
        <f>[3]東大阪!$L$46</f>
        <v>0</v>
      </c>
      <c r="M46" s="128">
        <f t="shared" si="37"/>
        <v>0</v>
      </c>
      <c r="N46" s="403">
        <f>[3]南港工場!$I$46</f>
        <v>0</v>
      </c>
      <c r="O46" s="12">
        <f t="shared" si="41"/>
        <v>0</v>
      </c>
      <c r="P46" s="362">
        <f>[3]南港工場!$L$46</f>
        <v>0</v>
      </c>
      <c r="Q46" s="205">
        <f t="shared" si="42"/>
        <v>0</v>
      </c>
      <c r="R46" s="438">
        <f>[3]南港事務!$I$46</f>
        <v>0</v>
      </c>
      <c r="S46" s="12" t="str">
        <f t="shared" si="43"/>
        <v/>
      </c>
      <c r="T46" s="362">
        <f>[3]南港事務!$L$46</f>
        <v>0</v>
      </c>
      <c r="U46" s="205" t="str">
        <f t="shared" si="44"/>
        <v/>
      </c>
      <c r="V46" s="457">
        <f t="shared" si="21"/>
        <v>0</v>
      </c>
      <c r="W46" s="172">
        <f t="shared" si="45"/>
        <v>0</v>
      </c>
      <c r="X46" s="427">
        <f t="shared" si="22"/>
        <v>0</v>
      </c>
      <c r="Y46" s="226">
        <f t="shared" si="46"/>
        <v>0</v>
      </c>
      <c r="Z46" s="461">
        <f t="shared" si="23"/>
        <v>0</v>
      </c>
      <c r="AA46" s="190">
        <f t="shared" si="47"/>
        <v>0</v>
      </c>
      <c r="AB46" s="565">
        <f t="shared" si="24"/>
        <v>11000</v>
      </c>
      <c r="AC46" s="127">
        <f t="shared" si="48"/>
        <v>6.8626229549718147E-6</v>
      </c>
      <c r="AD46" s="353">
        <f>[3]東京事務!$I$46</f>
        <v>0</v>
      </c>
      <c r="AE46" s="12">
        <f t="shared" si="49"/>
        <v>0</v>
      </c>
      <c r="AF46" s="362">
        <f>[3]東京事務!$L$46</f>
        <v>0</v>
      </c>
      <c r="AG46" s="82">
        <f t="shared" si="50"/>
        <v>0</v>
      </c>
      <c r="AH46" s="389">
        <f>[3]東京工場!$I$46</f>
        <v>0</v>
      </c>
      <c r="AI46" s="172">
        <f t="shared" si="25"/>
        <v>0</v>
      </c>
      <c r="AJ46" s="362">
        <f>[3]東京工場!$L$46</f>
        <v>0</v>
      </c>
      <c r="AK46" s="100">
        <f t="shared" si="36"/>
        <v>0</v>
      </c>
      <c r="AL46" s="548">
        <f t="shared" si="26"/>
        <v>0</v>
      </c>
      <c r="AM46" s="315">
        <f t="shared" si="51"/>
        <v>0</v>
      </c>
      <c r="AN46" s="479">
        <f t="shared" si="27"/>
        <v>0</v>
      </c>
      <c r="AO46" s="127">
        <f t="shared" si="52"/>
        <v>0</v>
      </c>
      <c r="AP46" s="528">
        <f t="shared" si="28"/>
        <v>10000</v>
      </c>
      <c r="AQ46" s="286">
        <f t="shared" si="53"/>
        <v>1.4096135738772927E-5</v>
      </c>
      <c r="AR46" s="488">
        <f t="shared" si="29"/>
        <v>61000</v>
      </c>
      <c r="AS46" s="287">
        <f t="shared" si="54"/>
        <v>2.598249765119073E-5</v>
      </c>
      <c r="AT46" s="585">
        <f>[3]全社合計!$G$46</f>
        <v>16100</v>
      </c>
      <c r="AU46" s="128">
        <f t="shared" si="30"/>
        <v>2.0243079883967319E-5</v>
      </c>
      <c r="AV46" s="579">
        <f>[3]全社合計!$N$46</f>
        <v>56100</v>
      </c>
      <c r="AW46" s="129">
        <f t="shared" si="31"/>
        <v>2.0812890442103336E-5</v>
      </c>
      <c r="AX46" s="585">
        <f t="shared" si="32"/>
        <v>-6100</v>
      </c>
      <c r="AY46" s="128">
        <f t="shared" si="33"/>
        <v>0.6211180124223602</v>
      </c>
      <c r="AZ46" s="579">
        <f t="shared" si="34"/>
        <v>4900</v>
      </c>
      <c r="BA46" s="129">
        <f t="shared" si="35"/>
        <v>1.0873440285204992</v>
      </c>
      <c r="BB46" s="11"/>
    </row>
    <row r="47" spans="1:54" ht="19.899999999999999" customHeight="1">
      <c r="A47" s="62" t="s">
        <v>39</v>
      </c>
      <c r="B47" s="708">
        <f>SUM(B19:B46)</f>
        <v>9947542</v>
      </c>
      <c r="C47" s="141" t="str">
        <f t="shared" si="38"/>
        <v/>
      </c>
      <c r="D47" s="401">
        <f>SUM(D19:D46)</f>
        <v>27182342</v>
      </c>
      <c r="E47" s="139" t="str">
        <f t="shared" si="39"/>
        <v/>
      </c>
      <c r="F47" s="466">
        <f>SUM(F19:F46)</f>
        <v>31592379</v>
      </c>
      <c r="G47" s="64">
        <f t="shared" si="40"/>
        <v>7.0865462544139224E-2</v>
      </c>
      <c r="H47" s="359">
        <f>SUM(H19:H46)</f>
        <v>87585067</v>
      </c>
      <c r="I47" s="141">
        <f t="shared" si="19"/>
        <v>5.8358565628403893E-2</v>
      </c>
      <c r="J47" s="747">
        <f>SUM(J19:J46)</f>
        <v>7226300</v>
      </c>
      <c r="K47" s="64">
        <f t="shared" si="20"/>
        <v>0.95910781458585015</v>
      </c>
      <c r="L47" s="359">
        <f>SUM(L19:L46)</f>
        <v>19643664</v>
      </c>
      <c r="M47" s="141">
        <f t="shared" si="37"/>
        <v>0.76159997196097939</v>
      </c>
      <c r="N47" s="405">
        <f>SUM(N19:N46)</f>
        <v>18143641</v>
      </c>
      <c r="O47" s="64">
        <f t="shared" si="41"/>
        <v>0.89620435325652548</v>
      </c>
      <c r="P47" s="359">
        <f>SUM(P19:P46)</f>
        <v>48328414</v>
      </c>
      <c r="Q47" s="177">
        <f t="shared" si="42"/>
        <v>0.63353332870238876</v>
      </c>
      <c r="R47" s="442">
        <f>SUM(R19:R46)</f>
        <v>4177698</v>
      </c>
      <c r="S47" s="64" t="str">
        <f t="shared" si="43"/>
        <v/>
      </c>
      <c r="T47" s="359">
        <f>SUM(T19:T46)</f>
        <v>12377115</v>
      </c>
      <c r="U47" s="209" t="str">
        <f t="shared" si="44"/>
        <v/>
      </c>
      <c r="V47" s="458">
        <f t="shared" si="21"/>
        <v>22321339</v>
      </c>
      <c r="W47" s="177">
        <f t="shared" si="45"/>
        <v>1.1025615631567369</v>
      </c>
      <c r="X47" s="428">
        <f t="shared" si="22"/>
        <v>60705529</v>
      </c>
      <c r="Y47" s="230">
        <f t="shared" si="46"/>
        <v>0.79578394312731626</v>
      </c>
      <c r="Z47" s="458">
        <f t="shared" si="23"/>
        <v>61140018</v>
      </c>
      <c r="AA47" s="194">
        <f t="shared" si="47"/>
        <v>0.12909980470482413</v>
      </c>
      <c r="AB47" s="428">
        <f t="shared" si="24"/>
        <v>167934260</v>
      </c>
      <c r="AC47" s="140">
        <f t="shared" si="48"/>
        <v>0.1047699552365641</v>
      </c>
      <c r="AD47" s="466">
        <f>SUM(AD19:AD46)</f>
        <v>12311687</v>
      </c>
      <c r="AE47" s="64">
        <f t="shared" si="49"/>
        <v>5.4232328568449319E-2</v>
      </c>
      <c r="AF47" s="359">
        <f>SUM(AF19:AF46)</f>
        <v>35917828</v>
      </c>
      <c r="AG47" s="141">
        <f t="shared" si="50"/>
        <v>5.0188024904412647E-2</v>
      </c>
      <c r="AH47" s="560">
        <f>SUM(AH19:AH46)</f>
        <v>7990574</v>
      </c>
      <c r="AI47" s="177">
        <f t="shared" si="25"/>
        <v>0.90703337393312045</v>
      </c>
      <c r="AJ47" s="359">
        <f>SUM(AJ19:AJ46)</f>
        <v>23034765</v>
      </c>
      <c r="AK47" s="105">
        <f t="shared" si="36"/>
        <v>0.78931348078597441</v>
      </c>
      <c r="AL47" s="549">
        <f t="shared" si="26"/>
        <v>20302261</v>
      </c>
      <c r="AM47" s="319">
        <f t="shared" si="51"/>
        <v>8.6089616569783103E-2</v>
      </c>
      <c r="AN47" s="480">
        <f t="shared" si="27"/>
        <v>58952593</v>
      </c>
      <c r="AO47" s="140">
        <f t="shared" si="52"/>
        <v>7.9147082446056255E-2</v>
      </c>
      <c r="AP47" s="529">
        <f t="shared" si="28"/>
        <v>91389821</v>
      </c>
      <c r="AQ47" s="141">
        <f t="shared" si="53"/>
        <v>0.12882433219581607</v>
      </c>
      <c r="AR47" s="428">
        <f t="shared" si="29"/>
        <v>254069195</v>
      </c>
      <c r="AS47" s="140">
        <f t="shared" si="54"/>
        <v>0.10821888954635114</v>
      </c>
      <c r="AT47" s="529">
        <f>SUM(AT19:AT46)</f>
        <v>90178672</v>
      </c>
      <c r="AU47" s="141">
        <f t="shared" si="30"/>
        <v>0.11338472429354578</v>
      </c>
      <c r="AV47" s="410">
        <f>SUM(AV19:AV46)</f>
        <v>249277255</v>
      </c>
      <c r="AW47" s="140">
        <f t="shared" si="31"/>
        <v>9.2480930446047341E-2</v>
      </c>
      <c r="AX47" s="529">
        <f t="shared" si="32"/>
        <v>1211149</v>
      </c>
      <c r="AY47" s="141">
        <f t="shared" si="33"/>
        <v>1.0134305481899313</v>
      </c>
      <c r="AZ47" s="410">
        <f t="shared" si="34"/>
        <v>4791940</v>
      </c>
      <c r="BA47" s="140">
        <f t="shared" si="35"/>
        <v>1.0192233342749222</v>
      </c>
      <c r="BB47" s="14"/>
    </row>
    <row r="48" spans="1:54" ht="19.899999999999999" customHeight="1">
      <c r="A48" s="55" t="s">
        <v>40</v>
      </c>
      <c r="B48" s="709">
        <f>+B18-B47</f>
        <v>-9947542</v>
      </c>
      <c r="C48" s="138" t="str">
        <f t="shared" si="38"/>
        <v/>
      </c>
      <c r="D48" s="376">
        <f>D18-D47</f>
        <v>-27182342</v>
      </c>
      <c r="E48" s="136" t="str">
        <f t="shared" si="39"/>
        <v/>
      </c>
      <c r="F48" s="375">
        <f>F18-F47</f>
        <v>31125244</v>
      </c>
      <c r="G48" s="56">
        <f t="shared" si="40"/>
        <v>6.9817623195112782E-2</v>
      </c>
      <c r="H48" s="376">
        <f>H18-H47</f>
        <v>120460052</v>
      </c>
      <c r="I48" s="138">
        <f t="shared" si="19"/>
        <v>8.0263406663180895E-2</v>
      </c>
      <c r="J48" s="374">
        <f>J18-J47</f>
        <v>-172845</v>
      </c>
      <c r="K48" s="56">
        <f t="shared" si="20"/>
        <v>-2.2940784386489804E-2</v>
      </c>
      <c r="L48" s="376">
        <f>L18-L47</f>
        <v>4608724</v>
      </c>
      <c r="M48" s="138">
        <f t="shared" si="37"/>
        <v>0.17868377656917228</v>
      </c>
      <c r="N48" s="412">
        <f>N18-N47</f>
        <v>892341</v>
      </c>
      <c r="O48" s="56">
        <f t="shared" si="41"/>
        <v>4.4077144647498331E-2</v>
      </c>
      <c r="P48" s="376">
        <f>P18-P47</f>
        <v>22774571</v>
      </c>
      <c r="Q48" s="176">
        <f t="shared" si="42"/>
        <v>0.29855003674233732</v>
      </c>
      <c r="R48" s="443">
        <f>R18-R47</f>
        <v>-4177698</v>
      </c>
      <c r="S48" s="56" t="str">
        <f t="shared" si="43"/>
        <v/>
      </c>
      <c r="T48" s="376">
        <f>T18-T47</f>
        <v>-12377115</v>
      </c>
      <c r="U48" s="208" t="str">
        <f t="shared" si="44"/>
        <v/>
      </c>
      <c r="V48" s="490">
        <f t="shared" si="21"/>
        <v>-3285357</v>
      </c>
      <c r="W48" s="176">
        <f t="shared" si="45"/>
        <v>-0.16228006525271299</v>
      </c>
      <c r="X48" s="424">
        <f t="shared" si="22"/>
        <v>10397456</v>
      </c>
      <c r="Y48" s="229">
        <f t="shared" si="46"/>
        <v>0.13629942231740988</v>
      </c>
      <c r="Z48" s="490">
        <f t="shared" si="23"/>
        <v>27667042</v>
      </c>
      <c r="AA48" s="193">
        <f t="shared" si="47"/>
        <v>5.8420161390207101E-2</v>
      </c>
      <c r="AB48" s="424">
        <f t="shared" si="24"/>
        <v>135466232</v>
      </c>
      <c r="AC48" s="137">
        <f t="shared" si="48"/>
        <v>8.4513970304248856E-2</v>
      </c>
      <c r="AD48" s="375">
        <f>AD18-AD47</f>
        <v>9012880</v>
      </c>
      <c r="AE48" s="56">
        <f t="shared" si="49"/>
        <v>3.9701258609645088E-2</v>
      </c>
      <c r="AF48" s="376">
        <f>AF18-AF47</f>
        <v>26251213</v>
      </c>
      <c r="AG48" s="138">
        <f t="shared" si="50"/>
        <v>3.6680851966189081E-2</v>
      </c>
      <c r="AH48" s="398">
        <f>AH18-AH47</f>
        <v>818996</v>
      </c>
      <c r="AI48" s="176">
        <f t="shared" si="25"/>
        <v>9.296662606687954E-2</v>
      </c>
      <c r="AJ48" s="376">
        <f>AJ18-AJ47</f>
        <v>6148526</v>
      </c>
      <c r="AK48" s="104">
        <f t="shared" si="36"/>
        <v>0.21068651921402559</v>
      </c>
      <c r="AL48" s="545">
        <f t="shared" si="26"/>
        <v>9831876</v>
      </c>
      <c r="AM48" s="318">
        <f t="shared" si="51"/>
        <v>4.1691042933673879E-2</v>
      </c>
      <c r="AN48" s="537">
        <f t="shared" si="27"/>
        <v>32399739</v>
      </c>
      <c r="AO48" s="137">
        <f t="shared" si="52"/>
        <v>4.3498422772747319E-2</v>
      </c>
      <c r="AP48" s="525">
        <f t="shared" si="28"/>
        <v>27551376</v>
      </c>
      <c r="AQ48" s="305">
        <f t="shared" si="53"/>
        <v>3.8836793588597068E-2</v>
      </c>
      <c r="AR48" s="517">
        <f t="shared" si="29"/>
        <v>140683629</v>
      </c>
      <c r="AS48" s="304">
        <f t="shared" si="54"/>
        <v>5.992314852546702E-2</v>
      </c>
      <c r="AT48" s="582">
        <f>AT18-AT47</f>
        <v>38303919</v>
      </c>
      <c r="AU48" s="138">
        <f t="shared" si="30"/>
        <v>4.8160825601615755E-2</v>
      </c>
      <c r="AV48" s="597">
        <f>AV18-AV47</f>
        <v>173629614</v>
      </c>
      <c r="AW48" s="137">
        <f t="shared" si="31"/>
        <v>6.4415938211883975E-2</v>
      </c>
      <c r="AX48" s="582">
        <f t="shared" si="32"/>
        <v>-10752543</v>
      </c>
      <c r="AY48" s="138">
        <f t="shared" si="33"/>
        <v>0.71928347592840303</v>
      </c>
      <c r="AZ48" s="597">
        <f t="shared" si="34"/>
        <v>-32945985</v>
      </c>
      <c r="BA48" s="137">
        <f t="shared" si="35"/>
        <v>0.8102513491736496</v>
      </c>
      <c r="BB48" s="11"/>
    </row>
    <row r="49" spans="1:54" ht="15.95" customHeight="1">
      <c r="A49" s="37" t="s">
        <v>41</v>
      </c>
      <c r="B49" s="710">
        <f>[3]本部!$I$49</f>
        <v>2916723</v>
      </c>
      <c r="C49" s="258" t="str">
        <f t="shared" si="38"/>
        <v/>
      </c>
      <c r="D49" s="727">
        <f>[3]本部!$L$49</f>
        <v>5542800</v>
      </c>
      <c r="E49" s="118" t="str">
        <f t="shared" si="39"/>
        <v/>
      </c>
      <c r="F49" s="351">
        <f>[3]本社営業!$I$49</f>
        <v>0</v>
      </c>
      <c r="G49" s="7">
        <f t="shared" si="40"/>
        <v>0</v>
      </c>
      <c r="H49" s="364">
        <f>[3]本社営業!$L$49</f>
        <v>0</v>
      </c>
      <c r="I49" s="120">
        <f t="shared" si="19"/>
        <v>0</v>
      </c>
      <c r="J49" s="744">
        <f>[3]東大阪!$I$49</f>
        <v>0</v>
      </c>
      <c r="K49" s="7">
        <f t="shared" si="20"/>
        <v>0</v>
      </c>
      <c r="L49" s="364">
        <f>[3]東大阪!$L$49</f>
        <v>0</v>
      </c>
      <c r="M49" s="120">
        <f t="shared" si="37"/>
        <v>0</v>
      </c>
      <c r="N49" s="402">
        <f>[3]南港工場!$I$49</f>
        <v>0</v>
      </c>
      <c r="O49" s="7">
        <f t="shared" si="41"/>
        <v>0</v>
      </c>
      <c r="P49" s="364">
        <f>[3]南港工場!$L$49</f>
        <v>0</v>
      </c>
      <c r="Q49" s="174">
        <f t="shared" si="42"/>
        <v>0</v>
      </c>
      <c r="R49" s="444">
        <f>[3]南港事務!$I$49</f>
        <v>0</v>
      </c>
      <c r="S49" s="7" t="str">
        <f t="shared" si="43"/>
        <v/>
      </c>
      <c r="T49" s="364">
        <f>[3]南港事務!$L$49</f>
        <v>0</v>
      </c>
      <c r="U49" s="203" t="str">
        <f t="shared" si="44"/>
        <v/>
      </c>
      <c r="V49" s="455">
        <f t="shared" si="21"/>
        <v>0</v>
      </c>
      <c r="W49" s="174">
        <f t="shared" si="45"/>
        <v>0</v>
      </c>
      <c r="X49" s="429">
        <f t="shared" si="22"/>
        <v>0</v>
      </c>
      <c r="Y49" s="224">
        <f t="shared" si="46"/>
        <v>0</v>
      </c>
      <c r="Z49" s="459">
        <f t="shared" si="23"/>
        <v>0</v>
      </c>
      <c r="AA49" s="188">
        <f t="shared" si="47"/>
        <v>0</v>
      </c>
      <c r="AB49" s="563">
        <f t="shared" si="24"/>
        <v>0</v>
      </c>
      <c r="AC49" s="119">
        <f t="shared" si="48"/>
        <v>0</v>
      </c>
      <c r="AD49" s="351">
        <f>[3]東京事務!$I$49</f>
        <v>2936</v>
      </c>
      <c r="AE49" s="7">
        <f t="shared" si="49"/>
        <v>1.2932924356911217E-5</v>
      </c>
      <c r="AF49" s="364">
        <f>[3]東京事務!$L$49</f>
        <v>2936</v>
      </c>
      <c r="AG49" s="80">
        <f t="shared" si="50"/>
        <v>4.1024763835762989E-6</v>
      </c>
      <c r="AH49" s="387">
        <f>[3]東京工場!$I$49</f>
        <v>0</v>
      </c>
      <c r="AI49" s="174">
        <f t="shared" si="25"/>
        <v>0</v>
      </c>
      <c r="AJ49" s="364">
        <f>[3]東京工場!$L$49</f>
        <v>0</v>
      </c>
      <c r="AK49" s="102">
        <f t="shared" si="36"/>
        <v>0</v>
      </c>
      <c r="AL49" s="546">
        <f t="shared" si="26"/>
        <v>2936</v>
      </c>
      <c r="AM49" s="313">
        <f t="shared" si="51"/>
        <v>1.2449801243757195E-5</v>
      </c>
      <c r="AN49" s="477">
        <f t="shared" si="27"/>
        <v>2936</v>
      </c>
      <c r="AO49" s="119">
        <f t="shared" si="52"/>
        <v>3.9417406807130798E-6</v>
      </c>
      <c r="AP49" s="526">
        <f t="shared" si="28"/>
        <v>2919659</v>
      </c>
      <c r="AQ49" s="282">
        <f t="shared" si="53"/>
        <v>4.115590957493003E-3</v>
      </c>
      <c r="AR49" s="486">
        <f t="shared" si="29"/>
        <v>5545736</v>
      </c>
      <c r="AS49" s="283">
        <f t="shared" si="54"/>
        <v>2.3621651244938339E-3</v>
      </c>
      <c r="AT49" s="586">
        <f>[3]全社合計!$G$49</f>
        <v>2586300</v>
      </c>
      <c r="AU49" s="120">
        <f t="shared" si="30"/>
        <v>3.2518433232238933E-3</v>
      </c>
      <c r="AV49" s="577">
        <f>[3]全社合計!$N$49</f>
        <v>4701234</v>
      </c>
      <c r="AW49" s="121">
        <f t="shared" si="31"/>
        <v>1.7441402528465459E-3</v>
      </c>
      <c r="AX49" s="586">
        <f t="shared" si="32"/>
        <v>333359</v>
      </c>
      <c r="AY49" s="120">
        <f t="shared" si="33"/>
        <v>1.1288941731431001</v>
      </c>
      <c r="AZ49" s="577">
        <f t="shared" si="34"/>
        <v>844502</v>
      </c>
      <c r="BA49" s="121">
        <f t="shared" si="35"/>
        <v>1.1796341130860535</v>
      </c>
      <c r="BB49" s="11"/>
    </row>
    <row r="50" spans="1:54" ht="15.95" customHeight="1">
      <c r="A50" s="37" t="s">
        <v>42</v>
      </c>
      <c r="B50" s="703">
        <f>[3]本部!$I$50</f>
        <v>0</v>
      </c>
      <c r="C50" s="259" t="str">
        <f t="shared" si="38"/>
        <v/>
      </c>
      <c r="D50" s="728">
        <f>[3]本部!$L$50</f>
        <v>0</v>
      </c>
      <c r="E50" s="122" t="str">
        <f t="shared" si="39"/>
        <v/>
      </c>
      <c r="F50" s="352">
        <f>[3]本社営業!$I$50</f>
        <v>0</v>
      </c>
      <c r="G50" s="9">
        <f t="shared" si="40"/>
        <v>0</v>
      </c>
      <c r="H50" s="362">
        <f>[3]本社営業!$L$50</f>
        <v>0</v>
      </c>
      <c r="I50" s="124">
        <f t="shared" si="19"/>
        <v>0</v>
      </c>
      <c r="J50" s="745">
        <f>[3]東大阪!$I$50</f>
        <v>0</v>
      </c>
      <c r="K50" s="9">
        <f t="shared" si="20"/>
        <v>0</v>
      </c>
      <c r="L50" s="362">
        <f>[3]東大阪!$L$50</f>
        <v>0</v>
      </c>
      <c r="M50" s="124">
        <f t="shared" si="37"/>
        <v>0</v>
      </c>
      <c r="N50" s="403">
        <f>[3]南港工場!$I$50</f>
        <v>0</v>
      </c>
      <c r="O50" s="9">
        <f t="shared" si="41"/>
        <v>0</v>
      </c>
      <c r="P50" s="362">
        <f>[3]南港工場!$L$50</f>
        <v>0</v>
      </c>
      <c r="Q50" s="171">
        <f t="shared" si="42"/>
        <v>0</v>
      </c>
      <c r="R50" s="445">
        <f>[3]南港事務!$I$50</f>
        <v>0</v>
      </c>
      <c r="S50" s="9" t="str">
        <f t="shared" si="43"/>
        <v/>
      </c>
      <c r="T50" s="362">
        <f>[3]南港事務!$L$50</f>
        <v>0</v>
      </c>
      <c r="U50" s="204" t="str">
        <f t="shared" si="44"/>
        <v/>
      </c>
      <c r="V50" s="456">
        <f t="shared" si="21"/>
        <v>0</v>
      </c>
      <c r="W50" s="171">
        <f t="shared" si="45"/>
        <v>0</v>
      </c>
      <c r="X50" s="426">
        <f t="shared" si="22"/>
        <v>0</v>
      </c>
      <c r="Y50" s="225">
        <f t="shared" si="46"/>
        <v>0</v>
      </c>
      <c r="Z50" s="460">
        <f t="shared" si="23"/>
        <v>0</v>
      </c>
      <c r="AA50" s="189">
        <f t="shared" si="47"/>
        <v>0</v>
      </c>
      <c r="AB50" s="564">
        <f t="shared" si="24"/>
        <v>0</v>
      </c>
      <c r="AC50" s="123">
        <f t="shared" si="48"/>
        <v>0</v>
      </c>
      <c r="AD50" s="352">
        <f>[3]東京事務!$I$50</f>
        <v>0</v>
      </c>
      <c r="AE50" s="9">
        <f t="shared" si="49"/>
        <v>0</v>
      </c>
      <c r="AF50" s="362">
        <f>[3]東京事務!$L$50</f>
        <v>0</v>
      </c>
      <c r="AG50" s="81">
        <f t="shared" si="50"/>
        <v>0</v>
      </c>
      <c r="AH50" s="388">
        <f>[3]東京工場!$I$50</f>
        <v>0</v>
      </c>
      <c r="AI50" s="171">
        <f t="shared" si="25"/>
        <v>0</v>
      </c>
      <c r="AJ50" s="362">
        <f>[3]東京工場!$L$50</f>
        <v>0</v>
      </c>
      <c r="AK50" s="99">
        <f t="shared" si="36"/>
        <v>0</v>
      </c>
      <c r="AL50" s="547">
        <f t="shared" si="26"/>
        <v>0</v>
      </c>
      <c r="AM50" s="314">
        <f t="shared" si="51"/>
        <v>0</v>
      </c>
      <c r="AN50" s="478">
        <f t="shared" si="27"/>
        <v>0</v>
      </c>
      <c r="AO50" s="123">
        <f t="shared" si="52"/>
        <v>0</v>
      </c>
      <c r="AP50" s="527">
        <f t="shared" si="28"/>
        <v>0</v>
      </c>
      <c r="AQ50" s="284">
        <f t="shared" si="53"/>
        <v>0</v>
      </c>
      <c r="AR50" s="487">
        <f t="shared" si="29"/>
        <v>0</v>
      </c>
      <c r="AS50" s="285">
        <f t="shared" si="54"/>
        <v>0</v>
      </c>
      <c r="AT50" s="584">
        <f>[3]全社合計!$G$50</f>
        <v>0</v>
      </c>
      <c r="AU50" s="124">
        <f t="shared" si="30"/>
        <v>0</v>
      </c>
      <c r="AV50" s="578">
        <f>[3]全社合計!$N$50</f>
        <v>1065084</v>
      </c>
      <c r="AW50" s="125">
        <f t="shared" si="31"/>
        <v>3.9514218544807819E-4</v>
      </c>
      <c r="AX50" s="584">
        <f t="shared" si="32"/>
        <v>0</v>
      </c>
      <c r="AY50" s="124" t="str">
        <f t="shared" si="33"/>
        <v/>
      </c>
      <c r="AZ50" s="578">
        <f t="shared" si="34"/>
        <v>-1065084</v>
      </c>
      <c r="BA50" s="125">
        <f t="shared" si="35"/>
        <v>0</v>
      </c>
      <c r="BB50" s="11"/>
    </row>
    <row r="51" spans="1:54" ht="15.95" customHeight="1">
      <c r="A51" s="37" t="s">
        <v>43</v>
      </c>
      <c r="B51" s="703">
        <f>[3]本部!$I$51</f>
        <v>1063000</v>
      </c>
      <c r="C51" s="259" t="str">
        <f t="shared" si="38"/>
        <v/>
      </c>
      <c r="D51" s="728">
        <f>[3]本部!$L$51</f>
        <v>3189000</v>
      </c>
      <c r="E51" s="122" t="str">
        <f t="shared" si="39"/>
        <v/>
      </c>
      <c r="F51" s="352">
        <f>[3]本社営業!$I$51</f>
        <v>0</v>
      </c>
      <c r="G51" s="9">
        <f t="shared" si="40"/>
        <v>0</v>
      </c>
      <c r="H51" s="362">
        <f>[3]本社営業!$L$51</f>
        <v>0</v>
      </c>
      <c r="I51" s="124">
        <f t="shared" si="19"/>
        <v>0</v>
      </c>
      <c r="J51" s="745">
        <f>[3]東大阪!$I$51</f>
        <v>850000</v>
      </c>
      <c r="K51" s="9">
        <f t="shared" si="20"/>
        <v>0.11281591442342175</v>
      </c>
      <c r="L51" s="362">
        <f>[3]東大阪!$L$51</f>
        <v>2550000</v>
      </c>
      <c r="M51" s="124">
        <f t="shared" si="37"/>
        <v>9.8865462599059803E-2</v>
      </c>
      <c r="N51" s="403">
        <f>[3]南港工場!$I$51</f>
        <v>100000</v>
      </c>
      <c r="O51" s="9">
        <f t="shared" si="41"/>
        <v>4.9394956241502214E-3</v>
      </c>
      <c r="P51" s="362">
        <f>[3]南港工場!$L$51</f>
        <v>300000</v>
      </c>
      <c r="Q51" s="171">
        <f t="shared" si="42"/>
        <v>3.9326760983862752E-3</v>
      </c>
      <c r="R51" s="445">
        <f>[3]南港事務!$I$51</f>
        <v>0</v>
      </c>
      <c r="S51" s="9" t="str">
        <f t="shared" si="43"/>
        <v/>
      </c>
      <c r="T51" s="362">
        <f>[3]南港事務!$L$51</f>
        <v>0</v>
      </c>
      <c r="U51" s="204" t="str">
        <f t="shared" si="44"/>
        <v/>
      </c>
      <c r="V51" s="456">
        <f t="shared" si="21"/>
        <v>100000</v>
      </c>
      <c r="W51" s="171">
        <f t="shared" si="45"/>
        <v>4.9394956241502214E-3</v>
      </c>
      <c r="X51" s="426">
        <f t="shared" si="22"/>
        <v>300000</v>
      </c>
      <c r="Y51" s="225">
        <f t="shared" si="46"/>
        <v>3.9326760983862752E-3</v>
      </c>
      <c r="Z51" s="460">
        <f t="shared" si="23"/>
        <v>950000</v>
      </c>
      <c r="AA51" s="189">
        <f t="shared" si="47"/>
        <v>2.0059662800489026E-3</v>
      </c>
      <c r="AB51" s="564">
        <f t="shared" si="24"/>
        <v>2850000</v>
      </c>
      <c r="AC51" s="123">
        <f t="shared" si="48"/>
        <v>1.7780432201517883E-3</v>
      </c>
      <c r="AD51" s="352">
        <f>[3]東京事務!$I$51</f>
        <v>0</v>
      </c>
      <c r="AE51" s="9">
        <f t="shared" si="49"/>
        <v>0</v>
      </c>
      <c r="AF51" s="362">
        <f>[3]東京事務!$L$51</f>
        <v>0</v>
      </c>
      <c r="AG51" s="81">
        <f t="shared" si="50"/>
        <v>0</v>
      </c>
      <c r="AH51" s="388">
        <f>[3]東京工場!$I$51</f>
        <v>0</v>
      </c>
      <c r="AI51" s="171">
        <f t="shared" si="25"/>
        <v>0</v>
      </c>
      <c r="AJ51" s="362">
        <f>[3]東京工場!$L$51</f>
        <v>0</v>
      </c>
      <c r="AK51" s="99">
        <f t="shared" si="36"/>
        <v>0</v>
      </c>
      <c r="AL51" s="547">
        <f t="shared" si="26"/>
        <v>0</v>
      </c>
      <c r="AM51" s="314">
        <f t="shared" si="51"/>
        <v>0</v>
      </c>
      <c r="AN51" s="478">
        <f t="shared" si="27"/>
        <v>0</v>
      </c>
      <c r="AO51" s="123">
        <f t="shared" si="52"/>
        <v>0</v>
      </c>
      <c r="AP51" s="527">
        <f t="shared" si="28"/>
        <v>2013000</v>
      </c>
      <c r="AQ51" s="284">
        <f t="shared" si="53"/>
        <v>2.8375521242149904E-3</v>
      </c>
      <c r="AR51" s="487">
        <f t="shared" si="29"/>
        <v>6039000</v>
      </c>
      <c r="AS51" s="285">
        <f t="shared" si="54"/>
        <v>2.5722672674678825E-3</v>
      </c>
      <c r="AT51" s="584">
        <f>[3]全社合計!$G$51</f>
        <v>2013000</v>
      </c>
      <c r="AU51" s="124">
        <f t="shared" si="30"/>
        <v>2.5310136525730567E-3</v>
      </c>
      <c r="AV51" s="578">
        <f>[3]全社合計!$N$51</f>
        <v>5833000</v>
      </c>
      <c r="AW51" s="125">
        <f t="shared" si="31"/>
        <v>2.1640212112083554E-3</v>
      </c>
      <c r="AX51" s="584">
        <f t="shared" si="32"/>
        <v>0</v>
      </c>
      <c r="AY51" s="124">
        <f t="shared" si="33"/>
        <v>1</v>
      </c>
      <c r="AZ51" s="578">
        <f t="shared" si="34"/>
        <v>206000</v>
      </c>
      <c r="BA51" s="125">
        <f t="shared" si="35"/>
        <v>1.035316303788788</v>
      </c>
      <c r="BB51" s="11"/>
    </row>
    <row r="52" spans="1:54" ht="15.95" customHeight="1">
      <c r="A52" s="37" t="s">
        <v>44</v>
      </c>
      <c r="B52" s="703">
        <f>[3]本部!$I$52</f>
        <v>0</v>
      </c>
      <c r="C52" s="259" t="str">
        <f t="shared" si="38"/>
        <v/>
      </c>
      <c r="D52" s="728">
        <f>[3]本部!$L$52</f>
        <v>0</v>
      </c>
      <c r="E52" s="122" t="str">
        <f t="shared" si="39"/>
        <v/>
      </c>
      <c r="F52" s="352">
        <f>[3]本社営業!$I$52</f>
        <v>0</v>
      </c>
      <c r="G52" s="9">
        <f t="shared" si="40"/>
        <v>0</v>
      </c>
      <c r="H52" s="362">
        <f>[3]本社営業!$L$52</f>
        <v>0</v>
      </c>
      <c r="I52" s="124">
        <f t="shared" si="19"/>
        <v>0</v>
      </c>
      <c r="J52" s="745">
        <f>[3]東大阪!$I$52</f>
        <v>0</v>
      </c>
      <c r="K52" s="9">
        <f t="shared" si="20"/>
        <v>0</v>
      </c>
      <c r="L52" s="362">
        <f>[3]東大阪!$L$52</f>
        <v>0</v>
      </c>
      <c r="M52" s="124">
        <f t="shared" si="37"/>
        <v>0</v>
      </c>
      <c r="N52" s="403">
        <f>[3]南港工場!$I$52</f>
        <v>0</v>
      </c>
      <c r="O52" s="9">
        <f t="shared" si="41"/>
        <v>0</v>
      </c>
      <c r="P52" s="362">
        <f>[3]南港工場!$L$52</f>
        <v>0</v>
      </c>
      <c r="Q52" s="171">
        <f t="shared" si="42"/>
        <v>0</v>
      </c>
      <c r="R52" s="445">
        <f>[3]南港事務!$I$52</f>
        <v>0</v>
      </c>
      <c r="S52" s="9" t="str">
        <f t="shared" si="43"/>
        <v/>
      </c>
      <c r="T52" s="362">
        <f>[3]南港事務!$L$52</f>
        <v>0</v>
      </c>
      <c r="U52" s="204" t="str">
        <f t="shared" si="44"/>
        <v/>
      </c>
      <c r="V52" s="456">
        <f t="shared" si="21"/>
        <v>0</v>
      </c>
      <c r="W52" s="171">
        <f t="shared" si="45"/>
        <v>0</v>
      </c>
      <c r="X52" s="426">
        <f t="shared" si="22"/>
        <v>0</v>
      </c>
      <c r="Y52" s="225">
        <f t="shared" si="46"/>
        <v>0</v>
      </c>
      <c r="Z52" s="460">
        <f t="shared" si="23"/>
        <v>0</v>
      </c>
      <c r="AA52" s="189">
        <f t="shared" si="47"/>
        <v>0</v>
      </c>
      <c r="AB52" s="564">
        <f t="shared" si="24"/>
        <v>0</v>
      </c>
      <c r="AC52" s="123">
        <f t="shared" si="48"/>
        <v>0</v>
      </c>
      <c r="AD52" s="352">
        <f>[3]東京事務!$I$52</f>
        <v>0</v>
      </c>
      <c r="AE52" s="9">
        <f t="shared" si="49"/>
        <v>0</v>
      </c>
      <c r="AF52" s="362">
        <f>[3]東京事務!$L$52</f>
        <v>0</v>
      </c>
      <c r="AG52" s="81">
        <f t="shared" si="50"/>
        <v>0</v>
      </c>
      <c r="AH52" s="388">
        <f>[3]東京工場!$I$52</f>
        <v>0</v>
      </c>
      <c r="AI52" s="171">
        <f t="shared" si="25"/>
        <v>0</v>
      </c>
      <c r="AJ52" s="362">
        <f>[3]東京工場!$L$52</f>
        <v>0</v>
      </c>
      <c r="AK52" s="99">
        <f t="shared" si="36"/>
        <v>0</v>
      </c>
      <c r="AL52" s="547">
        <f t="shared" si="26"/>
        <v>0</v>
      </c>
      <c r="AM52" s="314">
        <f t="shared" si="51"/>
        <v>0</v>
      </c>
      <c r="AN52" s="478">
        <f t="shared" si="27"/>
        <v>0</v>
      </c>
      <c r="AO52" s="123">
        <f t="shared" si="52"/>
        <v>0</v>
      </c>
      <c r="AP52" s="527">
        <f t="shared" si="28"/>
        <v>0</v>
      </c>
      <c r="AQ52" s="284">
        <f t="shared" si="53"/>
        <v>0</v>
      </c>
      <c r="AR52" s="487">
        <f t="shared" si="29"/>
        <v>0</v>
      </c>
      <c r="AS52" s="285">
        <f t="shared" si="54"/>
        <v>0</v>
      </c>
      <c r="AT52" s="584">
        <f>[3]全社合計!$G$52</f>
        <v>0</v>
      </c>
      <c r="AU52" s="124">
        <f t="shared" si="30"/>
        <v>0</v>
      </c>
      <c r="AV52" s="578">
        <f>[3]全社合計!$N$52</f>
        <v>0</v>
      </c>
      <c r="AW52" s="125">
        <f t="shared" si="31"/>
        <v>0</v>
      </c>
      <c r="AX52" s="584">
        <f t="shared" si="32"/>
        <v>0</v>
      </c>
      <c r="AY52" s="124" t="str">
        <f t="shared" si="33"/>
        <v/>
      </c>
      <c r="AZ52" s="578">
        <f t="shared" si="34"/>
        <v>0</v>
      </c>
      <c r="BA52" s="125" t="str">
        <f t="shared" si="35"/>
        <v/>
      </c>
      <c r="BB52" s="11"/>
    </row>
    <row r="53" spans="1:54" ht="15.95" customHeight="1">
      <c r="A53" s="35" t="s">
        <v>45</v>
      </c>
      <c r="B53" s="704">
        <f>[3]本部!$I$53</f>
        <v>0</v>
      </c>
      <c r="C53" s="260" t="str">
        <f t="shared" si="38"/>
        <v/>
      </c>
      <c r="D53" s="729">
        <f>[3]本部!$L$53</f>
        <v>1129500</v>
      </c>
      <c r="E53" s="126" t="str">
        <f t="shared" si="39"/>
        <v/>
      </c>
      <c r="F53" s="353">
        <f>[3]本社営業!$I$53</f>
        <v>7688673</v>
      </c>
      <c r="G53" s="12">
        <f t="shared" si="40"/>
        <v>1.724660774978784E-2</v>
      </c>
      <c r="H53" s="363">
        <f>[3]本社営業!$L$53</f>
        <v>49525074</v>
      </c>
      <c r="I53" s="128">
        <f t="shared" si="19"/>
        <v>3.2998916142640611E-2</v>
      </c>
      <c r="J53" s="746">
        <f>[3]東大阪!$I$53</f>
        <v>50000</v>
      </c>
      <c r="K53" s="12">
        <f t="shared" si="20"/>
        <v>6.6362302602012797E-3</v>
      </c>
      <c r="L53" s="363">
        <f>[3]東大阪!$L$53</f>
        <v>150000</v>
      </c>
      <c r="M53" s="128">
        <f t="shared" si="37"/>
        <v>5.8156154470035181E-3</v>
      </c>
      <c r="N53" s="404">
        <f>[3]南港工場!$I$53</f>
        <v>27</v>
      </c>
      <c r="O53" s="12">
        <f t="shared" si="41"/>
        <v>1.3336638185205598E-6</v>
      </c>
      <c r="P53" s="363">
        <f>[3]南港工場!$L$53</f>
        <v>50</v>
      </c>
      <c r="Q53" s="172">
        <f t="shared" si="42"/>
        <v>6.5544601639771252E-7</v>
      </c>
      <c r="R53" s="446">
        <f>[3]南港事務!$I$53</f>
        <v>0</v>
      </c>
      <c r="S53" s="12" t="str">
        <f t="shared" si="43"/>
        <v/>
      </c>
      <c r="T53" s="363">
        <f>[3]南港事務!$L$53</f>
        <v>0</v>
      </c>
      <c r="U53" s="205" t="str">
        <f t="shared" si="44"/>
        <v/>
      </c>
      <c r="V53" s="457">
        <f t="shared" si="21"/>
        <v>27</v>
      </c>
      <c r="W53" s="172">
        <f t="shared" si="45"/>
        <v>1.3336638185205598E-6</v>
      </c>
      <c r="X53" s="427">
        <f t="shared" si="22"/>
        <v>50</v>
      </c>
      <c r="Y53" s="226">
        <f t="shared" si="46"/>
        <v>6.5544601639771252E-7</v>
      </c>
      <c r="Z53" s="461">
        <f t="shared" si="23"/>
        <v>7738700</v>
      </c>
      <c r="AA53" s="190">
        <f t="shared" si="47"/>
        <v>1.634060131727836E-2</v>
      </c>
      <c r="AB53" s="565">
        <f t="shared" si="24"/>
        <v>49675124</v>
      </c>
      <c r="AC53" s="127">
        <f t="shared" si="48"/>
        <v>3.0991058750315575E-2</v>
      </c>
      <c r="AD53" s="353">
        <f>[3]東京事務!$I$53</f>
        <v>4</v>
      </c>
      <c r="AE53" s="12">
        <f t="shared" si="49"/>
        <v>1.7619787952195118E-8</v>
      </c>
      <c r="AF53" s="363">
        <f>[3]東京事務!$L$53</f>
        <v>307127</v>
      </c>
      <c r="AG53" s="82">
        <f t="shared" si="50"/>
        <v>4.2914893196820098E-4</v>
      </c>
      <c r="AH53" s="389">
        <f>[3]東京工場!$I$53</f>
        <v>249066</v>
      </c>
      <c r="AI53" s="172">
        <f t="shared" si="25"/>
        <v>2.8272208518690469E-2</v>
      </c>
      <c r="AJ53" s="363">
        <f>[3]東京工場!$L$53</f>
        <v>249066</v>
      </c>
      <c r="AK53" s="100">
        <f t="shared" si="36"/>
        <v>8.5345412208650499E-3</v>
      </c>
      <c r="AL53" s="548">
        <f t="shared" si="26"/>
        <v>249070</v>
      </c>
      <c r="AM53" s="315">
        <f t="shared" si="51"/>
        <v>1.0561553119150561E-3</v>
      </c>
      <c r="AN53" s="479">
        <f t="shared" si="27"/>
        <v>556193</v>
      </c>
      <c r="AO53" s="127">
        <f t="shared" si="52"/>
        <v>7.4671954169885902E-4</v>
      </c>
      <c r="AP53" s="528">
        <f t="shared" si="28"/>
        <v>7987770</v>
      </c>
      <c r="AQ53" s="286">
        <f t="shared" si="53"/>
        <v>1.1259669017009822E-2</v>
      </c>
      <c r="AR53" s="488">
        <f t="shared" si="29"/>
        <v>51360817</v>
      </c>
      <c r="AS53" s="287">
        <f t="shared" si="54"/>
        <v>2.1876759132225195E-2</v>
      </c>
      <c r="AT53" s="585">
        <f>[3]全社合計!$G$53</f>
        <v>8114849</v>
      </c>
      <c r="AU53" s="128">
        <f t="shared" si="30"/>
        <v>1.0203076804554803E-2</v>
      </c>
      <c r="AV53" s="579">
        <f>[3]全社合計!$N$53</f>
        <v>25900111</v>
      </c>
      <c r="AW53" s="129">
        <f t="shared" si="31"/>
        <v>9.6088444328220213E-3</v>
      </c>
      <c r="AX53" s="585">
        <f t="shared" si="32"/>
        <v>-127079</v>
      </c>
      <c r="AY53" s="128">
        <f t="shared" si="33"/>
        <v>0.9843399427395384</v>
      </c>
      <c r="AZ53" s="579">
        <f t="shared" si="34"/>
        <v>25460706</v>
      </c>
      <c r="BA53" s="129">
        <f t="shared" si="35"/>
        <v>1.9830346286932901</v>
      </c>
      <c r="BB53" s="11"/>
    </row>
    <row r="54" spans="1:54" ht="15.95" customHeight="1">
      <c r="A54" s="62" t="s">
        <v>46</v>
      </c>
      <c r="B54" s="708">
        <f>SUM(B49:B53)</f>
        <v>3979723</v>
      </c>
      <c r="C54" s="141" t="str">
        <f t="shared" si="38"/>
        <v/>
      </c>
      <c r="D54" s="730">
        <f>SUM(D49:D53)</f>
        <v>9861300</v>
      </c>
      <c r="E54" s="139" t="str">
        <f t="shared" si="39"/>
        <v/>
      </c>
      <c r="F54" s="466">
        <f>SUM(F49:F53)</f>
        <v>7688673</v>
      </c>
      <c r="G54" s="64">
        <f t="shared" si="40"/>
        <v>1.724660774978784E-2</v>
      </c>
      <c r="H54" s="401">
        <f>SUM(H49:H53)</f>
        <v>49525074</v>
      </c>
      <c r="I54" s="141">
        <f t="shared" si="19"/>
        <v>3.2998916142640611E-2</v>
      </c>
      <c r="J54" s="747">
        <f>SUM(J49:J53)</f>
        <v>900000</v>
      </c>
      <c r="K54" s="64">
        <f t="shared" si="20"/>
        <v>0.11945214468362303</v>
      </c>
      <c r="L54" s="401">
        <f>SUM(L49:L53)</f>
        <v>2700000</v>
      </c>
      <c r="M54" s="141">
        <f t="shared" si="37"/>
        <v>0.10468107804606332</v>
      </c>
      <c r="N54" s="405">
        <f>SUM(N49:N53)</f>
        <v>100027</v>
      </c>
      <c r="O54" s="64">
        <f t="shared" si="41"/>
        <v>4.9408292879687425E-3</v>
      </c>
      <c r="P54" s="401">
        <f>SUM(P49:P53)</f>
        <v>300050</v>
      </c>
      <c r="Q54" s="177">
        <f t="shared" si="42"/>
        <v>3.9333315444026722E-3</v>
      </c>
      <c r="R54" s="442">
        <f>SUM(R49:R53)</f>
        <v>0</v>
      </c>
      <c r="S54" s="64" t="str">
        <f t="shared" si="43"/>
        <v/>
      </c>
      <c r="T54" s="401">
        <f>SUM(T49:T53)</f>
        <v>0</v>
      </c>
      <c r="U54" s="209" t="str">
        <f t="shared" si="44"/>
        <v/>
      </c>
      <c r="V54" s="458">
        <f t="shared" si="21"/>
        <v>100027</v>
      </c>
      <c r="W54" s="177">
        <f t="shared" si="45"/>
        <v>4.9408292879687425E-3</v>
      </c>
      <c r="X54" s="428">
        <f t="shared" si="22"/>
        <v>300050</v>
      </c>
      <c r="Y54" s="230">
        <f t="shared" si="46"/>
        <v>3.9333315444026722E-3</v>
      </c>
      <c r="Z54" s="458">
        <f t="shared" si="23"/>
        <v>8688700</v>
      </c>
      <c r="AA54" s="194">
        <f t="shared" si="47"/>
        <v>1.8346567597327262E-2</v>
      </c>
      <c r="AB54" s="428">
        <f t="shared" si="24"/>
        <v>52525124</v>
      </c>
      <c r="AC54" s="140">
        <f t="shared" si="48"/>
        <v>3.2769101970467361E-2</v>
      </c>
      <c r="AD54" s="466">
        <f>SUM(AD49:AD53)</f>
        <v>2940</v>
      </c>
      <c r="AE54" s="64">
        <f t="shared" si="49"/>
        <v>1.2950544144863413E-5</v>
      </c>
      <c r="AF54" s="401">
        <f>SUM(AF49:AF53)</f>
        <v>310063</v>
      </c>
      <c r="AG54" s="85">
        <f t="shared" si="50"/>
        <v>4.3325140835177725E-4</v>
      </c>
      <c r="AH54" s="390">
        <f>SUM(AH49:AH53)</f>
        <v>249066</v>
      </c>
      <c r="AI54" s="177">
        <f t="shared" si="25"/>
        <v>2.8272208518690469E-2</v>
      </c>
      <c r="AJ54" s="401">
        <f>SUM(AJ49:AJ53)</f>
        <v>249066</v>
      </c>
      <c r="AK54" s="105">
        <f t="shared" si="36"/>
        <v>8.5345412208650499E-3</v>
      </c>
      <c r="AL54" s="549">
        <f t="shared" si="26"/>
        <v>252006</v>
      </c>
      <c r="AM54" s="319">
        <f t="shared" si="51"/>
        <v>1.0686051131588131E-3</v>
      </c>
      <c r="AN54" s="480">
        <f t="shared" si="27"/>
        <v>559129</v>
      </c>
      <c r="AO54" s="140">
        <f t="shared" si="52"/>
        <v>7.5066128237957211E-4</v>
      </c>
      <c r="AP54" s="529">
        <f t="shared" si="28"/>
        <v>12920429</v>
      </c>
      <c r="AQ54" s="141">
        <f t="shared" si="53"/>
        <v>1.8212812098717817E-2</v>
      </c>
      <c r="AR54" s="428">
        <f t="shared" si="29"/>
        <v>62945553</v>
      </c>
      <c r="AS54" s="140">
        <f t="shared" si="54"/>
        <v>2.6811191524186914E-2</v>
      </c>
      <c r="AT54" s="529">
        <f>SUM(AT49:AT53)</f>
        <v>12714149</v>
      </c>
      <c r="AU54" s="141">
        <f t="shared" si="30"/>
        <v>1.5985933780351753E-2</v>
      </c>
      <c r="AV54" s="410">
        <f>SUM(AV49:AV53)</f>
        <v>37499429</v>
      </c>
      <c r="AW54" s="140">
        <f t="shared" si="31"/>
        <v>1.3912148082325002E-2</v>
      </c>
      <c r="AX54" s="529">
        <f t="shared" si="32"/>
        <v>206280</v>
      </c>
      <c r="AY54" s="141">
        <f t="shared" si="33"/>
        <v>1.01622444412127</v>
      </c>
      <c r="AZ54" s="410">
        <f t="shared" si="34"/>
        <v>25446124</v>
      </c>
      <c r="BA54" s="140">
        <f t="shared" si="35"/>
        <v>1.6785736390812778</v>
      </c>
      <c r="BB54" s="11"/>
    </row>
    <row r="55" spans="1:54" ht="15.95" customHeight="1">
      <c r="A55" s="37" t="s">
        <v>47</v>
      </c>
      <c r="B55" s="710">
        <f>[3]本部!$I$55</f>
        <v>628574</v>
      </c>
      <c r="C55" s="258" t="str">
        <f t="shared" si="38"/>
        <v/>
      </c>
      <c r="D55" s="727">
        <f>[3]本部!$L$55</f>
        <v>1849451</v>
      </c>
      <c r="E55" s="118" t="str">
        <f t="shared" si="39"/>
        <v/>
      </c>
      <c r="F55" s="351">
        <f>[3]本社営業!$I$55</f>
        <v>323289</v>
      </c>
      <c r="G55" s="7">
        <f t="shared" si="40"/>
        <v>7.2517566722126955E-4</v>
      </c>
      <c r="H55" s="361">
        <f>[3]本社営業!$L$55</f>
        <v>680872</v>
      </c>
      <c r="I55" s="120">
        <f t="shared" si="19"/>
        <v>4.536699537666919E-4</v>
      </c>
      <c r="J55" s="744">
        <f>[3]東大阪!$I$55</f>
        <v>0</v>
      </c>
      <c r="K55" s="7">
        <f t="shared" si="20"/>
        <v>0</v>
      </c>
      <c r="L55" s="361">
        <f>[3]東大阪!$L$55</f>
        <v>0</v>
      </c>
      <c r="M55" s="120">
        <f t="shared" si="37"/>
        <v>0</v>
      </c>
      <c r="N55" s="402">
        <f>[3]南港工場!$I$55</f>
        <v>0</v>
      </c>
      <c r="O55" s="7">
        <f t="shared" si="41"/>
        <v>0</v>
      </c>
      <c r="P55" s="361">
        <f>[3]南港工場!$L$55</f>
        <v>0</v>
      </c>
      <c r="Q55" s="174">
        <f t="shared" si="42"/>
        <v>0</v>
      </c>
      <c r="R55" s="444">
        <f>[3]南港事務!$I$55</f>
        <v>0</v>
      </c>
      <c r="S55" s="7" t="str">
        <f t="shared" si="43"/>
        <v/>
      </c>
      <c r="T55" s="361">
        <f>[3]南港事務!$L$55</f>
        <v>0</v>
      </c>
      <c r="U55" s="203" t="str">
        <f t="shared" si="44"/>
        <v/>
      </c>
      <c r="V55" s="455">
        <f t="shared" si="21"/>
        <v>0</v>
      </c>
      <c r="W55" s="174">
        <f t="shared" si="45"/>
        <v>0</v>
      </c>
      <c r="X55" s="425">
        <f t="shared" si="22"/>
        <v>0</v>
      </c>
      <c r="Y55" s="224">
        <f t="shared" si="46"/>
        <v>0</v>
      </c>
      <c r="Z55" s="459">
        <f t="shared" si="23"/>
        <v>323289</v>
      </c>
      <c r="AA55" s="188">
        <f t="shared" si="47"/>
        <v>6.8263877127445224E-4</v>
      </c>
      <c r="AB55" s="563">
        <f t="shared" si="24"/>
        <v>680872</v>
      </c>
      <c r="AC55" s="119">
        <f t="shared" si="48"/>
        <v>4.2477889241796088E-4</v>
      </c>
      <c r="AD55" s="351">
        <f>[3]東京事務!$I$55</f>
        <v>0</v>
      </c>
      <c r="AE55" s="7">
        <f t="shared" si="49"/>
        <v>0</v>
      </c>
      <c r="AF55" s="361">
        <f>[3]東京事務!$L$55</f>
        <v>0</v>
      </c>
      <c r="AG55" s="80">
        <f t="shared" si="50"/>
        <v>0</v>
      </c>
      <c r="AH55" s="387">
        <f>[3]東京工場!$I$55</f>
        <v>0</v>
      </c>
      <c r="AI55" s="174">
        <f t="shared" si="25"/>
        <v>0</v>
      </c>
      <c r="AJ55" s="361">
        <f>[3]東京工場!$L$55</f>
        <v>0</v>
      </c>
      <c r="AK55" s="102">
        <f t="shared" si="36"/>
        <v>0</v>
      </c>
      <c r="AL55" s="546">
        <f t="shared" si="26"/>
        <v>0</v>
      </c>
      <c r="AM55" s="313">
        <f t="shared" si="51"/>
        <v>0</v>
      </c>
      <c r="AN55" s="477">
        <f t="shared" si="27"/>
        <v>0</v>
      </c>
      <c r="AO55" s="119">
        <f t="shared" si="52"/>
        <v>0</v>
      </c>
      <c r="AP55" s="526">
        <f t="shared" si="28"/>
        <v>951863</v>
      </c>
      <c r="AQ55" s="282">
        <f t="shared" si="53"/>
        <v>1.3417590052715615E-3</v>
      </c>
      <c r="AR55" s="486">
        <f t="shared" si="29"/>
        <v>2530323</v>
      </c>
      <c r="AS55" s="283">
        <f t="shared" si="54"/>
        <v>1.0777723181025227E-3</v>
      </c>
      <c r="AT55" s="583">
        <f>[3]全社合計!$G$55</f>
        <v>792364</v>
      </c>
      <c r="AU55" s="120">
        <f t="shared" si="30"/>
        <v>9.962663198248374E-4</v>
      </c>
      <c r="AV55" s="577">
        <f>[3]全社合計!$N$55</f>
        <v>2155709</v>
      </c>
      <c r="AW55" s="121">
        <f t="shared" si="31"/>
        <v>7.9975998648941417E-4</v>
      </c>
      <c r="AX55" s="583">
        <f t="shared" si="32"/>
        <v>159499</v>
      </c>
      <c r="AY55" s="120">
        <f t="shared" si="33"/>
        <v>1.201295111842537</v>
      </c>
      <c r="AZ55" s="577">
        <f t="shared" si="34"/>
        <v>374614</v>
      </c>
      <c r="BA55" s="121">
        <f t="shared" si="35"/>
        <v>1.1737776295409075</v>
      </c>
      <c r="BB55" s="11"/>
    </row>
    <row r="56" spans="1:54" ht="15.95" customHeight="1">
      <c r="A56" s="37" t="s">
        <v>97</v>
      </c>
      <c r="B56" s="711">
        <f>[3]本部!$I$56</f>
        <v>0</v>
      </c>
      <c r="C56" s="336" t="str">
        <f>IF(ISERR(B56/$B$11),"",B56/$B$11)</f>
        <v/>
      </c>
      <c r="D56" s="731">
        <f>[3]本部!$L$56</f>
        <v>0</v>
      </c>
      <c r="E56" s="337" t="str">
        <f>IF(ISERR(D56/$D$11),"",D56/$D$11)</f>
        <v/>
      </c>
      <c r="F56" s="365">
        <f>[3]本社営業!$I$56</f>
        <v>0</v>
      </c>
      <c r="G56" s="338">
        <f>IF(ISERR(F56/$F$11),"",F56/$F$11)</f>
        <v>0</v>
      </c>
      <c r="H56" s="366">
        <f>[3]本社営業!$L$56</f>
        <v>0</v>
      </c>
      <c r="I56" s="339">
        <f>IF(ISERR(H56/$H$11),"",H56/$H$11)</f>
        <v>0</v>
      </c>
      <c r="J56" s="751">
        <f>[3]東大阪!$I$56</f>
        <v>0</v>
      </c>
      <c r="K56" s="338">
        <f>IF(ISERR(J56/$J$11),"",J56/$J$11)</f>
        <v>0</v>
      </c>
      <c r="L56" s="366">
        <f>[3]東大阪!$L$56</f>
        <v>0</v>
      </c>
      <c r="M56" s="339">
        <f t="shared" si="37"/>
        <v>0</v>
      </c>
      <c r="N56" s="413">
        <f>[3]南港工場!$I$56</f>
        <v>0</v>
      </c>
      <c r="O56" s="338">
        <f>IF(ISERR(N56/$N$11),"",N56/$N$11)</f>
        <v>0</v>
      </c>
      <c r="P56" s="366">
        <f>[3]南港工場!$L$56</f>
        <v>0</v>
      </c>
      <c r="Q56" s="340">
        <f>IF(ISERR(P56/$P$11),"",P56/$P$11)</f>
        <v>0</v>
      </c>
      <c r="R56" s="447">
        <f>[3]南港事務!$I$56</f>
        <v>0</v>
      </c>
      <c r="S56" s="338" t="str">
        <f>IF(ISERR(R56/$R$11),"",R56/$R$11)</f>
        <v/>
      </c>
      <c r="T56" s="366">
        <f>[3]南港事務!$L$56</f>
        <v>0</v>
      </c>
      <c r="U56" s="341" t="str">
        <f>IF(ISERR(T56/$T$11),"",T56/$T$11)</f>
        <v/>
      </c>
      <c r="V56" s="491">
        <f>N56+R56</f>
        <v>0</v>
      </c>
      <c r="W56" s="340">
        <f>IF(ISERR(V56/$V$11),"",V56/$V$11)</f>
        <v>0</v>
      </c>
      <c r="X56" s="430">
        <f>P56+T56</f>
        <v>0</v>
      </c>
      <c r="Y56" s="342">
        <f>IF(ISERR(X56/$X$11),"",X56/$X$11)</f>
        <v>0</v>
      </c>
      <c r="Z56" s="570">
        <f>F56+J56+N56+R56</f>
        <v>0</v>
      </c>
      <c r="AA56" s="343">
        <f>IF(ISERR(Z56/$Z$11),"",Z56/$Z$11)</f>
        <v>0</v>
      </c>
      <c r="AB56" s="566">
        <f>H56+L56+P56+T56</f>
        <v>0</v>
      </c>
      <c r="AC56" s="344">
        <f>IF(ISERR(AB56/$AB$11),"",AB56/$AB$11)</f>
        <v>0</v>
      </c>
      <c r="AD56" s="365">
        <f>[3]東京事務!$I$56</f>
        <v>0</v>
      </c>
      <c r="AE56" s="338">
        <f>IF(ISERR(AD56/$AD$11),"",AD56/$AD$11)</f>
        <v>0</v>
      </c>
      <c r="AF56" s="366">
        <f>[3]東京事務!$L$56</f>
        <v>0</v>
      </c>
      <c r="AG56" s="345">
        <f>IF(ISERR(AF56/$AF$11),"",AF56/$AF$11)</f>
        <v>0</v>
      </c>
      <c r="AH56" s="393">
        <f>[3]東京工場!$I$56</f>
        <v>0</v>
      </c>
      <c r="AI56" s="340">
        <f>IF(ISERR(AH56/$AH$11),"",AH56/$AH$11)</f>
        <v>0</v>
      </c>
      <c r="AJ56" s="366">
        <f>[3]東京工場!$L$56</f>
        <v>0</v>
      </c>
      <c r="AK56" s="346">
        <f>IF(ISERR(AJ56/$AJ$11),"",AJ56/$AJ$11)</f>
        <v>0</v>
      </c>
      <c r="AL56" s="550">
        <f>AD56+AH56</f>
        <v>0</v>
      </c>
      <c r="AM56" s="347">
        <f>IF(ISERR(AL56/$AL$11),"",AL56/AL$11)</f>
        <v>0</v>
      </c>
      <c r="AN56" s="538">
        <f>AF56+AJ56</f>
        <v>0</v>
      </c>
      <c r="AO56" s="344">
        <f>IF(ISERR(AN56/$AN$11),"",AN56/$AN$11)</f>
        <v>0</v>
      </c>
      <c r="AP56" s="530">
        <f>B56+Z56+AL56</f>
        <v>0</v>
      </c>
      <c r="AQ56" s="348">
        <f>IF(ISERR(AP56/$AP$11),"",AP56/$AP$11)</f>
        <v>0</v>
      </c>
      <c r="AR56" s="518">
        <f>D56+AB56+AN56</f>
        <v>0</v>
      </c>
      <c r="AS56" s="349">
        <f>IF(ISERR(AR56/$AR$11),"",AR56/$AR$11)</f>
        <v>0</v>
      </c>
      <c r="AT56" s="587">
        <f>[3]全社合計!$G$56</f>
        <v>0</v>
      </c>
      <c r="AU56" s="339">
        <f>IF(ISERR(AT56/$AT$11),"",AT56/$AT$11)</f>
        <v>0</v>
      </c>
      <c r="AV56" s="598">
        <f>[3]全社合計!$N$56</f>
        <v>0</v>
      </c>
      <c r="AW56" s="350">
        <f>IF(ISERR(AV56/$AV$11),"",AV56/$AV$11)</f>
        <v>0</v>
      </c>
      <c r="AX56" s="587">
        <f>AP56-AT56</f>
        <v>0</v>
      </c>
      <c r="AY56" s="339" t="str">
        <f>IF(ISERROR(AP56/AT56),"",AP56/AT56)</f>
        <v/>
      </c>
      <c r="AZ56" s="598">
        <f>AR56-AV56</f>
        <v>0</v>
      </c>
      <c r="BA56" s="350" t="str">
        <f>IF(ISERROR(AR56/AV56),"",AR56/AV56)</f>
        <v/>
      </c>
      <c r="BB56" s="11"/>
    </row>
    <row r="57" spans="1:54" ht="15.95" customHeight="1">
      <c r="A57" s="37" t="s">
        <v>58</v>
      </c>
      <c r="B57" s="703">
        <f>[3]本部!$I$57</f>
        <v>0</v>
      </c>
      <c r="C57" s="259" t="str">
        <f>IF(ISERR(B57/$B$11),"",B57/$B$11)</f>
        <v/>
      </c>
      <c r="D57" s="728">
        <f>[3]本部!$L$57</f>
        <v>0</v>
      </c>
      <c r="E57" s="122" t="str">
        <f t="shared" si="39"/>
        <v/>
      </c>
      <c r="F57" s="352">
        <f>[3]本社営業!$I$57</f>
        <v>0</v>
      </c>
      <c r="G57" s="9">
        <f t="shared" si="40"/>
        <v>0</v>
      </c>
      <c r="H57" s="362">
        <f>[3]本社営業!$L$57</f>
        <v>0</v>
      </c>
      <c r="I57" s="124">
        <f t="shared" si="19"/>
        <v>0</v>
      </c>
      <c r="J57" s="745">
        <f>[3]東大阪!$I$57</f>
        <v>0</v>
      </c>
      <c r="K57" s="9">
        <f t="shared" si="20"/>
        <v>0</v>
      </c>
      <c r="L57" s="362">
        <f>[3]東大阪!$L$57</f>
        <v>0</v>
      </c>
      <c r="M57" s="124">
        <f t="shared" si="37"/>
        <v>0</v>
      </c>
      <c r="N57" s="403">
        <f>[3]南港工場!$I$57</f>
        <v>0</v>
      </c>
      <c r="O57" s="9">
        <f t="shared" si="41"/>
        <v>0</v>
      </c>
      <c r="P57" s="362">
        <f>[3]南港工場!$L$57</f>
        <v>0</v>
      </c>
      <c r="Q57" s="171">
        <f t="shared" si="42"/>
        <v>0</v>
      </c>
      <c r="R57" s="445">
        <f>[3]南港事務!$I$57</f>
        <v>0</v>
      </c>
      <c r="S57" s="9" t="str">
        <f t="shared" si="43"/>
        <v/>
      </c>
      <c r="T57" s="362">
        <f>[3]南港事務!$L$57</f>
        <v>0</v>
      </c>
      <c r="U57" s="204" t="str">
        <f t="shared" si="44"/>
        <v/>
      </c>
      <c r="V57" s="456">
        <f t="shared" si="21"/>
        <v>0</v>
      </c>
      <c r="W57" s="171">
        <f t="shared" si="45"/>
        <v>0</v>
      </c>
      <c r="X57" s="426">
        <f t="shared" si="22"/>
        <v>0</v>
      </c>
      <c r="Y57" s="225">
        <f t="shared" si="46"/>
        <v>0</v>
      </c>
      <c r="Z57" s="460">
        <f t="shared" si="23"/>
        <v>0</v>
      </c>
      <c r="AA57" s="189">
        <f t="shared" si="47"/>
        <v>0</v>
      </c>
      <c r="AB57" s="564">
        <f t="shared" si="24"/>
        <v>0</v>
      </c>
      <c r="AC57" s="123">
        <f t="shared" si="48"/>
        <v>0</v>
      </c>
      <c r="AD57" s="352">
        <f>[3]東京事務!$I$57</f>
        <v>0</v>
      </c>
      <c r="AE57" s="9">
        <f t="shared" si="49"/>
        <v>0</v>
      </c>
      <c r="AF57" s="362">
        <f>[3]東京事務!$L$57</f>
        <v>0</v>
      </c>
      <c r="AG57" s="81">
        <f t="shared" si="50"/>
        <v>0</v>
      </c>
      <c r="AH57" s="388">
        <f>[3]東京工場!$I$57</f>
        <v>0</v>
      </c>
      <c r="AI57" s="171">
        <f t="shared" si="25"/>
        <v>0</v>
      </c>
      <c r="AJ57" s="362">
        <f>[3]東京工場!$L$57</f>
        <v>0</v>
      </c>
      <c r="AK57" s="99">
        <f t="shared" si="36"/>
        <v>0</v>
      </c>
      <c r="AL57" s="547">
        <f t="shared" si="26"/>
        <v>0</v>
      </c>
      <c r="AM57" s="314">
        <f t="shared" si="51"/>
        <v>0</v>
      </c>
      <c r="AN57" s="478">
        <f t="shared" si="27"/>
        <v>0</v>
      </c>
      <c r="AO57" s="123">
        <f t="shared" si="52"/>
        <v>0</v>
      </c>
      <c r="AP57" s="527">
        <f>B57+Z57+AL57</f>
        <v>0</v>
      </c>
      <c r="AQ57" s="284">
        <f t="shared" si="53"/>
        <v>0</v>
      </c>
      <c r="AR57" s="487">
        <f t="shared" si="29"/>
        <v>0</v>
      </c>
      <c r="AS57" s="285">
        <f t="shared" si="54"/>
        <v>0</v>
      </c>
      <c r="AT57" s="584">
        <f>[3]全社合計!$G$57</f>
        <v>0</v>
      </c>
      <c r="AU57" s="124">
        <f t="shared" si="30"/>
        <v>0</v>
      </c>
      <c r="AV57" s="578">
        <f>[3]全社合計!$N$57</f>
        <v>0</v>
      </c>
      <c r="AW57" s="125">
        <f t="shared" si="31"/>
        <v>0</v>
      </c>
      <c r="AX57" s="584">
        <f t="shared" si="32"/>
        <v>0</v>
      </c>
      <c r="AY57" s="124" t="str">
        <f t="shared" si="33"/>
        <v/>
      </c>
      <c r="AZ57" s="578">
        <f t="shared" si="34"/>
        <v>0</v>
      </c>
      <c r="BA57" s="125" t="str">
        <f t="shared" si="35"/>
        <v/>
      </c>
      <c r="BB57" s="11"/>
    </row>
    <row r="58" spans="1:54" ht="15.95" customHeight="1">
      <c r="A58" s="37" t="s">
        <v>98</v>
      </c>
      <c r="B58" s="703">
        <f>[3]本部!$I$58</f>
        <v>0</v>
      </c>
      <c r="C58" s="259" t="str">
        <f t="shared" si="38"/>
        <v/>
      </c>
      <c r="D58" s="728">
        <f>[3]本部!$L$58</f>
        <v>0</v>
      </c>
      <c r="E58" s="122" t="str">
        <f t="shared" si="39"/>
        <v/>
      </c>
      <c r="F58" s="352">
        <f>[3]本社営業!$I$58</f>
        <v>0</v>
      </c>
      <c r="G58" s="9">
        <f t="shared" si="40"/>
        <v>0</v>
      </c>
      <c r="H58" s="362">
        <f>[3]本社営業!$L$58</f>
        <v>0</v>
      </c>
      <c r="I58" s="124">
        <f t="shared" si="19"/>
        <v>0</v>
      </c>
      <c r="J58" s="745">
        <f>[3]東大阪!$I$58</f>
        <v>0</v>
      </c>
      <c r="K58" s="9">
        <f t="shared" si="20"/>
        <v>0</v>
      </c>
      <c r="L58" s="362">
        <f>[3]東大阪!$L$58</f>
        <v>0</v>
      </c>
      <c r="M58" s="124">
        <f t="shared" si="37"/>
        <v>0</v>
      </c>
      <c r="N58" s="403">
        <f>[3]南港工場!$I$58</f>
        <v>0</v>
      </c>
      <c r="O58" s="9">
        <f t="shared" si="41"/>
        <v>0</v>
      </c>
      <c r="P58" s="362">
        <f>[3]南港工場!$L$58</f>
        <v>0</v>
      </c>
      <c r="Q58" s="171">
        <f t="shared" si="42"/>
        <v>0</v>
      </c>
      <c r="R58" s="445">
        <f>[3]南港事務!$I$58</f>
        <v>0</v>
      </c>
      <c r="S58" s="9" t="str">
        <f t="shared" si="43"/>
        <v/>
      </c>
      <c r="T58" s="362">
        <f>[3]南港事務!$L$58</f>
        <v>0</v>
      </c>
      <c r="U58" s="204" t="str">
        <f t="shared" si="44"/>
        <v/>
      </c>
      <c r="V58" s="456">
        <f t="shared" si="21"/>
        <v>0</v>
      </c>
      <c r="W58" s="171">
        <f t="shared" si="45"/>
        <v>0</v>
      </c>
      <c r="X58" s="426">
        <f t="shared" si="22"/>
        <v>0</v>
      </c>
      <c r="Y58" s="225">
        <f t="shared" si="46"/>
        <v>0</v>
      </c>
      <c r="Z58" s="460">
        <f>F58+J58+N58+R58</f>
        <v>0</v>
      </c>
      <c r="AA58" s="189">
        <f>IF(ISERR(Z58/$Z$11),"",Z58/$Z$11)</f>
        <v>0</v>
      </c>
      <c r="AB58" s="564">
        <f>H58+L58+P58+T58</f>
        <v>0</v>
      </c>
      <c r="AC58" s="123">
        <f>IF(ISERR(AB58/$AB$11),"",AB58/$AB$11)</f>
        <v>0</v>
      </c>
      <c r="AD58" s="352">
        <f>[3]東京事務!$I$58</f>
        <v>0</v>
      </c>
      <c r="AE58" s="9">
        <f>IF(ISERR(AD58/$AD$11),"",AD58/$AD$11)</f>
        <v>0</v>
      </c>
      <c r="AF58" s="362">
        <f>[3]東京事務!$L$58</f>
        <v>0</v>
      </c>
      <c r="AG58" s="81">
        <f>IF(ISERR(AF58/$AF$11),"",AF58/$AF$11)</f>
        <v>0</v>
      </c>
      <c r="AH58" s="388">
        <f>[3]東京工場!$I$58</f>
        <v>0</v>
      </c>
      <c r="AI58" s="171">
        <f>IF(ISERR(AH58/$AH$11),"",AH58/$AH$11)</f>
        <v>0</v>
      </c>
      <c r="AJ58" s="362">
        <f>[3]東京工場!$L$58</f>
        <v>0</v>
      </c>
      <c r="AK58" s="99">
        <f>IF(ISERR(AJ58/$AJ$11),"",AJ58/$AJ$11)</f>
        <v>0</v>
      </c>
      <c r="AL58" s="547">
        <f>AD58+AH58</f>
        <v>0</v>
      </c>
      <c r="AM58" s="314">
        <f>IF(ISERR(AL58/$AL$11),"",AL58/AL$11)</f>
        <v>0</v>
      </c>
      <c r="AN58" s="478">
        <f>AF58+AJ58</f>
        <v>0</v>
      </c>
      <c r="AO58" s="123">
        <f>IF(ISERR(AN58/$AN$11),"",AN58/$AN$11)</f>
        <v>0</v>
      </c>
      <c r="AP58" s="527">
        <f>B58+Z58+AL58</f>
        <v>0</v>
      </c>
      <c r="AQ58" s="284">
        <f>IF(ISERR(AP58/$AP$11),"",AP58/$AP$11)</f>
        <v>0</v>
      </c>
      <c r="AR58" s="487">
        <f>D58+AB58+AN58</f>
        <v>0</v>
      </c>
      <c r="AS58" s="285">
        <f>IF(ISERR(AR58/$AR$11),"",AR58/$AR$11)</f>
        <v>0</v>
      </c>
      <c r="AT58" s="584">
        <f>[3]全社合計!$G$58</f>
        <v>0</v>
      </c>
      <c r="AU58" s="124">
        <f>IF(ISERR(AT58/$AT$11),"",AT58/$AT$11)</f>
        <v>0</v>
      </c>
      <c r="AV58" s="578">
        <f>[3]全社合計!$N$58</f>
        <v>402213</v>
      </c>
      <c r="AW58" s="125">
        <f>IF(ISERR(AV58/$AV$11),"",AV58/$AV$11)</f>
        <v>1.4921952055953135E-4</v>
      </c>
      <c r="AX58" s="584">
        <f t="shared" si="32"/>
        <v>0</v>
      </c>
      <c r="AY58" s="124" t="str">
        <f>IF(ISERROR(AP58/AT58),"",AP58/AT58)</f>
        <v/>
      </c>
      <c r="AZ58" s="578">
        <f>AR58-AV58</f>
        <v>-402213</v>
      </c>
      <c r="BA58" s="125">
        <f>IF(ISERROR(AR58/AV58),"",AR58/AV58)</f>
        <v>0</v>
      </c>
      <c r="BB58" s="11"/>
    </row>
    <row r="59" spans="1:54" ht="15.95" customHeight="1">
      <c r="A59" s="37" t="s">
        <v>95</v>
      </c>
      <c r="B59" s="703">
        <f>[3]本部!$I$59</f>
        <v>0</v>
      </c>
      <c r="C59" s="259" t="str">
        <f t="shared" si="38"/>
        <v/>
      </c>
      <c r="D59" s="728">
        <f>[3]本部!$L$59</f>
        <v>0</v>
      </c>
      <c r="E59" s="122" t="str">
        <f t="shared" si="39"/>
        <v/>
      </c>
      <c r="F59" s="352">
        <f>[3]本社営業!$I$59</f>
        <v>0</v>
      </c>
      <c r="G59" s="9">
        <f t="shared" si="40"/>
        <v>0</v>
      </c>
      <c r="H59" s="362">
        <f>[3]本社営業!$L$59</f>
        <v>0</v>
      </c>
      <c r="I59" s="124">
        <f t="shared" si="19"/>
        <v>0</v>
      </c>
      <c r="J59" s="745">
        <f>[3]東大阪!$I$59</f>
        <v>0</v>
      </c>
      <c r="K59" s="9">
        <f t="shared" si="20"/>
        <v>0</v>
      </c>
      <c r="L59" s="362">
        <f>[3]東大阪!$L$59</f>
        <v>0</v>
      </c>
      <c r="M59" s="124">
        <f t="shared" si="37"/>
        <v>0</v>
      </c>
      <c r="N59" s="403">
        <f>[3]南港工場!$I$59</f>
        <v>0</v>
      </c>
      <c r="O59" s="9">
        <f t="shared" si="41"/>
        <v>0</v>
      </c>
      <c r="P59" s="362">
        <f>[3]南港工場!$L$59</f>
        <v>0</v>
      </c>
      <c r="Q59" s="171">
        <f t="shared" si="42"/>
        <v>0</v>
      </c>
      <c r="R59" s="445">
        <f>[3]南港事務!$I$59</f>
        <v>0</v>
      </c>
      <c r="S59" s="9" t="str">
        <f t="shared" si="43"/>
        <v/>
      </c>
      <c r="T59" s="362">
        <f>[3]南港事務!$L$59</f>
        <v>0</v>
      </c>
      <c r="U59" s="204" t="str">
        <f t="shared" si="44"/>
        <v/>
      </c>
      <c r="V59" s="456">
        <f t="shared" si="21"/>
        <v>0</v>
      </c>
      <c r="W59" s="171">
        <f t="shared" si="45"/>
        <v>0</v>
      </c>
      <c r="X59" s="426">
        <f t="shared" si="22"/>
        <v>0</v>
      </c>
      <c r="Y59" s="225">
        <f t="shared" si="46"/>
        <v>0</v>
      </c>
      <c r="Z59" s="460">
        <f>F59+J59+N59+R59</f>
        <v>0</v>
      </c>
      <c r="AA59" s="189">
        <f>IF(ISERR(Z59/$Z$11),"",Z59/$Z$11)</f>
        <v>0</v>
      </c>
      <c r="AB59" s="564">
        <f>H59+L59+P59+T59</f>
        <v>0</v>
      </c>
      <c r="AC59" s="123">
        <f>IF(ISERR(AB59/$AB$11),"",AB59/$AB$11)</f>
        <v>0</v>
      </c>
      <c r="AD59" s="352">
        <f>[3]東京事務!$I$59</f>
        <v>0</v>
      </c>
      <c r="AE59" s="9">
        <f>IF(ISERR(AD59/$AD$11),"",AD59/$AD$11)</f>
        <v>0</v>
      </c>
      <c r="AF59" s="362">
        <f>[3]東京事務!$L$59</f>
        <v>0</v>
      </c>
      <c r="AG59" s="81">
        <f>IF(ISERR(AF59/$AF$11),"",AF59/$AF$11)</f>
        <v>0</v>
      </c>
      <c r="AH59" s="388">
        <f>[3]東京工場!$I$59</f>
        <v>0</v>
      </c>
      <c r="AI59" s="171">
        <f>IF(ISERR(AH59/$AH$11),"",AH59/$AH$11)</f>
        <v>0</v>
      </c>
      <c r="AJ59" s="362">
        <f>[3]東京工場!$L$59</f>
        <v>0</v>
      </c>
      <c r="AK59" s="99">
        <f>IF(ISERR(AJ59/$AJ$11),"",AJ59/$AJ$11)</f>
        <v>0</v>
      </c>
      <c r="AL59" s="547">
        <f>AD59+AH59</f>
        <v>0</v>
      </c>
      <c r="AM59" s="314">
        <f>IF(ISERR(AL59/$AL$11),"",AL59/AL$11)</f>
        <v>0</v>
      </c>
      <c r="AN59" s="478">
        <f>AF59+AJ59</f>
        <v>0</v>
      </c>
      <c r="AO59" s="123">
        <f>IF(ISERR(AN59/$AN$11),"",AN59/$AN$11)</f>
        <v>0</v>
      </c>
      <c r="AP59" s="527">
        <f>B59+Z59+AL59</f>
        <v>0</v>
      </c>
      <c r="AQ59" s="284">
        <f>IF(ISERR(AP59/$AP$11),"",AP59/$AP$11)</f>
        <v>0</v>
      </c>
      <c r="AR59" s="487">
        <f>D59+AB59+AN59</f>
        <v>0</v>
      </c>
      <c r="AS59" s="285">
        <f>IF(ISERR(AR59/$AR$11),"",AR59/$AR$11)</f>
        <v>0</v>
      </c>
      <c r="AT59" s="584">
        <f>[3]全社合計!$G$59</f>
        <v>0</v>
      </c>
      <c r="AU59" s="124">
        <f>IF(ISERR(AT59/$AT$11),"",AT59/$AT$11)</f>
        <v>0</v>
      </c>
      <c r="AV59" s="578">
        <f>[3]全社合計!$N$59</f>
        <v>0</v>
      </c>
      <c r="AW59" s="125">
        <f>IF(ISERR(AV59/$AV$11),"",AV59/$AV$11)</f>
        <v>0</v>
      </c>
      <c r="AX59" s="584">
        <f t="shared" si="32"/>
        <v>0</v>
      </c>
      <c r="AY59" s="124" t="str">
        <f>IF(ISERROR(AP59/AT59),"",AP59/AT59)</f>
        <v/>
      </c>
      <c r="AZ59" s="578">
        <f>AR59-AV59</f>
        <v>0</v>
      </c>
      <c r="BA59" s="125" t="str">
        <f>IF(ISERROR(AR59/AV59),"",AR59/AV59)</f>
        <v/>
      </c>
      <c r="BB59" s="11"/>
    </row>
    <row r="60" spans="1:54" ht="15.95" customHeight="1">
      <c r="A60" s="37" t="s">
        <v>93</v>
      </c>
      <c r="B60" s="703">
        <f>[3]本部!$I$60</f>
        <v>500000</v>
      </c>
      <c r="C60" s="259" t="str">
        <f>IF(ISERR(B60/$B$11),"",B60/$B$11)</f>
        <v/>
      </c>
      <c r="D60" s="728">
        <f>[3]本部!$L$60</f>
        <v>1500000</v>
      </c>
      <c r="E60" s="122" t="str">
        <f t="shared" si="39"/>
        <v/>
      </c>
      <c r="F60" s="352">
        <f>[3]本社営業!$I$60</f>
        <v>0</v>
      </c>
      <c r="G60" s="9">
        <f t="shared" si="40"/>
        <v>0</v>
      </c>
      <c r="H60" s="362">
        <f>[3]本社営業!$L$60</f>
        <v>0</v>
      </c>
      <c r="I60" s="124">
        <f t="shared" si="19"/>
        <v>0</v>
      </c>
      <c r="J60" s="745">
        <f>[3]東大阪!$I$60</f>
        <v>0</v>
      </c>
      <c r="K60" s="9">
        <f t="shared" si="20"/>
        <v>0</v>
      </c>
      <c r="L60" s="362">
        <f>[3]東大阪!$L$60</f>
        <v>0</v>
      </c>
      <c r="M60" s="124">
        <f t="shared" si="37"/>
        <v>0</v>
      </c>
      <c r="N60" s="403">
        <f>[3]南港工場!$I$60</f>
        <v>0</v>
      </c>
      <c r="O60" s="9">
        <f t="shared" si="41"/>
        <v>0</v>
      </c>
      <c r="P60" s="362">
        <f>[3]南港工場!$L$60</f>
        <v>0</v>
      </c>
      <c r="Q60" s="171">
        <f t="shared" si="42"/>
        <v>0</v>
      </c>
      <c r="R60" s="445">
        <f>[3]南港事務!$I$60</f>
        <v>0</v>
      </c>
      <c r="S60" s="9" t="str">
        <f t="shared" si="43"/>
        <v/>
      </c>
      <c r="T60" s="362">
        <f>[3]南港事務!$L$60</f>
        <v>0</v>
      </c>
      <c r="U60" s="204" t="str">
        <f t="shared" si="44"/>
        <v/>
      </c>
      <c r="V60" s="456">
        <f t="shared" si="21"/>
        <v>0</v>
      </c>
      <c r="W60" s="171">
        <f t="shared" si="45"/>
        <v>0</v>
      </c>
      <c r="X60" s="426">
        <f t="shared" si="22"/>
        <v>0</v>
      </c>
      <c r="Y60" s="225">
        <f t="shared" si="46"/>
        <v>0</v>
      </c>
      <c r="Z60" s="460">
        <f t="shared" si="23"/>
        <v>0</v>
      </c>
      <c r="AA60" s="189">
        <f t="shared" si="47"/>
        <v>0</v>
      </c>
      <c r="AB60" s="564">
        <f t="shared" si="24"/>
        <v>0</v>
      </c>
      <c r="AC60" s="123">
        <f t="shared" si="48"/>
        <v>0</v>
      </c>
      <c r="AD60" s="352">
        <f>[3]東京事務!$I$60</f>
        <v>0</v>
      </c>
      <c r="AE60" s="9">
        <f t="shared" si="49"/>
        <v>0</v>
      </c>
      <c r="AF60" s="362">
        <f>[3]東京事務!$L$60</f>
        <v>0</v>
      </c>
      <c r="AG60" s="81">
        <f t="shared" si="50"/>
        <v>0</v>
      </c>
      <c r="AH60" s="388">
        <f>[3]東京工場!$I$60</f>
        <v>0</v>
      </c>
      <c r="AI60" s="171">
        <f t="shared" si="25"/>
        <v>0</v>
      </c>
      <c r="AJ60" s="362">
        <f>[3]東京工場!$L$60</f>
        <v>0</v>
      </c>
      <c r="AK60" s="99">
        <f t="shared" si="36"/>
        <v>0</v>
      </c>
      <c r="AL60" s="547">
        <f t="shared" si="26"/>
        <v>0</v>
      </c>
      <c r="AM60" s="314">
        <f t="shared" si="51"/>
        <v>0</v>
      </c>
      <c r="AN60" s="478">
        <f t="shared" si="27"/>
        <v>0</v>
      </c>
      <c r="AO60" s="123">
        <f t="shared" si="52"/>
        <v>0</v>
      </c>
      <c r="AP60" s="527">
        <f>B60+Z60+AL60</f>
        <v>500000</v>
      </c>
      <c r="AQ60" s="284">
        <f t="shared" si="53"/>
        <v>7.048067869386464E-4</v>
      </c>
      <c r="AR60" s="487">
        <f t="shared" si="29"/>
        <v>1500000</v>
      </c>
      <c r="AS60" s="285">
        <f t="shared" si="54"/>
        <v>6.3891387666862459E-4</v>
      </c>
      <c r="AT60" s="584">
        <f>[3]全社合計!$G$60</f>
        <v>500000</v>
      </c>
      <c r="AU60" s="124">
        <f t="shared" si="30"/>
        <v>6.2866707714184225E-4</v>
      </c>
      <c r="AV60" s="578">
        <f>[3]全社合計!$N$60</f>
        <v>1500000</v>
      </c>
      <c r="AW60" s="125">
        <f t="shared" si="31"/>
        <v>5.5649439684768269E-4</v>
      </c>
      <c r="AX60" s="584">
        <f t="shared" si="32"/>
        <v>0</v>
      </c>
      <c r="AY60" s="124">
        <f t="shared" si="33"/>
        <v>1</v>
      </c>
      <c r="AZ60" s="578">
        <f t="shared" si="34"/>
        <v>0</v>
      </c>
      <c r="BA60" s="125">
        <f t="shared" si="35"/>
        <v>1</v>
      </c>
      <c r="BB60" s="11"/>
    </row>
    <row r="61" spans="1:54" ht="15.95" customHeight="1">
      <c r="A61" s="35" t="s">
        <v>48</v>
      </c>
      <c r="B61" s="704">
        <f>[3]本部!$I$61</f>
        <v>0</v>
      </c>
      <c r="C61" s="260" t="str">
        <f t="shared" si="38"/>
        <v/>
      </c>
      <c r="D61" s="729">
        <f>[3]本部!$L$61</f>
        <v>7001</v>
      </c>
      <c r="E61" s="126" t="str">
        <f t="shared" si="39"/>
        <v/>
      </c>
      <c r="F61" s="353">
        <f>[3]本社営業!$I$61</f>
        <v>76390</v>
      </c>
      <c r="G61" s="12">
        <f t="shared" si="40"/>
        <v>1.7135185304490032E-4</v>
      </c>
      <c r="H61" s="363">
        <f>[3]本社営業!$L$61</f>
        <v>121195</v>
      </c>
      <c r="I61" s="128">
        <f t="shared" si="19"/>
        <v>8.0753107848103946E-5</v>
      </c>
      <c r="J61" s="746">
        <f>[3]東大阪!$I$61</f>
        <v>0</v>
      </c>
      <c r="K61" s="12">
        <f t="shared" si="20"/>
        <v>0</v>
      </c>
      <c r="L61" s="363">
        <f>[3]東大阪!$L$61</f>
        <v>0</v>
      </c>
      <c r="M61" s="128">
        <f t="shared" si="37"/>
        <v>0</v>
      </c>
      <c r="N61" s="404">
        <f>[3]南港工場!$I$61</f>
        <v>0</v>
      </c>
      <c r="O61" s="12">
        <f t="shared" si="41"/>
        <v>0</v>
      </c>
      <c r="P61" s="363">
        <f>[3]南港工場!$L$61</f>
        <v>2</v>
      </c>
      <c r="Q61" s="172">
        <f t="shared" si="42"/>
        <v>2.6217840655908498E-8</v>
      </c>
      <c r="R61" s="446">
        <f>[3]南港事務!$I$61</f>
        <v>0</v>
      </c>
      <c r="S61" s="12" t="str">
        <f t="shared" si="43"/>
        <v/>
      </c>
      <c r="T61" s="363">
        <f>[3]南港事務!$L$61</f>
        <v>0</v>
      </c>
      <c r="U61" s="205" t="str">
        <f t="shared" si="44"/>
        <v/>
      </c>
      <c r="V61" s="457">
        <f t="shared" si="21"/>
        <v>0</v>
      </c>
      <c r="W61" s="172">
        <f t="shared" si="45"/>
        <v>0</v>
      </c>
      <c r="X61" s="427">
        <f t="shared" si="22"/>
        <v>2</v>
      </c>
      <c r="Y61" s="226">
        <f t="shared" si="46"/>
        <v>2.6217840655908498E-8</v>
      </c>
      <c r="Z61" s="461">
        <f t="shared" si="23"/>
        <v>76390</v>
      </c>
      <c r="AA61" s="190">
        <f t="shared" si="47"/>
        <v>1.613008043504586E-4</v>
      </c>
      <c r="AB61" s="565">
        <f t="shared" si="24"/>
        <v>121197</v>
      </c>
      <c r="AC61" s="127">
        <f t="shared" si="48"/>
        <v>7.561175584306536E-5</v>
      </c>
      <c r="AD61" s="353">
        <f>[3]東京事務!$I$61</f>
        <v>25</v>
      </c>
      <c r="AE61" s="12">
        <f t="shared" si="49"/>
        <v>1.1012367470121949E-7</v>
      </c>
      <c r="AF61" s="363">
        <f>[3]東京事務!$L$61</f>
        <v>80</v>
      </c>
      <c r="AG61" s="82">
        <f t="shared" si="50"/>
        <v>1.1178409764513077E-7</v>
      </c>
      <c r="AH61" s="389">
        <f>[3]東京工場!$I$61</f>
        <v>0</v>
      </c>
      <c r="AI61" s="172">
        <f t="shared" si="25"/>
        <v>0</v>
      </c>
      <c r="AJ61" s="363">
        <f>[3]東京工場!$L$61</f>
        <v>0</v>
      </c>
      <c r="AK61" s="100">
        <f t="shared" si="36"/>
        <v>0</v>
      </c>
      <c r="AL61" s="548">
        <f t="shared" si="26"/>
        <v>25</v>
      </c>
      <c r="AM61" s="315">
        <f t="shared" si="51"/>
        <v>1.0600988797477174E-7</v>
      </c>
      <c r="AN61" s="479">
        <f t="shared" si="27"/>
        <v>80</v>
      </c>
      <c r="AO61" s="127">
        <f t="shared" si="52"/>
        <v>1.0740437822106486E-7</v>
      </c>
      <c r="AP61" s="528">
        <f t="shared" si="28"/>
        <v>76415</v>
      </c>
      <c r="AQ61" s="286">
        <f t="shared" si="53"/>
        <v>1.0771562124783332E-4</v>
      </c>
      <c r="AR61" s="488">
        <f t="shared" si="29"/>
        <v>128278</v>
      </c>
      <c r="AS61" s="287">
        <f t="shared" si="54"/>
        <v>5.4639062847531876E-5</v>
      </c>
      <c r="AT61" s="585">
        <f>[3]全社合計!$G$61</f>
        <v>865755</v>
      </c>
      <c r="AU61" s="128">
        <f t="shared" si="30"/>
        <v>1.0885433307418711E-3</v>
      </c>
      <c r="AV61" s="579">
        <f>[3]全社合計!$N$61</f>
        <v>1404752</v>
      </c>
      <c r="AW61" s="129">
        <f t="shared" si="31"/>
        <v>5.2115774464038403E-4</v>
      </c>
      <c r="AX61" s="585">
        <f t="shared" si="32"/>
        <v>-789340</v>
      </c>
      <c r="AY61" s="128">
        <f>IF(ISERROR(AP61/AT61),"",AP61/AT61)</f>
        <v>8.826400078544161E-2</v>
      </c>
      <c r="AZ61" s="579">
        <f t="shared" si="34"/>
        <v>-1276474</v>
      </c>
      <c r="BA61" s="129">
        <f t="shared" si="35"/>
        <v>9.1317186236431772E-2</v>
      </c>
      <c r="BB61" s="14"/>
    </row>
    <row r="62" spans="1:54" ht="15.95" customHeight="1">
      <c r="A62" s="62" t="s">
        <v>49</v>
      </c>
      <c r="B62" s="708">
        <f>SUM(B55:B61)</f>
        <v>1128574</v>
      </c>
      <c r="C62" s="141" t="str">
        <f t="shared" si="38"/>
        <v/>
      </c>
      <c r="D62" s="401">
        <f>SUM(D55:D61)</f>
        <v>3356452</v>
      </c>
      <c r="E62" s="139" t="str">
        <f t="shared" si="39"/>
        <v/>
      </c>
      <c r="F62" s="466">
        <f>SUM(F55:F61)</f>
        <v>399679</v>
      </c>
      <c r="G62" s="64">
        <f t="shared" si="40"/>
        <v>8.9652752026616993E-4</v>
      </c>
      <c r="H62" s="401">
        <f>SUM(H55:H61)</f>
        <v>802067</v>
      </c>
      <c r="I62" s="141">
        <f t="shared" si="19"/>
        <v>5.3442306161479586E-4</v>
      </c>
      <c r="J62" s="747">
        <f>SUM(J55:J61)</f>
        <v>0</v>
      </c>
      <c r="K62" s="64">
        <f t="shared" si="20"/>
        <v>0</v>
      </c>
      <c r="L62" s="401">
        <f>SUM(L55:L61)</f>
        <v>0</v>
      </c>
      <c r="M62" s="141">
        <f t="shared" si="37"/>
        <v>0</v>
      </c>
      <c r="N62" s="405">
        <f>SUM(N55:N61)</f>
        <v>0</v>
      </c>
      <c r="O62" s="64">
        <f t="shared" si="41"/>
        <v>0</v>
      </c>
      <c r="P62" s="401">
        <f>SUM(P55:P61)</f>
        <v>2</v>
      </c>
      <c r="Q62" s="177">
        <f t="shared" si="42"/>
        <v>2.6217840655908498E-8</v>
      </c>
      <c r="R62" s="442">
        <f>SUM(R55:R61)</f>
        <v>0</v>
      </c>
      <c r="S62" s="64" t="str">
        <f t="shared" si="43"/>
        <v/>
      </c>
      <c r="T62" s="401">
        <f>SUM(T55:T61)</f>
        <v>0</v>
      </c>
      <c r="U62" s="209" t="str">
        <f t="shared" si="44"/>
        <v/>
      </c>
      <c r="V62" s="458">
        <f t="shared" si="21"/>
        <v>0</v>
      </c>
      <c r="W62" s="177">
        <f t="shared" si="45"/>
        <v>0</v>
      </c>
      <c r="X62" s="428">
        <f t="shared" si="22"/>
        <v>2</v>
      </c>
      <c r="Y62" s="230">
        <f t="shared" si="46"/>
        <v>2.6217840655908498E-8</v>
      </c>
      <c r="Z62" s="458">
        <f t="shared" si="23"/>
        <v>399679</v>
      </c>
      <c r="AA62" s="194">
        <f t="shared" si="47"/>
        <v>8.4393957562491084E-4</v>
      </c>
      <c r="AB62" s="428">
        <f t="shared" si="24"/>
        <v>802069</v>
      </c>
      <c r="AC62" s="140">
        <f t="shared" si="48"/>
        <v>5.0039064826102621E-4</v>
      </c>
      <c r="AD62" s="466">
        <f>SUM(AD55:AD61)</f>
        <v>25</v>
      </c>
      <c r="AE62" s="64">
        <f t="shared" si="49"/>
        <v>1.1012367470121949E-7</v>
      </c>
      <c r="AF62" s="401">
        <f>SUM(AF55:AF61)</f>
        <v>80</v>
      </c>
      <c r="AG62" s="85">
        <f t="shared" si="50"/>
        <v>1.1178409764513077E-7</v>
      </c>
      <c r="AH62" s="390">
        <f>SUM(AH55:AH61)</f>
        <v>0</v>
      </c>
      <c r="AI62" s="177">
        <f t="shared" si="25"/>
        <v>0</v>
      </c>
      <c r="AJ62" s="401">
        <f>SUM(AJ55:AJ61)</f>
        <v>0</v>
      </c>
      <c r="AK62" s="105">
        <f t="shared" si="36"/>
        <v>0</v>
      </c>
      <c r="AL62" s="549">
        <f t="shared" si="26"/>
        <v>25</v>
      </c>
      <c r="AM62" s="319">
        <f t="shared" si="51"/>
        <v>1.0600988797477174E-7</v>
      </c>
      <c r="AN62" s="480">
        <f t="shared" si="27"/>
        <v>80</v>
      </c>
      <c r="AO62" s="140">
        <f t="shared" si="52"/>
        <v>1.0740437822106486E-7</v>
      </c>
      <c r="AP62" s="529">
        <f t="shared" si="28"/>
        <v>1528278</v>
      </c>
      <c r="AQ62" s="141">
        <f t="shared" si="53"/>
        <v>2.1542814134580413E-3</v>
      </c>
      <c r="AR62" s="428">
        <f t="shared" si="29"/>
        <v>4158601</v>
      </c>
      <c r="AS62" s="140">
        <f t="shared" si="54"/>
        <v>1.771325257618679E-3</v>
      </c>
      <c r="AT62" s="529">
        <f>SUM(AT55:AT61)</f>
        <v>2158119</v>
      </c>
      <c r="AU62" s="141">
        <f t="shared" si="30"/>
        <v>2.7134767277085508E-3</v>
      </c>
      <c r="AV62" s="410">
        <f>SUM(AV55:AV61)</f>
        <v>5462674</v>
      </c>
      <c r="AW62" s="140">
        <f t="shared" si="31"/>
        <v>2.0266316485370124E-3</v>
      </c>
      <c r="AX62" s="529">
        <f t="shared" si="32"/>
        <v>-629841</v>
      </c>
      <c r="AY62" s="141">
        <f t="shared" si="33"/>
        <v>0.70815279416936694</v>
      </c>
      <c r="AZ62" s="410">
        <f t="shared" si="34"/>
        <v>-1304073</v>
      </c>
      <c r="BA62" s="140">
        <f t="shared" si="35"/>
        <v>0.76127570490203145</v>
      </c>
      <c r="BB62" s="11"/>
    </row>
    <row r="63" spans="1:54" ht="15.95" customHeight="1">
      <c r="A63" s="38" t="s">
        <v>59</v>
      </c>
      <c r="B63" s="712">
        <f>[3]本部!$I$63</f>
        <v>-7096393</v>
      </c>
      <c r="C63" s="221" t="str">
        <f t="shared" si="38"/>
        <v/>
      </c>
      <c r="D63" s="732">
        <f>[3]本部!$L$63</f>
        <v>-20677494</v>
      </c>
      <c r="E63" s="142" t="str">
        <f t="shared" si="39"/>
        <v/>
      </c>
      <c r="F63" s="365">
        <f>[3]本社営業!$I$63</f>
        <v>3491426</v>
      </c>
      <c r="G63" s="15">
        <f t="shared" si="40"/>
        <v>7.83168366107009E-3</v>
      </c>
      <c r="H63" s="367">
        <f>[3]本社営業!$L$63</f>
        <v>10226888</v>
      </c>
      <c r="I63" s="144">
        <f t="shared" si="19"/>
        <v>6.8142496770863484E-3</v>
      </c>
      <c r="J63" s="751">
        <f>[3]東大阪!$I$63</f>
        <v>432880</v>
      </c>
      <c r="K63" s="15">
        <f t="shared" si="20"/>
        <v>5.7453827100718599E-2</v>
      </c>
      <c r="L63" s="367">
        <f>[3]東大阪!$L$63</f>
        <v>1174482</v>
      </c>
      <c r="M63" s="144">
        <f t="shared" si="37"/>
        <v>4.5535571076183903E-2</v>
      </c>
      <c r="N63" s="413">
        <f>[3]南港工場!$I$63</f>
        <v>965109</v>
      </c>
      <c r="O63" s="15">
        <f t="shared" si="41"/>
        <v>4.7671516823279962E-2</v>
      </c>
      <c r="P63" s="367">
        <f>[3]南港工場!$L$63</f>
        <v>2974730</v>
      </c>
      <c r="Q63" s="178">
        <f t="shared" si="42"/>
        <v>3.8995498567175345E-2</v>
      </c>
      <c r="R63" s="447">
        <f>[3]南港事務!$I$63</f>
        <v>205795</v>
      </c>
      <c r="S63" s="15" t="str">
        <f t="shared" si="43"/>
        <v/>
      </c>
      <c r="T63" s="367">
        <f>[3]南港事務!$L$63</f>
        <v>599456</v>
      </c>
      <c r="U63" s="210" t="str">
        <f t="shared" si="44"/>
        <v/>
      </c>
      <c r="V63" s="491">
        <f t="shared" si="21"/>
        <v>1170904</v>
      </c>
      <c r="W63" s="178">
        <f t="shared" si="45"/>
        <v>5.7836751842999912E-2</v>
      </c>
      <c r="X63" s="431">
        <f t="shared" si="22"/>
        <v>3574186</v>
      </c>
      <c r="Y63" s="231">
        <f t="shared" si="46"/>
        <v>4.6853719511289485E-2</v>
      </c>
      <c r="Z63" s="570">
        <f t="shared" si="23"/>
        <v>5095210</v>
      </c>
      <c r="AA63" s="195">
        <f t="shared" si="47"/>
        <v>1.075875731554523E-2</v>
      </c>
      <c r="AB63" s="567">
        <f t="shared" si="24"/>
        <v>14975556</v>
      </c>
      <c r="AC63" s="143">
        <f t="shared" si="48"/>
        <v>9.342872215369627E-3</v>
      </c>
      <c r="AD63" s="365">
        <f>[3]東京事務!$I$63</f>
        <v>1461857</v>
      </c>
      <c r="AE63" s="15">
        <f t="shared" si="49"/>
        <v>6.4394025891080248E-3</v>
      </c>
      <c r="AF63" s="367">
        <f>[3]東京事務!$L$63</f>
        <v>4123944</v>
      </c>
      <c r="AG63" s="86">
        <f t="shared" si="50"/>
        <v>5.7623919847381395E-3</v>
      </c>
      <c r="AH63" s="393">
        <f>[3]東京工場!$I$63</f>
        <v>539326</v>
      </c>
      <c r="AI63" s="178">
        <f t="shared" si="25"/>
        <v>6.1220468195382974E-2</v>
      </c>
      <c r="AJ63" s="367">
        <f>[3]東京工場!$L$63</f>
        <v>1577994</v>
      </c>
      <c r="AK63" s="106">
        <f t="shared" si="36"/>
        <v>5.4071831720418372E-2</v>
      </c>
      <c r="AL63" s="551">
        <f t="shared" si="26"/>
        <v>2001183</v>
      </c>
      <c r="AM63" s="320">
        <f t="shared" si="51"/>
        <v>8.4858074258807054E-3</v>
      </c>
      <c r="AN63" s="538">
        <f t="shared" si="27"/>
        <v>5701938</v>
      </c>
      <c r="AO63" s="143">
        <f t="shared" si="52"/>
        <v>7.6551638193132765E-3</v>
      </c>
      <c r="AP63" s="531">
        <f t="shared" si="28"/>
        <v>0</v>
      </c>
      <c r="AQ63" s="288">
        <f t="shared" si="53"/>
        <v>0</v>
      </c>
      <c r="AR63" s="518">
        <f t="shared" si="29"/>
        <v>0</v>
      </c>
      <c r="AS63" s="289">
        <f t="shared" si="54"/>
        <v>0</v>
      </c>
      <c r="AT63" s="588">
        <f>[3]全社合計!$G$63</f>
        <v>0</v>
      </c>
      <c r="AU63" s="144">
        <f t="shared" si="30"/>
        <v>0</v>
      </c>
      <c r="AV63" s="598">
        <f>[3]全社合計!$N$63</f>
        <v>0</v>
      </c>
      <c r="AW63" s="145">
        <f t="shared" si="31"/>
        <v>0</v>
      </c>
      <c r="AX63" s="588">
        <f t="shared" si="32"/>
        <v>0</v>
      </c>
      <c r="AY63" s="144" t="str">
        <f t="shared" si="33"/>
        <v/>
      </c>
      <c r="AZ63" s="598">
        <f t="shared" si="34"/>
        <v>0</v>
      </c>
      <c r="BA63" s="145" t="str">
        <f t="shared" si="35"/>
        <v/>
      </c>
      <c r="BB63" s="11"/>
    </row>
    <row r="64" spans="1:54" ht="19.899999999999999" customHeight="1">
      <c r="A64" s="57" t="s">
        <v>50</v>
      </c>
      <c r="B64" s="713">
        <f>+B48+B54-B62-B63</f>
        <v>0</v>
      </c>
      <c r="C64" s="146" t="str">
        <f t="shared" si="38"/>
        <v/>
      </c>
      <c r="D64" s="376">
        <f>D48+D54-D62-D63</f>
        <v>0</v>
      </c>
      <c r="E64" s="136" t="str">
        <f t="shared" si="39"/>
        <v/>
      </c>
      <c r="F64" s="375">
        <f>F48+F54-F62-F63</f>
        <v>34922812</v>
      </c>
      <c r="G64" s="56">
        <f t="shared" si="40"/>
        <v>7.8336019763564371E-2</v>
      </c>
      <c r="H64" s="376">
        <f>H48+H54-H62-H63</f>
        <v>158956171</v>
      </c>
      <c r="I64" s="146">
        <f t="shared" si="19"/>
        <v>0.10591365006712036</v>
      </c>
      <c r="J64" s="374">
        <f>J48+J54-J62-J63</f>
        <v>294275</v>
      </c>
      <c r="K64" s="56">
        <f t="shared" si="20"/>
        <v>3.9057533196414633E-2</v>
      </c>
      <c r="L64" s="376">
        <f>L48+L54-L62-L63</f>
        <v>6134242</v>
      </c>
      <c r="M64" s="146">
        <f t="shared" si="37"/>
        <v>0.23782928353905169</v>
      </c>
      <c r="N64" s="412">
        <f>N48+N54-N62-N63</f>
        <v>27259</v>
      </c>
      <c r="O64" s="56">
        <f t="shared" si="41"/>
        <v>1.3464571121871089E-3</v>
      </c>
      <c r="P64" s="376">
        <f>P48+P54-P62-P63</f>
        <v>20099889</v>
      </c>
      <c r="Q64" s="176">
        <f t="shared" si="42"/>
        <v>0.263487843501724</v>
      </c>
      <c r="R64" s="443">
        <f>R48+R54-R62-R63</f>
        <v>-4383493</v>
      </c>
      <c r="S64" s="56" t="str">
        <f t="shared" si="43"/>
        <v/>
      </c>
      <c r="T64" s="376">
        <f>T48+T54-T62-T63</f>
        <v>-12976571</v>
      </c>
      <c r="U64" s="211" t="str">
        <f t="shared" si="44"/>
        <v/>
      </c>
      <c r="V64" s="490">
        <f t="shared" si="21"/>
        <v>-4356234</v>
      </c>
      <c r="W64" s="176">
        <f t="shared" si="45"/>
        <v>-0.21517598780774416</v>
      </c>
      <c r="X64" s="424">
        <f t="shared" si="22"/>
        <v>7123318</v>
      </c>
      <c r="Y64" s="232">
        <f t="shared" si="46"/>
        <v>9.3379008132682406E-2</v>
      </c>
      <c r="Z64" s="490">
        <f t="shared" si="23"/>
        <v>30860853</v>
      </c>
      <c r="AA64" s="193">
        <f t="shared" si="47"/>
        <v>6.5164032096364219E-2</v>
      </c>
      <c r="AB64" s="424">
        <f t="shared" si="24"/>
        <v>172213731</v>
      </c>
      <c r="AC64" s="185">
        <f t="shared" si="48"/>
        <v>0.10743980941108557</v>
      </c>
      <c r="AD64" s="375">
        <f>AD48+AD54-AD62-AD63</f>
        <v>7553938</v>
      </c>
      <c r="AE64" s="56">
        <f t="shared" si="49"/>
        <v>3.3274696441007223E-2</v>
      </c>
      <c r="AF64" s="376">
        <f>AF48+AF54-AF62-AF63</f>
        <v>22437252</v>
      </c>
      <c r="AG64" s="87">
        <f t="shared" si="50"/>
        <v>3.135159960570507E-2</v>
      </c>
      <c r="AH64" s="392">
        <f>AH48+AH54-AH62-AH63</f>
        <v>528736</v>
      </c>
      <c r="AI64" s="176">
        <f t="shared" si="25"/>
        <v>6.0018366390187032E-2</v>
      </c>
      <c r="AJ64" s="376">
        <f>AJ48+AJ54-AJ62-AJ63</f>
        <v>4819598</v>
      </c>
      <c r="AK64" s="104">
        <f t="shared" si="36"/>
        <v>0.16514922871447227</v>
      </c>
      <c r="AL64" s="545">
        <f t="shared" si="26"/>
        <v>8082674</v>
      </c>
      <c r="AM64" s="321">
        <f t="shared" si="51"/>
        <v>3.4273734611064012E-2</v>
      </c>
      <c r="AN64" s="537">
        <f t="shared" si="27"/>
        <v>27256850</v>
      </c>
      <c r="AO64" s="137">
        <f t="shared" si="52"/>
        <v>3.6593812831435396E-2</v>
      </c>
      <c r="AP64" s="525">
        <f t="shared" si="28"/>
        <v>38943527</v>
      </c>
      <c r="AQ64" s="303">
        <f t="shared" si="53"/>
        <v>5.4895324273856842E-2</v>
      </c>
      <c r="AR64" s="517">
        <f t="shared" si="29"/>
        <v>199470581</v>
      </c>
      <c r="AS64" s="304">
        <f t="shared" si="54"/>
        <v>8.496301479203526E-2</v>
      </c>
      <c r="AT64" s="582">
        <f>AT48+AT54-AT62-AT63</f>
        <v>48859949</v>
      </c>
      <c r="AU64" s="146">
        <f t="shared" si="30"/>
        <v>6.1433282654258951E-2</v>
      </c>
      <c r="AV64" s="597">
        <f>AV48+AV54-AV62-AV63</f>
        <v>205666369</v>
      </c>
      <c r="AW64" s="137">
        <f t="shared" si="31"/>
        <v>7.6301454645671965E-2</v>
      </c>
      <c r="AX64" s="582">
        <f t="shared" si="32"/>
        <v>-9916422</v>
      </c>
      <c r="AY64" s="146">
        <f t="shared" si="33"/>
        <v>0.79704395516254023</v>
      </c>
      <c r="AZ64" s="597">
        <f t="shared" si="34"/>
        <v>-6195788</v>
      </c>
      <c r="BA64" s="137">
        <f t="shared" si="35"/>
        <v>0.96987456904050273</v>
      </c>
      <c r="BB64" s="11"/>
    </row>
    <row r="65" spans="1:54" ht="15.95" customHeight="1">
      <c r="A65" s="39" t="s">
        <v>51</v>
      </c>
      <c r="B65" s="714">
        <f>[3]本部!$I$65</f>
        <v>0</v>
      </c>
      <c r="C65" s="261" t="str">
        <f t="shared" si="38"/>
        <v/>
      </c>
      <c r="D65" s="733">
        <f>[3]本部!$L$65</f>
        <v>0</v>
      </c>
      <c r="E65" s="142" t="str">
        <f t="shared" si="39"/>
        <v/>
      </c>
      <c r="F65" s="368">
        <f>[3]本社営業!$I$65</f>
        <v>0</v>
      </c>
      <c r="G65" s="15">
        <f t="shared" si="40"/>
        <v>0</v>
      </c>
      <c r="H65" s="370">
        <f>[3]本社営業!$L$65</f>
        <v>0</v>
      </c>
      <c r="I65" s="144">
        <f t="shared" si="19"/>
        <v>0</v>
      </c>
      <c r="J65" s="752">
        <f>[3]東大阪!$I$65</f>
        <v>0</v>
      </c>
      <c r="K65" s="15">
        <f t="shared" si="20"/>
        <v>0</v>
      </c>
      <c r="L65" s="370">
        <f>[3]東大阪!$L$65</f>
        <v>0</v>
      </c>
      <c r="M65" s="144">
        <f t="shared" si="37"/>
        <v>0</v>
      </c>
      <c r="N65" s="414">
        <f>[3]南港工場!$I$65</f>
        <v>0</v>
      </c>
      <c r="O65" s="15">
        <f t="shared" si="41"/>
        <v>0</v>
      </c>
      <c r="P65" s="370">
        <f>[3]南港工場!$L$65</f>
        <v>0</v>
      </c>
      <c r="Q65" s="178">
        <f t="shared" si="42"/>
        <v>0</v>
      </c>
      <c r="R65" s="448">
        <f>[3]南港事務!$I$65</f>
        <v>0</v>
      </c>
      <c r="S65" s="15" t="str">
        <f t="shared" si="43"/>
        <v/>
      </c>
      <c r="T65" s="370">
        <f>[3]南港事務!$L$65</f>
        <v>0</v>
      </c>
      <c r="U65" s="210" t="str">
        <f t="shared" si="44"/>
        <v/>
      </c>
      <c r="V65" s="492">
        <f t="shared" si="21"/>
        <v>0</v>
      </c>
      <c r="W65" s="178">
        <f t="shared" si="45"/>
        <v>0</v>
      </c>
      <c r="X65" s="432">
        <f t="shared" si="22"/>
        <v>0</v>
      </c>
      <c r="Y65" s="231">
        <f t="shared" si="46"/>
        <v>0</v>
      </c>
      <c r="Z65" s="571">
        <f t="shared" si="23"/>
        <v>0</v>
      </c>
      <c r="AA65" s="195">
        <f t="shared" si="47"/>
        <v>0</v>
      </c>
      <c r="AB65" s="568">
        <f t="shared" si="24"/>
        <v>0</v>
      </c>
      <c r="AC65" s="143">
        <f t="shared" si="48"/>
        <v>0</v>
      </c>
      <c r="AD65" s="368">
        <f>[3]東京事務!$I$65</f>
        <v>0</v>
      </c>
      <c r="AE65" s="15">
        <f t="shared" si="49"/>
        <v>0</v>
      </c>
      <c r="AF65" s="370">
        <f>[3]東京事務!$L$65</f>
        <v>0</v>
      </c>
      <c r="AG65" s="86">
        <f t="shared" si="50"/>
        <v>0</v>
      </c>
      <c r="AH65" s="394">
        <f>[3]東京工場!$I$65</f>
        <v>0</v>
      </c>
      <c r="AI65" s="178">
        <f t="shared" si="25"/>
        <v>0</v>
      </c>
      <c r="AJ65" s="370">
        <f>[3]東京工場!$L$65</f>
        <v>0</v>
      </c>
      <c r="AK65" s="106">
        <f t="shared" si="36"/>
        <v>0</v>
      </c>
      <c r="AL65" s="552">
        <f t="shared" si="26"/>
        <v>0</v>
      </c>
      <c r="AM65" s="320">
        <f t="shared" si="51"/>
        <v>0</v>
      </c>
      <c r="AN65" s="539">
        <f t="shared" si="27"/>
        <v>0</v>
      </c>
      <c r="AO65" s="143">
        <f t="shared" si="52"/>
        <v>0</v>
      </c>
      <c r="AP65" s="532">
        <f t="shared" si="28"/>
        <v>0</v>
      </c>
      <c r="AQ65" s="288">
        <f t="shared" si="53"/>
        <v>0</v>
      </c>
      <c r="AR65" s="519">
        <f t="shared" si="29"/>
        <v>0</v>
      </c>
      <c r="AS65" s="289">
        <f t="shared" si="54"/>
        <v>0</v>
      </c>
      <c r="AT65" s="589">
        <f>[3]全社合計!$G$65</f>
        <v>0</v>
      </c>
      <c r="AU65" s="144">
        <f t="shared" si="30"/>
        <v>0</v>
      </c>
      <c r="AV65" s="599">
        <f>[3]全社合計!$N$65</f>
        <v>0</v>
      </c>
      <c r="AW65" s="145">
        <f t="shared" si="31"/>
        <v>0</v>
      </c>
      <c r="AX65" s="589">
        <f t="shared" si="32"/>
        <v>0</v>
      </c>
      <c r="AY65" s="144" t="str">
        <f t="shared" si="33"/>
        <v/>
      </c>
      <c r="AZ65" s="599">
        <f t="shared" si="34"/>
        <v>0</v>
      </c>
      <c r="BA65" s="145" t="str">
        <f t="shared" si="35"/>
        <v/>
      </c>
      <c r="BB65" s="11"/>
    </row>
    <row r="66" spans="1:54" ht="15.95" customHeight="1">
      <c r="A66" s="40" t="s">
        <v>52</v>
      </c>
      <c r="B66" s="715">
        <f>[3]本部!$I$66</f>
        <v>0</v>
      </c>
      <c r="C66" s="262" t="str">
        <f t="shared" si="38"/>
        <v/>
      </c>
      <c r="D66" s="734">
        <f>[3]本部!$L$66</f>
        <v>0</v>
      </c>
      <c r="E66" s="147" t="str">
        <f t="shared" si="39"/>
        <v/>
      </c>
      <c r="F66" s="369">
        <f>[3]本社営業!$I$66</f>
        <v>0</v>
      </c>
      <c r="G66" s="16">
        <f t="shared" si="40"/>
        <v>0</v>
      </c>
      <c r="H66" s="371">
        <f>[3]本社営業!$L$66</f>
        <v>0</v>
      </c>
      <c r="I66" s="149">
        <f t="shared" si="19"/>
        <v>0</v>
      </c>
      <c r="J66" s="753">
        <f>[3]東大阪!$I$66</f>
        <v>0</v>
      </c>
      <c r="K66" s="16">
        <f>IF(ISERR(J66/$J$11),"",J66/$J$11)</f>
        <v>0</v>
      </c>
      <c r="L66" s="371">
        <f>[3]東大阪!$L$66</f>
        <v>0</v>
      </c>
      <c r="M66" s="149">
        <f t="shared" si="37"/>
        <v>0</v>
      </c>
      <c r="N66" s="415">
        <f>[3]南港工場!$I$66</f>
        <v>0</v>
      </c>
      <c r="O66" s="16">
        <f t="shared" si="41"/>
        <v>0</v>
      </c>
      <c r="P66" s="371">
        <f>[3]南港工場!$L$66</f>
        <v>0</v>
      </c>
      <c r="Q66" s="179">
        <f t="shared" si="42"/>
        <v>0</v>
      </c>
      <c r="R66" s="449">
        <f>[3]南港事務!$I$66</f>
        <v>0</v>
      </c>
      <c r="S66" s="16" t="str">
        <f t="shared" si="43"/>
        <v/>
      </c>
      <c r="T66" s="371">
        <f>[3]南港事務!$L$66</f>
        <v>0</v>
      </c>
      <c r="U66" s="212" t="str">
        <f t="shared" si="44"/>
        <v/>
      </c>
      <c r="V66" s="493">
        <f t="shared" si="21"/>
        <v>0</v>
      </c>
      <c r="W66" s="179">
        <f t="shared" si="45"/>
        <v>0</v>
      </c>
      <c r="X66" s="433">
        <f t="shared" si="22"/>
        <v>0</v>
      </c>
      <c r="Y66" s="233">
        <f t="shared" si="46"/>
        <v>0</v>
      </c>
      <c r="Z66" s="572">
        <f t="shared" si="23"/>
        <v>0</v>
      </c>
      <c r="AA66" s="196">
        <f t="shared" si="47"/>
        <v>0</v>
      </c>
      <c r="AB66" s="569">
        <f t="shared" si="24"/>
        <v>0</v>
      </c>
      <c r="AC66" s="148">
        <f t="shared" si="48"/>
        <v>0</v>
      </c>
      <c r="AD66" s="369">
        <f>[3]東京事務!$I$66</f>
        <v>0</v>
      </c>
      <c r="AE66" s="16">
        <f t="shared" si="49"/>
        <v>0</v>
      </c>
      <c r="AF66" s="371">
        <f>[3]東京事務!$L$66</f>
        <v>0</v>
      </c>
      <c r="AG66" s="88">
        <f t="shared" si="50"/>
        <v>0</v>
      </c>
      <c r="AH66" s="395">
        <f>[3]東京工場!$I$66</f>
        <v>0</v>
      </c>
      <c r="AI66" s="179">
        <f t="shared" si="25"/>
        <v>0</v>
      </c>
      <c r="AJ66" s="371">
        <f>[3]東京工場!$L$66</f>
        <v>0</v>
      </c>
      <c r="AK66" s="107">
        <f t="shared" si="36"/>
        <v>0</v>
      </c>
      <c r="AL66" s="553">
        <f t="shared" si="26"/>
        <v>0</v>
      </c>
      <c r="AM66" s="322">
        <f t="shared" si="51"/>
        <v>0</v>
      </c>
      <c r="AN66" s="540">
        <f t="shared" si="27"/>
        <v>0</v>
      </c>
      <c r="AO66" s="148">
        <f t="shared" si="52"/>
        <v>0</v>
      </c>
      <c r="AP66" s="533">
        <f t="shared" si="28"/>
        <v>0</v>
      </c>
      <c r="AQ66" s="290">
        <f t="shared" si="53"/>
        <v>0</v>
      </c>
      <c r="AR66" s="520">
        <f t="shared" si="29"/>
        <v>0</v>
      </c>
      <c r="AS66" s="291">
        <f t="shared" si="54"/>
        <v>0</v>
      </c>
      <c r="AT66" s="590">
        <f>[3]全社合計!$G$66</f>
        <v>0</v>
      </c>
      <c r="AU66" s="149">
        <f t="shared" si="30"/>
        <v>0</v>
      </c>
      <c r="AV66" s="600">
        <f>[3]全社合計!$N$66</f>
        <v>0</v>
      </c>
      <c r="AW66" s="150">
        <f t="shared" si="31"/>
        <v>0</v>
      </c>
      <c r="AX66" s="590">
        <f t="shared" si="32"/>
        <v>0</v>
      </c>
      <c r="AY66" s="149" t="str">
        <f t="shared" si="33"/>
        <v/>
      </c>
      <c r="AZ66" s="600">
        <f t="shared" si="34"/>
        <v>0</v>
      </c>
      <c r="BA66" s="150" t="str">
        <f t="shared" si="35"/>
        <v/>
      </c>
      <c r="BB66" s="11"/>
    </row>
    <row r="67" spans="1:54" ht="18" customHeight="1">
      <c r="A67" s="68" t="s">
        <v>60</v>
      </c>
      <c r="B67" s="716">
        <f>+B64+B65-B66</f>
        <v>0</v>
      </c>
      <c r="C67" s="152" t="str">
        <f t="shared" si="38"/>
        <v/>
      </c>
      <c r="D67" s="377">
        <f>D64+D65-D66</f>
        <v>0</v>
      </c>
      <c r="E67" s="218" t="str">
        <f t="shared" si="39"/>
        <v/>
      </c>
      <c r="F67" s="372">
        <f>F64+F65-F66</f>
        <v>34922812</v>
      </c>
      <c r="G67" s="69">
        <f t="shared" si="40"/>
        <v>7.8336019763564371E-2</v>
      </c>
      <c r="H67" s="377">
        <f>H64+H65-H66</f>
        <v>158956171</v>
      </c>
      <c r="I67" s="152">
        <f t="shared" si="19"/>
        <v>0.10591365006712036</v>
      </c>
      <c r="J67" s="754">
        <f>J64+J65-J66</f>
        <v>294275</v>
      </c>
      <c r="K67" s="69">
        <f>IF(ISERR(J67/$J$11),"",J67/$J$11)</f>
        <v>3.9057533196414633E-2</v>
      </c>
      <c r="L67" s="377">
        <f>L64+L65-L66</f>
        <v>6134242</v>
      </c>
      <c r="M67" s="152">
        <f t="shared" si="37"/>
        <v>0.23782928353905169</v>
      </c>
      <c r="N67" s="416">
        <f>N64+N65-N66</f>
        <v>27259</v>
      </c>
      <c r="O67" s="69">
        <f t="shared" si="41"/>
        <v>1.3464571121871089E-3</v>
      </c>
      <c r="P67" s="377">
        <f>P64+P65-P66</f>
        <v>20099889</v>
      </c>
      <c r="Q67" s="180">
        <f t="shared" si="42"/>
        <v>0.263487843501724</v>
      </c>
      <c r="R67" s="450">
        <f>R64+R65-R66</f>
        <v>-4383493</v>
      </c>
      <c r="S67" s="69" t="str">
        <f t="shared" si="43"/>
        <v/>
      </c>
      <c r="T67" s="377">
        <f>T64+T65-T66</f>
        <v>-12976571</v>
      </c>
      <c r="U67" s="213" t="str">
        <f t="shared" si="44"/>
        <v/>
      </c>
      <c r="V67" s="494">
        <f t="shared" si="21"/>
        <v>-4356234</v>
      </c>
      <c r="W67" s="180">
        <f t="shared" si="45"/>
        <v>-0.21517598780774416</v>
      </c>
      <c r="X67" s="434">
        <f t="shared" si="22"/>
        <v>7123318</v>
      </c>
      <c r="Y67" s="234">
        <f t="shared" si="46"/>
        <v>9.3379008132682406E-2</v>
      </c>
      <c r="Z67" s="494">
        <f t="shared" si="23"/>
        <v>30860853</v>
      </c>
      <c r="AA67" s="197">
        <f t="shared" si="47"/>
        <v>6.5164032096364219E-2</v>
      </c>
      <c r="AB67" s="434">
        <f t="shared" si="24"/>
        <v>172213731</v>
      </c>
      <c r="AC67" s="186">
        <f t="shared" si="48"/>
        <v>0.10743980941108557</v>
      </c>
      <c r="AD67" s="372">
        <f>AD64+AD65-AD66</f>
        <v>7553938</v>
      </c>
      <c r="AE67" s="69">
        <f t="shared" si="49"/>
        <v>3.3274696441007223E-2</v>
      </c>
      <c r="AF67" s="377">
        <f>AF64+AF65-AF66</f>
        <v>22437252</v>
      </c>
      <c r="AG67" s="89">
        <f t="shared" si="50"/>
        <v>3.135159960570507E-2</v>
      </c>
      <c r="AH67" s="396">
        <f>AH64+AH65-AH66</f>
        <v>528736</v>
      </c>
      <c r="AI67" s="180">
        <f t="shared" si="25"/>
        <v>6.0018366390187032E-2</v>
      </c>
      <c r="AJ67" s="377">
        <f>AJ64+AJ65-AJ66</f>
        <v>4819598</v>
      </c>
      <c r="AK67" s="108">
        <f t="shared" si="36"/>
        <v>0.16514922871447227</v>
      </c>
      <c r="AL67" s="554">
        <f t="shared" si="26"/>
        <v>8082674</v>
      </c>
      <c r="AM67" s="323">
        <f t="shared" si="51"/>
        <v>3.4273734611064012E-2</v>
      </c>
      <c r="AN67" s="541">
        <f t="shared" si="27"/>
        <v>27256850</v>
      </c>
      <c r="AO67" s="151">
        <f t="shared" si="52"/>
        <v>3.6593812831435396E-2</v>
      </c>
      <c r="AP67" s="534">
        <f t="shared" si="28"/>
        <v>38943527</v>
      </c>
      <c r="AQ67" s="152">
        <f t="shared" si="53"/>
        <v>5.4895324273856842E-2</v>
      </c>
      <c r="AR67" s="521">
        <f t="shared" si="29"/>
        <v>199470581</v>
      </c>
      <c r="AS67" s="151">
        <f t="shared" si="54"/>
        <v>8.496301479203526E-2</v>
      </c>
      <c r="AT67" s="534">
        <f>AT64+AT65-AT66</f>
        <v>48859949</v>
      </c>
      <c r="AU67" s="152">
        <f t="shared" si="30"/>
        <v>6.1433282654258951E-2</v>
      </c>
      <c r="AV67" s="601">
        <f>AV64+AV65-AV66</f>
        <v>205666369</v>
      </c>
      <c r="AW67" s="151">
        <f t="shared" si="31"/>
        <v>7.6301454645671965E-2</v>
      </c>
      <c r="AX67" s="534">
        <f t="shared" si="32"/>
        <v>-9916422</v>
      </c>
      <c r="AY67" s="152">
        <f t="shared" si="33"/>
        <v>0.79704395516254023</v>
      </c>
      <c r="AZ67" s="601">
        <f t="shared" si="34"/>
        <v>-6195788</v>
      </c>
      <c r="BA67" s="151">
        <f t="shared" si="35"/>
        <v>0.96987456904050273</v>
      </c>
      <c r="BB67" s="11"/>
    </row>
    <row r="68" spans="1:54" ht="18" customHeight="1">
      <c r="A68" s="70" t="s">
        <v>61</v>
      </c>
      <c r="B68" s="717"/>
      <c r="C68" s="155" t="str">
        <f t="shared" si="38"/>
        <v/>
      </c>
      <c r="D68" s="378"/>
      <c r="E68" s="153" t="str">
        <f t="shared" si="39"/>
        <v/>
      </c>
      <c r="F68" s="373"/>
      <c r="G68" s="71">
        <f t="shared" si="40"/>
        <v>0</v>
      </c>
      <c r="H68" s="378"/>
      <c r="I68" s="155">
        <f t="shared" si="19"/>
        <v>0</v>
      </c>
      <c r="J68" s="755"/>
      <c r="K68" s="71">
        <f t="shared" si="20"/>
        <v>0</v>
      </c>
      <c r="L68" s="378"/>
      <c r="M68" s="155">
        <f t="shared" si="37"/>
        <v>0</v>
      </c>
      <c r="N68" s="417"/>
      <c r="O68" s="71">
        <f t="shared" si="41"/>
        <v>0</v>
      </c>
      <c r="P68" s="378"/>
      <c r="Q68" s="181">
        <f t="shared" si="42"/>
        <v>0</v>
      </c>
      <c r="R68" s="451"/>
      <c r="S68" s="71" t="str">
        <f t="shared" si="43"/>
        <v/>
      </c>
      <c r="T68" s="378"/>
      <c r="U68" s="214" t="str">
        <f t="shared" si="44"/>
        <v/>
      </c>
      <c r="V68" s="495">
        <f t="shared" si="21"/>
        <v>0</v>
      </c>
      <c r="W68" s="181">
        <f t="shared" si="45"/>
        <v>0</v>
      </c>
      <c r="X68" s="435">
        <f t="shared" si="22"/>
        <v>0</v>
      </c>
      <c r="Y68" s="235">
        <f t="shared" si="46"/>
        <v>0</v>
      </c>
      <c r="Z68" s="495">
        <f t="shared" si="23"/>
        <v>0</v>
      </c>
      <c r="AA68" s="198">
        <f t="shared" si="47"/>
        <v>0</v>
      </c>
      <c r="AB68" s="435">
        <f t="shared" si="24"/>
        <v>0</v>
      </c>
      <c r="AC68" s="154">
        <f t="shared" si="48"/>
        <v>0</v>
      </c>
      <c r="AD68" s="373"/>
      <c r="AE68" s="71">
        <f t="shared" si="49"/>
        <v>0</v>
      </c>
      <c r="AF68" s="378"/>
      <c r="AG68" s="90">
        <f t="shared" si="50"/>
        <v>0</v>
      </c>
      <c r="AH68" s="561"/>
      <c r="AI68" s="181">
        <f t="shared" si="25"/>
        <v>0</v>
      </c>
      <c r="AJ68" s="378"/>
      <c r="AK68" s="109">
        <f t="shared" si="36"/>
        <v>0</v>
      </c>
      <c r="AL68" s="555">
        <f t="shared" si="26"/>
        <v>0</v>
      </c>
      <c r="AM68" s="324"/>
      <c r="AN68" s="542">
        <f t="shared" si="27"/>
        <v>0</v>
      </c>
      <c r="AO68" s="154">
        <f t="shared" si="52"/>
        <v>0</v>
      </c>
      <c r="AP68" s="535">
        <f t="shared" si="28"/>
        <v>0</v>
      </c>
      <c r="AQ68" s="293">
        <f t="shared" si="53"/>
        <v>0</v>
      </c>
      <c r="AR68" s="522">
        <f t="shared" si="29"/>
        <v>0</v>
      </c>
      <c r="AS68" s="292">
        <f t="shared" si="54"/>
        <v>0</v>
      </c>
      <c r="AT68" s="591"/>
      <c r="AU68" s="155">
        <f t="shared" si="30"/>
        <v>0</v>
      </c>
      <c r="AV68" s="602"/>
      <c r="AW68" s="154">
        <f t="shared" si="31"/>
        <v>0</v>
      </c>
      <c r="AX68" s="591">
        <f t="shared" si="32"/>
        <v>0</v>
      </c>
      <c r="AY68" s="155" t="str">
        <f t="shared" si="33"/>
        <v/>
      </c>
      <c r="AZ68" s="602">
        <f t="shared" si="34"/>
        <v>0</v>
      </c>
      <c r="BA68" s="154" t="str">
        <f t="shared" si="35"/>
        <v/>
      </c>
      <c r="BB68" s="11"/>
    </row>
    <row r="69" spans="1:54" ht="18" customHeight="1">
      <c r="A69" s="58" t="s">
        <v>62</v>
      </c>
      <c r="B69" s="718">
        <f>+B67-B68</f>
        <v>0</v>
      </c>
      <c r="C69" s="157" t="str">
        <f t="shared" si="38"/>
        <v/>
      </c>
      <c r="D69" s="376">
        <f>D67-D68</f>
        <v>0</v>
      </c>
      <c r="E69" s="219" t="str">
        <f t="shared" si="39"/>
        <v/>
      </c>
      <c r="F69" s="374">
        <f>F67-F68</f>
        <v>34922812</v>
      </c>
      <c r="G69" s="59">
        <f t="shared" si="40"/>
        <v>7.8336019763564371E-2</v>
      </c>
      <c r="H69" s="376">
        <f>H67-H68</f>
        <v>158956171</v>
      </c>
      <c r="I69" s="157">
        <f t="shared" si="19"/>
        <v>0.10591365006712036</v>
      </c>
      <c r="J69" s="374">
        <f>J67-J68</f>
        <v>294275</v>
      </c>
      <c r="K69" s="59">
        <f t="shared" si="20"/>
        <v>3.9057533196414633E-2</v>
      </c>
      <c r="L69" s="376">
        <f>L67-L68</f>
        <v>6134242</v>
      </c>
      <c r="M69" s="157">
        <f t="shared" si="37"/>
        <v>0.23782928353905169</v>
      </c>
      <c r="N69" s="418">
        <f>N67-N68</f>
        <v>27259</v>
      </c>
      <c r="O69" s="59">
        <f t="shared" si="41"/>
        <v>1.3464571121871089E-3</v>
      </c>
      <c r="P69" s="376">
        <f>P67-P68</f>
        <v>20099889</v>
      </c>
      <c r="Q69" s="182">
        <f t="shared" si="42"/>
        <v>0.263487843501724</v>
      </c>
      <c r="R69" s="443">
        <f>R67-R68</f>
        <v>-4383493</v>
      </c>
      <c r="S69" s="59" t="str">
        <f t="shared" si="43"/>
        <v/>
      </c>
      <c r="T69" s="376">
        <f>T67-T68</f>
        <v>-12976571</v>
      </c>
      <c r="U69" s="215" t="str">
        <f t="shared" si="44"/>
        <v/>
      </c>
      <c r="V69" s="496">
        <f t="shared" si="21"/>
        <v>-4356234</v>
      </c>
      <c r="W69" s="182">
        <f t="shared" si="45"/>
        <v>-0.21517598780774416</v>
      </c>
      <c r="X69" s="424">
        <f t="shared" si="22"/>
        <v>7123318</v>
      </c>
      <c r="Y69" s="236">
        <f t="shared" si="46"/>
        <v>9.3379008132682406E-2</v>
      </c>
      <c r="Z69" s="490">
        <f t="shared" si="23"/>
        <v>30860853</v>
      </c>
      <c r="AA69" s="199">
        <f t="shared" si="47"/>
        <v>6.5164032096364219E-2</v>
      </c>
      <c r="AB69" s="424">
        <f t="shared" si="24"/>
        <v>172213731</v>
      </c>
      <c r="AC69" s="187">
        <f t="shared" si="48"/>
        <v>0.10743980941108557</v>
      </c>
      <c r="AD69" s="374">
        <f>AD67-AD68</f>
        <v>7553938</v>
      </c>
      <c r="AE69" s="59">
        <f t="shared" si="49"/>
        <v>3.3274696441007223E-2</v>
      </c>
      <c r="AF69" s="376">
        <f>AF67-AF68</f>
        <v>22437252</v>
      </c>
      <c r="AG69" s="91">
        <f t="shared" si="50"/>
        <v>3.135159960570507E-2</v>
      </c>
      <c r="AH69" s="398">
        <f>+AH67-AH68</f>
        <v>528736</v>
      </c>
      <c r="AI69" s="182">
        <f t="shared" si="25"/>
        <v>6.0018366390187032E-2</v>
      </c>
      <c r="AJ69" s="376">
        <f>AJ67-AJ68</f>
        <v>4819598</v>
      </c>
      <c r="AK69" s="110">
        <f t="shared" si="36"/>
        <v>0.16514922871447227</v>
      </c>
      <c r="AL69" s="545">
        <f t="shared" si="26"/>
        <v>8082674</v>
      </c>
      <c r="AM69" s="325"/>
      <c r="AN69" s="543">
        <f t="shared" si="27"/>
        <v>27256850</v>
      </c>
      <c r="AO69" s="156">
        <f t="shared" si="52"/>
        <v>3.6593812831435396E-2</v>
      </c>
      <c r="AP69" s="525">
        <f t="shared" si="28"/>
        <v>38943527</v>
      </c>
      <c r="AQ69" s="152">
        <f t="shared" si="53"/>
        <v>5.4895324273856842E-2</v>
      </c>
      <c r="AR69" s="523">
        <f t="shared" si="29"/>
        <v>199470581</v>
      </c>
      <c r="AS69" s="151">
        <f t="shared" si="54"/>
        <v>8.496301479203526E-2</v>
      </c>
      <c r="AT69" s="582">
        <f>AT67-AT68</f>
        <v>48859949</v>
      </c>
      <c r="AU69" s="157">
        <f t="shared" si="30"/>
        <v>6.1433282654258951E-2</v>
      </c>
      <c r="AV69" s="603">
        <f>AV67-AV68</f>
        <v>205666369</v>
      </c>
      <c r="AW69" s="156">
        <f t="shared" si="31"/>
        <v>7.6301454645671965E-2</v>
      </c>
      <c r="AX69" s="582">
        <f t="shared" si="32"/>
        <v>-9916422</v>
      </c>
      <c r="AY69" s="157">
        <f t="shared" si="33"/>
        <v>0.79704395516254023</v>
      </c>
      <c r="AZ69" s="603">
        <f t="shared" si="34"/>
        <v>-6195788</v>
      </c>
      <c r="BA69" s="156">
        <f t="shared" si="35"/>
        <v>0.96987456904050273</v>
      </c>
      <c r="BB69" s="11"/>
    </row>
    <row r="70" spans="1:54" ht="15.95" customHeight="1" thickBot="1">
      <c r="A70" s="41" t="s">
        <v>84</v>
      </c>
      <c r="B70" s="263">
        <f>[3]本部!$I$68</f>
        <v>6</v>
      </c>
      <c r="C70" s="264"/>
      <c r="D70" s="248">
        <f>[3]本部!$L$68</f>
        <v>6</v>
      </c>
      <c r="E70" s="46"/>
      <c r="F70" s="28">
        <f>[3]本社営業!$I$68</f>
        <v>19</v>
      </c>
      <c r="G70" s="19"/>
      <c r="H70" s="249">
        <f>[3]本社営業!$L$68</f>
        <v>19</v>
      </c>
      <c r="I70" s="20"/>
      <c r="J70" s="756">
        <f>[3]東大阪!$I$68</f>
        <v>15</v>
      </c>
      <c r="K70" s="19"/>
      <c r="L70" s="249">
        <f>J70</f>
        <v>15</v>
      </c>
      <c r="M70" s="20"/>
      <c r="N70" s="237">
        <f>[3]南港工場!$I$68</f>
        <v>17</v>
      </c>
      <c r="O70" s="19"/>
      <c r="P70" s="249">
        <f>N70</f>
        <v>17</v>
      </c>
      <c r="Q70" s="246"/>
      <c r="R70" s="247">
        <f>[3]南港事務!$I$68</f>
        <v>6</v>
      </c>
      <c r="S70" s="19"/>
      <c r="T70" s="249">
        <f>R70</f>
        <v>6</v>
      </c>
      <c r="U70" s="73"/>
      <c r="V70" s="18">
        <f t="shared" si="21"/>
        <v>23</v>
      </c>
      <c r="W70" s="19"/>
      <c r="X70" s="250">
        <f t="shared" si="22"/>
        <v>23</v>
      </c>
      <c r="Y70" s="238"/>
      <c r="Z70" s="53">
        <f t="shared" si="23"/>
        <v>57</v>
      </c>
      <c r="AA70" s="75"/>
      <c r="AB70" s="251">
        <f t="shared" si="24"/>
        <v>57</v>
      </c>
      <c r="AC70" s="333"/>
      <c r="AD70" s="28">
        <f>[3]東京事務!$I$68</f>
        <v>8</v>
      </c>
      <c r="AE70" s="19"/>
      <c r="AF70" s="249">
        <f>AD70</f>
        <v>8</v>
      </c>
      <c r="AG70" s="32"/>
      <c r="AH70" s="31">
        <f>[3]東京工場!$I$68</f>
        <v>11</v>
      </c>
      <c r="AI70" s="19"/>
      <c r="AJ70" s="249">
        <f>AH70</f>
        <v>11</v>
      </c>
      <c r="AK70" s="45"/>
      <c r="AL70" s="48">
        <f t="shared" si="26"/>
        <v>19</v>
      </c>
      <c r="AM70" s="326"/>
      <c r="AN70" s="252">
        <f t="shared" si="27"/>
        <v>19</v>
      </c>
      <c r="AO70" s="54"/>
      <c r="AP70" s="294">
        <f t="shared" si="28"/>
        <v>82</v>
      </c>
      <c r="AQ70" s="295"/>
      <c r="AR70" s="296">
        <f t="shared" si="29"/>
        <v>82</v>
      </c>
      <c r="AS70" s="297"/>
      <c r="AT70" s="17">
        <f>[3]全社合計!$G$68</f>
        <v>79</v>
      </c>
      <c r="AU70" s="20"/>
      <c r="AV70" s="257">
        <f>[3]全社合計!$N$68</f>
        <v>79</v>
      </c>
      <c r="AW70" s="34"/>
      <c r="AX70" s="17">
        <f t="shared" si="32"/>
        <v>3</v>
      </c>
      <c r="AY70" s="311"/>
      <c r="AZ70" s="257">
        <f t="shared" si="34"/>
        <v>3</v>
      </c>
      <c r="BA70" s="34"/>
      <c r="BB70" s="11"/>
    </row>
    <row r="71" spans="1:54" ht="16.149999999999999" customHeight="1" thickTop="1">
      <c r="A71" s="42" t="s">
        <v>63</v>
      </c>
      <c r="B71" s="705">
        <f>[3]本部!$I$71</f>
        <v>850000</v>
      </c>
      <c r="C71" s="265" t="str">
        <f t="shared" ref="C71:C79" si="55">IF(ISERR(B71/$B$11),"",B71/$B$11)</f>
        <v/>
      </c>
      <c r="D71" s="725">
        <f>[3]本部!$L$71</f>
        <v>2550000</v>
      </c>
      <c r="E71" s="158" t="str">
        <f t="shared" ref="E71:E76" si="56">IF(ISERR(D72/$D$11),"",D72/$D$11)</f>
        <v/>
      </c>
      <c r="F71" s="379">
        <f>[3]本社営業!$I$71</f>
        <v>2050000</v>
      </c>
      <c r="G71" s="307">
        <f t="shared" ref="G71:G78" si="57">IF(ISERR(F71/$F$11),"",F71/$F$11)</f>
        <v>4.5983937523503817E-3</v>
      </c>
      <c r="H71" s="360">
        <f>[3]本社営業!$L$71</f>
        <v>6150000</v>
      </c>
      <c r="I71" s="160">
        <f t="shared" si="19"/>
        <v>4.0977896222273132E-3</v>
      </c>
      <c r="J71" s="757">
        <f>[3]東大阪!$I$71</f>
        <v>750000</v>
      </c>
      <c r="K71" s="308">
        <f t="shared" si="20"/>
        <v>9.9543453903019191E-2</v>
      </c>
      <c r="L71" s="360">
        <f>[3]東大阪!$L$71</f>
        <v>453000</v>
      </c>
      <c r="M71" s="160">
        <f t="shared" si="37"/>
        <v>1.7563158649950623E-2</v>
      </c>
      <c r="N71" s="419">
        <f>[3]南港工場!$I$71</f>
        <v>1550000</v>
      </c>
      <c r="O71" s="79">
        <f t="shared" ref="O71:O78" si="58">IF(ISERR(N71/$N$11),"",N71/$N$11)</f>
        <v>7.6562182174328433E-2</v>
      </c>
      <c r="P71" s="360">
        <f>[3]南港工場!$L$71</f>
        <v>4650000</v>
      </c>
      <c r="Q71" s="169">
        <f t="shared" ref="Q71:Q79" si="59">IF(ISERR(P71/$P$11),"",P71/$P$11)</f>
        <v>6.0956479524987263E-2</v>
      </c>
      <c r="R71" s="452">
        <f>[3]南港事務!$I$71</f>
        <v>520000</v>
      </c>
      <c r="S71" s="21" t="str">
        <f t="shared" ref="S71:S78" si="60">IF(ISERR(R71/$R$11),"",R71/$R$11)</f>
        <v/>
      </c>
      <c r="T71" s="360">
        <f>[3]南港事務!$L$71</f>
        <v>1560000</v>
      </c>
      <c r="U71" s="216" t="str">
        <f t="shared" ref="U71:U79" si="61">IF(ISERR(T71/$T$11),"",T71/$T$11)</f>
        <v/>
      </c>
      <c r="V71" s="497">
        <f t="shared" si="21"/>
        <v>2070000</v>
      </c>
      <c r="W71" s="21">
        <f t="shared" ref="W71:W78" si="62">IF(ISERR(V71/$V$11),"",V71/$V$11)</f>
        <v>0.10224755941990958</v>
      </c>
      <c r="X71" s="421">
        <f t="shared" si="22"/>
        <v>6210000</v>
      </c>
      <c r="Y71" s="239">
        <f t="shared" ref="Y71:Y79" si="63">IF(ISERR(X71/$X$11),"",X71/$X$11)</f>
        <v>8.1406395236595888E-2</v>
      </c>
      <c r="Z71" s="500">
        <f t="shared" si="23"/>
        <v>4870000</v>
      </c>
      <c r="AA71" s="200">
        <f t="shared" ref="AA71:AA78" si="64">IF(ISERR(Z71/$Z$11),"",Z71/$Z$11)</f>
        <v>1.0283216614566479E-2</v>
      </c>
      <c r="AB71" s="502">
        <f t="shared" si="24"/>
        <v>12813000</v>
      </c>
      <c r="AC71" s="334">
        <f t="shared" ref="AC71:AC79" si="65">IF(ISERR(AB71/$AB$11),"",AB71/$AB$11)</f>
        <v>7.9937079929139881E-3</v>
      </c>
      <c r="AD71" s="379">
        <f>[3]東京事務!$I$71</f>
        <v>750000</v>
      </c>
      <c r="AE71" s="22">
        <f t="shared" ref="AE71:AE79" si="66">IF(ISERR(AD71/$AD$11),"",AD71/$AD$11)</f>
        <v>3.3037102410365849E-3</v>
      </c>
      <c r="AF71" s="360">
        <f>[3]東京事務!$L$71</f>
        <v>2250000</v>
      </c>
      <c r="AG71" s="92">
        <f t="shared" ref="AG71:AG79" si="67">IF(ISERR(AF71/$AF$11),"",AF71/$AF$11)</f>
        <v>3.1439277462693028E-3</v>
      </c>
      <c r="AH71" s="399">
        <f>[3]東京工場!$I$71</f>
        <v>920000</v>
      </c>
      <c r="AI71" s="183">
        <f t="shared" si="25"/>
        <v>0.1044318848706577</v>
      </c>
      <c r="AJ71" s="360">
        <f>[3]東京工場!$L$71</f>
        <v>2760000</v>
      </c>
      <c r="AK71" s="111">
        <f t="shared" si="36"/>
        <v>9.4574666030640617E-2</v>
      </c>
      <c r="AL71" s="506">
        <f t="shared" si="26"/>
        <v>1670000</v>
      </c>
      <c r="AM71" s="327">
        <f t="shared" ref="AM71:AM79" si="68">IF(ISERR(AL71/$AL$11),"",AL71/AL$11)</f>
        <v>7.0814605167147529E-3</v>
      </c>
      <c r="AN71" s="508">
        <f t="shared" si="27"/>
        <v>5010000</v>
      </c>
      <c r="AO71" s="159">
        <f t="shared" ref="AO71:AO78" si="69">IF(ISERR(AN71/$AN$11),"",AN71/$AN$11)</f>
        <v>6.7261991860941865E-3</v>
      </c>
      <c r="AP71" s="511">
        <f t="shared" si="28"/>
        <v>7390000</v>
      </c>
      <c r="AQ71" s="298">
        <f t="shared" ref="AQ71:AQ79" si="70">IF(ISERR(AP71/$AP$11),"",AP71/$AP$11)</f>
        <v>1.0417044310953194E-2</v>
      </c>
      <c r="AR71" s="513">
        <f t="shared" si="29"/>
        <v>20373000</v>
      </c>
      <c r="AS71" s="310">
        <f t="shared" ref="AS71:AS78" si="71">IF(ISERR(AR71/$AR$11),"",AR71/$AR$11)</f>
        <v>8.6777282729132588E-3</v>
      </c>
      <c r="AT71" s="592">
        <f>[3]全社合計!$G$71</f>
        <v>7095000</v>
      </c>
      <c r="AU71" s="160">
        <f t="shared" si="30"/>
        <v>8.9207858246427418E-3</v>
      </c>
      <c r="AV71" s="594">
        <f>[3]全社合計!$N$71</f>
        <v>19267000</v>
      </c>
      <c r="AW71" s="306">
        <f t="shared" si="31"/>
        <v>7.1479850293762019E-3</v>
      </c>
      <c r="AX71" s="592">
        <f t="shared" si="32"/>
        <v>295000</v>
      </c>
      <c r="AY71" s="160">
        <f t="shared" si="33"/>
        <v>1.0415785764622973</v>
      </c>
      <c r="AZ71" s="594">
        <f t="shared" si="34"/>
        <v>1106000</v>
      </c>
      <c r="BA71" s="306">
        <f t="shared" si="35"/>
        <v>1.0574038511444439</v>
      </c>
      <c r="BB71" s="11"/>
    </row>
    <row r="72" spans="1:54" ht="16.149999999999999" customHeight="1">
      <c r="A72" s="43" t="s">
        <v>64</v>
      </c>
      <c r="B72" s="706">
        <f>[3]本部!$I$72</f>
        <v>115000</v>
      </c>
      <c r="C72" s="266" t="str">
        <f t="shared" si="55"/>
        <v/>
      </c>
      <c r="D72" s="723">
        <f>[3]本部!$L$72</f>
        <v>345000</v>
      </c>
      <c r="E72" s="161" t="str">
        <f t="shared" si="56"/>
        <v/>
      </c>
      <c r="F72" s="352">
        <f>[3]本社営業!$I$72</f>
        <v>55000</v>
      </c>
      <c r="G72" s="10">
        <f t="shared" si="57"/>
        <v>1.2337153969720538E-4</v>
      </c>
      <c r="H72" s="356">
        <f>[3]本社営業!$L$72</f>
        <v>165000</v>
      </c>
      <c r="I72" s="163">
        <f t="shared" si="19"/>
        <v>1.0994069718170841E-4</v>
      </c>
      <c r="J72" s="745">
        <f>[3]東大阪!$I$72</f>
        <v>440000</v>
      </c>
      <c r="K72" s="77">
        <f t="shared" si="20"/>
        <v>5.8398826289771257E-2</v>
      </c>
      <c r="L72" s="356">
        <f>[3]東大阪!$L$72</f>
        <v>1320000</v>
      </c>
      <c r="M72" s="163">
        <f t="shared" si="37"/>
        <v>5.1177415933630954E-2</v>
      </c>
      <c r="N72" s="403">
        <f>[3]南港工場!$I$72</f>
        <v>525000</v>
      </c>
      <c r="O72" s="77">
        <f t="shared" si="58"/>
        <v>2.5932352026788664E-2</v>
      </c>
      <c r="P72" s="356">
        <f>[3]南港工場!$L$72</f>
        <v>1575000</v>
      </c>
      <c r="Q72" s="170">
        <f t="shared" si="59"/>
        <v>2.0646549516527942E-2</v>
      </c>
      <c r="R72" s="445">
        <f>[3]南港事務!$I$72</f>
        <v>20000</v>
      </c>
      <c r="S72" s="10" t="str">
        <f t="shared" si="60"/>
        <v/>
      </c>
      <c r="T72" s="356">
        <f>[3]南港事務!$L$72</f>
        <v>60000</v>
      </c>
      <c r="U72" s="217" t="str">
        <f t="shared" si="61"/>
        <v/>
      </c>
      <c r="V72" s="456">
        <f t="shared" si="21"/>
        <v>545000</v>
      </c>
      <c r="W72" s="170">
        <f t="shared" si="62"/>
        <v>2.6920251151618706E-2</v>
      </c>
      <c r="X72" s="408">
        <f t="shared" si="22"/>
        <v>1635000</v>
      </c>
      <c r="Y72" s="240">
        <f t="shared" si="63"/>
        <v>2.1433084736205199E-2</v>
      </c>
      <c r="Z72" s="460">
        <f t="shared" si="23"/>
        <v>1040000</v>
      </c>
      <c r="AA72" s="201">
        <f t="shared" si="64"/>
        <v>2.1960051907903774E-3</v>
      </c>
      <c r="AB72" s="464">
        <f t="shared" si="24"/>
        <v>3120000</v>
      </c>
      <c r="AC72" s="162">
        <f t="shared" si="65"/>
        <v>1.9464894199556419E-3</v>
      </c>
      <c r="AD72" s="352">
        <f>[3]東京事務!$I$72</f>
        <v>55000</v>
      </c>
      <c r="AE72" s="10">
        <f t="shared" si="66"/>
        <v>2.4227208434268288E-4</v>
      </c>
      <c r="AF72" s="356">
        <f>[3]東京事務!$L$72</f>
        <v>165000</v>
      </c>
      <c r="AG72" s="93">
        <f t="shared" si="67"/>
        <v>2.3055470139308221E-4</v>
      </c>
      <c r="AH72" s="388">
        <f>[3]東京工場!$I$72</f>
        <v>325000</v>
      </c>
      <c r="AI72" s="170">
        <f t="shared" si="25"/>
        <v>3.6891698459743209E-2</v>
      </c>
      <c r="AJ72" s="356">
        <f>[3]東京工場!$L$72</f>
        <v>975000</v>
      </c>
      <c r="AK72" s="98">
        <f t="shared" si="36"/>
        <v>3.3409528760824134E-2</v>
      </c>
      <c r="AL72" s="474">
        <f t="shared" si="26"/>
        <v>380000</v>
      </c>
      <c r="AM72" s="328">
        <f t="shared" si="68"/>
        <v>1.6113502972165306E-3</v>
      </c>
      <c r="AN72" s="478">
        <f t="shared" si="27"/>
        <v>1140000</v>
      </c>
      <c r="AO72" s="162">
        <f t="shared" si="69"/>
        <v>1.5305123896501743E-3</v>
      </c>
      <c r="AP72" s="483">
        <f t="shared" si="28"/>
        <v>1535000</v>
      </c>
      <c r="AQ72" s="299">
        <f t="shared" si="70"/>
        <v>2.1637568359016445E-3</v>
      </c>
      <c r="AR72" s="487">
        <f t="shared" si="29"/>
        <v>4605000</v>
      </c>
      <c r="AS72" s="300">
        <f t="shared" si="71"/>
        <v>1.9614656013726773E-3</v>
      </c>
      <c r="AT72" s="575">
        <f>[3]全社合計!$G$72</f>
        <v>1495000</v>
      </c>
      <c r="AU72" s="163">
        <f t="shared" si="30"/>
        <v>1.8797145606541082E-3</v>
      </c>
      <c r="AV72" s="578">
        <f>[3]全社合計!$N$72</f>
        <v>4485000</v>
      </c>
      <c r="AW72" s="164">
        <f t="shared" si="31"/>
        <v>1.6639182465745714E-3</v>
      </c>
      <c r="AX72" s="575">
        <f t="shared" si="32"/>
        <v>40000</v>
      </c>
      <c r="AY72" s="163">
        <f t="shared" si="33"/>
        <v>1.0267558528428093</v>
      </c>
      <c r="AZ72" s="578">
        <f t="shared" si="34"/>
        <v>120000</v>
      </c>
      <c r="BA72" s="164">
        <f t="shared" si="35"/>
        <v>1.0267558528428093</v>
      </c>
      <c r="BB72" s="11"/>
    </row>
    <row r="73" spans="1:54" ht="16.149999999999999" customHeight="1">
      <c r="A73" s="43" t="s">
        <v>65</v>
      </c>
      <c r="B73" s="706">
        <f>[3]本部!$I$70</f>
        <v>622532</v>
      </c>
      <c r="C73" s="266" t="str">
        <f t="shared" si="55"/>
        <v/>
      </c>
      <c r="D73" s="723">
        <f>[3]本部!$L$70</f>
        <v>874822</v>
      </c>
      <c r="E73" s="161" t="str">
        <f t="shared" si="56"/>
        <v/>
      </c>
      <c r="F73" s="352">
        <f>[3]本社営業!$I$70</f>
        <v>1643027</v>
      </c>
      <c r="G73" s="10">
        <f t="shared" si="57"/>
        <v>3.685504922801459E-3</v>
      </c>
      <c r="H73" s="356">
        <f>[3]本社営業!$L$70</f>
        <v>2665396</v>
      </c>
      <c r="I73" s="163">
        <f t="shared" si="19"/>
        <v>1.7759726939717386E-3</v>
      </c>
      <c r="J73" s="745">
        <f>[3]東大阪!$I$70</f>
        <v>954423</v>
      </c>
      <c r="K73" s="77">
        <f t="shared" si="20"/>
        <v>0.12667541587264172</v>
      </c>
      <c r="L73" s="356">
        <f>[3]東大阪!$L$70</f>
        <v>1954492</v>
      </c>
      <c r="M73" s="163">
        <f t="shared" si="37"/>
        <v>7.5777159108298658E-2</v>
      </c>
      <c r="N73" s="403">
        <f>[3]南港工場!$I$70</f>
        <v>1384550</v>
      </c>
      <c r="O73" s="77">
        <f t="shared" si="58"/>
        <v>6.8389786664171892E-2</v>
      </c>
      <c r="P73" s="356">
        <f>[3]南港工場!$L$70</f>
        <v>2840318</v>
      </c>
      <c r="Q73" s="170">
        <f t="shared" si="59"/>
        <v>3.7233502368054359E-2</v>
      </c>
      <c r="R73" s="445">
        <f>[3]南港事務!$I$70</f>
        <v>478618</v>
      </c>
      <c r="S73" s="10" t="str">
        <f t="shared" si="60"/>
        <v/>
      </c>
      <c r="T73" s="356">
        <f>[3]南港事務!$L$70</f>
        <v>1097612</v>
      </c>
      <c r="U73" s="217" t="str">
        <f t="shared" si="61"/>
        <v/>
      </c>
      <c r="V73" s="456">
        <f t="shared" si="21"/>
        <v>1863168</v>
      </c>
      <c r="W73" s="170">
        <f t="shared" si="62"/>
        <v>9.2031101830567202E-2</v>
      </c>
      <c r="X73" s="408">
        <f t="shared" si="22"/>
        <v>3937930</v>
      </c>
      <c r="Y73" s="240">
        <f t="shared" si="63"/>
        <v>5.1622010627060878E-2</v>
      </c>
      <c r="Z73" s="460">
        <f t="shared" si="23"/>
        <v>4460618</v>
      </c>
      <c r="AA73" s="201">
        <f t="shared" si="64"/>
        <v>9.4187887328201839E-3</v>
      </c>
      <c r="AB73" s="464">
        <f t="shared" si="24"/>
        <v>8557818</v>
      </c>
      <c r="AC73" s="162">
        <f t="shared" si="65"/>
        <v>5.3390071137519078E-3</v>
      </c>
      <c r="AD73" s="352">
        <f>[3]東京事務!$I$70</f>
        <v>755667</v>
      </c>
      <c r="AE73" s="10">
        <f t="shared" si="66"/>
        <v>3.3286730756178573E-3</v>
      </c>
      <c r="AF73" s="356">
        <f>[3]東京事務!$L$70</f>
        <v>1312573</v>
      </c>
      <c r="AG73" s="93">
        <f t="shared" si="67"/>
        <v>1.8340598549795278E-3</v>
      </c>
      <c r="AH73" s="388">
        <f>[3]東京工場!$I$70</f>
        <v>812166</v>
      </c>
      <c r="AI73" s="170">
        <f t="shared" si="25"/>
        <v>9.2191332834633252E-2</v>
      </c>
      <c r="AJ73" s="356">
        <f>[3]東京工場!$L$70</f>
        <v>1708695</v>
      </c>
      <c r="AK73" s="98">
        <f t="shared" si="36"/>
        <v>5.855045614971937E-2</v>
      </c>
      <c r="AL73" s="474">
        <f t="shared" si="26"/>
        <v>1567833</v>
      </c>
      <c r="AM73" s="328">
        <f t="shared" si="68"/>
        <v>6.6482320277260129E-3</v>
      </c>
      <c r="AN73" s="478">
        <f t="shared" si="27"/>
        <v>3021268</v>
      </c>
      <c r="AO73" s="162">
        <f t="shared" si="69"/>
        <v>4.0562176372400021E-3</v>
      </c>
      <c r="AP73" s="483">
        <f t="shared" si="28"/>
        <v>6650983</v>
      </c>
      <c r="AQ73" s="299">
        <f t="shared" si="70"/>
        <v>9.3753159164271186E-3</v>
      </c>
      <c r="AR73" s="487">
        <f t="shared" si="29"/>
        <v>12453908</v>
      </c>
      <c r="AS73" s="300">
        <f t="shared" si="71"/>
        <v>5.3046497599695975E-3</v>
      </c>
      <c r="AT73" s="575">
        <f>[3]全社合計!$G$70</f>
        <v>6437250</v>
      </c>
      <c r="AU73" s="163">
        <f t="shared" si="30"/>
        <v>8.0937742846626474E-3</v>
      </c>
      <c r="AV73" s="578">
        <f>[3]全社合計!$N$70</f>
        <v>11593085</v>
      </c>
      <c r="AW73" s="164">
        <f t="shared" si="31"/>
        <v>4.3009912297859451E-3</v>
      </c>
      <c r="AX73" s="575">
        <f t="shared" si="32"/>
        <v>213733</v>
      </c>
      <c r="AY73" s="163">
        <f t="shared" si="33"/>
        <v>1.0332025321371703</v>
      </c>
      <c r="AZ73" s="578">
        <f t="shared" si="34"/>
        <v>860823</v>
      </c>
      <c r="BA73" s="164">
        <f t="shared" si="35"/>
        <v>1.0742531431452456</v>
      </c>
      <c r="BB73" s="11"/>
    </row>
    <row r="74" spans="1:54" ht="16.149999999999999" customHeight="1">
      <c r="A74" s="43" t="s">
        <v>66</v>
      </c>
      <c r="B74" s="706">
        <f>[3]本部!$I$74</f>
        <v>0</v>
      </c>
      <c r="C74" s="266" t="str">
        <f t="shared" si="55"/>
        <v/>
      </c>
      <c r="D74" s="723">
        <f>[3]本部!$L$74</f>
        <v>0</v>
      </c>
      <c r="E74" s="161" t="str">
        <f t="shared" si="56"/>
        <v/>
      </c>
      <c r="F74" s="352">
        <f>[3]本社営業!$I$74</f>
        <v>0</v>
      </c>
      <c r="G74" s="10">
        <f t="shared" si="57"/>
        <v>0</v>
      </c>
      <c r="H74" s="356">
        <f>[3]本社営業!$L$74</f>
        <v>0</v>
      </c>
      <c r="I74" s="163">
        <f t="shared" ref="I74:I79" si="72">IF(ISERR(H74/$H$11),"",H74/$H$11)</f>
        <v>0</v>
      </c>
      <c r="J74" s="745">
        <f>[3]東大阪!$I$74</f>
        <v>0</v>
      </c>
      <c r="K74" s="77">
        <f t="shared" ref="K74:K79" si="73">IF(ISERR(J74/$J$11),"",J74/$J$11)</f>
        <v>0</v>
      </c>
      <c r="L74" s="356">
        <f>[3]東大阪!$L$74</f>
        <v>1189000</v>
      </c>
      <c r="M74" s="163">
        <f t="shared" si="37"/>
        <v>4.6098445109914551E-2</v>
      </c>
      <c r="N74" s="403">
        <f>[3]南港工場!$I$74</f>
        <v>0</v>
      </c>
      <c r="O74" s="77">
        <f t="shared" si="58"/>
        <v>0</v>
      </c>
      <c r="P74" s="356">
        <f>[3]南港工場!$L$74</f>
        <v>0</v>
      </c>
      <c r="Q74" s="170">
        <f t="shared" si="59"/>
        <v>0</v>
      </c>
      <c r="R74" s="445">
        <f>[3]南港事務!$I$74</f>
        <v>0</v>
      </c>
      <c r="S74" s="10" t="str">
        <f t="shared" si="60"/>
        <v/>
      </c>
      <c r="T74" s="356">
        <f>[3]南港事務!$L$74</f>
        <v>0</v>
      </c>
      <c r="U74" s="217" t="str">
        <f t="shared" si="61"/>
        <v/>
      </c>
      <c r="V74" s="456">
        <f t="shared" ref="V74:V79" si="74">N74+R74</f>
        <v>0</v>
      </c>
      <c r="W74" s="170">
        <f t="shared" si="62"/>
        <v>0</v>
      </c>
      <c r="X74" s="408">
        <f t="shared" ref="X74:X79" si="75">P74+T74</f>
        <v>0</v>
      </c>
      <c r="Y74" s="240">
        <f t="shared" si="63"/>
        <v>0</v>
      </c>
      <c r="Z74" s="460">
        <f>F74+J74+N74+R74</f>
        <v>0</v>
      </c>
      <c r="AA74" s="201">
        <f t="shared" si="64"/>
        <v>0</v>
      </c>
      <c r="AB74" s="464">
        <f t="shared" ref="AB74:AB79" si="76">H74+L74+P74+T74</f>
        <v>1189000</v>
      </c>
      <c r="AC74" s="162">
        <f t="shared" si="65"/>
        <v>7.4178715395104434E-4</v>
      </c>
      <c r="AD74" s="352">
        <f>[3]東京事務!$I$74</f>
        <v>0</v>
      </c>
      <c r="AE74" s="10">
        <f t="shared" si="66"/>
        <v>0</v>
      </c>
      <c r="AF74" s="356">
        <f>[3]東京事務!$L$74</f>
        <v>760000</v>
      </c>
      <c r="AG74" s="93">
        <f t="shared" si="67"/>
        <v>1.0619489276287423E-3</v>
      </c>
      <c r="AH74" s="388">
        <f>[3]東京工場!$I$74</f>
        <v>0</v>
      </c>
      <c r="AI74" s="170">
        <f t="shared" ref="AI74:AI79" si="77">IF(ISERR(AH74/$AH$11),"",AH74/$AH$11)</f>
        <v>0</v>
      </c>
      <c r="AJ74" s="356">
        <f>[3]東京工場!$L$74</f>
        <v>0</v>
      </c>
      <c r="AK74" s="98">
        <f t="shared" si="36"/>
        <v>0</v>
      </c>
      <c r="AL74" s="474">
        <f t="shared" ref="AL74:AL79" si="78">AD74+AH74</f>
        <v>0</v>
      </c>
      <c r="AM74" s="328">
        <f t="shared" si="68"/>
        <v>0</v>
      </c>
      <c r="AN74" s="478">
        <f t="shared" ref="AN74:AN79" si="79">AF74+AJ74</f>
        <v>760000</v>
      </c>
      <c r="AO74" s="162">
        <f t="shared" si="69"/>
        <v>1.020341593100116E-3</v>
      </c>
      <c r="AP74" s="483">
        <f t="shared" ref="AP74:AP79" si="80">B74+Z74+AL74</f>
        <v>0</v>
      </c>
      <c r="AQ74" s="299">
        <f t="shared" si="70"/>
        <v>0</v>
      </c>
      <c r="AR74" s="487">
        <f t="shared" ref="AR74:AR79" si="81">D74+AB74+AN74</f>
        <v>1949000</v>
      </c>
      <c r="AS74" s="300">
        <f t="shared" si="71"/>
        <v>8.3016209708476618E-4</v>
      </c>
      <c r="AT74" s="575">
        <f>[3]全社合計!$G$74</f>
        <v>0</v>
      </c>
      <c r="AU74" s="163">
        <f t="shared" ref="AU74:AU79" si="82">IF(ISERR(AT74/$AT$11),"",AT74/$AT$11)</f>
        <v>0</v>
      </c>
      <c r="AV74" s="578">
        <f>[3]全社合計!$N$74</f>
        <v>1949000</v>
      </c>
      <c r="AW74" s="164">
        <f t="shared" ref="AW74:AW79" si="83">IF(ISERR(AV74/$AV$11),"",AV74/$AV$11)</f>
        <v>7.230717196374224E-4</v>
      </c>
      <c r="AX74" s="575">
        <f t="shared" ref="AX74:AX79" si="84">AP74-AT74</f>
        <v>0</v>
      </c>
      <c r="AY74" s="163" t="str">
        <f t="shared" ref="AY74:AY79" si="85">IF(ISERROR(AP74/AT74),"",AP74/AT74)</f>
        <v/>
      </c>
      <c r="AZ74" s="578">
        <f t="shared" ref="AZ74:AZ79" si="86">AR74-AV74</f>
        <v>0</v>
      </c>
      <c r="BA74" s="164">
        <f t="shared" ref="BA74:BA79" si="87">IF(ISERROR(AR74/AV74),"",AR74/AV74)</f>
        <v>1</v>
      </c>
      <c r="BB74" s="11"/>
    </row>
    <row r="75" spans="1:54" ht="16.149999999999999" customHeight="1">
      <c r="A75" s="43" t="s">
        <v>67</v>
      </c>
      <c r="B75" s="706">
        <f>[3]本部!$I$73</f>
        <v>12000</v>
      </c>
      <c r="C75" s="266" t="str">
        <f t="shared" si="55"/>
        <v/>
      </c>
      <c r="D75" s="723">
        <f>[3]本部!$L$73</f>
        <v>12000</v>
      </c>
      <c r="E75" s="161" t="str">
        <f t="shared" si="56"/>
        <v/>
      </c>
      <c r="F75" s="352">
        <f>[3]本社営業!$I$73</f>
        <v>343050</v>
      </c>
      <c r="G75" s="10">
        <f t="shared" si="57"/>
        <v>7.6950193987502364E-4</v>
      </c>
      <c r="H75" s="356">
        <f>[3]本社営業!$L$73</f>
        <v>343050</v>
      </c>
      <c r="I75" s="163">
        <f t="shared" si="72"/>
        <v>2.2857670404960649E-4</v>
      </c>
      <c r="J75" s="745">
        <f>[3]東大阪!$I$73</f>
        <v>0</v>
      </c>
      <c r="K75" s="77">
        <f t="shared" si="73"/>
        <v>0</v>
      </c>
      <c r="L75" s="356">
        <f>[3]東大阪!$L$73</f>
        <v>0</v>
      </c>
      <c r="M75" s="163">
        <f t="shared" si="37"/>
        <v>0</v>
      </c>
      <c r="N75" s="403">
        <f>[3]南港工場!$I$73</f>
        <v>0</v>
      </c>
      <c r="O75" s="77">
        <f t="shared" si="58"/>
        <v>0</v>
      </c>
      <c r="P75" s="356">
        <f>[3]南港工場!$L$73</f>
        <v>0</v>
      </c>
      <c r="Q75" s="170">
        <f t="shared" si="59"/>
        <v>0</v>
      </c>
      <c r="R75" s="445">
        <f>[3]南港事務!$I$73</f>
        <v>24400</v>
      </c>
      <c r="S75" s="10" t="str">
        <f t="shared" si="60"/>
        <v/>
      </c>
      <c r="T75" s="356">
        <f>[3]南港事務!$L$73</f>
        <v>24400</v>
      </c>
      <c r="U75" s="217" t="str">
        <f t="shared" si="61"/>
        <v/>
      </c>
      <c r="V75" s="456">
        <f t="shared" si="74"/>
        <v>24400</v>
      </c>
      <c r="W75" s="170">
        <f t="shared" si="62"/>
        <v>1.205236932292654E-3</v>
      </c>
      <c r="X75" s="408">
        <f t="shared" si="75"/>
        <v>24400</v>
      </c>
      <c r="Y75" s="240">
        <f t="shared" si="63"/>
        <v>3.1985765600208371E-4</v>
      </c>
      <c r="Z75" s="460">
        <f>F75+J75+N75+R75</f>
        <v>367450</v>
      </c>
      <c r="AA75" s="201">
        <f t="shared" si="64"/>
        <v>7.7588664168838867E-4</v>
      </c>
      <c r="AB75" s="464">
        <f t="shared" si="76"/>
        <v>367450</v>
      </c>
      <c r="AC75" s="162">
        <f t="shared" si="65"/>
        <v>2.2924280043676304E-4</v>
      </c>
      <c r="AD75" s="352">
        <f>[3]東京事務!$I$73</f>
        <v>0</v>
      </c>
      <c r="AE75" s="10">
        <f t="shared" si="66"/>
        <v>0</v>
      </c>
      <c r="AF75" s="356">
        <f>[3]東京事務!$L$73</f>
        <v>242721</v>
      </c>
      <c r="AG75" s="93">
        <f t="shared" si="67"/>
        <v>3.3915434955654732E-4</v>
      </c>
      <c r="AH75" s="388">
        <f>[3]東京工場!$I$73</f>
        <v>0</v>
      </c>
      <c r="AI75" s="170">
        <f t="shared" si="77"/>
        <v>0</v>
      </c>
      <c r="AJ75" s="356">
        <f>[3]東京工場!$L$73</f>
        <v>0</v>
      </c>
      <c r="AK75" s="98">
        <f t="shared" si="36"/>
        <v>0</v>
      </c>
      <c r="AL75" s="474">
        <f t="shared" si="78"/>
        <v>0</v>
      </c>
      <c r="AM75" s="328">
        <f t="shared" si="68"/>
        <v>0</v>
      </c>
      <c r="AN75" s="478">
        <f t="shared" si="79"/>
        <v>242721</v>
      </c>
      <c r="AO75" s="162">
        <f t="shared" si="69"/>
        <v>3.2586622607743852E-4</v>
      </c>
      <c r="AP75" s="483">
        <f t="shared" si="80"/>
        <v>379450</v>
      </c>
      <c r="AQ75" s="299">
        <f t="shared" si="70"/>
        <v>5.3487787060773869E-4</v>
      </c>
      <c r="AR75" s="487">
        <f t="shared" si="81"/>
        <v>622171</v>
      </c>
      <c r="AS75" s="300">
        <f t="shared" si="71"/>
        <v>2.6500912370719653E-4</v>
      </c>
      <c r="AT75" s="575">
        <f>[3]全社合計!$G$73</f>
        <v>15859</v>
      </c>
      <c r="AU75" s="163">
        <f t="shared" si="82"/>
        <v>1.9940062352784952E-5</v>
      </c>
      <c r="AV75" s="578">
        <f>[3]全社合計!$N$73</f>
        <v>629828</v>
      </c>
      <c r="AW75" s="164">
        <f t="shared" si="83"/>
        <v>2.3366383531852155E-4</v>
      </c>
      <c r="AX75" s="575">
        <f t="shared" si="84"/>
        <v>363591</v>
      </c>
      <c r="AY75" s="163">
        <f t="shared" si="85"/>
        <v>23.926477079260987</v>
      </c>
      <c r="AZ75" s="578">
        <f t="shared" si="86"/>
        <v>-7657</v>
      </c>
      <c r="BA75" s="164">
        <f t="shared" si="87"/>
        <v>0.98784271261360246</v>
      </c>
      <c r="BB75" s="11"/>
    </row>
    <row r="76" spans="1:54" ht="16.149999999999999" customHeight="1">
      <c r="A76" s="43" t="s">
        <v>68</v>
      </c>
      <c r="B76" s="706"/>
      <c r="C76" s="266" t="str">
        <f t="shared" si="55"/>
        <v/>
      </c>
      <c r="D76" s="723">
        <f>B76</f>
        <v>0</v>
      </c>
      <c r="E76" s="161" t="str">
        <f t="shared" si="56"/>
        <v/>
      </c>
      <c r="F76" s="352"/>
      <c r="G76" s="10">
        <f t="shared" si="57"/>
        <v>0</v>
      </c>
      <c r="H76" s="356">
        <f>F76</f>
        <v>0</v>
      </c>
      <c r="I76" s="163">
        <f t="shared" si="72"/>
        <v>0</v>
      </c>
      <c r="J76" s="745"/>
      <c r="K76" s="77">
        <f t="shared" si="73"/>
        <v>0</v>
      </c>
      <c r="L76" s="356">
        <f>J76</f>
        <v>0</v>
      </c>
      <c r="M76" s="163">
        <f t="shared" si="37"/>
        <v>0</v>
      </c>
      <c r="N76" s="403"/>
      <c r="O76" s="77">
        <f t="shared" si="58"/>
        <v>0</v>
      </c>
      <c r="P76" s="356">
        <f>N76</f>
        <v>0</v>
      </c>
      <c r="Q76" s="170">
        <f t="shared" si="59"/>
        <v>0</v>
      </c>
      <c r="R76" s="445"/>
      <c r="S76" s="10" t="str">
        <f t="shared" si="60"/>
        <v/>
      </c>
      <c r="T76" s="356">
        <f>R76</f>
        <v>0</v>
      </c>
      <c r="U76" s="217" t="str">
        <f t="shared" si="61"/>
        <v/>
      </c>
      <c r="V76" s="456">
        <f t="shared" si="74"/>
        <v>0</v>
      </c>
      <c r="W76" s="170">
        <f t="shared" si="62"/>
        <v>0</v>
      </c>
      <c r="X76" s="408">
        <f t="shared" si="75"/>
        <v>0</v>
      </c>
      <c r="Y76" s="240">
        <f t="shared" si="63"/>
        <v>0</v>
      </c>
      <c r="Z76" s="460">
        <f>F76+J76+N76+R76</f>
        <v>0</v>
      </c>
      <c r="AA76" s="201">
        <f t="shared" si="64"/>
        <v>0</v>
      </c>
      <c r="AB76" s="464">
        <f t="shared" si="76"/>
        <v>0</v>
      </c>
      <c r="AC76" s="162">
        <f t="shared" si="65"/>
        <v>0</v>
      </c>
      <c r="AD76" s="352"/>
      <c r="AE76" s="10">
        <f t="shared" si="66"/>
        <v>0</v>
      </c>
      <c r="AF76" s="356">
        <f>AD76</f>
        <v>0</v>
      </c>
      <c r="AG76" s="93">
        <f t="shared" si="67"/>
        <v>0</v>
      </c>
      <c r="AH76" s="388"/>
      <c r="AI76" s="170">
        <f t="shared" si="77"/>
        <v>0</v>
      </c>
      <c r="AJ76" s="356">
        <f>AH76</f>
        <v>0</v>
      </c>
      <c r="AK76" s="98">
        <f t="shared" si="36"/>
        <v>0</v>
      </c>
      <c r="AL76" s="474">
        <f t="shared" si="78"/>
        <v>0</v>
      </c>
      <c r="AM76" s="328">
        <f t="shared" si="68"/>
        <v>0</v>
      </c>
      <c r="AN76" s="478">
        <f t="shared" si="79"/>
        <v>0</v>
      </c>
      <c r="AO76" s="162">
        <f t="shared" si="69"/>
        <v>0</v>
      </c>
      <c r="AP76" s="483">
        <f t="shared" si="80"/>
        <v>0</v>
      </c>
      <c r="AQ76" s="299">
        <f t="shared" si="70"/>
        <v>0</v>
      </c>
      <c r="AR76" s="487">
        <f t="shared" si="81"/>
        <v>0</v>
      </c>
      <c r="AS76" s="300">
        <f t="shared" si="71"/>
        <v>0</v>
      </c>
      <c r="AT76" s="575">
        <v>0</v>
      </c>
      <c r="AU76" s="163">
        <f t="shared" si="82"/>
        <v>0</v>
      </c>
      <c r="AV76" s="578">
        <f>AT76</f>
        <v>0</v>
      </c>
      <c r="AW76" s="164">
        <f t="shared" si="83"/>
        <v>0</v>
      </c>
      <c r="AX76" s="575">
        <f t="shared" si="84"/>
        <v>0</v>
      </c>
      <c r="AY76" s="163" t="str">
        <f t="shared" si="85"/>
        <v/>
      </c>
      <c r="AZ76" s="578">
        <f t="shared" si="86"/>
        <v>0</v>
      </c>
      <c r="BA76" s="164" t="str">
        <f t="shared" si="87"/>
        <v/>
      </c>
      <c r="BB76" s="11"/>
    </row>
    <row r="77" spans="1:54" ht="16.149999999999999" customHeight="1">
      <c r="A77" s="43" t="s">
        <v>69</v>
      </c>
      <c r="B77" s="706"/>
      <c r="C77" s="266" t="str">
        <f t="shared" si="55"/>
        <v/>
      </c>
      <c r="D77" s="723">
        <f>[3]本部!$L$75</f>
        <v>0</v>
      </c>
      <c r="E77" s="161" t="str">
        <f>IF(ISERR(#REF!/$D$11),"",#REF!/$D$11)</f>
        <v/>
      </c>
      <c r="F77" s="352">
        <f>[3]本社営業!$I$75</f>
        <v>0</v>
      </c>
      <c r="G77" s="10">
        <f t="shared" si="57"/>
        <v>0</v>
      </c>
      <c r="H77" s="356">
        <f>[3]本社営業!$L$75</f>
        <v>672000</v>
      </c>
      <c r="I77" s="163">
        <f t="shared" si="72"/>
        <v>4.4775847579459424E-4</v>
      </c>
      <c r="J77" s="745"/>
      <c r="K77" s="77">
        <f t="shared" si="73"/>
        <v>0</v>
      </c>
      <c r="L77" s="356">
        <f>[3]東大阪!$L$75</f>
        <v>0</v>
      </c>
      <c r="M77" s="163">
        <f t="shared" si="37"/>
        <v>0</v>
      </c>
      <c r="N77" s="403"/>
      <c r="O77" s="77">
        <f t="shared" si="58"/>
        <v>0</v>
      </c>
      <c r="P77" s="356">
        <f>[3]南港工場!$L$75</f>
        <v>0</v>
      </c>
      <c r="Q77" s="170">
        <f t="shared" si="59"/>
        <v>0</v>
      </c>
      <c r="R77" s="445"/>
      <c r="S77" s="10" t="str">
        <f t="shared" si="60"/>
        <v/>
      </c>
      <c r="T77" s="356">
        <f>[3]南港事務!$L$75</f>
        <v>0</v>
      </c>
      <c r="U77" s="217" t="str">
        <f t="shared" si="61"/>
        <v/>
      </c>
      <c r="V77" s="456">
        <f t="shared" si="74"/>
        <v>0</v>
      </c>
      <c r="W77" s="170">
        <f t="shared" si="62"/>
        <v>0</v>
      </c>
      <c r="X77" s="408">
        <f t="shared" si="75"/>
        <v>0</v>
      </c>
      <c r="Y77" s="240">
        <f t="shared" si="63"/>
        <v>0</v>
      </c>
      <c r="Z77" s="460">
        <f>F77+J77+N77+R77</f>
        <v>0</v>
      </c>
      <c r="AA77" s="201">
        <f t="shared" si="64"/>
        <v>0</v>
      </c>
      <c r="AB77" s="464">
        <f t="shared" si="76"/>
        <v>672000</v>
      </c>
      <c r="AC77" s="162">
        <f t="shared" si="65"/>
        <v>4.1924387506736907E-4</v>
      </c>
      <c r="AD77" s="352"/>
      <c r="AE77" s="10">
        <f t="shared" si="66"/>
        <v>0</v>
      </c>
      <c r="AF77" s="356">
        <f>[3]東京事務!$L$75</f>
        <v>0</v>
      </c>
      <c r="AG77" s="93">
        <f t="shared" si="67"/>
        <v>0</v>
      </c>
      <c r="AH77" s="388"/>
      <c r="AI77" s="170">
        <f t="shared" si="77"/>
        <v>0</v>
      </c>
      <c r="AJ77" s="356">
        <f>[3]東京工場!$L$75</f>
        <v>0</v>
      </c>
      <c r="AK77" s="98">
        <f t="shared" si="36"/>
        <v>0</v>
      </c>
      <c r="AL77" s="474">
        <f t="shared" si="78"/>
        <v>0</v>
      </c>
      <c r="AM77" s="328">
        <f t="shared" si="68"/>
        <v>0</v>
      </c>
      <c r="AN77" s="478">
        <f t="shared" si="79"/>
        <v>0</v>
      </c>
      <c r="AO77" s="162">
        <f t="shared" si="69"/>
        <v>0</v>
      </c>
      <c r="AP77" s="483">
        <f t="shared" si="80"/>
        <v>0</v>
      </c>
      <c r="AQ77" s="299">
        <f t="shared" si="70"/>
        <v>0</v>
      </c>
      <c r="AR77" s="487">
        <f t="shared" si="81"/>
        <v>672000</v>
      </c>
      <c r="AS77" s="300">
        <f t="shared" si="71"/>
        <v>2.862334167475438E-4</v>
      </c>
      <c r="AT77" s="575">
        <f>[3]全社合計!$G$75</f>
        <v>0</v>
      </c>
      <c r="AU77" s="163">
        <f t="shared" si="82"/>
        <v>0</v>
      </c>
      <c r="AV77" s="578">
        <f>[3]全社合計!$N$75</f>
        <v>672000</v>
      </c>
      <c r="AW77" s="164">
        <f t="shared" si="83"/>
        <v>2.4930948978776186E-4</v>
      </c>
      <c r="AX77" s="575">
        <f t="shared" si="84"/>
        <v>0</v>
      </c>
      <c r="AY77" s="163" t="str">
        <f t="shared" si="85"/>
        <v/>
      </c>
      <c r="AZ77" s="578">
        <f t="shared" si="86"/>
        <v>0</v>
      </c>
      <c r="BA77" s="164">
        <f t="shared" si="87"/>
        <v>1</v>
      </c>
      <c r="BB77" s="11"/>
    </row>
    <row r="78" spans="1:54" ht="16.149999999999999" customHeight="1" thickBot="1">
      <c r="A78" s="44"/>
      <c r="B78" s="707"/>
      <c r="C78" s="267" t="str">
        <f t="shared" si="55"/>
        <v/>
      </c>
      <c r="D78" s="735">
        <f>B78</f>
        <v>0</v>
      </c>
      <c r="E78" s="165" t="str">
        <f>IF(ISERR(#REF!/$D$11),"",#REF!/$D$11)</f>
        <v/>
      </c>
      <c r="F78" s="380"/>
      <c r="G78" s="23">
        <f t="shared" si="57"/>
        <v>0</v>
      </c>
      <c r="H78" s="381">
        <f>F78</f>
        <v>0</v>
      </c>
      <c r="I78" s="167">
        <f t="shared" si="72"/>
        <v>0</v>
      </c>
      <c r="J78" s="758"/>
      <c r="K78" s="78">
        <f t="shared" si="73"/>
        <v>0</v>
      </c>
      <c r="L78" s="381">
        <f>J78</f>
        <v>0</v>
      </c>
      <c r="M78" s="167">
        <f t="shared" si="37"/>
        <v>0</v>
      </c>
      <c r="N78" s="420"/>
      <c r="O78" s="241">
        <f t="shared" si="58"/>
        <v>0</v>
      </c>
      <c r="P78" s="381">
        <f>N78</f>
        <v>0</v>
      </c>
      <c r="Q78" s="244">
        <f t="shared" si="59"/>
        <v>0</v>
      </c>
      <c r="R78" s="453"/>
      <c r="S78" s="243" t="str">
        <f t="shared" si="60"/>
        <v/>
      </c>
      <c r="T78" s="381">
        <f>R78</f>
        <v>0</v>
      </c>
      <c r="U78" s="242" t="str">
        <f t="shared" si="61"/>
        <v/>
      </c>
      <c r="V78" s="498">
        <f t="shared" si="74"/>
        <v>0</v>
      </c>
      <c r="W78" s="244">
        <f t="shared" si="62"/>
        <v>0</v>
      </c>
      <c r="X78" s="422">
        <f t="shared" si="75"/>
        <v>0</v>
      </c>
      <c r="Y78" s="245">
        <f t="shared" si="63"/>
        <v>0</v>
      </c>
      <c r="Z78" s="501">
        <f>F78+J78+N78+R78</f>
        <v>0</v>
      </c>
      <c r="AA78" s="202">
        <f t="shared" si="64"/>
        <v>0</v>
      </c>
      <c r="AB78" s="503">
        <f t="shared" si="76"/>
        <v>0</v>
      </c>
      <c r="AC78" s="166">
        <f t="shared" si="65"/>
        <v>0</v>
      </c>
      <c r="AD78" s="380"/>
      <c r="AE78" s="23">
        <f t="shared" si="66"/>
        <v>0</v>
      </c>
      <c r="AF78" s="381">
        <f>AD78</f>
        <v>0</v>
      </c>
      <c r="AG78" s="94">
        <f t="shared" si="67"/>
        <v>0</v>
      </c>
      <c r="AH78" s="400"/>
      <c r="AI78" s="184">
        <f t="shared" si="77"/>
        <v>0</v>
      </c>
      <c r="AJ78" s="381">
        <f>AH78</f>
        <v>0</v>
      </c>
      <c r="AK78" s="112">
        <f>IF(ISERR(AJ78/$AJ$11),"",AJ78/$AJ$11)</f>
        <v>0</v>
      </c>
      <c r="AL78" s="507">
        <f t="shared" si="78"/>
        <v>0</v>
      </c>
      <c r="AM78" s="329">
        <f t="shared" si="68"/>
        <v>0</v>
      </c>
      <c r="AN78" s="509">
        <f t="shared" si="79"/>
        <v>0</v>
      </c>
      <c r="AO78" s="166">
        <f t="shared" si="69"/>
        <v>0</v>
      </c>
      <c r="AP78" s="512">
        <f t="shared" si="80"/>
        <v>0</v>
      </c>
      <c r="AQ78" s="301">
        <f t="shared" si="70"/>
        <v>0</v>
      </c>
      <c r="AR78" s="514">
        <f t="shared" si="81"/>
        <v>0</v>
      </c>
      <c r="AS78" s="302">
        <f t="shared" si="71"/>
        <v>0</v>
      </c>
      <c r="AT78" s="593">
        <v>0</v>
      </c>
      <c r="AU78" s="167">
        <f t="shared" si="82"/>
        <v>0</v>
      </c>
      <c r="AV78" s="595">
        <f>AT78</f>
        <v>0</v>
      </c>
      <c r="AW78" s="168">
        <f t="shared" si="83"/>
        <v>0</v>
      </c>
      <c r="AX78" s="593">
        <f t="shared" si="84"/>
        <v>0</v>
      </c>
      <c r="AY78" s="167" t="str">
        <f t="shared" si="85"/>
        <v/>
      </c>
      <c r="AZ78" s="595">
        <f t="shared" si="86"/>
        <v>0</v>
      </c>
      <c r="BA78" s="168" t="str">
        <f t="shared" si="87"/>
        <v/>
      </c>
      <c r="BB78" s="11"/>
    </row>
    <row r="79" spans="1:54" s="25" customFormat="1" ht="15.75" thickTop="1">
      <c r="A79" s="24" t="s">
        <v>70</v>
      </c>
      <c r="B79" s="737">
        <f>+B18-B67</f>
        <v>0</v>
      </c>
      <c r="C79" s="220" t="str">
        <f t="shared" si="55"/>
        <v/>
      </c>
      <c r="D79" s="736">
        <f>D18-D67</f>
        <v>0</v>
      </c>
      <c r="E79" s="220" t="str">
        <f>IF(ISERR(#REF!/$D$11),"",#REF!/$D$11)</f>
        <v/>
      </c>
      <c r="F79" s="382">
        <f>F18-F67</f>
        <v>27794811</v>
      </c>
      <c r="G79" s="309">
        <f>IF(ISERR(F79/$F$11),"",F79/$F$11)</f>
        <v>6.2347065975687649E-2</v>
      </c>
      <c r="H79" s="383">
        <f>H18-H67</f>
        <v>49088948</v>
      </c>
      <c r="I79" s="95">
        <f t="shared" si="72"/>
        <v>3.2708322224464424E-2</v>
      </c>
      <c r="J79" s="382">
        <f>J18-J67</f>
        <v>6759180</v>
      </c>
      <c r="K79" s="309">
        <f t="shared" si="73"/>
        <v>0.89710949700294573</v>
      </c>
      <c r="L79" s="383">
        <f>L18-L67</f>
        <v>18118146</v>
      </c>
      <c r="M79" s="95">
        <f>IF(ISERR(L79/$L$11),"",L79/$L$11)</f>
        <v>0.70245446499109998</v>
      </c>
      <c r="N79" s="382">
        <f>N18-N67</f>
        <v>19008723</v>
      </c>
      <c r="O79" s="95">
        <f>IF(ISERR(N79/$N$11),"",N79/$N$11)</f>
        <v>0.93893504079183676</v>
      </c>
      <c r="P79" s="383">
        <f>P18-P67</f>
        <v>51003096</v>
      </c>
      <c r="Q79" s="95">
        <f t="shared" si="59"/>
        <v>0.66859552194300209</v>
      </c>
      <c r="R79" s="382">
        <f>R18-R67</f>
        <v>4383493</v>
      </c>
      <c r="S79" s="113"/>
      <c r="T79" s="383">
        <f>T18-T67</f>
        <v>12976571</v>
      </c>
      <c r="U79" s="95" t="str">
        <f t="shared" si="61"/>
        <v/>
      </c>
      <c r="V79" s="499">
        <f t="shared" si="74"/>
        <v>23392216</v>
      </c>
      <c r="W79" s="95">
        <f>IF(ISERR(V79/$V$11),"",V79/$V$11)</f>
        <v>1.1554574857117679</v>
      </c>
      <c r="X79" s="383">
        <f t="shared" si="75"/>
        <v>63979667</v>
      </c>
      <c r="Y79" s="95">
        <f t="shared" si="63"/>
        <v>0.83870435731204362</v>
      </c>
      <c r="Z79" s="499">
        <f>F79+J79+V79</f>
        <v>57946207</v>
      </c>
      <c r="AA79" s="95">
        <f>IF(ISERR(Z79/$Z$11),"",Z79/$Z$11)</f>
        <v>0.12235593399866702</v>
      </c>
      <c r="AB79" s="383">
        <f t="shared" si="76"/>
        <v>131186761</v>
      </c>
      <c r="AC79" s="95">
        <f t="shared" si="65"/>
        <v>8.184411612972739E-2</v>
      </c>
      <c r="AD79" s="382">
        <f>AD18-AD67</f>
        <v>13770629</v>
      </c>
      <c r="AE79" s="309">
        <f t="shared" si="66"/>
        <v>6.0658890737087183E-2</v>
      </c>
      <c r="AF79" s="383">
        <f>AF18-AF67</f>
        <v>39731789</v>
      </c>
      <c r="AG79" s="95">
        <f t="shared" si="67"/>
        <v>5.5517277264896657E-2</v>
      </c>
      <c r="AH79" s="382">
        <f>AH18-AH67</f>
        <v>8280834</v>
      </c>
      <c r="AI79" s="309">
        <f t="shared" si="77"/>
        <v>0.93998163360981302</v>
      </c>
      <c r="AJ79" s="383">
        <f>AJ18-AJ67</f>
        <v>24363693</v>
      </c>
      <c r="AK79" s="309">
        <f>IF(ISERR(AJ79/$AJ$11),"",AJ79/$AJ$11)</f>
        <v>0.83485077128552776</v>
      </c>
      <c r="AL79" s="382">
        <f t="shared" si="78"/>
        <v>22051463</v>
      </c>
      <c r="AM79" s="95">
        <f t="shared" si="68"/>
        <v>9.350692489239297E-2</v>
      </c>
      <c r="AN79" s="510">
        <f t="shared" si="79"/>
        <v>64095482</v>
      </c>
      <c r="AO79" s="113"/>
      <c r="AP79" s="382">
        <f t="shared" si="80"/>
        <v>79997670</v>
      </c>
      <c r="AQ79" s="95">
        <f t="shared" si="70"/>
        <v>0.11276580151055629</v>
      </c>
      <c r="AR79" s="515">
        <f t="shared" si="81"/>
        <v>195282243</v>
      </c>
      <c r="AS79" s="95">
        <f>IF(ISERR(AR79/$AR$11),"",AR79/$AR$11)</f>
        <v>8.317902327978291E-2</v>
      </c>
      <c r="AT79" s="382">
        <f>AT18-AT67</f>
        <v>79622642</v>
      </c>
      <c r="AU79" s="95">
        <f t="shared" si="82"/>
        <v>0.10011226724090258</v>
      </c>
      <c r="AV79" s="383">
        <f>AT79</f>
        <v>79622642</v>
      </c>
      <c r="AW79" s="309">
        <f t="shared" si="83"/>
        <v>2.953970275680598E-2</v>
      </c>
      <c r="AX79" s="382">
        <f t="shared" si="84"/>
        <v>375028</v>
      </c>
      <c r="AY79" s="95">
        <f t="shared" si="85"/>
        <v>1.0047100672695588</v>
      </c>
      <c r="AZ79" s="383">
        <f t="shared" si="86"/>
        <v>115659601</v>
      </c>
      <c r="BA79" s="309">
        <f t="shared" si="87"/>
        <v>2.4525968756475076</v>
      </c>
    </row>
    <row r="80" spans="1:54">
      <c r="A80" s="26"/>
      <c r="B80" s="26"/>
    </row>
    <row r="81" spans="1:53" s="268" customFormat="1">
      <c r="A81" s="270" t="s">
        <v>85</v>
      </c>
      <c r="B81" s="271"/>
      <c r="C81" s="272"/>
      <c r="D81" s="824"/>
      <c r="E81" s="825"/>
      <c r="F81" s="773">
        <f>'7月'!F83</f>
        <v>6710886</v>
      </c>
      <c r="G81" s="774"/>
      <c r="H81" s="669">
        <f>'6月'!H81</f>
        <v>6712201</v>
      </c>
      <c r="I81" s="670"/>
      <c r="J81" s="667"/>
      <c r="K81" s="668"/>
      <c r="L81" s="669">
        <f>+J81</f>
        <v>0</v>
      </c>
      <c r="M81" s="670"/>
      <c r="N81" s="667"/>
      <c r="O81" s="668"/>
      <c r="P81" s="669">
        <f>+N81</f>
        <v>0</v>
      </c>
      <c r="Q81" s="670"/>
      <c r="R81" s="671"/>
      <c r="S81" s="672"/>
      <c r="T81" s="669">
        <f>+R81</f>
        <v>0</v>
      </c>
      <c r="U81" s="670"/>
      <c r="V81" s="667">
        <f>N81+R81</f>
        <v>0</v>
      </c>
      <c r="W81" s="668"/>
      <c r="X81" s="673">
        <f>P81+T81</f>
        <v>0</v>
      </c>
      <c r="Y81" s="674"/>
      <c r="Z81" s="667">
        <f>F81+J81+N81+R81</f>
        <v>6710886</v>
      </c>
      <c r="AA81" s="668"/>
      <c r="AB81" s="675">
        <f>H81+L81+P81+T81</f>
        <v>6712201</v>
      </c>
      <c r="AC81" s="676"/>
      <c r="AD81" s="671">
        <f>'7月'!AD83</f>
        <v>4009738</v>
      </c>
      <c r="AE81" s="672"/>
      <c r="AF81" s="669">
        <f>'6月'!AF81</f>
        <v>4214746</v>
      </c>
      <c r="AG81" s="670"/>
      <c r="AH81" s="671"/>
      <c r="AI81" s="672"/>
      <c r="AJ81" s="669">
        <f>+AH81</f>
        <v>0</v>
      </c>
      <c r="AK81" s="670"/>
      <c r="AL81" s="671">
        <f>+AD81+AH81</f>
        <v>4009738</v>
      </c>
      <c r="AM81" s="672"/>
      <c r="AN81" s="669">
        <f>AF81+AJ81</f>
        <v>4214746</v>
      </c>
      <c r="AO81" s="670"/>
      <c r="AP81" s="671">
        <f>+AB81+AL81</f>
        <v>10721939</v>
      </c>
      <c r="AQ81" s="672"/>
      <c r="AR81" s="669">
        <f>D81+AB81+AN81</f>
        <v>10926947</v>
      </c>
      <c r="AS81" s="670"/>
      <c r="AT81" s="671">
        <f>'7月'!AT83</f>
        <v>10777595</v>
      </c>
      <c r="AU81" s="672"/>
      <c r="AV81" s="669">
        <f>'6月'!AV81</f>
        <v>10388772</v>
      </c>
      <c r="AW81" s="670"/>
      <c r="AX81" s="671">
        <f>AP81-AT81</f>
        <v>-55656</v>
      </c>
      <c r="AY81" s="677">
        <f>IF(ISERROR(AP81/AT81),"",AP81/AT81)</f>
        <v>0.99483595366127597</v>
      </c>
      <c r="AZ81" s="669">
        <f>AR81-AV81</f>
        <v>538175</v>
      </c>
      <c r="BA81" s="678">
        <f>IF(ISERROR(AR81/AV81),"",AR81/AV81)</f>
        <v>1.051803524035372</v>
      </c>
    </row>
    <row r="82" spans="1:53" s="268" customFormat="1">
      <c r="A82" s="269" t="s">
        <v>86</v>
      </c>
      <c r="B82" s="273"/>
      <c r="C82" s="274"/>
      <c r="D82" s="826"/>
      <c r="E82" s="827"/>
      <c r="F82" s="771">
        <v>1893077</v>
      </c>
      <c r="G82" s="772"/>
      <c r="H82" s="685">
        <f>F82+'7月'!H82</f>
        <v>6785522</v>
      </c>
      <c r="I82" s="686"/>
      <c r="J82" s="683">
        <v>32543</v>
      </c>
      <c r="K82" s="684"/>
      <c r="L82" s="685">
        <f>J82+'7月'!L82</f>
        <v>84684</v>
      </c>
      <c r="M82" s="686"/>
      <c r="N82" s="683">
        <v>43883</v>
      </c>
      <c r="O82" s="684"/>
      <c r="P82" s="685">
        <f>N82+'7月'!P82</f>
        <v>182103</v>
      </c>
      <c r="Q82" s="686"/>
      <c r="R82" s="683"/>
      <c r="S82" s="684"/>
      <c r="T82" s="685">
        <f>R82+'7月'!T82</f>
        <v>0</v>
      </c>
      <c r="U82" s="686"/>
      <c r="V82" s="683">
        <f>N82+R82</f>
        <v>43883</v>
      </c>
      <c r="W82" s="684"/>
      <c r="X82" s="687">
        <f>P82+T82</f>
        <v>182103</v>
      </c>
      <c r="Y82" s="688"/>
      <c r="Z82" s="683">
        <f>F82+J82+N82+R82</f>
        <v>1969503</v>
      </c>
      <c r="AA82" s="684"/>
      <c r="AB82" s="687">
        <f>H82+L82+P82+T82</f>
        <v>7052309</v>
      </c>
      <c r="AC82" s="688"/>
      <c r="AD82" s="683">
        <v>822459</v>
      </c>
      <c r="AE82" s="684"/>
      <c r="AF82" s="685">
        <f>AD82+'7月'!AF82</f>
        <v>2530855</v>
      </c>
      <c r="AG82" s="686"/>
      <c r="AH82" s="683"/>
      <c r="AI82" s="684"/>
      <c r="AJ82" s="685">
        <f>AH82+'7月'!AJ82</f>
        <v>0</v>
      </c>
      <c r="AK82" s="686"/>
      <c r="AL82" s="683">
        <f>+AD82+AH82</f>
        <v>822459</v>
      </c>
      <c r="AM82" s="684"/>
      <c r="AN82" s="685">
        <f>AF82+AJ82</f>
        <v>2530855</v>
      </c>
      <c r="AO82" s="686"/>
      <c r="AP82" s="683">
        <f>+AL82+Z82</f>
        <v>2791962</v>
      </c>
      <c r="AQ82" s="684"/>
      <c r="AR82" s="685">
        <f>D82+AB82+AN82</f>
        <v>9583164</v>
      </c>
      <c r="AS82" s="686"/>
      <c r="AT82" s="683">
        <v>2890789</v>
      </c>
      <c r="AU82" s="684"/>
      <c r="AV82" s="685">
        <f>AT82+'7月'!AV82</f>
        <v>11422971</v>
      </c>
      <c r="AW82" s="686"/>
      <c r="AX82" s="683">
        <f>AP82-AT82</f>
        <v>-98827</v>
      </c>
      <c r="AY82" s="689">
        <f>IF(ISERROR(AP82/AT82),"",AP82/AT82)</f>
        <v>0.9658131395961449</v>
      </c>
      <c r="AZ82" s="685">
        <f>AR82-AV82</f>
        <v>-1839807</v>
      </c>
      <c r="BA82" s="690">
        <f>IF(ISERROR(AR82/AV82),"",AR82/AV82)</f>
        <v>0.83893796106109353</v>
      </c>
    </row>
    <row r="83" spans="1:53" s="268" customFormat="1" ht="14.25" thickBot="1">
      <c r="A83" s="275" t="s">
        <v>87</v>
      </c>
      <c r="B83" s="276"/>
      <c r="C83" s="277"/>
      <c r="D83" s="828"/>
      <c r="E83" s="829"/>
      <c r="F83" s="769">
        <f>[3]本社営業!$I$13</f>
        <v>6452594</v>
      </c>
      <c r="G83" s="770"/>
      <c r="H83" s="696">
        <f>+F83</f>
        <v>6452594</v>
      </c>
      <c r="I83" s="697"/>
      <c r="J83" s="694"/>
      <c r="K83" s="695"/>
      <c r="L83" s="696">
        <f>+J83</f>
        <v>0</v>
      </c>
      <c r="M83" s="697"/>
      <c r="N83" s="694"/>
      <c r="O83" s="695"/>
      <c r="P83" s="696">
        <f>+N83</f>
        <v>0</v>
      </c>
      <c r="Q83" s="697"/>
      <c r="R83" s="694"/>
      <c r="S83" s="695"/>
      <c r="T83" s="696">
        <f>+R83</f>
        <v>0</v>
      </c>
      <c r="U83" s="697"/>
      <c r="V83" s="694">
        <f>N83+R83</f>
        <v>0</v>
      </c>
      <c r="W83" s="695"/>
      <c r="X83" s="698">
        <f>P83+T83</f>
        <v>0</v>
      </c>
      <c r="Y83" s="699"/>
      <c r="Z83" s="694">
        <f>F83+J83+N83+R83</f>
        <v>6452594</v>
      </c>
      <c r="AA83" s="695"/>
      <c r="AB83" s="698">
        <f>H83+L83+P83+T83</f>
        <v>6452594</v>
      </c>
      <c r="AC83" s="699"/>
      <c r="AD83" s="694">
        <f>[3]東京事務!$I$13</f>
        <v>3888491</v>
      </c>
      <c r="AE83" s="695"/>
      <c r="AF83" s="696">
        <f>+AD83</f>
        <v>3888491</v>
      </c>
      <c r="AG83" s="697"/>
      <c r="AH83" s="694"/>
      <c r="AI83" s="695"/>
      <c r="AJ83" s="696">
        <f>+AH83</f>
        <v>0</v>
      </c>
      <c r="AK83" s="697"/>
      <c r="AL83" s="694">
        <f>+AD83+AH83</f>
        <v>3888491</v>
      </c>
      <c r="AM83" s="695"/>
      <c r="AN83" s="696">
        <f>AF83+AJ83</f>
        <v>3888491</v>
      </c>
      <c r="AO83" s="697"/>
      <c r="AP83" s="694">
        <f>+AB83+AL83</f>
        <v>10341085</v>
      </c>
      <c r="AQ83" s="695"/>
      <c r="AR83" s="696">
        <f>D83+AB83+AN83</f>
        <v>10341085</v>
      </c>
      <c r="AS83" s="697"/>
      <c r="AT83" s="694">
        <f>[3]全社合計!$G$13</f>
        <v>10332283</v>
      </c>
      <c r="AU83" s="695"/>
      <c r="AV83" s="696">
        <f>AT83</f>
        <v>10332283</v>
      </c>
      <c r="AW83" s="697"/>
      <c r="AX83" s="694">
        <f>AP83-AT83</f>
        <v>8802</v>
      </c>
      <c r="AY83" s="700">
        <f>IF(ISERROR(AP83/AT83),"",AP83/AT83)</f>
        <v>1.0008518930424186</v>
      </c>
      <c r="AZ83" s="696">
        <f>AR83-AV83</f>
        <v>8802</v>
      </c>
      <c r="BA83" s="701">
        <f>IF(ISERROR(AR83/AV83),"",AR83/AV83)</f>
        <v>1.0008518930424186</v>
      </c>
    </row>
    <row r="84" spans="1:53" ht="14.25" thickTop="1">
      <c r="D84" s="26"/>
      <c r="H84" s="26"/>
      <c r="L84" s="26"/>
      <c r="P84" s="26"/>
      <c r="T84" s="26"/>
      <c r="AL84" s="26"/>
      <c r="AP84" s="26"/>
      <c r="AT84" s="26"/>
      <c r="AX84" s="26"/>
    </row>
    <row r="85" spans="1:53">
      <c r="AL85" s="26"/>
    </row>
    <row r="89" spans="1:53">
      <c r="B89" s="27"/>
      <c r="D89" s="27"/>
      <c r="H89" s="27"/>
      <c r="L89" s="27"/>
      <c r="P89" s="27"/>
      <c r="T89" s="27"/>
      <c r="X89" s="27"/>
      <c r="AB89" s="27"/>
      <c r="AF89" s="27"/>
      <c r="AL89" s="27"/>
      <c r="AP89" s="27"/>
      <c r="AT89" s="27"/>
      <c r="AX89" s="27"/>
    </row>
    <row r="90" spans="1:53">
      <c r="B90" s="27"/>
      <c r="D90" s="27"/>
      <c r="H90" s="27"/>
      <c r="L90" s="27"/>
      <c r="P90" s="27"/>
      <c r="T90" s="27"/>
      <c r="X90" s="27"/>
      <c r="AB90" s="27"/>
      <c r="AF90" s="27"/>
      <c r="AL90" s="27"/>
      <c r="AP90" s="27"/>
      <c r="AT90" s="27"/>
      <c r="AX90" s="27"/>
    </row>
    <row r="91" spans="1:53">
      <c r="B91" s="27"/>
      <c r="D91" s="27"/>
      <c r="H91" s="27"/>
      <c r="L91" s="27"/>
      <c r="P91" s="27"/>
      <c r="T91" s="27"/>
      <c r="X91" s="27"/>
      <c r="AB91" s="27"/>
      <c r="AF91" s="27"/>
      <c r="AL91" s="27"/>
      <c r="AP91" s="27"/>
      <c r="AT91" s="27"/>
      <c r="AX91" s="27"/>
    </row>
    <row r="92" spans="1:53">
      <c r="B92" s="27"/>
      <c r="D92" s="27"/>
      <c r="H92" s="27"/>
      <c r="L92" s="27"/>
      <c r="P92" s="27"/>
      <c r="T92" s="27"/>
      <c r="X92" s="27"/>
      <c r="AB92" s="27"/>
      <c r="AF92" s="27"/>
      <c r="AL92" s="27"/>
      <c r="AP92" s="27"/>
      <c r="AT92" s="27"/>
      <c r="AX92" s="27"/>
    </row>
    <row r="93" spans="1:53">
      <c r="B93" s="27"/>
      <c r="D93" s="27"/>
      <c r="H93" s="27"/>
      <c r="L93" s="27"/>
      <c r="P93" s="27"/>
      <c r="T93" s="27"/>
      <c r="X93" s="27"/>
      <c r="AB93" s="27"/>
      <c r="AF93" s="27"/>
      <c r="AL93" s="27"/>
      <c r="AP93" s="27"/>
      <c r="AT93" s="27"/>
      <c r="AX93" s="27"/>
    </row>
    <row r="94" spans="1:53">
      <c r="B94" s="27"/>
    </row>
    <row r="95" spans="1:53">
      <c r="B95" s="27"/>
    </row>
  </sheetData>
  <mergeCells count="48">
    <mergeCell ref="D82:E82"/>
    <mergeCell ref="F82:G82"/>
    <mergeCell ref="D83:E83"/>
    <mergeCell ref="F83:G83"/>
    <mergeCell ref="AT4:AU4"/>
    <mergeCell ref="R4:S4"/>
    <mergeCell ref="T4:U4"/>
    <mergeCell ref="AV4:AW4"/>
    <mergeCell ref="V4:W4"/>
    <mergeCell ref="X4:Y4"/>
    <mergeCell ref="Z4:AA4"/>
    <mergeCell ref="AB4:AC4"/>
    <mergeCell ref="AX4:AY4"/>
    <mergeCell ref="AZ4:BA4"/>
    <mergeCell ref="D81:E81"/>
    <mergeCell ref="F81:G81"/>
    <mergeCell ref="AH4:AI4"/>
    <mergeCell ref="AJ4:AK4"/>
    <mergeCell ref="AL4:AM4"/>
    <mergeCell ref="AN4:AO4"/>
    <mergeCell ref="AP4:AQ4"/>
    <mergeCell ref="AR4:AS4"/>
    <mergeCell ref="AD4:AE4"/>
    <mergeCell ref="AF4:AG4"/>
    <mergeCell ref="J4:K4"/>
    <mergeCell ref="L4:M4"/>
    <mergeCell ref="N4:O4"/>
    <mergeCell ref="P4:Q4"/>
    <mergeCell ref="AX2:BA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T2:AW3"/>
    <mergeCell ref="A2:A5"/>
    <mergeCell ref="B2:E3"/>
    <mergeCell ref="F2:AC2"/>
    <mergeCell ref="AD2:AO2"/>
    <mergeCell ref="AP2:AS3"/>
    <mergeCell ref="B4:C4"/>
    <mergeCell ref="D4:E4"/>
    <mergeCell ref="F4:G4"/>
    <mergeCell ref="H4:I4"/>
  </mergeCells>
  <phoneticPr fontId="30"/>
  <dataValidations count="2">
    <dataValidation imeMode="on" allowBlank="1" showInputMessage="1" showErrorMessage="1" sqref="A2:BA5" xr:uid="{15E44BDC-7F35-49C1-B82E-62E817B4CB1D}"/>
    <dataValidation imeMode="off" allowBlank="1" showInputMessage="1" showErrorMessage="1" sqref="B1 AP1 AR1:AT1 AZ1:BA1 AV1:AX1 B6:BA65536" xr:uid="{23DD0A0B-9247-416D-B4A6-A7E1BB764EB4}"/>
  </dataValidations>
  <printOptions gridLinesSet="0"/>
  <pageMargins left="0.39370078740157483" right="0.19685039370078741" top="0.39370078740157483" bottom="0.19685039370078741" header="0" footer="0"/>
  <pageSetup paperSize="8" scale="68" orientation="landscape" r:id="rId1"/>
  <headerFooter alignWithMargins="0">
    <oddHeader>&amp;L&amp;D&amp;T&amp;C&amp;"明朝,太字"&amp;16&amp;F&amp;R&amp;"明朝,太字"&amp;A</oddHeader>
    <oddFooter>&amp;C&amp;"明朝,太字"&amp;14&amp;F&amp;R&amp;"明朝,太字"&amp;14&amp;A</oddFooter>
  </headerFooter>
  <colBreaks count="1" manualBreakCount="1">
    <brk id="29" min="1" max="7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DE60-47AC-461F-968E-3F1F3D78188F}">
  <dimension ref="A1:BB95"/>
  <sheetViews>
    <sheetView view="pageBreakPreview" zoomScale="80" zoomScaleNormal="80" zoomScaleSheetLayoutView="80" workbookViewId="0">
      <pane xSplit="1" ySplit="5" topLeftCell="AP54" activePane="bottomRight" state="frozen"/>
      <selection activeCell="B4" sqref="A4:XFD4"/>
      <selection pane="topRight" activeCell="B4" sqref="A4:XFD4"/>
      <selection pane="bottomLeft" activeCell="B4" sqref="A4:XFD4"/>
      <selection pane="bottomRight" activeCell="AT83" sqref="AT83"/>
    </sheetView>
  </sheetViews>
  <sheetFormatPr defaultRowHeight="13.5"/>
  <cols>
    <col min="1" max="1" width="23.75" style="1" customWidth="1"/>
    <col min="2" max="2" width="11.375" style="1" bestFit="1" customWidth="1"/>
    <col min="3" max="3" width="7.875" style="1" customWidth="1"/>
    <col min="4" max="4" width="12.625" style="1" customWidth="1"/>
    <col min="5" max="5" width="8.25" style="1" customWidth="1"/>
    <col min="6" max="6" width="11.625" style="1" customWidth="1"/>
    <col min="7" max="7" width="8.375" style="1" customWidth="1"/>
    <col min="8" max="8" width="12.625" style="1" customWidth="1"/>
    <col min="9" max="9" width="7.375" style="1" customWidth="1"/>
    <col min="10" max="10" width="11.625" style="1" customWidth="1"/>
    <col min="11" max="11" width="8.375" style="1" customWidth="1"/>
    <col min="12" max="12" width="12.625" style="1" customWidth="1"/>
    <col min="13" max="13" width="7.625" style="1" customWidth="1"/>
    <col min="14" max="14" width="11.625" style="1" customWidth="1"/>
    <col min="15" max="15" width="8.375" style="1" customWidth="1"/>
    <col min="16" max="16" width="12.625" style="1" customWidth="1"/>
    <col min="17" max="17" width="8.625" style="1" customWidth="1"/>
    <col min="18" max="18" width="11.625" style="1" customWidth="1"/>
    <col min="19" max="19" width="8.375" style="1" customWidth="1"/>
    <col min="20" max="20" width="12.625" style="1" customWidth="1"/>
    <col min="21" max="21" width="7.25" style="1" customWidth="1"/>
    <col min="22" max="22" width="11.625" style="1" customWidth="1"/>
    <col min="23" max="23" width="8.375" style="1" customWidth="1"/>
    <col min="24" max="24" width="12.625" style="1" customWidth="1"/>
    <col min="25" max="25" width="7.375" style="1" customWidth="1"/>
    <col min="26" max="26" width="11.625" style="1" customWidth="1"/>
    <col min="27" max="27" width="8.375" style="1" customWidth="1"/>
    <col min="28" max="28" width="12.625" style="1" customWidth="1"/>
    <col min="29" max="29" width="7.375" style="1" customWidth="1"/>
    <col min="30" max="30" width="11.625" style="1" customWidth="1"/>
    <col min="31" max="31" width="8.375" style="1" customWidth="1"/>
    <col min="32" max="32" width="12.625" style="1" customWidth="1"/>
    <col min="33" max="33" width="7.375" style="1" customWidth="1"/>
    <col min="34" max="34" width="11.625" style="1" customWidth="1"/>
    <col min="35" max="35" width="8.375" style="1" customWidth="1"/>
    <col min="36" max="36" width="12.625" style="1" customWidth="1"/>
    <col min="37" max="37" width="8.375" style="1" customWidth="1"/>
    <col min="38" max="38" width="11.625" style="1" customWidth="1"/>
    <col min="39" max="39" width="7.375" style="1" customWidth="1"/>
    <col min="40" max="40" width="12.625" style="1" customWidth="1"/>
    <col min="41" max="41" width="8.375" style="1" customWidth="1"/>
    <col min="42" max="42" width="13.625" style="1" customWidth="1"/>
    <col min="43" max="43" width="7.375" style="1" customWidth="1"/>
    <col min="44" max="44" width="13.625" style="1" customWidth="1"/>
    <col min="45" max="45" width="8.375" style="1" customWidth="1"/>
    <col min="46" max="46" width="13.625" style="1" customWidth="1"/>
    <col min="47" max="47" width="7.375" style="1" customWidth="1"/>
    <col min="48" max="48" width="13.625" style="1" customWidth="1"/>
    <col min="49" max="49" width="8.375" style="1" customWidth="1"/>
    <col min="50" max="50" width="13.625" style="1" customWidth="1"/>
    <col min="51" max="51" width="7.375" style="1" customWidth="1"/>
    <col min="52" max="52" width="13.625" style="1" customWidth="1"/>
    <col min="53" max="53" width="8.375" style="1" customWidth="1"/>
  </cols>
  <sheetData>
    <row r="1" spans="1:54" ht="10.5" customHeight="1" thickBot="1"/>
    <row r="2" spans="1:54" ht="14.25" customHeight="1" thickTop="1">
      <c r="A2" s="798" t="s">
        <v>0</v>
      </c>
      <c r="B2" s="759" t="s">
        <v>71</v>
      </c>
      <c r="C2" s="760"/>
      <c r="D2" s="760"/>
      <c r="E2" s="761"/>
      <c r="F2" s="812" t="s">
        <v>82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4"/>
      <c r="AD2" s="807" t="s">
        <v>83</v>
      </c>
      <c r="AE2" s="808"/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759" t="s">
        <v>81</v>
      </c>
      <c r="AQ2" s="760"/>
      <c r="AR2" s="760"/>
      <c r="AS2" s="761"/>
      <c r="AT2" s="759" t="s">
        <v>88</v>
      </c>
      <c r="AU2" s="760"/>
      <c r="AV2" s="760"/>
      <c r="AW2" s="761"/>
      <c r="AX2" s="759" t="s">
        <v>89</v>
      </c>
      <c r="AY2" s="760"/>
      <c r="AZ2" s="760"/>
      <c r="BA2" s="761"/>
    </row>
    <row r="3" spans="1:54">
      <c r="A3" s="799"/>
      <c r="B3" s="762"/>
      <c r="C3" s="763"/>
      <c r="D3" s="763"/>
      <c r="E3" s="764"/>
      <c r="F3" s="784" t="s">
        <v>73</v>
      </c>
      <c r="G3" s="785"/>
      <c r="H3" s="785"/>
      <c r="I3" s="823"/>
      <c r="J3" s="787" t="s">
        <v>74</v>
      </c>
      <c r="K3" s="787"/>
      <c r="L3" s="787"/>
      <c r="M3" s="787"/>
      <c r="N3" s="788" t="s">
        <v>92</v>
      </c>
      <c r="O3" s="789"/>
      <c r="P3" s="789"/>
      <c r="Q3" s="790"/>
      <c r="R3" s="820" t="s">
        <v>75</v>
      </c>
      <c r="S3" s="789"/>
      <c r="T3" s="789"/>
      <c r="U3" s="790"/>
      <c r="V3" s="789" t="s">
        <v>76</v>
      </c>
      <c r="W3" s="789"/>
      <c r="X3" s="789"/>
      <c r="Y3" s="821"/>
      <c r="Z3" s="816" t="s">
        <v>79</v>
      </c>
      <c r="AA3" s="817"/>
      <c r="AB3" s="817"/>
      <c r="AC3" s="818"/>
      <c r="AD3" s="819" t="s">
        <v>77</v>
      </c>
      <c r="AE3" s="805"/>
      <c r="AF3" s="805"/>
      <c r="AG3" s="805"/>
      <c r="AH3" s="804" t="s">
        <v>78</v>
      </c>
      <c r="AI3" s="805"/>
      <c r="AJ3" s="805"/>
      <c r="AK3" s="806"/>
      <c r="AL3" s="805" t="s">
        <v>80</v>
      </c>
      <c r="AM3" s="805"/>
      <c r="AN3" s="805"/>
      <c r="AO3" s="811"/>
      <c r="AP3" s="762"/>
      <c r="AQ3" s="763"/>
      <c r="AR3" s="763"/>
      <c r="AS3" s="764"/>
      <c r="AT3" s="762"/>
      <c r="AU3" s="763"/>
      <c r="AV3" s="763"/>
      <c r="AW3" s="764"/>
      <c r="AX3" s="762"/>
      <c r="AY3" s="763"/>
      <c r="AZ3" s="763"/>
      <c r="BA3" s="764"/>
    </row>
    <row r="4" spans="1:54" ht="15.95" customHeight="1">
      <c r="A4" s="799"/>
      <c r="B4" s="779">
        <v>45930</v>
      </c>
      <c r="C4" s="776"/>
      <c r="D4" s="780" t="s">
        <v>72</v>
      </c>
      <c r="E4" s="781"/>
      <c r="F4" s="765">
        <v>45930</v>
      </c>
      <c r="G4" s="766"/>
      <c r="H4" s="767" t="s">
        <v>72</v>
      </c>
      <c r="I4" s="822"/>
      <c r="J4" s="797">
        <v>45930</v>
      </c>
      <c r="K4" s="766"/>
      <c r="L4" s="767" t="s">
        <v>72</v>
      </c>
      <c r="M4" s="782"/>
      <c r="N4" s="795">
        <v>45930</v>
      </c>
      <c r="O4" s="766"/>
      <c r="P4" s="767" t="s">
        <v>72</v>
      </c>
      <c r="Q4" s="783"/>
      <c r="R4" s="796">
        <v>45930</v>
      </c>
      <c r="S4" s="766"/>
      <c r="T4" s="767" t="s">
        <v>72</v>
      </c>
      <c r="U4" s="783"/>
      <c r="V4" s="797">
        <v>45930</v>
      </c>
      <c r="W4" s="766"/>
      <c r="X4" s="767" t="s">
        <v>72</v>
      </c>
      <c r="Y4" s="793"/>
      <c r="Z4" s="775">
        <v>45930</v>
      </c>
      <c r="AA4" s="815"/>
      <c r="AB4" s="780" t="s">
        <v>72</v>
      </c>
      <c r="AC4" s="781"/>
      <c r="AD4" s="765">
        <v>45930</v>
      </c>
      <c r="AE4" s="766"/>
      <c r="AF4" s="791" t="s">
        <v>72</v>
      </c>
      <c r="AG4" s="792"/>
      <c r="AH4" s="797">
        <v>45930</v>
      </c>
      <c r="AI4" s="766"/>
      <c r="AJ4" s="767" t="s">
        <v>72</v>
      </c>
      <c r="AK4" s="810"/>
      <c r="AL4" s="775">
        <v>45930</v>
      </c>
      <c r="AM4" s="776"/>
      <c r="AN4" s="780" t="s">
        <v>72</v>
      </c>
      <c r="AO4" s="803"/>
      <c r="AP4" s="777">
        <v>45930</v>
      </c>
      <c r="AQ4" s="778"/>
      <c r="AR4" s="801" t="s">
        <v>72</v>
      </c>
      <c r="AS4" s="802"/>
      <c r="AT4" s="765">
        <v>45565</v>
      </c>
      <c r="AU4" s="766"/>
      <c r="AV4" s="767" t="s">
        <v>72</v>
      </c>
      <c r="AW4" s="768"/>
      <c r="AX4" s="765" t="s">
        <v>90</v>
      </c>
      <c r="AY4" s="766"/>
      <c r="AZ4" s="767" t="s">
        <v>91</v>
      </c>
      <c r="BA4" s="768"/>
    </row>
    <row r="5" spans="1:54" ht="15.95" customHeight="1">
      <c r="A5" s="800"/>
      <c r="B5" s="49" t="s">
        <v>1</v>
      </c>
      <c r="C5" s="50" t="s">
        <v>2</v>
      </c>
      <c r="D5" s="47" t="s">
        <v>1</v>
      </c>
      <c r="E5" s="51" t="s">
        <v>2</v>
      </c>
      <c r="F5" s="2" t="s">
        <v>1</v>
      </c>
      <c r="G5" s="4" t="s">
        <v>2</v>
      </c>
      <c r="H5" s="29" t="s">
        <v>1</v>
      </c>
      <c r="I5" s="335" t="s">
        <v>2</v>
      </c>
      <c r="J5" s="3" t="s">
        <v>1</v>
      </c>
      <c r="K5" s="4" t="s">
        <v>2</v>
      </c>
      <c r="L5" s="29" t="s">
        <v>1</v>
      </c>
      <c r="M5" s="5" t="s">
        <v>2</v>
      </c>
      <c r="N5" s="222" t="s">
        <v>1</v>
      </c>
      <c r="O5" s="4" t="s">
        <v>2</v>
      </c>
      <c r="P5" s="33" t="s">
        <v>1</v>
      </c>
      <c r="Q5" s="72" t="s">
        <v>2</v>
      </c>
      <c r="R5" s="67" t="s">
        <v>1</v>
      </c>
      <c r="S5" s="4" t="s">
        <v>2</v>
      </c>
      <c r="T5" s="33" t="s">
        <v>1</v>
      </c>
      <c r="U5" s="72" t="s">
        <v>2</v>
      </c>
      <c r="V5" s="3" t="s">
        <v>1</v>
      </c>
      <c r="W5" s="4" t="s">
        <v>2</v>
      </c>
      <c r="X5" s="33" t="s">
        <v>1</v>
      </c>
      <c r="Y5" s="223" t="s">
        <v>2</v>
      </c>
      <c r="Z5" s="52" t="s">
        <v>1</v>
      </c>
      <c r="AA5" s="74" t="s">
        <v>2</v>
      </c>
      <c r="AB5" s="76" t="s">
        <v>1</v>
      </c>
      <c r="AC5" s="332" t="s">
        <v>2</v>
      </c>
      <c r="AD5" s="2" t="s">
        <v>1</v>
      </c>
      <c r="AE5" s="4" t="s">
        <v>2</v>
      </c>
      <c r="AF5" s="29" t="s">
        <v>1</v>
      </c>
      <c r="AG5" s="6" t="s">
        <v>2</v>
      </c>
      <c r="AH5" s="3" t="s">
        <v>1</v>
      </c>
      <c r="AI5" s="4" t="s">
        <v>2</v>
      </c>
      <c r="AJ5" s="33" t="s">
        <v>1</v>
      </c>
      <c r="AK5" s="96" t="s">
        <v>2</v>
      </c>
      <c r="AL5" s="114" t="s">
        <v>1</v>
      </c>
      <c r="AM5" s="312" t="s">
        <v>2</v>
      </c>
      <c r="AN5" s="52" t="s">
        <v>1</v>
      </c>
      <c r="AO5" s="115" t="s">
        <v>2</v>
      </c>
      <c r="AP5" s="278" t="s">
        <v>1</v>
      </c>
      <c r="AQ5" s="279" t="s">
        <v>2</v>
      </c>
      <c r="AR5" s="280" t="s">
        <v>1</v>
      </c>
      <c r="AS5" s="281" t="s">
        <v>2</v>
      </c>
      <c r="AT5" s="116" t="s">
        <v>1</v>
      </c>
      <c r="AU5" s="5" t="s">
        <v>2</v>
      </c>
      <c r="AV5" s="33" t="s">
        <v>1</v>
      </c>
      <c r="AW5" s="117" t="s">
        <v>2</v>
      </c>
      <c r="AX5" s="116" t="s">
        <v>1</v>
      </c>
      <c r="AY5" s="5" t="s">
        <v>2</v>
      </c>
      <c r="AZ5" s="33" t="s">
        <v>1</v>
      </c>
      <c r="BA5" s="117" t="s">
        <v>2</v>
      </c>
    </row>
    <row r="6" spans="1:54" ht="15.95" customHeight="1">
      <c r="A6" s="253" t="s">
        <v>3</v>
      </c>
      <c r="B6" s="721"/>
      <c r="C6" s="258" t="str">
        <f t="shared" ref="C6:C11" si="0">IF(ISERR(B6/$B$11),"",B6/$B$11)</f>
        <v/>
      </c>
      <c r="D6" s="723"/>
      <c r="E6" s="118" t="str">
        <f t="shared" ref="E6:E11" si="1">IF(ISERR(D6/$D$11),"",D6/$D$11)</f>
        <v/>
      </c>
      <c r="F6" s="351">
        <f>[4]本社営業!$I$5</f>
        <v>403239190</v>
      </c>
      <c r="G6" s="7">
        <f t="shared" ref="G6:G11" si="2">IF(ISERR(F6/$F$11),"",F6/$F$11)</f>
        <v>0.73142006201324183</v>
      </c>
      <c r="H6" s="354">
        <f>[4]本社営業!$L$5</f>
        <v>1643317372</v>
      </c>
      <c r="I6" s="120">
        <f>IF(ISERR(H6/$H$11),"",H6/$H$11)</f>
        <v>0.80079044534795651</v>
      </c>
      <c r="J6" s="744">
        <f>[4]東大阪!$I$5</f>
        <v>418775</v>
      </c>
      <c r="K6" s="7">
        <f>IF(ISERR(J6/$J$11),"",J6/$J$11)</f>
        <v>4.4142323430969799E-2</v>
      </c>
      <c r="L6" s="354">
        <f>[4]東大阪!$L$5</f>
        <v>1803810</v>
      </c>
      <c r="M6" s="120">
        <f t="shared" ref="M6:M11" si="3">IF(ISERR(L6/$L$11),"",L6/$L$11)</f>
        <v>5.112904771982095E-2</v>
      </c>
      <c r="N6" s="402">
        <f>[4]南港工場!$I$5</f>
        <v>3807324</v>
      </c>
      <c r="O6" s="7">
        <f t="shared" ref="O6:O11" si="4">IF(ISERR(N6/$N$11),"",N6/$N$11)</f>
        <v>0.1316474397771997</v>
      </c>
      <c r="P6" s="354">
        <f>[4]南港工場!$L$5</f>
        <v>13310308</v>
      </c>
      <c r="Q6" s="203">
        <f t="shared" ref="Q6:Q11" si="5">IF(ISERR(P6/$P$11),"",P6/$P$11)</f>
        <v>0.12651837908783806</v>
      </c>
      <c r="R6" s="436"/>
      <c r="S6" s="7" t="str">
        <f t="shared" ref="S6:S11" si="6">IF(ISERR(R6/$R$11),"",R6/$R$11)</f>
        <v/>
      </c>
      <c r="T6" s="354">
        <f>[4]南港事務!$L$5</f>
        <v>0</v>
      </c>
      <c r="U6" s="203" t="str">
        <f t="shared" ref="U6:U11" si="7">IF(ISERR(T6/$T$11),"",T6/$T$11)</f>
        <v/>
      </c>
      <c r="V6" s="455">
        <f>N6+R6</f>
        <v>3807324</v>
      </c>
      <c r="W6" s="174">
        <f t="shared" ref="W6:W11" si="8">IF(ISERR(V6/$V$11),"",V6/$V$11)</f>
        <v>0.1316474397771997</v>
      </c>
      <c r="X6" s="406">
        <f>P6+T6</f>
        <v>13310308</v>
      </c>
      <c r="Y6" s="224">
        <f t="shared" ref="Y6:Y11" si="9">IF(ISERR(X6/$X$11),"",X6/$X$11)</f>
        <v>0.12651837908783806</v>
      </c>
      <c r="Z6" s="459">
        <f>F6+J6+N6+R6</f>
        <v>407465289</v>
      </c>
      <c r="AA6" s="188">
        <f t="shared" ref="AA6:AA11" si="10">IF(ISERR(Z6/$Z$11),"",Z6/$Z$11)</f>
        <v>0.69094993613459299</v>
      </c>
      <c r="AB6" s="462">
        <f>H6+L6+P6+T6</f>
        <v>1658431490</v>
      </c>
      <c r="AC6" s="119">
        <f t="shared" ref="AC6:AC11" si="11">IF(ISERR(AB6/$AB$11),"",AB6/$AB$11)</f>
        <v>0.75637556763576741</v>
      </c>
      <c r="AD6" s="351">
        <f>[4]東京事務!$I$5</f>
        <v>175570089</v>
      </c>
      <c r="AE6" s="7">
        <f t="shared" ref="AE6:AE11" si="12">IF(ISERR(AD6/$AD$11),"",AD6/$AD$11)</f>
        <v>0.65791569535433214</v>
      </c>
      <c r="AF6" s="354">
        <f>[4]東京事務!$L$5</f>
        <v>627772176</v>
      </c>
      <c r="AG6" s="80">
        <f t="shared" ref="AG6:AG11" si="13">IF(ISERR(AF6/$AF$11),"",AF6/$AF$11)</f>
        <v>0.63893869285156601</v>
      </c>
      <c r="AH6" s="467">
        <f>[4]東京工場!$I$5</f>
        <v>0</v>
      </c>
      <c r="AI6" s="169">
        <f>IF(ISERR(AH6/$AH$11),"",AH6/$AH$11)</f>
        <v>0</v>
      </c>
      <c r="AJ6" s="354">
        <f>[4]東京工場!$L$5</f>
        <v>0</v>
      </c>
      <c r="AK6" s="97">
        <f t="shared" ref="AK6:AK11" si="14">IF(ISERR(AJ6/$AJ$11),"",AJ6/$AJ$11)</f>
        <v>0</v>
      </c>
      <c r="AL6" s="472">
        <f>AD6+AH6</f>
        <v>175570089</v>
      </c>
      <c r="AM6" s="313">
        <f t="shared" ref="AM6:AM11" si="15">IF(ISERR(AL6/$AL$11),"",AL6/AL$11)</f>
        <v>0.6320350114891754</v>
      </c>
      <c r="AN6" s="477">
        <f>AF6+AJ6</f>
        <v>627772176</v>
      </c>
      <c r="AO6" s="119">
        <f t="shared" ref="AO6:AO11" si="16">IF(ISERR(AN6/$AN$11),"",AN6/$AN$11)</f>
        <v>0.61387768204979398</v>
      </c>
      <c r="AP6" s="481">
        <f>B6+Z6+AL6</f>
        <v>583035378</v>
      </c>
      <c r="AQ6" s="282">
        <f t="shared" ref="AQ6:AQ11" si="17">IF(ISERR(AP6/$AP$11),"",AP6/$AP$11)</f>
        <v>0.67208463348170377</v>
      </c>
      <c r="AR6" s="486">
        <f>D6+AB6+AN6</f>
        <v>2286203666</v>
      </c>
      <c r="AS6" s="283">
        <f t="shared" ref="AS6:AS11" si="18">IF(ISERR(AR6/$AR$11),"",AR6/$AR$11)</f>
        <v>0.71105288332791228</v>
      </c>
      <c r="AT6" s="573">
        <f>[4]全社合計!$G$5</f>
        <v>680032546</v>
      </c>
      <c r="AU6" s="120">
        <f>IF(ISERR(AT6/$AT$11),"",AT6/$AT$11)</f>
        <v>0.73680279540783333</v>
      </c>
      <c r="AV6" s="577">
        <f>[4]全社合計!$N$5</f>
        <v>2640447571</v>
      </c>
      <c r="AW6" s="121">
        <f>IF(ISERR(AV6/$AV$11),"",AV6/$AV$11)</f>
        <v>0.72972884959495909</v>
      </c>
      <c r="AX6" s="573">
        <f>AP6-AT6</f>
        <v>-96997168</v>
      </c>
      <c r="AY6" s="120">
        <f>IF(ISERROR(AP6/AT6),"",AP6/AT6)</f>
        <v>0.85736393269624478</v>
      </c>
      <c r="AZ6" s="577">
        <f>AR6-AV6</f>
        <v>-354243905</v>
      </c>
      <c r="BA6" s="121">
        <f>IF(ISERROR(AR6/AV6),"",AR6/AV6)</f>
        <v>0.86583944748963926</v>
      </c>
      <c r="BB6" s="8"/>
    </row>
    <row r="7" spans="1:54" ht="15.95" customHeight="1">
      <c r="A7" s="254" t="s">
        <v>53</v>
      </c>
      <c r="B7" s="719"/>
      <c r="C7" s="259" t="str">
        <f t="shared" si="0"/>
        <v/>
      </c>
      <c r="D7" s="723"/>
      <c r="E7" s="122" t="str">
        <f t="shared" si="1"/>
        <v/>
      </c>
      <c r="F7" s="352">
        <f>[4]本社営業!$I$6</f>
        <v>48140280</v>
      </c>
      <c r="G7" s="9">
        <f t="shared" si="2"/>
        <v>8.7319802876637126E-2</v>
      </c>
      <c r="H7" s="355">
        <f>[4]本社営業!$L$6</f>
        <v>161625043</v>
      </c>
      <c r="I7" s="124">
        <f t="shared" ref="I7:I73" si="19">IF(ISERR(H7/$H$11),"",H7/$H$11)</f>
        <v>7.8760069338178113E-2</v>
      </c>
      <c r="J7" s="745">
        <f>[4]東大阪!$I$6</f>
        <v>0</v>
      </c>
      <c r="K7" s="9">
        <f t="shared" ref="K7:K73" si="20">IF(ISERR(J7/$J$11),"",J7/$J$11)</f>
        <v>0</v>
      </c>
      <c r="L7" s="355">
        <f>[4]東大阪!$L$6</f>
        <v>0</v>
      </c>
      <c r="M7" s="124">
        <f t="shared" si="3"/>
        <v>0</v>
      </c>
      <c r="N7" s="403">
        <f>[4]南港工場!$I$6</f>
        <v>0</v>
      </c>
      <c r="O7" s="9">
        <f>IF(ISERR(N7/$N$11),"",N7/$N$11)</f>
        <v>0</v>
      </c>
      <c r="P7" s="355">
        <f>[4]南港工場!$L$6</f>
        <v>0</v>
      </c>
      <c r="Q7" s="204">
        <f t="shared" si="5"/>
        <v>0</v>
      </c>
      <c r="R7" s="437"/>
      <c r="S7" s="9" t="str">
        <f t="shared" si="6"/>
        <v/>
      </c>
      <c r="T7" s="355">
        <f>[4]南港事務!$L$6</f>
        <v>0</v>
      </c>
      <c r="U7" s="204" t="str">
        <f t="shared" si="7"/>
        <v/>
      </c>
      <c r="V7" s="456">
        <f t="shared" ref="V7:V73" si="21">N7+R7</f>
        <v>0</v>
      </c>
      <c r="W7" s="171">
        <f t="shared" si="8"/>
        <v>0</v>
      </c>
      <c r="X7" s="407">
        <f t="shared" ref="X7:X73" si="22">P7+T7</f>
        <v>0</v>
      </c>
      <c r="Y7" s="225">
        <f t="shared" si="9"/>
        <v>0</v>
      </c>
      <c r="Z7" s="460">
        <f t="shared" ref="Z7:Z73" si="23">F7+J7+N7+R7</f>
        <v>48140280</v>
      </c>
      <c r="AA7" s="189">
        <f t="shared" si="10"/>
        <v>8.1632777783683622E-2</v>
      </c>
      <c r="AB7" s="463">
        <f t="shared" ref="AB7:AB73" si="24">H7+L7+P7+T7</f>
        <v>161625043</v>
      </c>
      <c r="AC7" s="123">
        <f t="shared" si="11"/>
        <v>7.371376772596154E-2</v>
      </c>
      <c r="AD7" s="352">
        <f>[4]東京事務!$I$6</f>
        <v>0</v>
      </c>
      <c r="AE7" s="9">
        <f t="shared" si="12"/>
        <v>0</v>
      </c>
      <c r="AF7" s="355">
        <f>[4]東京事務!$L$6</f>
        <v>0</v>
      </c>
      <c r="AG7" s="81">
        <f t="shared" si="13"/>
        <v>0</v>
      </c>
      <c r="AH7" s="468">
        <f>[4]東京工場!$I$6</f>
        <v>0</v>
      </c>
      <c r="AI7" s="170">
        <f t="shared" ref="AI7:AI73" si="25">IF(ISERR(AH7/$AH$11),"",AH7/$AH$11)</f>
        <v>0</v>
      </c>
      <c r="AJ7" s="355">
        <f>[4]東京工場!$L$6</f>
        <v>0</v>
      </c>
      <c r="AK7" s="98">
        <f t="shared" si="14"/>
        <v>0</v>
      </c>
      <c r="AL7" s="473">
        <f t="shared" ref="AL7:AL73" si="26">AD7+AH7</f>
        <v>0</v>
      </c>
      <c r="AM7" s="314">
        <f t="shared" si="15"/>
        <v>0</v>
      </c>
      <c r="AN7" s="478">
        <f t="shared" ref="AN7:AN73" si="27">AF7+AJ7</f>
        <v>0</v>
      </c>
      <c r="AO7" s="123">
        <f t="shared" si="16"/>
        <v>0</v>
      </c>
      <c r="AP7" s="482">
        <f t="shared" ref="AP7:AP73" si="28">B7+Z7+AL7</f>
        <v>48140280</v>
      </c>
      <c r="AQ7" s="284">
        <f t="shared" si="17"/>
        <v>5.5492931750543956E-2</v>
      </c>
      <c r="AR7" s="487">
        <f t="shared" ref="AR7:AR73" si="29">D7+AB7+AN7</f>
        <v>161625043</v>
      </c>
      <c r="AS7" s="285">
        <f t="shared" si="18"/>
        <v>5.0268466695367379E-2</v>
      </c>
      <c r="AT7" s="574">
        <f>[4]全社合計!$G$6</f>
        <v>18346784</v>
      </c>
      <c r="AU7" s="124">
        <f t="shared" ref="AU7:AU73" si="30">IF(ISERR(AT7/$AT$11),"",AT7/$AT$11)</f>
        <v>1.9878404081477168E-2</v>
      </c>
      <c r="AV7" s="578">
        <f>[4]全社合計!$N$6</f>
        <v>142899453</v>
      </c>
      <c r="AW7" s="125">
        <f t="shared" ref="AW7:AW73" si="31">IF(ISERR(AV7/$AV$11),"",AV7/$AV$11)</f>
        <v>3.949249157253535E-2</v>
      </c>
      <c r="AX7" s="574">
        <f t="shared" ref="AX7:AX73" si="32">AP7-AT7</f>
        <v>29793496</v>
      </c>
      <c r="AY7" s="124">
        <f t="shared" ref="AY7:AY73" si="33">IF(ISERROR(AP7/AT7),"",AP7/AT7)</f>
        <v>2.6239083645395289</v>
      </c>
      <c r="AZ7" s="578">
        <f t="shared" ref="AZ7:AZ73" si="34">AR7-AV7</f>
        <v>18725590</v>
      </c>
      <c r="BA7" s="125">
        <f t="shared" ref="BA7:BA73" si="35">IF(ISERROR(AR7/AV7),"",AR7/AV7)</f>
        <v>1.1310403196574867</v>
      </c>
      <c r="BB7" s="8"/>
    </row>
    <row r="8" spans="1:54" ht="15.95" customHeight="1">
      <c r="A8" s="255" t="s">
        <v>4</v>
      </c>
      <c r="B8" s="706"/>
      <c r="C8" s="259" t="str">
        <f t="shared" si="0"/>
        <v/>
      </c>
      <c r="D8" s="723"/>
      <c r="E8" s="122" t="str">
        <f t="shared" si="1"/>
        <v/>
      </c>
      <c r="F8" s="352">
        <f>[4]本社営業!$I$7</f>
        <v>0</v>
      </c>
      <c r="G8" s="9">
        <f t="shared" si="2"/>
        <v>0</v>
      </c>
      <c r="H8" s="356">
        <f>[4]本社営業!$L$7</f>
        <v>6056481</v>
      </c>
      <c r="I8" s="124">
        <f t="shared" si="19"/>
        <v>2.9513301568331726E-3</v>
      </c>
      <c r="J8" s="745">
        <f>[4]東大阪!$I$7</f>
        <v>0</v>
      </c>
      <c r="K8" s="9">
        <f t="shared" si="20"/>
        <v>0</v>
      </c>
      <c r="L8" s="356">
        <f>[4]東大阪!$L$7</f>
        <v>0</v>
      </c>
      <c r="M8" s="124">
        <f t="shared" si="3"/>
        <v>0</v>
      </c>
      <c r="N8" s="403">
        <f>[4]南港工場!$I$7</f>
        <v>14318343</v>
      </c>
      <c r="O8" s="9">
        <f t="shared" si="4"/>
        <v>0.49509135492587153</v>
      </c>
      <c r="P8" s="356">
        <f>[4]南港工場!$L$7</f>
        <v>54517991</v>
      </c>
      <c r="Q8" s="204">
        <f t="shared" si="5"/>
        <v>0.51820948489286223</v>
      </c>
      <c r="R8" s="437"/>
      <c r="S8" s="9" t="str">
        <f t="shared" si="6"/>
        <v/>
      </c>
      <c r="T8" s="356">
        <f>[4]南港事務!$L$7</f>
        <v>0</v>
      </c>
      <c r="U8" s="204" t="str">
        <f t="shared" si="7"/>
        <v/>
      </c>
      <c r="V8" s="456">
        <f t="shared" si="21"/>
        <v>14318343</v>
      </c>
      <c r="W8" s="171">
        <f t="shared" si="8"/>
        <v>0.49509135492587153</v>
      </c>
      <c r="X8" s="408">
        <f t="shared" si="22"/>
        <v>54517991</v>
      </c>
      <c r="Y8" s="225">
        <f t="shared" si="9"/>
        <v>0.51820948489286223</v>
      </c>
      <c r="Z8" s="460">
        <f t="shared" si="23"/>
        <v>14318343</v>
      </c>
      <c r="AA8" s="189">
        <f t="shared" si="10"/>
        <v>2.4280002367031556E-2</v>
      </c>
      <c r="AB8" s="464">
        <f t="shared" si="24"/>
        <v>60574472</v>
      </c>
      <c r="AC8" s="123">
        <f t="shared" si="11"/>
        <v>2.7626737022001975E-2</v>
      </c>
      <c r="AD8" s="352">
        <f>[4]東京事務!$I$7</f>
        <v>83488</v>
      </c>
      <c r="AE8" s="9">
        <f t="shared" si="12"/>
        <v>3.1285548629950561E-4</v>
      </c>
      <c r="AF8" s="356">
        <f>[4]東京事務!$L$7</f>
        <v>572920</v>
      </c>
      <c r="AG8" s="81">
        <f t="shared" si="13"/>
        <v>5.8311083208714752E-4</v>
      </c>
      <c r="AH8" s="468">
        <f>[4]東京工場!$I$7</f>
        <v>0</v>
      </c>
      <c r="AI8" s="171">
        <f t="shared" si="25"/>
        <v>0</v>
      </c>
      <c r="AJ8" s="356">
        <f>[4]東京工場!$L$7</f>
        <v>0</v>
      </c>
      <c r="AK8" s="99">
        <f t="shared" si="14"/>
        <v>0</v>
      </c>
      <c r="AL8" s="474">
        <f t="shared" si="26"/>
        <v>83488</v>
      </c>
      <c r="AM8" s="314">
        <f t="shared" si="15"/>
        <v>3.0054856917688453E-4</v>
      </c>
      <c r="AN8" s="478">
        <f t="shared" si="27"/>
        <v>572920</v>
      </c>
      <c r="AO8" s="123">
        <f t="shared" si="16"/>
        <v>5.6023955034281096E-4</v>
      </c>
      <c r="AP8" s="483">
        <f t="shared" si="28"/>
        <v>14401831</v>
      </c>
      <c r="AQ8" s="284">
        <f t="shared" si="17"/>
        <v>1.6601478528289991E-2</v>
      </c>
      <c r="AR8" s="487">
        <f t="shared" si="29"/>
        <v>61147392</v>
      </c>
      <c r="AS8" s="285">
        <f t="shared" si="18"/>
        <v>1.9018003529691706E-2</v>
      </c>
      <c r="AT8" s="575">
        <f>[4]全社合計!$G$7</f>
        <v>17171586</v>
      </c>
      <c r="AU8" s="124">
        <f t="shared" si="30"/>
        <v>1.8605098595363426E-2</v>
      </c>
      <c r="AV8" s="578">
        <f>[4]全社合計!$N$7</f>
        <v>61832167</v>
      </c>
      <c r="AW8" s="125">
        <f t="shared" si="31"/>
        <v>1.7088283285164839E-2</v>
      </c>
      <c r="AX8" s="575">
        <f t="shared" si="32"/>
        <v>-2769755</v>
      </c>
      <c r="AY8" s="124">
        <f t="shared" si="33"/>
        <v>0.83870127080864865</v>
      </c>
      <c r="AZ8" s="578">
        <f t="shared" si="34"/>
        <v>-684775</v>
      </c>
      <c r="BA8" s="125">
        <f t="shared" si="35"/>
        <v>0.98892526280050963</v>
      </c>
      <c r="BB8" s="11"/>
    </row>
    <row r="9" spans="1:54" ht="15.95" customHeight="1">
      <c r="A9" s="255" t="s">
        <v>5</v>
      </c>
      <c r="B9" s="706"/>
      <c r="C9" s="259" t="str">
        <f t="shared" si="0"/>
        <v/>
      </c>
      <c r="D9" s="723"/>
      <c r="E9" s="122" t="str">
        <f t="shared" si="1"/>
        <v/>
      </c>
      <c r="F9" s="352">
        <f>[4]本社営業!$I$8</f>
        <v>3113496</v>
      </c>
      <c r="G9" s="9">
        <f t="shared" si="2"/>
        <v>5.647450679082012E-3</v>
      </c>
      <c r="H9" s="356">
        <f>[4]本社営業!$L$8</f>
        <v>5181866</v>
      </c>
      <c r="I9" s="124">
        <f>IF(ISERR(H9/$H$11),"",H9/$H$11)</f>
        <v>2.5251292614421618E-3</v>
      </c>
      <c r="J9" s="745">
        <f>[4]東大阪!$I$8</f>
        <v>0</v>
      </c>
      <c r="K9" s="9">
        <f>IF(ISERR(J9/$J$11),"",J9/$J$11)</f>
        <v>0</v>
      </c>
      <c r="L9" s="356">
        <f>[4]東大阪!$L$8</f>
        <v>0</v>
      </c>
      <c r="M9" s="124">
        <f t="shared" si="3"/>
        <v>0</v>
      </c>
      <c r="N9" s="403">
        <f>[4]南港工場!$I$8</f>
        <v>5011378</v>
      </c>
      <c r="O9" s="9">
        <f t="shared" si="4"/>
        <v>0.17328052024355781</v>
      </c>
      <c r="P9" s="356">
        <f>[4]南港工場!$L$8</f>
        <v>17156946</v>
      </c>
      <c r="Q9" s="204">
        <f t="shared" si="5"/>
        <v>0.16308180081314172</v>
      </c>
      <c r="R9" s="437"/>
      <c r="S9" s="9" t="str">
        <f t="shared" si="6"/>
        <v/>
      </c>
      <c r="T9" s="356">
        <f>[4]南港事務!$L$8</f>
        <v>0</v>
      </c>
      <c r="U9" s="204" t="str">
        <f t="shared" si="7"/>
        <v/>
      </c>
      <c r="V9" s="456">
        <f t="shared" si="21"/>
        <v>5011378</v>
      </c>
      <c r="W9" s="171">
        <f t="shared" si="8"/>
        <v>0.17328052024355781</v>
      </c>
      <c r="X9" s="408">
        <f t="shared" si="22"/>
        <v>17156946</v>
      </c>
      <c r="Y9" s="225">
        <f t="shared" si="9"/>
        <v>0.16308180081314172</v>
      </c>
      <c r="Z9" s="460">
        <f t="shared" si="23"/>
        <v>8124874</v>
      </c>
      <c r="AA9" s="189">
        <f t="shared" si="10"/>
        <v>1.3777569091048674E-2</v>
      </c>
      <c r="AB9" s="464">
        <f t="shared" si="24"/>
        <v>22338812</v>
      </c>
      <c r="AC9" s="123">
        <f t="shared" si="11"/>
        <v>1.0188260237876147E-2</v>
      </c>
      <c r="AD9" s="352">
        <f>[4]東京事務!$I$8</f>
        <v>9830</v>
      </c>
      <c r="AE9" s="9">
        <f t="shared" si="12"/>
        <v>3.6836065426458174E-5</v>
      </c>
      <c r="AF9" s="356">
        <f>[4]東京事務!$L$8</f>
        <v>54010</v>
      </c>
      <c r="AG9" s="81">
        <f t="shared" si="13"/>
        <v>5.497070453296592E-5</v>
      </c>
      <c r="AH9" s="468">
        <f>[4]東京工場!$I$8</f>
        <v>0</v>
      </c>
      <c r="AI9" s="171">
        <f t="shared" si="25"/>
        <v>0</v>
      </c>
      <c r="AJ9" s="356">
        <f>[4]東京工場!$L$8</f>
        <v>0</v>
      </c>
      <c r="AK9" s="99">
        <f t="shared" si="14"/>
        <v>0</v>
      </c>
      <c r="AL9" s="474">
        <f t="shared" si="26"/>
        <v>9830</v>
      </c>
      <c r="AM9" s="314">
        <f t="shared" si="15"/>
        <v>3.5387030890772028E-5</v>
      </c>
      <c r="AN9" s="478">
        <f t="shared" si="27"/>
        <v>54010</v>
      </c>
      <c r="AO9" s="123">
        <f t="shared" si="16"/>
        <v>5.2814595604997586E-5</v>
      </c>
      <c r="AP9" s="483">
        <f t="shared" si="28"/>
        <v>8134704</v>
      </c>
      <c r="AQ9" s="284">
        <f t="shared" si="17"/>
        <v>9.377148904885408E-3</v>
      </c>
      <c r="AR9" s="487">
        <f t="shared" si="29"/>
        <v>22392822</v>
      </c>
      <c r="AS9" s="285">
        <f t="shared" si="18"/>
        <v>6.9645941373224565E-3</v>
      </c>
      <c r="AT9" s="575">
        <f>[4]全社合計!$G$8</f>
        <v>5955989</v>
      </c>
      <c r="AU9" s="124">
        <f t="shared" si="30"/>
        <v>6.4532048803121632E-3</v>
      </c>
      <c r="AV9" s="578">
        <f>[4]全社合計!$N$8</f>
        <v>20435007</v>
      </c>
      <c r="AW9" s="125">
        <f t="shared" si="31"/>
        <v>5.6475327567013208E-3</v>
      </c>
      <c r="AX9" s="575">
        <f t="shared" si="32"/>
        <v>2178715</v>
      </c>
      <c r="AY9" s="124">
        <f t="shared" si="33"/>
        <v>1.3658023881508177</v>
      </c>
      <c r="AZ9" s="578">
        <f t="shared" si="34"/>
        <v>1957815</v>
      </c>
      <c r="BA9" s="125">
        <f t="shared" si="35"/>
        <v>1.0958069160436303</v>
      </c>
      <c r="BB9" s="11"/>
    </row>
    <row r="10" spans="1:54" ht="15.95" customHeight="1">
      <c r="A10" s="256" t="s">
        <v>6</v>
      </c>
      <c r="B10" s="720"/>
      <c r="C10" s="260" t="str">
        <f t="shared" si="0"/>
        <v/>
      </c>
      <c r="D10" s="724"/>
      <c r="E10" s="126" t="str">
        <f t="shared" si="1"/>
        <v/>
      </c>
      <c r="F10" s="353">
        <f>[4]本社営業!$I$9</f>
        <v>96817028</v>
      </c>
      <c r="G10" s="12">
        <f t="shared" si="2"/>
        <v>0.175612684431039</v>
      </c>
      <c r="H10" s="357">
        <f>[4]本社営業!$L$9</f>
        <v>235938343</v>
      </c>
      <c r="I10" s="128">
        <f>IF(ISERR(H10/$H$11),"",H10/$H$11)</f>
        <v>0.11497302589559001</v>
      </c>
      <c r="J10" s="746">
        <f>[4]東大阪!$I$9</f>
        <v>9068152</v>
      </c>
      <c r="K10" s="12">
        <f t="shared" si="20"/>
        <v>0.9558576765690302</v>
      </c>
      <c r="L10" s="357">
        <f>[4]東大阪!$L$9</f>
        <v>33475744</v>
      </c>
      <c r="M10" s="128">
        <f t="shared" si="3"/>
        <v>0.94887095228017904</v>
      </c>
      <c r="N10" s="404">
        <f>[4]南港工場!$I$9</f>
        <v>5783563</v>
      </c>
      <c r="O10" s="12">
        <f t="shared" si="4"/>
        <v>0.19998068505337094</v>
      </c>
      <c r="P10" s="357">
        <f>[4]南港工場!$L$9</f>
        <v>20219296</v>
      </c>
      <c r="Q10" s="205">
        <f t="shared" si="5"/>
        <v>0.19219033520615808</v>
      </c>
      <c r="R10" s="438"/>
      <c r="S10" s="12" t="str">
        <f t="shared" si="6"/>
        <v/>
      </c>
      <c r="T10" s="357">
        <f>[4]南港事務!$L$9</f>
        <v>0</v>
      </c>
      <c r="U10" s="205" t="str">
        <f t="shared" si="7"/>
        <v/>
      </c>
      <c r="V10" s="457">
        <f t="shared" si="21"/>
        <v>5783563</v>
      </c>
      <c r="W10" s="172">
        <f t="shared" si="8"/>
        <v>0.19998068505337094</v>
      </c>
      <c r="X10" s="409">
        <f t="shared" si="22"/>
        <v>20219296</v>
      </c>
      <c r="Y10" s="226">
        <f t="shared" si="9"/>
        <v>0.19219033520615808</v>
      </c>
      <c r="Z10" s="461">
        <f t="shared" si="23"/>
        <v>111668743</v>
      </c>
      <c r="AA10" s="190">
        <f t="shared" si="10"/>
        <v>0.18935971462364315</v>
      </c>
      <c r="AB10" s="465">
        <f t="shared" si="24"/>
        <v>289633383</v>
      </c>
      <c r="AC10" s="127">
        <f t="shared" si="11"/>
        <v>0.13209566737839296</v>
      </c>
      <c r="AD10" s="353">
        <f>[4]東京事務!$I$9</f>
        <v>91194627</v>
      </c>
      <c r="AE10" s="12">
        <f t="shared" si="12"/>
        <v>0.34173461309394193</v>
      </c>
      <c r="AF10" s="357">
        <f>[4]東京事務!$L$9</f>
        <v>354124230</v>
      </c>
      <c r="AG10" s="82">
        <f t="shared" si="13"/>
        <v>0.36042322561181389</v>
      </c>
      <c r="AH10" s="469">
        <f>[4]東京工場!$I$9</f>
        <v>10927351</v>
      </c>
      <c r="AI10" s="172">
        <f t="shared" si="25"/>
        <v>1</v>
      </c>
      <c r="AJ10" s="357">
        <f>[4]東京工場!$L$9</f>
        <v>40110642</v>
      </c>
      <c r="AK10" s="100">
        <f t="shared" si="14"/>
        <v>1</v>
      </c>
      <c r="AL10" s="475">
        <f t="shared" si="26"/>
        <v>102121978</v>
      </c>
      <c r="AM10" s="315">
        <f t="shared" si="15"/>
        <v>0.36762905291075698</v>
      </c>
      <c r="AN10" s="479">
        <f t="shared" si="27"/>
        <v>394234872</v>
      </c>
      <c r="AO10" s="127">
        <f t="shared" si="16"/>
        <v>0.38550926380425821</v>
      </c>
      <c r="AP10" s="484">
        <f t="shared" si="28"/>
        <v>213790721</v>
      </c>
      <c r="AQ10" s="286">
        <f t="shared" si="17"/>
        <v>0.24644380733457685</v>
      </c>
      <c r="AR10" s="488">
        <f t="shared" si="29"/>
        <v>683868255</v>
      </c>
      <c r="AS10" s="287">
        <f t="shared" si="18"/>
        <v>0.21269605230970615</v>
      </c>
      <c r="AT10" s="576">
        <f>[4]全社合計!$G$9</f>
        <v>201443646</v>
      </c>
      <c r="AU10" s="128">
        <f t="shared" si="30"/>
        <v>0.21826049703501396</v>
      </c>
      <c r="AV10" s="579">
        <f>[4]全社合計!$N$9</f>
        <v>752781282</v>
      </c>
      <c r="AW10" s="129">
        <f t="shared" si="31"/>
        <v>0.20804284279063934</v>
      </c>
      <c r="AX10" s="576">
        <f t="shared" si="32"/>
        <v>12347075</v>
      </c>
      <c r="AY10" s="128">
        <f t="shared" si="33"/>
        <v>1.0612929484010629</v>
      </c>
      <c r="AZ10" s="579">
        <f t="shared" si="34"/>
        <v>-68913027</v>
      </c>
      <c r="BA10" s="129">
        <f t="shared" si="35"/>
        <v>0.90845544562836245</v>
      </c>
      <c r="BB10" s="11"/>
    </row>
    <row r="11" spans="1:54" ht="19.899999999999999" customHeight="1">
      <c r="A11" s="62" t="s">
        <v>7</v>
      </c>
      <c r="B11" s="722"/>
      <c r="C11" s="132" t="str">
        <f t="shared" si="0"/>
        <v/>
      </c>
      <c r="D11" s="359"/>
      <c r="E11" s="130" t="str">
        <f t="shared" si="1"/>
        <v/>
      </c>
      <c r="F11" s="358">
        <f>SUM(F6:F10)</f>
        <v>551309994</v>
      </c>
      <c r="G11" s="63">
        <f t="shared" si="2"/>
        <v>1</v>
      </c>
      <c r="H11" s="359">
        <f>SUM(H6:H10)</f>
        <v>2052119105</v>
      </c>
      <c r="I11" s="132">
        <f>IF(ISERR(H11/$H$11),"",H11/$H$11)</f>
        <v>1</v>
      </c>
      <c r="J11" s="747">
        <f>SUM(J6:J10)</f>
        <v>9486927</v>
      </c>
      <c r="K11" s="63">
        <f t="shared" si="20"/>
        <v>1</v>
      </c>
      <c r="L11" s="359">
        <f>SUM(L6:L10)</f>
        <v>35279554</v>
      </c>
      <c r="M11" s="132">
        <f t="shared" si="3"/>
        <v>1</v>
      </c>
      <c r="N11" s="405">
        <f>SUM(N6:N10)</f>
        <v>28920608</v>
      </c>
      <c r="O11" s="63">
        <f t="shared" si="4"/>
        <v>1</v>
      </c>
      <c r="P11" s="359">
        <f>SUM(P6:P10)</f>
        <v>105204541</v>
      </c>
      <c r="Q11" s="206">
        <f t="shared" si="5"/>
        <v>1</v>
      </c>
      <c r="R11" s="439">
        <f>SUM(R6:R10)</f>
        <v>0</v>
      </c>
      <c r="S11" s="63" t="str">
        <f t="shared" si="6"/>
        <v/>
      </c>
      <c r="T11" s="359">
        <f>SUM(T6:T10)</f>
        <v>0</v>
      </c>
      <c r="U11" s="206" t="str">
        <f t="shared" si="7"/>
        <v/>
      </c>
      <c r="V11" s="458">
        <f t="shared" si="21"/>
        <v>28920608</v>
      </c>
      <c r="W11" s="173">
        <f t="shared" si="8"/>
        <v>1</v>
      </c>
      <c r="X11" s="410">
        <f t="shared" si="22"/>
        <v>105204541</v>
      </c>
      <c r="Y11" s="227">
        <f t="shared" si="9"/>
        <v>1</v>
      </c>
      <c r="Z11" s="458">
        <f t="shared" si="23"/>
        <v>589717529</v>
      </c>
      <c r="AA11" s="191">
        <f t="shared" si="10"/>
        <v>1</v>
      </c>
      <c r="AB11" s="410">
        <f t="shared" si="24"/>
        <v>2192603200</v>
      </c>
      <c r="AC11" s="131">
        <f t="shared" si="11"/>
        <v>1</v>
      </c>
      <c r="AD11" s="466">
        <f>SUM(AD6:AD10)</f>
        <v>266858034</v>
      </c>
      <c r="AE11" s="63">
        <f t="shared" si="12"/>
        <v>1</v>
      </c>
      <c r="AF11" s="359">
        <f>SUM(AF6:AF10)</f>
        <v>982523336</v>
      </c>
      <c r="AG11" s="83">
        <f t="shared" si="13"/>
        <v>1</v>
      </c>
      <c r="AH11" s="470">
        <f>SUM(AH6:AH10)</f>
        <v>10927351</v>
      </c>
      <c r="AI11" s="173">
        <f t="shared" si="25"/>
        <v>1</v>
      </c>
      <c r="AJ11" s="359">
        <f>SUM(AJ6:AJ10)</f>
        <v>40110642</v>
      </c>
      <c r="AK11" s="101">
        <f t="shared" si="14"/>
        <v>1</v>
      </c>
      <c r="AL11" s="476">
        <f t="shared" si="26"/>
        <v>277785385</v>
      </c>
      <c r="AM11" s="316">
        <f t="shared" si="15"/>
        <v>1</v>
      </c>
      <c r="AN11" s="480">
        <f t="shared" si="27"/>
        <v>1022633978</v>
      </c>
      <c r="AO11" s="131">
        <f t="shared" si="16"/>
        <v>1</v>
      </c>
      <c r="AP11" s="485">
        <f t="shared" si="28"/>
        <v>867502914</v>
      </c>
      <c r="AQ11" s="132">
        <f t="shared" si="17"/>
        <v>1</v>
      </c>
      <c r="AR11" s="428">
        <f t="shared" si="29"/>
        <v>3215237178</v>
      </c>
      <c r="AS11" s="131">
        <f t="shared" si="18"/>
        <v>1</v>
      </c>
      <c r="AT11" s="485">
        <f>SUM(AT6:AT10)</f>
        <v>922950551</v>
      </c>
      <c r="AU11" s="132">
        <f t="shared" si="30"/>
        <v>1</v>
      </c>
      <c r="AV11" s="410">
        <f>SUM(AV6:AV10)</f>
        <v>3618395480</v>
      </c>
      <c r="AW11" s="131">
        <f t="shared" si="31"/>
        <v>1</v>
      </c>
      <c r="AX11" s="485">
        <f t="shared" si="32"/>
        <v>-55447637</v>
      </c>
      <c r="AY11" s="132">
        <f t="shared" si="33"/>
        <v>0.93992350192551111</v>
      </c>
      <c r="AZ11" s="410">
        <f t="shared" si="34"/>
        <v>-403158302</v>
      </c>
      <c r="BA11" s="131">
        <f t="shared" si="35"/>
        <v>0.88858091819194951</v>
      </c>
      <c r="BB11" s="13"/>
    </row>
    <row r="12" spans="1:54" ht="15.95" customHeight="1">
      <c r="A12" s="65" t="s">
        <v>8</v>
      </c>
      <c r="B12" s="606"/>
      <c r="C12" s="607"/>
      <c r="D12" s="608"/>
      <c r="E12" s="609"/>
      <c r="F12" s="386">
        <f>[4]本社営業!$I$11</f>
        <v>2694898</v>
      </c>
      <c r="G12" s="610"/>
      <c r="H12" s="608">
        <f>[4]本社営業!$L$11</f>
        <v>9752981</v>
      </c>
      <c r="I12" s="607"/>
      <c r="J12" s="748">
        <f>[4]東大阪!$I$11</f>
        <v>34502</v>
      </c>
      <c r="K12" s="610"/>
      <c r="L12" s="608">
        <f>[4]東大阪!$L$11</f>
        <v>119186</v>
      </c>
      <c r="M12" s="607"/>
      <c r="N12" s="612">
        <f>[4]南港工場!$I$11</f>
        <v>97666</v>
      </c>
      <c r="O12" s="610"/>
      <c r="P12" s="608">
        <f>[4]南港工場!$L$11</f>
        <v>336125</v>
      </c>
      <c r="Q12" s="614"/>
      <c r="R12" s="615"/>
      <c r="S12" s="610"/>
      <c r="T12" s="608">
        <f>[4]南港事務!$L$11</f>
        <v>0</v>
      </c>
      <c r="U12" s="614"/>
      <c r="V12" s="616">
        <f t="shared" si="21"/>
        <v>97666</v>
      </c>
      <c r="W12" s="617"/>
      <c r="X12" s="613">
        <f t="shared" si="22"/>
        <v>336125</v>
      </c>
      <c r="Y12" s="618"/>
      <c r="Z12" s="616">
        <f t="shared" si="23"/>
        <v>2827066</v>
      </c>
      <c r="AA12" s="619"/>
      <c r="AB12" s="613">
        <f t="shared" si="24"/>
        <v>10208292</v>
      </c>
      <c r="AC12" s="620"/>
      <c r="AD12" s="386">
        <f>[4]東京事務!$I$11</f>
        <v>1166365</v>
      </c>
      <c r="AE12" s="610"/>
      <c r="AF12" s="608">
        <f>[4]東京事務!$L$11</f>
        <v>4116489</v>
      </c>
      <c r="AG12" s="621"/>
      <c r="AH12" s="622"/>
      <c r="AI12" s="617">
        <f t="shared" si="25"/>
        <v>0</v>
      </c>
      <c r="AJ12" s="608">
        <f>[4]東京工場!$L$11</f>
        <v>0</v>
      </c>
      <c r="AK12" s="623"/>
      <c r="AL12" s="624">
        <f t="shared" si="26"/>
        <v>1166365</v>
      </c>
      <c r="AM12" s="625"/>
      <c r="AN12" s="626">
        <f t="shared" si="27"/>
        <v>4116489</v>
      </c>
      <c r="AO12" s="620"/>
      <c r="AP12" s="627">
        <f t="shared" si="28"/>
        <v>3993431</v>
      </c>
      <c r="AQ12" s="628"/>
      <c r="AR12" s="629">
        <f t="shared" si="29"/>
        <v>14324781</v>
      </c>
      <c r="AS12" s="630"/>
      <c r="AT12" s="631">
        <f>[4]全社合計!$G$11</f>
        <v>3868833</v>
      </c>
      <c r="AU12" s="607"/>
      <c r="AV12" s="632">
        <f>[4]全社合計!$N$11</f>
        <v>15398972</v>
      </c>
      <c r="AW12" s="620"/>
      <c r="AX12" s="631">
        <f t="shared" si="32"/>
        <v>124598</v>
      </c>
      <c r="AY12" s="607"/>
      <c r="AZ12" s="632">
        <f t="shared" si="34"/>
        <v>-1074191</v>
      </c>
      <c r="BA12" s="620"/>
      <c r="BB12" s="11"/>
    </row>
    <row r="13" spans="1:54" ht="15.95" customHeight="1">
      <c r="A13" s="66" t="s">
        <v>9</v>
      </c>
      <c r="B13" s="636"/>
      <c r="C13" s="637"/>
      <c r="D13" s="638"/>
      <c r="E13" s="639"/>
      <c r="F13" s="640"/>
      <c r="G13" s="641"/>
      <c r="H13" s="638">
        <f>[4]本社営業!$N$12</f>
        <v>0</v>
      </c>
      <c r="I13" s="637"/>
      <c r="J13" s="749"/>
      <c r="K13" s="641"/>
      <c r="L13" s="638">
        <f>[4]東大阪!$L$12</f>
        <v>0</v>
      </c>
      <c r="M13" s="637"/>
      <c r="N13" s="643">
        <f>[4]南港工場!$I$12</f>
        <v>3972602</v>
      </c>
      <c r="O13" s="641"/>
      <c r="P13" s="638">
        <f>[4]南港工場!$L$12</f>
        <v>14733717</v>
      </c>
      <c r="Q13" s="645"/>
      <c r="R13" s="646"/>
      <c r="S13" s="641"/>
      <c r="T13" s="638">
        <f>[4]南港事務!$N$12</f>
        <v>0</v>
      </c>
      <c r="U13" s="645"/>
      <c r="V13" s="647">
        <f t="shared" si="21"/>
        <v>3972602</v>
      </c>
      <c r="W13" s="648"/>
      <c r="X13" s="644">
        <f t="shared" si="22"/>
        <v>14733717</v>
      </c>
      <c r="Y13" s="649"/>
      <c r="Z13" s="647">
        <f t="shared" si="23"/>
        <v>3972602</v>
      </c>
      <c r="AA13" s="650"/>
      <c r="AB13" s="644">
        <f t="shared" si="24"/>
        <v>14733717</v>
      </c>
      <c r="AC13" s="651"/>
      <c r="AD13" s="640"/>
      <c r="AE13" s="641"/>
      <c r="AF13" s="638">
        <f>[4]東京事務!$L$12</f>
        <v>0</v>
      </c>
      <c r="AG13" s="652"/>
      <c r="AH13" s="653"/>
      <c r="AI13" s="648">
        <f t="shared" si="25"/>
        <v>0</v>
      </c>
      <c r="AJ13" s="638">
        <f>[4]東京工場!$L$12</f>
        <v>0</v>
      </c>
      <c r="AK13" s="654"/>
      <c r="AL13" s="655">
        <f t="shared" si="26"/>
        <v>0</v>
      </c>
      <c r="AM13" s="656"/>
      <c r="AN13" s="657">
        <f t="shared" si="27"/>
        <v>0</v>
      </c>
      <c r="AO13" s="651"/>
      <c r="AP13" s="658">
        <f t="shared" si="28"/>
        <v>3972602</v>
      </c>
      <c r="AQ13" s="659"/>
      <c r="AR13" s="660">
        <f t="shared" si="29"/>
        <v>14733717</v>
      </c>
      <c r="AS13" s="661"/>
      <c r="AT13" s="662">
        <f>[4]全社合計!$G$12</f>
        <v>4241377</v>
      </c>
      <c r="AU13" s="637"/>
      <c r="AV13" s="663">
        <f>[4]全社合計!$N$12</f>
        <v>15382221</v>
      </c>
      <c r="AW13" s="651"/>
      <c r="AX13" s="662">
        <f t="shared" si="32"/>
        <v>-268775</v>
      </c>
      <c r="AY13" s="637"/>
      <c r="AZ13" s="663">
        <f t="shared" si="34"/>
        <v>-648504</v>
      </c>
      <c r="BA13" s="651"/>
      <c r="BB13" s="11"/>
    </row>
    <row r="14" spans="1:54" ht="15.95" customHeight="1">
      <c r="A14" s="35" t="s">
        <v>10</v>
      </c>
      <c r="B14" s="705"/>
      <c r="C14" s="258" t="str">
        <f>IF(ISERR(B14/$B$11),"",B14/$B$11)</f>
        <v/>
      </c>
      <c r="D14" s="725"/>
      <c r="E14" s="118" t="str">
        <f>IF(ISERR(D14/$D$11),"",D14/$D$11)</f>
        <v/>
      </c>
      <c r="F14" s="351">
        <f>[4]本社営業!$I$14</f>
        <v>1151284248</v>
      </c>
      <c r="G14" s="7">
        <f>IF(ISERR(F14/$F$11),"",F14/$F$11)</f>
        <v>2.0882702300513709</v>
      </c>
      <c r="H14" s="360">
        <f>[4]本社営業!$L$14</f>
        <v>1205973702</v>
      </c>
      <c r="I14" s="120">
        <f>IF(ISERR(H14/$H$11),"",H14/$H$11)</f>
        <v>0.58767237196985211</v>
      </c>
      <c r="J14" s="744"/>
      <c r="K14" s="7">
        <f t="shared" si="20"/>
        <v>0</v>
      </c>
      <c r="L14" s="360">
        <f>[4]東大阪!$L$14</f>
        <v>0</v>
      </c>
      <c r="M14" s="203">
        <f>IF(ISERR(L14/$L$11),"",L14/$L$11)</f>
        <v>0</v>
      </c>
      <c r="N14" s="402"/>
      <c r="O14" s="7">
        <f>IF(ISERR(N14/$N$11),"",N14/$N$11)</f>
        <v>0</v>
      </c>
      <c r="P14" s="360">
        <f>[4]南港工場!$L$14</f>
        <v>0</v>
      </c>
      <c r="Q14" s="203">
        <f>IF(ISERR(P14/$P$11),"",P14/$P$11)</f>
        <v>0</v>
      </c>
      <c r="R14" s="436"/>
      <c r="S14" s="7" t="str">
        <f>IF(ISERR(R14/$R$11),"",R14/$R$11)</f>
        <v/>
      </c>
      <c r="T14" s="360">
        <f>[4]南港事務!$L$14</f>
        <v>0</v>
      </c>
      <c r="U14" s="203" t="str">
        <f>IF(ISERR(T14/$T$11),"",T14/$T$11)</f>
        <v/>
      </c>
      <c r="V14" s="455">
        <f t="shared" si="21"/>
        <v>0</v>
      </c>
      <c r="W14" s="174">
        <f>IF(ISERR(V14/$V$11),"",V14/$V$11)</f>
        <v>0</v>
      </c>
      <c r="X14" s="421">
        <f t="shared" si="22"/>
        <v>0</v>
      </c>
      <c r="Y14" s="224">
        <f>IF(ISERR(X14/$X$11),"",X14/$X$11)</f>
        <v>0</v>
      </c>
      <c r="Z14" s="459">
        <f t="shared" si="23"/>
        <v>1151284248</v>
      </c>
      <c r="AA14" s="188">
        <f>IF(ISERR(Z14/$Z$11),"",Z14/$Z$11)</f>
        <v>1.9522639083702733</v>
      </c>
      <c r="AB14" s="502">
        <f t="shared" si="24"/>
        <v>1205973702</v>
      </c>
      <c r="AC14" s="119">
        <f>IF(ISERR(AB14/$AB$11),"",AB14/$AB$11)</f>
        <v>0.55001912886016036</v>
      </c>
      <c r="AD14" s="351">
        <f>[4]東京事務!$I$14</f>
        <v>730606458</v>
      </c>
      <c r="AE14" s="7">
        <f>IF(ISERR(AD14/$AD$11),"",AD14/$AD$11)</f>
        <v>2.7378094901201289</v>
      </c>
      <c r="AF14" s="360">
        <f>[4]東京事務!$L$14</f>
        <v>804499700</v>
      </c>
      <c r="AG14" s="80">
        <f>IF(ISERR(AF14/$AF$11),"",AF14/$AF$11)</f>
        <v>0.81880976310978937</v>
      </c>
      <c r="AH14" s="467"/>
      <c r="AI14" s="174">
        <f t="shared" si="25"/>
        <v>0</v>
      </c>
      <c r="AJ14" s="360">
        <f>[4]東京工場!$L$14</f>
        <v>0</v>
      </c>
      <c r="AK14" s="102">
        <f t="shared" ref="AK14:AK77" si="36">IF(ISERR(AJ14/$AJ$11),"",AJ14/$AJ$11)</f>
        <v>0</v>
      </c>
      <c r="AL14" s="506">
        <f t="shared" si="26"/>
        <v>730606458</v>
      </c>
      <c r="AM14" s="313">
        <f>IF(ISERR(AL14/$AL$11),"",AL14/AL$11)</f>
        <v>2.6301112205741135</v>
      </c>
      <c r="AN14" s="477">
        <f>AF14+AJ14</f>
        <v>804499700</v>
      </c>
      <c r="AO14" s="119">
        <f>IF(ISERR(AN14/$AN$11),"",AN14/$AN$11)</f>
        <v>0.78669369227627994</v>
      </c>
      <c r="AP14" s="511">
        <f>B14+Z14+AL14</f>
        <v>1881890706</v>
      </c>
      <c r="AQ14" s="282">
        <f>IF(ISERR(AP14/$AP$11),"",AP14/$AP$11)</f>
        <v>2.1693191753359344</v>
      </c>
      <c r="AR14" s="486">
        <f>D14+AB14+AN14</f>
        <v>2010473402</v>
      </c>
      <c r="AS14" s="283">
        <f>IF(ISERR(AR14/$AR$11),"",AR14/$AR$11)</f>
        <v>0.62529551964517627</v>
      </c>
      <c r="AT14" s="580">
        <f>[4]全社合計!$G$14</f>
        <v>1815075108</v>
      </c>
      <c r="AU14" s="120">
        <f t="shared" si="30"/>
        <v>1.9666006006859191</v>
      </c>
      <c r="AV14" s="577">
        <f>[4]全社合計!$N$14</f>
        <v>1816376496</v>
      </c>
      <c r="AW14" s="121">
        <f t="shared" si="31"/>
        <v>0.50198396113406596</v>
      </c>
      <c r="AX14" s="592">
        <f t="shared" si="32"/>
        <v>66815598</v>
      </c>
      <c r="AY14" s="120">
        <f t="shared" si="33"/>
        <v>1.0368114783269895</v>
      </c>
      <c r="AZ14" s="577">
        <f t="shared" si="34"/>
        <v>194096906</v>
      </c>
      <c r="BA14" s="121">
        <f t="shared" si="35"/>
        <v>1.1068594019067288</v>
      </c>
      <c r="BB14" s="13"/>
    </row>
    <row r="15" spans="1:54" ht="15.95" customHeight="1">
      <c r="A15" s="35" t="s">
        <v>11</v>
      </c>
      <c r="B15" s="719"/>
      <c r="C15" s="259" t="str">
        <f>IF(ISERR(B15/$B$11),"",B15/$B$11)</f>
        <v/>
      </c>
      <c r="D15" s="726"/>
      <c r="E15" s="122" t="str">
        <f>IF(ISERR(D15/$D$11),"",D15/$D$11)</f>
        <v/>
      </c>
      <c r="F15" s="352">
        <f>[4]本社営業!$I$15</f>
        <v>484366533</v>
      </c>
      <c r="G15" s="9">
        <f>IF(ISERR(F15/$F$11),"",F15/$F$11)</f>
        <v>0.87857383009820789</v>
      </c>
      <c r="H15" s="355">
        <f>[4]本社営業!$L$15</f>
        <v>1722441071</v>
      </c>
      <c r="I15" s="124">
        <f t="shared" si="19"/>
        <v>0.83934751487048798</v>
      </c>
      <c r="J15" s="745">
        <f>[4]東大阪!$I$15</f>
        <v>496337</v>
      </c>
      <c r="K15" s="9">
        <f>IF(ISERR(J15/$J$11),"",J15/$J$11)</f>
        <v>5.2317995068371453E-2</v>
      </c>
      <c r="L15" s="355">
        <f>[4]東大阪!$L$15</f>
        <v>2036576</v>
      </c>
      <c r="M15" s="124">
        <f>IF(ISERR(L15/$L$11),"",L15/$L$11)</f>
        <v>5.7726806863828264E-2</v>
      </c>
      <c r="N15" s="403">
        <f>[4]南港工場!$I$15</f>
        <v>1713526</v>
      </c>
      <c r="O15" s="9">
        <f>IF(ISERR(N15/$N$11),"",N15/$N$11)</f>
        <v>5.924930762174848E-2</v>
      </c>
      <c r="P15" s="355">
        <f>[4]南港工場!$L$15</f>
        <v>6894474</v>
      </c>
      <c r="Q15" s="204">
        <f>IF(ISERR(P15/$P$11),"",P15/$P$11)</f>
        <v>6.5533996293943242E-2</v>
      </c>
      <c r="R15" s="437"/>
      <c r="S15" s="9" t="str">
        <f>IF(ISERR(R15/$R$11),"",R15/$R$11)</f>
        <v/>
      </c>
      <c r="T15" s="355">
        <f>[4]南港事務!$L$15</f>
        <v>0</v>
      </c>
      <c r="U15" s="204" t="str">
        <f>IF(ISERR(T15/$T$11),"",T15/$T$11)</f>
        <v/>
      </c>
      <c r="V15" s="456">
        <f t="shared" si="21"/>
        <v>1713526</v>
      </c>
      <c r="W15" s="171">
        <f>IF(ISERR(V15/$V$11),"",V15/$V$11)</f>
        <v>5.924930762174848E-2</v>
      </c>
      <c r="X15" s="407">
        <f t="shared" si="22"/>
        <v>6894474</v>
      </c>
      <c r="Y15" s="225">
        <f>IF(ISERR(X15/$X$11),"",X15/$X$11)</f>
        <v>6.5533996293943242E-2</v>
      </c>
      <c r="Z15" s="460">
        <f t="shared" si="23"/>
        <v>486576396</v>
      </c>
      <c r="AA15" s="189">
        <f>IF(ISERR(Z15/$Z$11),"",Z15/$Z$11)</f>
        <v>0.82510078481998117</v>
      </c>
      <c r="AB15" s="463">
        <f t="shared" si="24"/>
        <v>1731372121</v>
      </c>
      <c r="AC15" s="123">
        <f>IF(ISERR(AB15/$AB$11),"",AB15/$AB$11)</f>
        <v>0.78964224853817599</v>
      </c>
      <c r="AD15" s="352">
        <f>[4]東京事務!$I$15</f>
        <v>239865776</v>
      </c>
      <c r="AE15" s="9">
        <f>IF(ISERR(AD15/$AD$11),"",AD15/$AD$11)</f>
        <v>0.89885161935952806</v>
      </c>
      <c r="AF15" s="355">
        <f>[4]東京事務!$L$15</f>
        <v>819468795</v>
      </c>
      <c r="AG15" s="81">
        <f>IF(ISERR(AF15/$AF$11),"",AF15/$AF$11)</f>
        <v>0.83404512134661402</v>
      </c>
      <c r="AH15" s="468">
        <f>[4]東京工場!$I$15</f>
        <v>0</v>
      </c>
      <c r="AI15" s="171">
        <f t="shared" si="25"/>
        <v>0</v>
      </c>
      <c r="AJ15" s="355">
        <f>[4]東京工場!$L$15</f>
        <v>0</v>
      </c>
      <c r="AK15" s="99">
        <f t="shared" si="36"/>
        <v>0</v>
      </c>
      <c r="AL15" s="473">
        <f t="shared" si="26"/>
        <v>239865776</v>
      </c>
      <c r="AM15" s="314">
        <f>IF(ISERR(AL15/$AL$11),"",AL15/AL$11)</f>
        <v>0.86349314597670423</v>
      </c>
      <c r="AN15" s="478">
        <f t="shared" si="27"/>
        <v>819468795</v>
      </c>
      <c r="AO15" s="123">
        <f>IF(ISERR(AN15/$AN$11),"",AN15/$AN$11)</f>
        <v>0.80133147600147514</v>
      </c>
      <c r="AP15" s="482">
        <f t="shared" si="28"/>
        <v>726442172</v>
      </c>
      <c r="AQ15" s="284">
        <f>IF(ISERR(AP15/$AP$11),"",AP15/$AP$11)</f>
        <v>0.83739450355321798</v>
      </c>
      <c r="AR15" s="487">
        <f t="shared" si="29"/>
        <v>2550840916</v>
      </c>
      <c r="AS15" s="285">
        <f>IF(ISERR(AR15/$AR$11),"",AR15/$AR$11)</f>
        <v>0.79336010837829396</v>
      </c>
      <c r="AT15" s="574">
        <f>[4]全社合計!$G$15</f>
        <v>852543640</v>
      </c>
      <c r="AU15" s="124">
        <f t="shared" si="30"/>
        <v>0.92371540282010189</v>
      </c>
      <c r="AV15" s="578">
        <f>[4]全社合計!$N$15</f>
        <v>3123780312</v>
      </c>
      <c r="AW15" s="125">
        <f t="shared" si="31"/>
        <v>0.86330538750286079</v>
      </c>
      <c r="AX15" s="574">
        <f t="shared" si="32"/>
        <v>-126101468</v>
      </c>
      <c r="AY15" s="124">
        <f t="shared" si="33"/>
        <v>0.85208796115117347</v>
      </c>
      <c r="AZ15" s="578">
        <f t="shared" si="34"/>
        <v>-572939396</v>
      </c>
      <c r="BA15" s="125">
        <f t="shared" si="35"/>
        <v>0.81658780747191029</v>
      </c>
      <c r="BB15" s="11"/>
    </row>
    <row r="16" spans="1:54" ht="15.95" customHeight="1">
      <c r="A16" s="36" t="s">
        <v>12</v>
      </c>
      <c r="B16" s="720"/>
      <c r="C16" s="260" t="str">
        <f>IF(ISERR(B16/$B$11),"",B16/$B$11)</f>
        <v/>
      </c>
      <c r="D16" s="724"/>
      <c r="E16" s="126" t="str">
        <f>IF(ISERR(D16/$D$11),"",D16/$D$11)</f>
        <v/>
      </c>
      <c r="F16" s="353">
        <f>[4]本社営業!$I$16</f>
        <v>1153455207</v>
      </c>
      <c r="G16" s="12">
        <f>IF(ISERR(F16/$F$11),"",F16/$F$11)</f>
        <v>2.0922080491071235</v>
      </c>
      <c r="H16" s="357">
        <f>[4]本社営業!$L$16</f>
        <v>1153455207</v>
      </c>
      <c r="I16" s="128">
        <f t="shared" si="19"/>
        <v>0.56208004895505326</v>
      </c>
      <c r="J16" s="746"/>
      <c r="K16" s="12">
        <f t="shared" si="20"/>
        <v>0</v>
      </c>
      <c r="L16" s="357">
        <f>[4]東大阪!$L$16</f>
        <v>0</v>
      </c>
      <c r="M16" s="128">
        <f t="shared" ref="M16:M78" si="37">IF(ISERR(L16/$L$11),"",L16/$L$11)</f>
        <v>0</v>
      </c>
      <c r="N16" s="404"/>
      <c r="O16" s="12">
        <f>IF(ISERR(N16/$N$11),"",N16/$N$11)</f>
        <v>0</v>
      </c>
      <c r="P16" s="357">
        <f>[4]南港工場!$L$16</f>
        <v>0</v>
      </c>
      <c r="Q16" s="205">
        <f>IF(ISERR(P16/$P$11),"",P16/$P$11)</f>
        <v>0</v>
      </c>
      <c r="R16" s="438"/>
      <c r="S16" s="12" t="str">
        <f>IF(ISERR(R16/$R$11),"",R16/$R$11)</f>
        <v/>
      </c>
      <c r="T16" s="357">
        <f>[4]南港事務!$L$16</f>
        <v>0</v>
      </c>
      <c r="U16" s="205" t="str">
        <f>IF(ISERR(T16/$T$11),"",T16/$T$11)</f>
        <v/>
      </c>
      <c r="V16" s="457">
        <f t="shared" si="21"/>
        <v>0</v>
      </c>
      <c r="W16" s="172">
        <f>IF(ISERR(V16/$V$11),"",V16/$V$11)</f>
        <v>0</v>
      </c>
      <c r="X16" s="409">
        <f t="shared" si="22"/>
        <v>0</v>
      </c>
      <c r="Y16" s="226">
        <f>IF(ISERR(X16/$X$11),"",X16/$X$11)</f>
        <v>0</v>
      </c>
      <c r="Z16" s="461">
        <f t="shared" si="23"/>
        <v>1153455207</v>
      </c>
      <c r="AA16" s="190">
        <f>IF(ISERR(Z16/$Z$11),"",Z16/$Z$11)</f>
        <v>1.9559452623969737</v>
      </c>
      <c r="AB16" s="465">
        <f t="shared" si="24"/>
        <v>1153455207</v>
      </c>
      <c r="AC16" s="127">
        <f>IF(ISERR(AB16/$AB$11),"",AB16/$AB$11)</f>
        <v>0.52606655276248804</v>
      </c>
      <c r="AD16" s="353">
        <f>[4]東京事務!$I$16</f>
        <v>727931890</v>
      </c>
      <c r="AE16" s="12">
        <f>IF(ISERR(AD16/$AD$11),"",AD16/$AD$11)</f>
        <v>2.7277870524969843</v>
      </c>
      <c r="AF16" s="357">
        <f>[4]東京事務!$L$16</f>
        <v>727931890</v>
      </c>
      <c r="AG16" s="82">
        <f>IF(ISERR(AF16/$AF$11),"",AF16/$AF$11)</f>
        <v>0.74088000083898264</v>
      </c>
      <c r="AH16" s="469"/>
      <c r="AI16" s="172">
        <f t="shared" si="25"/>
        <v>0</v>
      </c>
      <c r="AJ16" s="357">
        <f>[4]東京工場!$L$16</f>
        <v>0</v>
      </c>
      <c r="AK16" s="100">
        <f t="shared" si="36"/>
        <v>0</v>
      </c>
      <c r="AL16" s="475">
        <f t="shared" si="26"/>
        <v>727931890</v>
      </c>
      <c r="AM16" s="315">
        <f>IF(ISERR(AL16/$AL$11),"",AL16/AL$11)</f>
        <v>2.6204830394514818</v>
      </c>
      <c r="AN16" s="479">
        <f t="shared" si="27"/>
        <v>727931890</v>
      </c>
      <c r="AO16" s="127">
        <f>IF(ISERR(AN16/$AN$11),"",AN16/$AN$11)</f>
        <v>0.71182055912482112</v>
      </c>
      <c r="AP16" s="484">
        <f t="shared" si="28"/>
        <v>1881387097</v>
      </c>
      <c r="AQ16" s="286">
        <f>IF(ISERR(AP16/$AP$11),"",AP16/$AP$11)</f>
        <v>2.168738648179342</v>
      </c>
      <c r="AR16" s="488">
        <f t="shared" si="29"/>
        <v>1881387097</v>
      </c>
      <c r="AS16" s="287">
        <f>IF(ISERR(AR16/$AR$11),"",AR16/$AR$11)</f>
        <v>0.58514722020298804</v>
      </c>
      <c r="AT16" s="581">
        <f>[4]全社合計!$G$16</f>
        <v>1895067231</v>
      </c>
      <c r="AU16" s="128">
        <f t="shared" si="30"/>
        <v>2.0532705993259652</v>
      </c>
      <c r="AV16" s="579">
        <f>[4]全社合計!$N$16</f>
        <v>1895067231</v>
      </c>
      <c r="AW16" s="129">
        <f t="shared" si="31"/>
        <v>0.52373137250326218</v>
      </c>
      <c r="AX16" s="576">
        <f t="shared" si="32"/>
        <v>-13680134</v>
      </c>
      <c r="AY16" s="128">
        <f t="shared" si="33"/>
        <v>0.99278118803585602</v>
      </c>
      <c r="AZ16" s="579">
        <f t="shared" si="34"/>
        <v>-13680134</v>
      </c>
      <c r="BA16" s="129">
        <f t="shared" si="35"/>
        <v>0.99278118803585602</v>
      </c>
      <c r="BB16" s="11"/>
    </row>
    <row r="17" spans="1:54" ht="19.899999999999999" customHeight="1">
      <c r="A17" s="60" t="s">
        <v>13</v>
      </c>
      <c r="B17" s="524"/>
      <c r="C17" s="135" t="str">
        <f>IF(ISERR(B17/$B$11),"",B17/$B$11)</f>
        <v/>
      </c>
      <c r="D17" s="385"/>
      <c r="E17" s="133" t="str">
        <f>IF(ISERR(D17/$D$11),"",D17/$D$11)</f>
        <v/>
      </c>
      <c r="F17" s="384">
        <f>F14+F15-F16</f>
        <v>482195574</v>
      </c>
      <c r="G17" s="61">
        <f>IF(ISERR(F17/$F$11),"",F17/$F$11)</f>
        <v>0.87463601104245536</v>
      </c>
      <c r="H17" s="385">
        <f>H14+H15-H16</f>
        <v>1774959566</v>
      </c>
      <c r="I17" s="135">
        <f>IF(ISERR(H17/$H$11),"",H17/$H$11)</f>
        <v>0.86493983788528683</v>
      </c>
      <c r="J17" s="750">
        <f>J14+J15-J16</f>
        <v>496337</v>
      </c>
      <c r="K17" s="61">
        <f t="shared" si="20"/>
        <v>5.2317995068371453E-2</v>
      </c>
      <c r="L17" s="385">
        <f>L14+L15-L16</f>
        <v>2036576</v>
      </c>
      <c r="M17" s="135">
        <f t="shared" si="37"/>
        <v>5.7726806863828264E-2</v>
      </c>
      <c r="N17" s="411">
        <f>N14+N15-N16</f>
        <v>1713526</v>
      </c>
      <c r="O17" s="61">
        <f>IF(ISERR(N17/$N$11),"",N17/$N$11)</f>
        <v>5.924930762174848E-2</v>
      </c>
      <c r="P17" s="385">
        <f>P14+P15-P16</f>
        <v>6894474</v>
      </c>
      <c r="Q17" s="207">
        <f>IF(ISERR(P17/$P$11),"",P17/$P$11)</f>
        <v>6.5533996293943242E-2</v>
      </c>
      <c r="R17" s="440">
        <f>R14+R15-R16</f>
        <v>0</v>
      </c>
      <c r="S17" s="61" t="str">
        <f>IF(ISERR(R17/$R$11),"",R17/$R$11)</f>
        <v/>
      </c>
      <c r="T17" s="385">
        <f>T14+T15-T16</f>
        <v>0</v>
      </c>
      <c r="U17" s="207" t="str">
        <f>IF(ISERR(T17/$T$11),"",T17/$T$11)</f>
        <v/>
      </c>
      <c r="V17" s="489">
        <f t="shared" si="21"/>
        <v>1713526</v>
      </c>
      <c r="W17" s="175">
        <f>IF(ISERR(V17/$V$11),"",V17/$V$11)</f>
        <v>5.924930762174848E-2</v>
      </c>
      <c r="X17" s="423">
        <f t="shared" si="22"/>
        <v>6894474</v>
      </c>
      <c r="Y17" s="228">
        <f>IF(ISERR(X17/$X$11),"",X17/$X$11)</f>
        <v>6.5533996293943242E-2</v>
      </c>
      <c r="Z17" s="489">
        <f t="shared" si="23"/>
        <v>484405437</v>
      </c>
      <c r="AA17" s="192">
        <f>IF(ISERR(Z17/$Z$11),"",Z17/$Z$11)</f>
        <v>0.82141943079328072</v>
      </c>
      <c r="AB17" s="423">
        <f t="shared" si="24"/>
        <v>1783890616</v>
      </c>
      <c r="AC17" s="134">
        <f>IF(ISERR(AB17/$AB$11),"",AB17/$AB$11)</f>
        <v>0.81359482463584842</v>
      </c>
      <c r="AD17" s="384">
        <f>AD14+AD15-AD16</f>
        <v>242540344</v>
      </c>
      <c r="AE17" s="331">
        <f>IF(ISERR(AD17/$AD$11),"",AD17/$AD$11)</f>
        <v>0.90887405698267265</v>
      </c>
      <c r="AF17" s="385">
        <f>AF14+AF15-AF16</f>
        <v>896036605</v>
      </c>
      <c r="AG17" s="330">
        <f>IF(ISERR(AF17/$AF$11),"",AF17/$AF$11)</f>
        <v>0.91197488361742074</v>
      </c>
      <c r="AH17" s="489">
        <f>AH14+AH15-AH16</f>
        <v>0</v>
      </c>
      <c r="AI17" s="194">
        <f t="shared" si="25"/>
        <v>0</v>
      </c>
      <c r="AJ17" s="385">
        <f>AJ14+AJ15-AJ16</f>
        <v>0</v>
      </c>
      <c r="AK17" s="103">
        <f t="shared" si="36"/>
        <v>0</v>
      </c>
      <c r="AL17" s="544">
        <f t="shared" si="26"/>
        <v>242540344</v>
      </c>
      <c r="AM17" s="317">
        <f>IF(ISERR(AL17/$AL$11),"",AL17/AL$11)</f>
        <v>0.8731213270993361</v>
      </c>
      <c r="AN17" s="536">
        <f t="shared" si="27"/>
        <v>896036605</v>
      </c>
      <c r="AO17" s="134">
        <f>IF(ISERR(AN17/$AN$11),"",AN17/$AN$11)</f>
        <v>0.87620460915293386</v>
      </c>
      <c r="AP17" s="524">
        <f t="shared" si="28"/>
        <v>726945781</v>
      </c>
      <c r="AQ17" s="135">
        <f>IF(ISERR(AP17/$AP$11),"",AP17/$AP$11)</f>
        <v>0.83797503070981039</v>
      </c>
      <c r="AR17" s="516">
        <f t="shared" si="29"/>
        <v>2679927221</v>
      </c>
      <c r="AS17" s="134">
        <f>IF(ISERR(AR17/$AR$11),"",AR17/$AR$11)</f>
        <v>0.83350840782048208</v>
      </c>
      <c r="AT17" s="524">
        <f>AT14+AT15-AT16</f>
        <v>772551517</v>
      </c>
      <c r="AU17" s="135">
        <f t="shared" si="30"/>
        <v>0.83704540418005557</v>
      </c>
      <c r="AV17" s="596">
        <f>AV14+AV15-AV16</f>
        <v>3045089577</v>
      </c>
      <c r="AW17" s="134">
        <f t="shared" si="31"/>
        <v>0.84155797613366468</v>
      </c>
      <c r="AX17" s="524">
        <f t="shared" si="32"/>
        <v>-45605736</v>
      </c>
      <c r="AY17" s="135">
        <f t="shared" si="33"/>
        <v>0.94096738535043223</v>
      </c>
      <c r="AZ17" s="596">
        <f t="shared" si="34"/>
        <v>-365162356</v>
      </c>
      <c r="BA17" s="134">
        <f t="shared" si="35"/>
        <v>0.88008157173499135</v>
      </c>
      <c r="BB17" s="11"/>
    </row>
    <row r="18" spans="1:54" ht="19.899999999999999" customHeight="1">
      <c r="A18" s="55" t="s">
        <v>14</v>
      </c>
      <c r="B18" s="709"/>
      <c r="C18" s="138" t="str">
        <f>IF(ISERR(B18/$B$11),"",B18/$B$11)</f>
        <v/>
      </c>
      <c r="D18" s="376"/>
      <c r="E18" s="136" t="str">
        <f>IF(ISERR(D18/$D$11),"",D18/$D$11)</f>
        <v/>
      </c>
      <c r="F18" s="375">
        <f>F11-F17</f>
        <v>69114420</v>
      </c>
      <c r="G18" s="56">
        <f>IF(ISERR(F18/$F$11),"",F18/$F$11)</f>
        <v>0.12536398895754464</v>
      </c>
      <c r="H18" s="376">
        <f>H11-H17</f>
        <v>277159539</v>
      </c>
      <c r="I18" s="138">
        <f t="shared" si="19"/>
        <v>0.13506016211471311</v>
      </c>
      <c r="J18" s="374">
        <f>J11-J17</f>
        <v>8990590</v>
      </c>
      <c r="K18" s="56">
        <f t="shared" si="20"/>
        <v>0.94768200493162857</v>
      </c>
      <c r="L18" s="376">
        <f>L11-L17</f>
        <v>33242978</v>
      </c>
      <c r="M18" s="138">
        <f t="shared" si="37"/>
        <v>0.94227319313617175</v>
      </c>
      <c r="N18" s="412">
        <f>N11-N17</f>
        <v>27207082</v>
      </c>
      <c r="O18" s="56">
        <f>IF(ISERR(N18/$N$11),"",N18/$N$11)</f>
        <v>0.94075069237825149</v>
      </c>
      <c r="P18" s="376">
        <f>P11-P17</f>
        <v>98310067</v>
      </c>
      <c r="Q18" s="208">
        <f>IF(ISERR(P18/$P$11),"",P18/$P$11)</f>
        <v>0.9344660037060567</v>
      </c>
      <c r="R18" s="441">
        <f>R11-R17</f>
        <v>0</v>
      </c>
      <c r="S18" s="56" t="str">
        <f>IF(ISERR(R18/$R$11),"",R18/$R$11)</f>
        <v/>
      </c>
      <c r="T18" s="376">
        <f>T11-T17</f>
        <v>0</v>
      </c>
      <c r="U18" s="208" t="str">
        <f>IF(ISERR(T18/$T$11),"",T18/$T$11)</f>
        <v/>
      </c>
      <c r="V18" s="490">
        <f t="shared" si="21"/>
        <v>27207082</v>
      </c>
      <c r="W18" s="176">
        <f>IF(ISERR(V18/$V$11),"",V18/$V$11)</f>
        <v>0.94075069237825149</v>
      </c>
      <c r="X18" s="424">
        <f t="shared" si="22"/>
        <v>98310067</v>
      </c>
      <c r="Y18" s="229">
        <f>IF(ISERR(X18/$X$11),"",X18/$X$11)</f>
        <v>0.9344660037060567</v>
      </c>
      <c r="Z18" s="490">
        <f t="shared" si="23"/>
        <v>105312092</v>
      </c>
      <c r="AA18" s="193">
        <f>IF(ISERR(Z18/$Z$11),"",Z18/$Z$11)</f>
        <v>0.1785805692067193</v>
      </c>
      <c r="AB18" s="424">
        <f t="shared" si="24"/>
        <v>408712584</v>
      </c>
      <c r="AC18" s="137">
        <f>IF(ISERR(AB18/$AB$11),"",AB18/$AB$11)</f>
        <v>0.1864051753641516</v>
      </c>
      <c r="AD18" s="375">
        <f>AD11-AD17</f>
        <v>24317690</v>
      </c>
      <c r="AE18" s="56">
        <f>IF(ISERR(AD18/$AD$11),"",AD18/$AD$11)</f>
        <v>9.1125943017327335E-2</v>
      </c>
      <c r="AF18" s="376">
        <f>AF11-AF17</f>
        <v>86486731</v>
      </c>
      <c r="AG18" s="84">
        <f>IF(ISERR(AF18/$AF$11),"",AF18/$AF$11)</f>
        <v>8.8025116382579233E-2</v>
      </c>
      <c r="AH18" s="392">
        <f>AH11-AH17</f>
        <v>10927351</v>
      </c>
      <c r="AI18" s="176">
        <f t="shared" si="25"/>
        <v>1</v>
      </c>
      <c r="AJ18" s="376">
        <f>AJ11-AJ17</f>
        <v>40110642</v>
      </c>
      <c r="AK18" s="104">
        <f t="shared" si="36"/>
        <v>1</v>
      </c>
      <c r="AL18" s="545">
        <f t="shared" si="26"/>
        <v>35245041</v>
      </c>
      <c r="AM18" s="318">
        <f>IF(ISERR(AL18/$AL$11),"",AL18/AL$11)</f>
        <v>0.12687867290066393</v>
      </c>
      <c r="AN18" s="537">
        <f t="shared" si="27"/>
        <v>126597373</v>
      </c>
      <c r="AO18" s="137">
        <f>IF(ISERR(AN18/$AN$11),"",AN18/$AN$11)</f>
        <v>0.1237953908470661</v>
      </c>
      <c r="AP18" s="525">
        <f t="shared" si="28"/>
        <v>140557133</v>
      </c>
      <c r="AQ18" s="305">
        <f>IF(ISERR(AP18/$AP$11),"",AP18/$AP$11)</f>
        <v>0.16202496929018961</v>
      </c>
      <c r="AR18" s="517">
        <f t="shared" si="29"/>
        <v>535309957</v>
      </c>
      <c r="AS18" s="304">
        <f>IF(ISERR(AR18/$AR$11),"",AR18/$AR$11)</f>
        <v>0.16649159217951789</v>
      </c>
      <c r="AT18" s="582">
        <f>AT11-AT17</f>
        <v>150399034</v>
      </c>
      <c r="AU18" s="138">
        <f t="shared" si="30"/>
        <v>0.16295459581994443</v>
      </c>
      <c r="AV18" s="597">
        <f>AV11-AV17</f>
        <v>573305903</v>
      </c>
      <c r="AW18" s="137">
        <f t="shared" si="31"/>
        <v>0.15844202386633535</v>
      </c>
      <c r="AX18" s="582">
        <f t="shared" si="32"/>
        <v>-9841901</v>
      </c>
      <c r="AY18" s="138">
        <f t="shared" si="33"/>
        <v>0.93456140815372524</v>
      </c>
      <c r="AZ18" s="597">
        <f t="shared" si="34"/>
        <v>-37995946</v>
      </c>
      <c r="BA18" s="137">
        <f t="shared" si="35"/>
        <v>0.93372483031977438</v>
      </c>
      <c r="BB18" s="13"/>
    </row>
    <row r="19" spans="1:54" ht="15.95" customHeight="1">
      <c r="A19" s="37" t="s">
        <v>15</v>
      </c>
      <c r="B19" s="702">
        <f>[4]本部!$I$19</f>
        <v>5756800</v>
      </c>
      <c r="C19" s="258" t="str">
        <f t="shared" ref="C19:C69" si="38">IF(ISERR(B19/$B$11),"",B19/$B$11)</f>
        <v/>
      </c>
      <c r="D19" s="727">
        <f>[4]本部!$L$19</f>
        <v>23027200</v>
      </c>
      <c r="E19" s="118" t="str">
        <f t="shared" ref="E19:E69" si="39">IF(ISERR(D19/$D$11),"",D19/$D$11)</f>
        <v/>
      </c>
      <c r="F19" s="351">
        <f>[4]本社営業!$I$19</f>
        <v>10308034</v>
      </c>
      <c r="G19" s="7">
        <f t="shared" ref="G19:G69" si="40">IF(ISERR(F19/$F$11),"",F19/$F$11)</f>
        <v>1.8697346524068272E-2</v>
      </c>
      <c r="H19" s="361">
        <f>[4]本社営業!$L$19</f>
        <v>40959038</v>
      </c>
      <c r="I19" s="120">
        <f t="shared" si="19"/>
        <v>1.9959386324216302E-2</v>
      </c>
      <c r="J19" s="744">
        <f>[4]東大阪!$I$19</f>
        <v>3747249</v>
      </c>
      <c r="K19" s="7">
        <f t="shared" si="20"/>
        <v>0.39499081209331538</v>
      </c>
      <c r="L19" s="361">
        <f>[4]東大阪!$L$19</f>
        <v>13219760</v>
      </c>
      <c r="M19" s="120">
        <f t="shared" si="37"/>
        <v>0.37471448760378318</v>
      </c>
      <c r="N19" s="402">
        <f>[4]南港工場!$I$19</f>
        <v>7260684</v>
      </c>
      <c r="O19" s="7">
        <f t="shared" ref="O19:O69" si="41">IF(ISERR(N19/$N$11),"",N19/$N$11)</f>
        <v>0.2510557177774409</v>
      </c>
      <c r="P19" s="361">
        <f>[4]南港工場!$L$19</f>
        <v>28433241</v>
      </c>
      <c r="Q19" s="203">
        <f t="shared" ref="Q19:Q69" si="42">IF(ISERR(P19/$P$11),"",P19/$P$11)</f>
        <v>0.2702662901214502</v>
      </c>
      <c r="R19" s="436">
        <f>[4]南港事務!$I$19</f>
        <v>2782092</v>
      </c>
      <c r="S19" s="7" t="str">
        <f t="shared" ref="S19:S69" si="43">IF(ISERR(R19/$R$11),"",R19/$R$11)</f>
        <v/>
      </c>
      <c r="T19" s="361">
        <f>[4]南港事務!$L$19</f>
        <v>11146097</v>
      </c>
      <c r="U19" s="203" t="str">
        <f t="shared" ref="U19:U69" si="44">IF(ISERR(T19/$T$11),"",T19/$T$11)</f>
        <v/>
      </c>
      <c r="V19" s="455">
        <f t="shared" si="21"/>
        <v>10042776</v>
      </c>
      <c r="W19" s="174">
        <f t="shared" ref="W19:W69" si="45">IF(ISERR(V19/$V$11),"",V19/$V$11)</f>
        <v>0.34725328042895914</v>
      </c>
      <c r="X19" s="425">
        <f t="shared" si="22"/>
        <v>39579338</v>
      </c>
      <c r="Y19" s="224">
        <f t="shared" ref="Y19:Y69" si="46">IF(ISERR(X19/$X$11),"",X19/$X$11)</f>
        <v>0.37621320927582397</v>
      </c>
      <c r="Z19" s="459">
        <f t="shared" si="23"/>
        <v>24098059</v>
      </c>
      <c r="AA19" s="188">
        <f t="shared" ref="AA19:AA69" si="47">IF(ISERR(Z19/$Z$11),"",Z19/$Z$11)</f>
        <v>4.0863731896970623E-2</v>
      </c>
      <c r="AB19" s="563">
        <f t="shared" si="24"/>
        <v>93758136</v>
      </c>
      <c r="AC19" s="119">
        <f t="shared" ref="AC19:AC69" si="48">IF(ISERR(AB19/$AB$11),"",AB19/$AB$11)</f>
        <v>4.2761105155734516E-2</v>
      </c>
      <c r="AD19" s="351">
        <f>[4]東京事務!$I$19</f>
        <v>3532514</v>
      </c>
      <c r="AE19" s="7">
        <f t="shared" ref="AE19:AE69" si="49">IF(ISERR(AD19/$AD$11),"",AD19/$AD$11)</f>
        <v>1.3237427957668309E-2</v>
      </c>
      <c r="AF19" s="361">
        <f>[4]東京事務!$L$19</f>
        <v>16357214</v>
      </c>
      <c r="AG19" s="80">
        <f t="shared" ref="AG19:AG69" si="50">IF(ISERR(AF19/$AF$11),"",AF19/$AF$11)</f>
        <v>1.6648168446148744E-2</v>
      </c>
      <c r="AH19" s="387">
        <f>[4]東京工場!$I$19</f>
        <v>3968889</v>
      </c>
      <c r="AI19" s="174">
        <f t="shared" si="25"/>
        <v>0.3632068742003437</v>
      </c>
      <c r="AJ19" s="361">
        <f>[4]東京工場!$L$19</f>
        <v>17544446</v>
      </c>
      <c r="AK19" s="102">
        <f t="shared" si="36"/>
        <v>0.4374012761999671</v>
      </c>
      <c r="AL19" s="546">
        <f t="shared" si="26"/>
        <v>7501403</v>
      </c>
      <c r="AM19" s="313">
        <f t="shared" ref="AM19:AM67" si="51">IF(ISERR(AL19/$AL$11),"",AL19/AL$11)</f>
        <v>2.7004311259931836E-2</v>
      </c>
      <c r="AN19" s="477">
        <f t="shared" si="27"/>
        <v>33901660</v>
      </c>
      <c r="AO19" s="119">
        <f t="shared" ref="AO19:AO69" si="52">IF(ISERR(AN19/$AN$11),"",AN19/$AN$11)</f>
        <v>3.315131389072621E-2</v>
      </c>
      <c r="AP19" s="526">
        <f t="shared" si="28"/>
        <v>37356262</v>
      </c>
      <c r="AQ19" s="282">
        <f t="shared" ref="AQ19:AQ69" si="53">IF(ISERR(AP19/$AP$11),"",AP19/$AP$11)</f>
        <v>4.3061828838997999E-2</v>
      </c>
      <c r="AR19" s="486">
        <f t="shared" si="29"/>
        <v>150686996</v>
      </c>
      <c r="AS19" s="283">
        <f t="shared" ref="AS19:AS69" si="54">IF(ISERR(AR19/$AR$11),"",AR19/$AR$11)</f>
        <v>4.6866525751525757E-2</v>
      </c>
      <c r="AT19" s="583">
        <f>[4]全社合計!$G$19</f>
        <v>37873007</v>
      </c>
      <c r="AU19" s="120">
        <f t="shared" si="30"/>
        <v>4.103470869481067E-2</v>
      </c>
      <c r="AV19" s="577">
        <f>[4]全社合計!$N$19</f>
        <v>147242530</v>
      </c>
      <c r="AW19" s="121">
        <f t="shared" si="31"/>
        <v>4.0692768608035071E-2</v>
      </c>
      <c r="AX19" s="583">
        <f t="shared" si="32"/>
        <v>-516745</v>
      </c>
      <c r="AY19" s="120">
        <f t="shared" si="33"/>
        <v>0.98635584969527246</v>
      </c>
      <c r="AZ19" s="577">
        <f t="shared" si="34"/>
        <v>3444466</v>
      </c>
      <c r="BA19" s="121">
        <f t="shared" si="35"/>
        <v>1.0233931459884587</v>
      </c>
      <c r="BB19" s="11"/>
    </row>
    <row r="20" spans="1:54" ht="15.95" customHeight="1">
      <c r="A20" s="37" t="s">
        <v>16</v>
      </c>
      <c r="B20" s="703">
        <f>[4]本部!$I$20</f>
        <v>56110</v>
      </c>
      <c r="C20" s="259" t="str">
        <f t="shared" si="38"/>
        <v/>
      </c>
      <c r="D20" s="728">
        <f>[4]本部!$L$20</f>
        <v>224440</v>
      </c>
      <c r="E20" s="122" t="str">
        <f t="shared" si="39"/>
        <v/>
      </c>
      <c r="F20" s="352">
        <f>[4]本社営業!$I$20</f>
        <v>259440</v>
      </c>
      <c r="G20" s="9">
        <f t="shared" si="40"/>
        <v>4.7058824041560911E-4</v>
      </c>
      <c r="H20" s="362">
        <f>[4]本社営業!$L$20</f>
        <v>728706</v>
      </c>
      <c r="I20" s="124">
        <f t="shared" si="19"/>
        <v>3.5509927188168741E-4</v>
      </c>
      <c r="J20" s="745">
        <f>[4]東大阪!$I$20</f>
        <v>163642</v>
      </c>
      <c r="K20" s="9">
        <f t="shared" si="20"/>
        <v>1.7249210413445785E-2</v>
      </c>
      <c r="L20" s="362">
        <f>[4]東大阪!$L$20</f>
        <v>654568</v>
      </c>
      <c r="M20" s="124">
        <f t="shared" si="37"/>
        <v>1.8553749290594772E-2</v>
      </c>
      <c r="N20" s="403">
        <f>[4]南港工場!$I$20</f>
        <v>241330</v>
      </c>
      <c r="O20" s="9">
        <f t="shared" si="41"/>
        <v>8.3445686895655853E-3</v>
      </c>
      <c r="P20" s="362">
        <f>[4]南港工場!$L$20</f>
        <v>965320</v>
      </c>
      <c r="Q20" s="204">
        <f t="shared" si="42"/>
        <v>9.1756495568000238E-3</v>
      </c>
      <c r="R20" s="437">
        <f>[4]南港事務!$I$20</f>
        <v>88532</v>
      </c>
      <c r="S20" s="9" t="str">
        <f t="shared" si="43"/>
        <v/>
      </c>
      <c r="T20" s="362">
        <f>[4]南港事務!$L$20</f>
        <v>354128</v>
      </c>
      <c r="U20" s="204" t="str">
        <f t="shared" si="44"/>
        <v/>
      </c>
      <c r="V20" s="456">
        <f t="shared" si="21"/>
        <v>329862</v>
      </c>
      <c r="W20" s="171">
        <f t="shared" si="45"/>
        <v>1.1405776808011782E-2</v>
      </c>
      <c r="X20" s="426">
        <f t="shared" si="22"/>
        <v>1319448</v>
      </c>
      <c r="Y20" s="225">
        <f t="shared" si="46"/>
        <v>1.2541739999607051E-2</v>
      </c>
      <c r="Z20" s="460">
        <f t="shared" si="23"/>
        <v>752944</v>
      </c>
      <c r="AA20" s="189">
        <f t="shared" si="47"/>
        <v>1.2767875516211762E-3</v>
      </c>
      <c r="AB20" s="564">
        <f t="shared" si="24"/>
        <v>2702722</v>
      </c>
      <c r="AC20" s="123">
        <f t="shared" si="48"/>
        <v>1.2326544082394844E-3</v>
      </c>
      <c r="AD20" s="352">
        <f>[4]東京事務!$I$20</f>
        <v>86532</v>
      </c>
      <c r="AE20" s="9">
        <f t="shared" si="49"/>
        <v>3.2426230045597951E-4</v>
      </c>
      <c r="AF20" s="362">
        <f>[4]東京事務!$L$20</f>
        <v>431394</v>
      </c>
      <c r="AG20" s="81">
        <f t="shared" si="50"/>
        <v>4.3906743401766899E-4</v>
      </c>
      <c r="AH20" s="388">
        <f>[4]東京工場!$I$20</f>
        <v>106220</v>
      </c>
      <c r="AI20" s="171">
        <f t="shared" si="25"/>
        <v>9.720562650545406E-3</v>
      </c>
      <c r="AJ20" s="362">
        <f>[4]東京工場!$L$20</f>
        <v>441146</v>
      </c>
      <c r="AK20" s="99">
        <f t="shared" si="36"/>
        <v>1.0998228350471179E-2</v>
      </c>
      <c r="AL20" s="547">
        <f t="shared" si="26"/>
        <v>192752</v>
      </c>
      <c r="AM20" s="314">
        <f t="shared" si="51"/>
        <v>6.9388819717783204E-4</v>
      </c>
      <c r="AN20" s="478">
        <f t="shared" si="27"/>
        <v>872540</v>
      </c>
      <c r="AO20" s="123">
        <f t="shared" si="52"/>
        <v>8.5322805497471937E-4</v>
      </c>
      <c r="AP20" s="527">
        <f t="shared" si="28"/>
        <v>1001806</v>
      </c>
      <c r="AQ20" s="284">
        <f t="shared" si="53"/>
        <v>1.1548157174259359E-3</v>
      </c>
      <c r="AR20" s="487">
        <f t="shared" si="29"/>
        <v>3799702</v>
      </c>
      <c r="AS20" s="285">
        <f t="shared" si="54"/>
        <v>1.1817796914016649E-3</v>
      </c>
      <c r="AT20" s="584">
        <f>[4]全社合計!$G$20</f>
        <v>1046228</v>
      </c>
      <c r="AU20" s="124">
        <f t="shared" si="30"/>
        <v>1.1335688557381879E-3</v>
      </c>
      <c r="AV20" s="578">
        <f>[4]全社合計!$N$20</f>
        <v>4259312</v>
      </c>
      <c r="AW20" s="125">
        <f t="shared" si="31"/>
        <v>1.1771272718923472E-3</v>
      </c>
      <c r="AX20" s="584">
        <f t="shared" si="32"/>
        <v>-44422</v>
      </c>
      <c r="AY20" s="124">
        <f t="shared" si="33"/>
        <v>0.95754080372538297</v>
      </c>
      <c r="AZ20" s="578">
        <f t="shared" si="34"/>
        <v>-459610</v>
      </c>
      <c r="BA20" s="125">
        <f t="shared" si="35"/>
        <v>0.89209290138876884</v>
      </c>
      <c r="BB20" s="11"/>
    </row>
    <row r="21" spans="1:54" ht="15.95" customHeight="1">
      <c r="A21" s="37" t="s">
        <v>17</v>
      </c>
      <c r="B21" s="703">
        <f>[4]本部!$I$21</f>
        <v>0</v>
      </c>
      <c r="C21" s="259" t="str">
        <f t="shared" si="38"/>
        <v/>
      </c>
      <c r="D21" s="728">
        <f>[4]本部!$L$21</f>
        <v>0</v>
      </c>
      <c r="E21" s="122" t="str">
        <f t="shared" si="39"/>
        <v/>
      </c>
      <c r="F21" s="352">
        <f>[4]本社営業!$I$21</f>
        <v>0</v>
      </c>
      <c r="G21" s="9">
        <f t="shared" si="40"/>
        <v>0</v>
      </c>
      <c r="H21" s="362">
        <f>[4]本社営業!$L$21</f>
        <v>0</v>
      </c>
      <c r="I21" s="124">
        <f t="shared" si="19"/>
        <v>0</v>
      </c>
      <c r="J21" s="745">
        <f>[4]東大阪!$I$21</f>
        <v>0</v>
      </c>
      <c r="K21" s="9">
        <f t="shared" si="20"/>
        <v>0</v>
      </c>
      <c r="L21" s="362">
        <f>[4]東大阪!$L$21</f>
        <v>0</v>
      </c>
      <c r="M21" s="124">
        <f t="shared" si="37"/>
        <v>0</v>
      </c>
      <c r="N21" s="403">
        <f>[4]南港工場!$I$21</f>
        <v>0</v>
      </c>
      <c r="O21" s="9">
        <f t="shared" si="41"/>
        <v>0</v>
      </c>
      <c r="P21" s="362">
        <f>[4]南港工場!$L$21</f>
        <v>0</v>
      </c>
      <c r="Q21" s="204">
        <f t="shared" si="42"/>
        <v>0</v>
      </c>
      <c r="R21" s="437">
        <f>[4]南港事務!$I$21</f>
        <v>0</v>
      </c>
      <c r="S21" s="9" t="str">
        <f t="shared" si="43"/>
        <v/>
      </c>
      <c r="T21" s="362">
        <f>[4]南港事務!$L$21</f>
        <v>0</v>
      </c>
      <c r="U21" s="204" t="str">
        <f t="shared" si="44"/>
        <v/>
      </c>
      <c r="V21" s="456">
        <f t="shared" si="21"/>
        <v>0</v>
      </c>
      <c r="W21" s="171">
        <f t="shared" si="45"/>
        <v>0</v>
      </c>
      <c r="X21" s="426">
        <f t="shared" si="22"/>
        <v>0</v>
      </c>
      <c r="Y21" s="225">
        <f t="shared" si="46"/>
        <v>0</v>
      </c>
      <c r="Z21" s="460">
        <f t="shared" si="23"/>
        <v>0</v>
      </c>
      <c r="AA21" s="189">
        <f t="shared" si="47"/>
        <v>0</v>
      </c>
      <c r="AB21" s="564">
        <f t="shared" si="24"/>
        <v>0</v>
      </c>
      <c r="AC21" s="123">
        <f t="shared" si="48"/>
        <v>0</v>
      </c>
      <c r="AD21" s="352">
        <f>[4]東京事務!$I$21</f>
        <v>0</v>
      </c>
      <c r="AE21" s="9">
        <f t="shared" si="49"/>
        <v>0</v>
      </c>
      <c r="AF21" s="362">
        <f>[4]東京事務!$L$21</f>
        <v>0</v>
      </c>
      <c r="AG21" s="81">
        <f t="shared" si="50"/>
        <v>0</v>
      </c>
      <c r="AH21" s="388">
        <f>[4]東京工場!$I$21</f>
        <v>0</v>
      </c>
      <c r="AI21" s="171">
        <f t="shared" si="25"/>
        <v>0</v>
      </c>
      <c r="AJ21" s="362">
        <f>[4]東京工場!$L$21</f>
        <v>0</v>
      </c>
      <c r="AK21" s="99">
        <f t="shared" si="36"/>
        <v>0</v>
      </c>
      <c r="AL21" s="547">
        <f t="shared" si="26"/>
        <v>0</v>
      </c>
      <c r="AM21" s="314">
        <f t="shared" si="51"/>
        <v>0</v>
      </c>
      <c r="AN21" s="478">
        <f t="shared" si="27"/>
        <v>0</v>
      </c>
      <c r="AO21" s="123">
        <f t="shared" si="52"/>
        <v>0</v>
      </c>
      <c r="AP21" s="527">
        <f t="shared" si="28"/>
        <v>0</v>
      </c>
      <c r="AQ21" s="284">
        <f t="shared" si="53"/>
        <v>0</v>
      </c>
      <c r="AR21" s="487">
        <f t="shared" si="29"/>
        <v>0</v>
      </c>
      <c r="AS21" s="285">
        <f t="shared" si="54"/>
        <v>0</v>
      </c>
      <c r="AT21" s="584">
        <f>[4]全社合計!$G$21</f>
        <v>0</v>
      </c>
      <c r="AU21" s="124">
        <f t="shared" si="30"/>
        <v>0</v>
      </c>
      <c r="AV21" s="578">
        <f>[4]全社合計!$N$21</f>
        <v>2035207</v>
      </c>
      <c r="AW21" s="125">
        <f t="shared" si="31"/>
        <v>5.6246118238020794E-4</v>
      </c>
      <c r="AX21" s="584">
        <f t="shared" si="32"/>
        <v>0</v>
      </c>
      <c r="AY21" s="124" t="str">
        <f t="shared" si="33"/>
        <v/>
      </c>
      <c r="AZ21" s="578">
        <f t="shared" si="34"/>
        <v>-2035207</v>
      </c>
      <c r="BA21" s="125">
        <f t="shared" si="35"/>
        <v>0</v>
      </c>
      <c r="BB21" s="11"/>
    </row>
    <row r="22" spans="1:54" ht="15.95" customHeight="1">
      <c r="A22" s="37" t="s">
        <v>18</v>
      </c>
      <c r="B22" s="703">
        <f>[4]本部!$I$22</f>
        <v>354305</v>
      </c>
      <c r="C22" s="259" t="str">
        <f t="shared" si="38"/>
        <v/>
      </c>
      <c r="D22" s="728">
        <f>[4]本部!$L$22</f>
        <v>1739642</v>
      </c>
      <c r="E22" s="122" t="str">
        <f t="shared" si="39"/>
        <v/>
      </c>
      <c r="F22" s="352">
        <f>[4]本社営業!$I$22</f>
        <v>1157061</v>
      </c>
      <c r="G22" s="9">
        <f t="shared" si="40"/>
        <v>2.0987484583854651E-3</v>
      </c>
      <c r="H22" s="362">
        <f>[4]本社営業!$L$22</f>
        <v>6128233</v>
      </c>
      <c r="I22" s="124">
        <f t="shared" si="19"/>
        <v>2.9862949889548442E-3</v>
      </c>
      <c r="J22" s="745">
        <f>[4]東大阪!$I$22</f>
        <v>664890</v>
      </c>
      <c r="K22" s="9">
        <f t="shared" si="20"/>
        <v>7.0084865204507213E-2</v>
      </c>
      <c r="L22" s="362">
        <f>[4]東大阪!$L$22</f>
        <v>3949162</v>
      </c>
      <c r="M22" s="124">
        <f t="shared" si="37"/>
        <v>0.1119391135160042</v>
      </c>
      <c r="N22" s="403">
        <f>[4]南港工場!$I$22</f>
        <v>875316</v>
      </c>
      <c r="O22" s="9">
        <f t="shared" si="41"/>
        <v>3.026616867805822E-2</v>
      </c>
      <c r="P22" s="362">
        <f>[4]南港工場!$L$22</f>
        <v>5466266</v>
      </c>
      <c r="Q22" s="204">
        <f t="shared" si="42"/>
        <v>5.1958460614356938E-2</v>
      </c>
      <c r="R22" s="437">
        <f>[4]南港事務!$I$22</f>
        <v>366485</v>
      </c>
      <c r="S22" s="9" t="str">
        <f t="shared" si="43"/>
        <v/>
      </c>
      <c r="T22" s="362">
        <f>[4]南港事務!$L$22</f>
        <v>2197067</v>
      </c>
      <c r="U22" s="204" t="str">
        <f t="shared" si="44"/>
        <v/>
      </c>
      <c r="V22" s="456">
        <f t="shared" si="21"/>
        <v>1241801</v>
      </c>
      <c r="W22" s="171">
        <f t="shared" si="45"/>
        <v>4.2938274326736144E-2</v>
      </c>
      <c r="X22" s="426">
        <f t="shared" si="22"/>
        <v>7663333</v>
      </c>
      <c r="Y22" s="225">
        <f t="shared" si="46"/>
        <v>7.284222645864688E-2</v>
      </c>
      <c r="Z22" s="460">
        <f t="shared" si="23"/>
        <v>3063752</v>
      </c>
      <c r="AA22" s="189">
        <f t="shared" si="47"/>
        <v>5.1952873186511643E-3</v>
      </c>
      <c r="AB22" s="564">
        <f t="shared" si="24"/>
        <v>17740728</v>
      </c>
      <c r="AC22" s="123">
        <f t="shared" si="48"/>
        <v>8.091171261630923E-3</v>
      </c>
      <c r="AD22" s="352">
        <f>[4]東京事務!$I$22</f>
        <v>455274</v>
      </c>
      <c r="AE22" s="9">
        <f t="shared" si="49"/>
        <v>1.7060531893148849E-3</v>
      </c>
      <c r="AF22" s="362">
        <f>[4]東京事務!$L$22</f>
        <v>2782939</v>
      </c>
      <c r="AG22" s="81">
        <f t="shared" si="50"/>
        <v>2.8324406128914579E-3</v>
      </c>
      <c r="AH22" s="388">
        <f>[4]東京工場!$I$22</f>
        <v>476088</v>
      </c>
      <c r="AI22" s="171">
        <f t="shared" si="25"/>
        <v>4.3568473274080789E-2</v>
      </c>
      <c r="AJ22" s="362">
        <f>[4]東京工場!$L$22</f>
        <v>3261315</v>
      </c>
      <c r="AK22" s="99">
        <f t="shared" si="36"/>
        <v>8.1307973081059137E-2</v>
      </c>
      <c r="AL22" s="547">
        <f t="shared" si="26"/>
        <v>931362</v>
      </c>
      <c r="AM22" s="314">
        <f t="shared" si="51"/>
        <v>3.3528113799075497E-3</v>
      </c>
      <c r="AN22" s="478">
        <f t="shared" si="27"/>
        <v>6044254</v>
      </c>
      <c r="AO22" s="123">
        <f t="shared" si="52"/>
        <v>5.9104764070336806E-3</v>
      </c>
      <c r="AP22" s="527">
        <f t="shared" si="28"/>
        <v>4349419</v>
      </c>
      <c r="AQ22" s="284">
        <f t="shared" si="53"/>
        <v>5.0137226397835482E-3</v>
      </c>
      <c r="AR22" s="487">
        <f t="shared" si="29"/>
        <v>25524624</v>
      </c>
      <c r="AS22" s="285">
        <f t="shared" si="54"/>
        <v>7.9386442078519665E-3</v>
      </c>
      <c r="AT22" s="584">
        <f>[4]全社合計!$G$22</f>
        <v>4066144</v>
      </c>
      <c r="AU22" s="124">
        <f t="shared" si="30"/>
        <v>4.405592472526732E-3</v>
      </c>
      <c r="AV22" s="578">
        <f>[4]全社合計!$N$22</f>
        <v>23731192</v>
      </c>
      <c r="AW22" s="125">
        <f t="shared" si="31"/>
        <v>6.5584848674418526E-3</v>
      </c>
      <c r="AX22" s="584">
        <f t="shared" si="32"/>
        <v>283275</v>
      </c>
      <c r="AY22" s="124">
        <f t="shared" si="33"/>
        <v>1.0696667407745519</v>
      </c>
      <c r="AZ22" s="578">
        <f t="shared" si="34"/>
        <v>1793432</v>
      </c>
      <c r="BA22" s="125">
        <f t="shared" si="35"/>
        <v>1.0755727735884484</v>
      </c>
      <c r="BB22" s="11"/>
    </row>
    <row r="23" spans="1:54" ht="15.95" customHeight="1">
      <c r="A23" s="37" t="s">
        <v>19</v>
      </c>
      <c r="B23" s="703">
        <f>[4]本部!$I$23</f>
        <v>539138</v>
      </c>
      <c r="C23" s="259" t="str">
        <f t="shared" si="38"/>
        <v/>
      </c>
      <c r="D23" s="728">
        <f>[4]本部!$L$23</f>
        <v>2149777</v>
      </c>
      <c r="E23" s="122" t="str">
        <f t="shared" si="39"/>
        <v/>
      </c>
      <c r="F23" s="352">
        <f>[4]本社営業!$I$23</f>
        <v>418127</v>
      </c>
      <c r="G23" s="9">
        <f t="shared" si="40"/>
        <v>7.5842448812926829E-4</v>
      </c>
      <c r="H23" s="362">
        <f>[4]本社営業!$L$23</f>
        <v>1425104</v>
      </c>
      <c r="I23" s="124">
        <f t="shared" si="19"/>
        <v>6.9445481820608064E-4</v>
      </c>
      <c r="J23" s="745">
        <f>[4]東大阪!$I$23</f>
        <v>82509</v>
      </c>
      <c r="K23" s="9">
        <f t="shared" si="20"/>
        <v>8.6971260556764057E-3</v>
      </c>
      <c r="L23" s="362">
        <f>[4]東大阪!$L$23</f>
        <v>368081</v>
      </c>
      <c r="M23" s="124">
        <f t="shared" si="37"/>
        <v>1.0433266815107697E-2</v>
      </c>
      <c r="N23" s="403">
        <f>[4]南港工場!$I$23</f>
        <v>108985</v>
      </c>
      <c r="O23" s="9">
        <f t="shared" si="41"/>
        <v>3.7684200830079367E-3</v>
      </c>
      <c r="P23" s="362">
        <f>[4]南港工場!$L$23</f>
        <v>379422</v>
      </c>
      <c r="Q23" s="204">
        <f t="shared" si="42"/>
        <v>3.6065173270419951E-3</v>
      </c>
      <c r="R23" s="437">
        <f>[4]南港事務!$I$23</f>
        <v>47544</v>
      </c>
      <c r="S23" s="9" t="str">
        <f t="shared" si="43"/>
        <v/>
      </c>
      <c r="T23" s="362">
        <f>[4]南港事務!$L$23</f>
        <v>292197</v>
      </c>
      <c r="U23" s="204" t="str">
        <f t="shared" si="44"/>
        <v/>
      </c>
      <c r="V23" s="456">
        <f t="shared" si="21"/>
        <v>156529</v>
      </c>
      <c r="W23" s="171">
        <f t="shared" si="45"/>
        <v>5.4123689239175057E-3</v>
      </c>
      <c r="X23" s="426">
        <f t="shared" si="22"/>
        <v>671619</v>
      </c>
      <c r="Y23" s="225">
        <f t="shared" si="46"/>
        <v>6.383935461493055E-3</v>
      </c>
      <c r="Z23" s="460">
        <f t="shared" si="23"/>
        <v>657165</v>
      </c>
      <c r="AA23" s="189">
        <f t="shared" si="47"/>
        <v>1.1143725049421076E-3</v>
      </c>
      <c r="AB23" s="564">
        <f t="shared" si="24"/>
        <v>2464804</v>
      </c>
      <c r="AC23" s="123">
        <f t="shared" si="48"/>
        <v>1.1241450345415896E-3</v>
      </c>
      <c r="AD23" s="352">
        <f>[4]東京事務!$I$23</f>
        <v>65809</v>
      </c>
      <c r="AE23" s="9">
        <f t="shared" si="49"/>
        <v>2.4660677819428138E-4</v>
      </c>
      <c r="AF23" s="362">
        <f>[4]東京事務!$L$23</f>
        <v>290080</v>
      </c>
      <c r="AG23" s="81">
        <f t="shared" si="50"/>
        <v>2.9523980690469831E-4</v>
      </c>
      <c r="AH23" s="388">
        <f>[4]東京工場!$I$23</f>
        <v>105610</v>
      </c>
      <c r="AI23" s="171">
        <f t="shared" si="25"/>
        <v>9.664739423122768E-3</v>
      </c>
      <c r="AJ23" s="362">
        <f>[4]東京工場!$L$23</f>
        <v>309895</v>
      </c>
      <c r="AK23" s="99">
        <f t="shared" si="36"/>
        <v>7.7260044852934537E-3</v>
      </c>
      <c r="AL23" s="547">
        <f t="shared" si="26"/>
        <v>171419</v>
      </c>
      <c r="AM23" s="314">
        <f t="shared" si="51"/>
        <v>6.1709150033217191E-4</v>
      </c>
      <c r="AN23" s="478">
        <f t="shared" si="27"/>
        <v>599975</v>
      </c>
      <c r="AO23" s="123">
        <f t="shared" si="52"/>
        <v>5.8669574149432377E-4</v>
      </c>
      <c r="AP23" s="527">
        <f t="shared" si="28"/>
        <v>1367722</v>
      </c>
      <c r="AQ23" s="284">
        <f t="shared" si="53"/>
        <v>1.5766194878741352E-3</v>
      </c>
      <c r="AR23" s="487">
        <f t="shared" si="29"/>
        <v>5214556</v>
      </c>
      <c r="AS23" s="285">
        <f t="shared" si="54"/>
        <v>1.6218262328142313E-3</v>
      </c>
      <c r="AT23" s="584">
        <f>[4]全社合計!$G$23</f>
        <v>1338293</v>
      </c>
      <c r="AU23" s="124">
        <f t="shared" si="30"/>
        <v>1.4500159283181359E-3</v>
      </c>
      <c r="AV23" s="578">
        <f>[4]全社合計!$N$23</f>
        <v>5009812</v>
      </c>
      <c r="AW23" s="125">
        <f t="shared" si="31"/>
        <v>1.3845396468381615E-3</v>
      </c>
      <c r="AX23" s="584">
        <f t="shared" si="32"/>
        <v>29429</v>
      </c>
      <c r="AY23" s="124">
        <f t="shared" si="33"/>
        <v>1.0219899528728014</v>
      </c>
      <c r="AZ23" s="578">
        <f t="shared" si="34"/>
        <v>204744</v>
      </c>
      <c r="BA23" s="125">
        <f t="shared" si="35"/>
        <v>1.0408685994604188</v>
      </c>
      <c r="BB23" s="11"/>
    </row>
    <row r="24" spans="1:54" ht="15.95" customHeight="1">
      <c r="A24" s="37" t="s">
        <v>20</v>
      </c>
      <c r="B24" s="703">
        <f>[4]本部!$I$24</f>
        <v>45000</v>
      </c>
      <c r="C24" s="259" t="str">
        <f t="shared" si="38"/>
        <v/>
      </c>
      <c r="D24" s="728">
        <f>[4]本部!$L$24</f>
        <v>180000</v>
      </c>
      <c r="E24" s="122" t="str">
        <f t="shared" si="39"/>
        <v/>
      </c>
      <c r="F24" s="352">
        <f>[4]本社営業!$I$24</f>
        <v>181650</v>
      </c>
      <c r="G24" s="9">
        <f t="shared" si="40"/>
        <v>3.2948795047600752E-4</v>
      </c>
      <c r="H24" s="362">
        <f>[4]本社営業!$L$24</f>
        <v>1398600</v>
      </c>
      <c r="I24" s="124">
        <f t="shared" si="19"/>
        <v>6.815393885239424E-4</v>
      </c>
      <c r="J24" s="745">
        <f>[4]東大阪!$I$24</f>
        <v>96410</v>
      </c>
      <c r="K24" s="9">
        <f t="shared" si="20"/>
        <v>1.01624055924537E-2</v>
      </c>
      <c r="L24" s="362">
        <f>[4]東大阪!$L$24</f>
        <v>385640</v>
      </c>
      <c r="M24" s="124">
        <f t="shared" si="37"/>
        <v>1.0930977188657204E-2</v>
      </c>
      <c r="N24" s="403">
        <f>[4]南港工場!$I$24</f>
        <v>28600</v>
      </c>
      <c r="O24" s="9">
        <f t="shared" si="41"/>
        <v>9.8891420263363754E-4</v>
      </c>
      <c r="P24" s="362">
        <f>[4]南港工場!$L$24</f>
        <v>114400</v>
      </c>
      <c r="Q24" s="204">
        <f t="shared" si="42"/>
        <v>1.0874055331889143E-3</v>
      </c>
      <c r="R24" s="437">
        <f>[4]南港事務!$I$24</f>
        <v>0</v>
      </c>
      <c r="S24" s="9" t="str">
        <f t="shared" si="43"/>
        <v/>
      </c>
      <c r="T24" s="362">
        <f>[4]南港事務!$L$24</f>
        <v>0</v>
      </c>
      <c r="U24" s="204" t="str">
        <f t="shared" si="44"/>
        <v/>
      </c>
      <c r="V24" s="456">
        <f t="shared" si="21"/>
        <v>28600</v>
      </c>
      <c r="W24" s="171">
        <f t="shared" si="45"/>
        <v>9.8891420263363754E-4</v>
      </c>
      <c r="X24" s="426">
        <f t="shared" si="22"/>
        <v>114400</v>
      </c>
      <c r="Y24" s="225">
        <f t="shared" si="46"/>
        <v>1.0874055331889143E-3</v>
      </c>
      <c r="Z24" s="460">
        <f t="shared" si="23"/>
        <v>306660</v>
      </c>
      <c r="AA24" s="189">
        <f t="shared" si="47"/>
        <v>5.200116749454806E-4</v>
      </c>
      <c r="AB24" s="564">
        <f t="shared" si="24"/>
        <v>1898640</v>
      </c>
      <c r="AC24" s="123">
        <f t="shared" si="48"/>
        <v>8.6592959455682628E-4</v>
      </c>
      <c r="AD24" s="352">
        <f>[4]東京事務!$I$24</f>
        <v>143500</v>
      </c>
      <c r="AE24" s="9">
        <f t="shared" si="49"/>
        <v>5.3773910363140876E-4</v>
      </c>
      <c r="AF24" s="362">
        <f>[4]東京事務!$L$24</f>
        <v>574000</v>
      </c>
      <c r="AG24" s="81">
        <f t="shared" si="50"/>
        <v>5.8421004262030067E-4</v>
      </c>
      <c r="AH24" s="388">
        <f>[4]東京工場!$I$24</f>
        <v>0</v>
      </c>
      <c r="AI24" s="171">
        <f t="shared" si="25"/>
        <v>0</v>
      </c>
      <c r="AJ24" s="362">
        <f>[4]東京工場!$L$24</f>
        <v>0</v>
      </c>
      <c r="AK24" s="99">
        <f t="shared" si="36"/>
        <v>0</v>
      </c>
      <c r="AL24" s="547">
        <f t="shared" si="26"/>
        <v>143500</v>
      </c>
      <c r="AM24" s="314">
        <f t="shared" si="51"/>
        <v>5.1658585277983575E-4</v>
      </c>
      <c r="AN24" s="478">
        <f t="shared" si="27"/>
        <v>574000</v>
      </c>
      <c r="AO24" s="123">
        <f t="shared" si="52"/>
        <v>5.6129564668151483E-4</v>
      </c>
      <c r="AP24" s="527">
        <f t="shared" si="28"/>
        <v>495160</v>
      </c>
      <c r="AQ24" s="284">
        <f t="shared" si="53"/>
        <v>5.7078770803990634E-4</v>
      </c>
      <c r="AR24" s="487">
        <f t="shared" si="29"/>
        <v>2652640</v>
      </c>
      <c r="AS24" s="285">
        <f t="shared" si="54"/>
        <v>8.2502156237507901E-4</v>
      </c>
      <c r="AT24" s="584">
        <f>[4]全社合計!$G$24</f>
        <v>466559</v>
      </c>
      <c r="AU24" s="124">
        <f t="shared" si="30"/>
        <v>5.0550812228725779E-4</v>
      </c>
      <c r="AV24" s="578">
        <f>[4]全社合計!$N$24</f>
        <v>2621743</v>
      </c>
      <c r="AW24" s="125">
        <f t="shared" si="31"/>
        <v>7.2455954980354996E-4</v>
      </c>
      <c r="AX24" s="584">
        <f t="shared" si="32"/>
        <v>28601</v>
      </c>
      <c r="AY24" s="124">
        <f t="shared" si="33"/>
        <v>1.0613020003900899</v>
      </c>
      <c r="AZ24" s="578">
        <f t="shared" si="34"/>
        <v>30897</v>
      </c>
      <c r="BA24" s="125">
        <f t="shared" si="35"/>
        <v>1.0117849079791574</v>
      </c>
      <c r="BB24" s="11"/>
    </row>
    <row r="25" spans="1:54" ht="15.95" customHeight="1">
      <c r="A25" s="37" t="s">
        <v>54</v>
      </c>
      <c r="B25" s="703">
        <f>[4]本部!$I$25</f>
        <v>129379</v>
      </c>
      <c r="C25" s="259" t="str">
        <f t="shared" si="38"/>
        <v/>
      </c>
      <c r="D25" s="728">
        <f>[4]本部!$L$25</f>
        <v>517516</v>
      </c>
      <c r="E25" s="122" t="str">
        <f t="shared" si="39"/>
        <v/>
      </c>
      <c r="F25" s="352">
        <f>[4]本社営業!$I$25</f>
        <v>97290</v>
      </c>
      <c r="G25" s="9">
        <f t="shared" si="40"/>
        <v>1.7647059015585341E-4</v>
      </c>
      <c r="H25" s="362">
        <f>[4]本社営業!$L$25</f>
        <v>356400</v>
      </c>
      <c r="I25" s="124">
        <f t="shared" si="19"/>
        <v>1.7367412989413204E-4</v>
      </c>
      <c r="J25" s="745">
        <f>[4]東大阪!$I$25</f>
        <v>10180</v>
      </c>
      <c r="K25" s="9">
        <f t="shared" si="20"/>
        <v>1.0730555848063341E-3</v>
      </c>
      <c r="L25" s="362">
        <f>[4]東大阪!$L$25</f>
        <v>40720</v>
      </c>
      <c r="M25" s="124">
        <f t="shared" si="37"/>
        <v>1.1542096025363585E-3</v>
      </c>
      <c r="N25" s="403">
        <f>[4]南港工場!$I$25</f>
        <v>0</v>
      </c>
      <c r="O25" s="9">
        <f t="shared" si="41"/>
        <v>0</v>
      </c>
      <c r="P25" s="362">
        <f>[4]南港工場!$L$25</f>
        <v>0</v>
      </c>
      <c r="Q25" s="204">
        <f t="shared" si="42"/>
        <v>0</v>
      </c>
      <c r="R25" s="437">
        <f>[4]南港事務!$I$25</f>
        <v>24460</v>
      </c>
      <c r="S25" s="9" t="str">
        <f t="shared" si="43"/>
        <v/>
      </c>
      <c r="T25" s="362">
        <f>[4]南港事務!$L$25</f>
        <v>64660</v>
      </c>
      <c r="U25" s="204" t="str">
        <f t="shared" si="44"/>
        <v/>
      </c>
      <c r="V25" s="456">
        <f t="shared" si="21"/>
        <v>24460</v>
      </c>
      <c r="W25" s="171">
        <f t="shared" si="45"/>
        <v>8.4576368518946769E-4</v>
      </c>
      <c r="X25" s="426">
        <f t="shared" si="22"/>
        <v>64660</v>
      </c>
      <c r="Y25" s="225">
        <f t="shared" si="46"/>
        <v>6.1461225328667132E-4</v>
      </c>
      <c r="Z25" s="460">
        <f t="shared" si="23"/>
        <v>131930</v>
      </c>
      <c r="AA25" s="189">
        <f t="shared" si="47"/>
        <v>2.2371727736110756E-4</v>
      </c>
      <c r="AB25" s="564">
        <f t="shared" si="24"/>
        <v>461780</v>
      </c>
      <c r="AC25" s="123">
        <f t="shared" si="48"/>
        <v>2.1060810273377327E-4</v>
      </c>
      <c r="AD25" s="352">
        <f>[4]東京事務!$I$25</f>
        <v>27542</v>
      </c>
      <c r="AE25" s="9">
        <f t="shared" si="49"/>
        <v>1.0320843478896348E-4</v>
      </c>
      <c r="AF25" s="362">
        <f>[4]東京事務!$L$25</f>
        <v>101708</v>
      </c>
      <c r="AG25" s="81">
        <f t="shared" si="50"/>
        <v>1.0351713417216993E-4</v>
      </c>
      <c r="AH25" s="388">
        <f>[4]東京工場!$I$25</f>
        <v>8300</v>
      </c>
      <c r="AI25" s="171">
        <f t="shared" si="25"/>
        <v>7.5956194689820065E-4</v>
      </c>
      <c r="AJ25" s="362">
        <f>[4]東京工場!$L$25</f>
        <v>33200</v>
      </c>
      <c r="AK25" s="99">
        <f t="shared" si="36"/>
        <v>8.2771051134010768E-4</v>
      </c>
      <c r="AL25" s="547">
        <f t="shared" si="26"/>
        <v>35842</v>
      </c>
      <c r="AM25" s="314">
        <f t="shared" si="51"/>
        <v>1.2902766644832666E-4</v>
      </c>
      <c r="AN25" s="478">
        <f t="shared" si="27"/>
        <v>134908</v>
      </c>
      <c r="AO25" s="123">
        <f t="shared" si="52"/>
        <v>1.3192207857580106E-4</v>
      </c>
      <c r="AP25" s="527">
        <f t="shared" si="28"/>
        <v>297151</v>
      </c>
      <c r="AQ25" s="284">
        <f t="shared" si="53"/>
        <v>3.4253602518734592E-4</v>
      </c>
      <c r="AR25" s="487">
        <f t="shared" si="29"/>
        <v>1114204</v>
      </c>
      <c r="AS25" s="285">
        <f t="shared" si="54"/>
        <v>3.4653866521071932E-4</v>
      </c>
      <c r="AT25" s="584">
        <f>[4]全社合計!$G$25</f>
        <v>260901</v>
      </c>
      <c r="AU25" s="124">
        <f t="shared" si="30"/>
        <v>2.8268144996210096E-4</v>
      </c>
      <c r="AV25" s="578">
        <f>[4]全社合計!$N$25</f>
        <v>1012044</v>
      </c>
      <c r="AW25" s="125">
        <f t="shared" si="31"/>
        <v>2.7969413669508563E-4</v>
      </c>
      <c r="AX25" s="584">
        <f t="shared" si="32"/>
        <v>36250</v>
      </c>
      <c r="AY25" s="124">
        <f t="shared" si="33"/>
        <v>1.1389415908716334</v>
      </c>
      <c r="AZ25" s="578">
        <f t="shared" si="34"/>
        <v>102160</v>
      </c>
      <c r="BA25" s="125">
        <f t="shared" si="35"/>
        <v>1.1009442277213244</v>
      </c>
      <c r="BB25" s="11"/>
    </row>
    <row r="26" spans="1:54" ht="15.95" customHeight="1">
      <c r="A26" s="37" t="s">
        <v>55</v>
      </c>
      <c r="B26" s="703">
        <f>[4]本部!$I$26</f>
        <v>348701</v>
      </c>
      <c r="C26" s="259" t="str">
        <f t="shared" si="38"/>
        <v/>
      </c>
      <c r="D26" s="728">
        <f>[4]本部!$L$26</f>
        <v>1354804</v>
      </c>
      <c r="E26" s="122" t="str">
        <f t="shared" si="39"/>
        <v/>
      </c>
      <c r="F26" s="352">
        <f>[4]本社営業!$I$26</f>
        <v>680</v>
      </c>
      <c r="G26" s="9">
        <f t="shared" si="40"/>
        <v>1.2334258536949359E-6</v>
      </c>
      <c r="H26" s="362">
        <f>[4]本社営業!$L$26</f>
        <v>2720</v>
      </c>
      <c r="I26" s="124">
        <f t="shared" si="19"/>
        <v>1.3254591282604915E-6</v>
      </c>
      <c r="J26" s="745">
        <f>[4]東大阪!$I$26</f>
        <v>5520</v>
      </c>
      <c r="K26" s="9">
        <f t="shared" si="20"/>
        <v>5.8185332299911239E-4</v>
      </c>
      <c r="L26" s="362">
        <f>[4]東大阪!$L$26</f>
        <v>77133</v>
      </c>
      <c r="M26" s="124">
        <f t="shared" si="37"/>
        <v>2.1863371628791E-3</v>
      </c>
      <c r="N26" s="403">
        <f>[4]南港工場!$I$26</f>
        <v>0</v>
      </c>
      <c r="O26" s="9">
        <f t="shared" si="41"/>
        <v>0</v>
      </c>
      <c r="P26" s="362">
        <f>[4]南港工場!$L$26</f>
        <v>78417</v>
      </c>
      <c r="Q26" s="204">
        <f t="shared" si="42"/>
        <v>7.4537657076988715E-4</v>
      </c>
      <c r="R26" s="437">
        <f>[4]南港事務!$I$26</f>
        <v>5520</v>
      </c>
      <c r="S26" s="9" t="str">
        <f t="shared" si="43"/>
        <v/>
      </c>
      <c r="T26" s="362">
        <f>[4]南港事務!$L$26</f>
        <v>22080</v>
      </c>
      <c r="U26" s="204" t="str">
        <f t="shared" si="44"/>
        <v/>
      </c>
      <c r="V26" s="456">
        <f>N26+R26</f>
        <v>5520</v>
      </c>
      <c r="W26" s="171">
        <f t="shared" si="45"/>
        <v>1.9086735659222656E-4</v>
      </c>
      <c r="X26" s="426">
        <f t="shared" si="22"/>
        <v>100497</v>
      </c>
      <c r="Y26" s="225">
        <f t="shared" si="46"/>
        <v>9.552534429098455E-4</v>
      </c>
      <c r="Z26" s="460">
        <f t="shared" si="23"/>
        <v>11720</v>
      </c>
      <c r="AA26" s="189">
        <f t="shared" si="47"/>
        <v>1.9873921705996975E-5</v>
      </c>
      <c r="AB26" s="564">
        <f t="shared" si="24"/>
        <v>180350</v>
      </c>
      <c r="AC26" s="123">
        <f t="shared" si="48"/>
        <v>8.2253825042305877E-5</v>
      </c>
      <c r="AD26" s="352">
        <f>[4]東京事務!$I$26</f>
        <v>5520</v>
      </c>
      <c r="AE26" s="9">
        <f t="shared" si="49"/>
        <v>2.0685155763382413E-5</v>
      </c>
      <c r="AF26" s="362">
        <f>[4]東京事務!$L$26</f>
        <v>27030</v>
      </c>
      <c r="AG26" s="81">
        <f t="shared" si="50"/>
        <v>2.7510796954750395E-5</v>
      </c>
      <c r="AH26" s="388">
        <f>[4]東京工場!$I$26</f>
        <v>25000</v>
      </c>
      <c r="AI26" s="171">
        <f t="shared" si="25"/>
        <v>2.2878371894524117E-3</v>
      </c>
      <c r="AJ26" s="362">
        <f>[4]東京工場!$L$26</f>
        <v>88000</v>
      </c>
      <c r="AK26" s="99">
        <f t="shared" si="36"/>
        <v>2.1939314758412493E-3</v>
      </c>
      <c r="AL26" s="547">
        <f t="shared" si="26"/>
        <v>30520</v>
      </c>
      <c r="AM26" s="314">
        <f t="shared" si="51"/>
        <v>1.0986899112780897E-4</v>
      </c>
      <c r="AN26" s="478">
        <f t="shared" si="27"/>
        <v>115030</v>
      </c>
      <c r="AO26" s="123">
        <f t="shared" si="52"/>
        <v>1.1248403874176768E-4</v>
      </c>
      <c r="AP26" s="527">
        <f t="shared" si="28"/>
        <v>390941</v>
      </c>
      <c r="AQ26" s="284">
        <f t="shared" si="53"/>
        <v>4.5065093579616493E-4</v>
      </c>
      <c r="AR26" s="487">
        <f t="shared" si="29"/>
        <v>1650184</v>
      </c>
      <c r="AS26" s="285">
        <f t="shared" si="54"/>
        <v>5.132386535249251E-4</v>
      </c>
      <c r="AT26" s="584">
        <f>[4]全社合計!$G$26</f>
        <v>390281</v>
      </c>
      <c r="AU26" s="124">
        <f t="shared" si="30"/>
        <v>4.2286230782043275E-4</v>
      </c>
      <c r="AV26" s="578">
        <f>[4]全社合計!$N$26</f>
        <v>1676654</v>
      </c>
      <c r="AW26" s="125">
        <f t="shared" si="31"/>
        <v>4.6336947115576213E-4</v>
      </c>
      <c r="AX26" s="584">
        <f t="shared" si="32"/>
        <v>660</v>
      </c>
      <c r="AY26" s="124">
        <f t="shared" si="33"/>
        <v>1.0016910892408291</v>
      </c>
      <c r="AZ26" s="578">
        <f t="shared" si="34"/>
        <v>-26470</v>
      </c>
      <c r="BA26" s="125">
        <f t="shared" si="35"/>
        <v>0.98421260438945657</v>
      </c>
      <c r="BB26" s="11"/>
    </row>
    <row r="27" spans="1:54" ht="15.95" customHeight="1">
      <c r="A27" s="37" t="s">
        <v>21</v>
      </c>
      <c r="B27" s="703">
        <f>[4]本部!$I$27</f>
        <v>0</v>
      </c>
      <c r="C27" s="259" t="str">
        <f t="shared" si="38"/>
        <v/>
      </c>
      <c r="D27" s="728">
        <f>[4]本部!$L$27</f>
        <v>0</v>
      </c>
      <c r="E27" s="122" t="str">
        <f t="shared" si="39"/>
        <v/>
      </c>
      <c r="F27" s="352">
        <f>[4]本社営業!$I$27</f>
        <v>0</v>
      </c>
      <c r="G27" s="9">
        <f t="shared" si="40"/>
        <v>0</v>
      </c>
      <c r="H27" s="362">
        <f>[4]本社営業!$L$27</f>
        <v>0</v>
      </c>
      <c r="I27" s="124">
        <f t="shared" si="19"/>
        <v>0</v>
      </c>
      <c r="J27" s="745">
        <f>[4]東大阪!$I$27</f>
        <v>195520</v>
      </c>
      <c r="K27" s="9">
        <f t="shared" si="20"/>
        <v>2.0609413353765659E-2</v>
      </c>
      <c r="L27" s="362">
        <f>[4]東大阪!$L$27</f>
        <v>370420</v>
      </c>
      <c r="M27" s="124">
        <f t="shared" si="37"/>
        <v>1.0499565839182661E-2</v>
      </c>
      <c r="N27" s="403">
        <f>[4]南港工場!$I$27</f>
        <v>25723400</v>
      </c>
      <c r="O27" s="9">
        <f t="shared" si="41"/>
        <v>0.88944879720371028</v>
      </c>
      <c r="P27" s="362">
        <f>[4]南港工場!$L$27</f>
        <v>28925950</v>
      </c>
      <c r="Q27" s="204">
        <f t="shared" si="42"/>
        <v>0.274949633590436</v>
      </c>
      <c r="R27" s="437">
        <f>[4]南港事務!$I$27</f>
        <v>0</v>
      </c>
      <c r="S27" s="9" t="str">
        <f t="shared" si="43"/>
        <v/>
      </c>
      <c r="T27" s="362">
        <f>[4]南港事務!$L$27</f>
        <v>0</v>
      </c>
      <c r="U27" s="204" t="str">
        <f t="shared" si="44"/>
        <v/>
      </c>
      <c r="V27" s="456">
        <f>N27+R27</f>
        <v>25723400</v>
      </c>
      <c r="W27" s="171">
        <f t="shared" si="45"/>
        <v>0.88944879720371028</v>
      </c>
      <c r="X27" s="426">
        <f t="shared" si="22"/>
        <v>28925950</v>
      </c>
      <c r="Y27" s="225">
        <f t="shared" si="46"/>
        <v>0.274949633590436</v>
      </c>
      <c r="Z27" s="460">
        <f t="shared" si="23"/>
        <v>25918920</v>
      </c>
      <c r="AA27" s="189">
        <f t="shared" si="47"/>
        <v>4.3951415254607433E-2</v>
      </c>
      <c r="AB27" s="564">
        <f t="shared" si="24"/>
        <v>29296370</v>
      </c>
      <c r="AC27" s="123">
        <f t="shared" si="48"/>
        <v>1.3361455460796555E-2</v>
      </c>
      <c r="AD27" s="352">
        <f>[4]東京事務!$I$27</f>
        <v>0</v>
      </c>
      <c r="AE27" s="9">
        <f t="shared" si="49"/>
        <v>0</v>
      </c>
      <c r="AF27" s="362">
        <f>[4]東京事務!$L$27</f>
        <v>0</v>
      </c>
      <c r="AG27" s="81">
        <f t="shared" si="50"/>
        <v>0</v>
      </c>
      <c r="AH27" s="388">
        <f>[4]東京工場!$I$27</f>
        <v>350300</v>
      </c>
      <c r="AI27" s="171">
        <f t="shared" si="25"/>
        <v>3.2057174698607194E-2</v>
      </c>
      <c r="AJ27" s="362">
        <f>[4]東京工場!$L$27</f>
        <v>664560</v>
      </c>
      <c r="AK27" s="99">
        <f t="shared" si="36"/>
        <v>1.6568171608921142E-2</v>
      </c>
      <c r="AL27" s="547">
        <f t="shared" si="26"/>
        <v>350300</v>
      </c>
      <c r="AM27" s="314">
        <f t="shared" si="51"/>
        <v>1.2610454650088952E-3</v>
      </c>
      <c r="AN27" s="478">
        <f t="shared" si="27"/>
        <v>664560</v>
      </c>
      <c r="AO27" s="123">
        <f t="shared" si="52"/>
        <v>6.4985128041579704E-4</v>
      </c>
      <c r="AP27" s="527">
        <f t="shared" si="28"/>
        <v>26269220</v>
      </c>
      <c r="AQ27" s="284">
        <f t="shared" si="53"/>
        <v>3.0281419896187229E-2</v>
      </c>
      <c r="AR27" s="487">
        <f t="shared" si="29"/>
        <v>29960930</v>
      </c>
      <c r="AS27" s="285">
        <f t="shared" si="54"/>
        <v>9.3184198680598858E-3</v>
      </c>
      <c r="AT27" s="584">
        <f>[4]全社合計!$G$27</f>
        <v>7570681</v>
      </c>
      <c r="AU27" s="124">
        <f t="shared" si="30"/>
        <v>8.202694057441437E-3</v>
      </c>
      <c r="AV27" s="578">
        <f>[4]全社合計!$N$27</f>
        <v>9021365</v>
      </c>
      <c r="AW27" s="125">
        <f t="shared" si="31"/>
        <v>2.4931948566329735E-3</v>
      </c>
      <c r="AX27" s="584">
        <f t="shared" si="32"/>
        <v>18698539</v>
      </c>
      <c r="AY27" s="124">
        <f t="shared" si="33"/>
        <v>3.4698622224341511</v>
      </c>
      <c r="AZ27" s="578">
        <f t="shared" si="34"/>
        <v>20939565</v>
      </c>
      <c r="BA27" s="125">
        <f t="shared" si="35"/>
        <v>3.3211082801771128</v>
      </c>
      <c r="BB27" s="11"/>
    </row>
    <row r="28" spans="1:54" ht="15.95" customHeight="1">
      <c r="A28" s="37" t="s">
        <v>22</v>
      </c>
      <c r="B28" s="703">
        <f>[4]本部!$I$28</f>
        <v>26593</v>
      </c>
      <c r="C28" s="259" t="str">
        <f t="shared" si="38"/>
        <v/>
      </c>
      <c r="D28" s="728">
        <f>[4]本部!$L$28</f>
        <v>1180852</v>
      </c>
      <c r="E28" s="122" t="str">
        <f t="shared" si="39"/>
        <v/>
      </c>
      <c r="F28" s="352">
        <f>[4]本社営業!$I$28</f>
        <v>119949</v>
      </c>
      <c r="G28" s="9">
        <f t="shared" si="40"/>
        <v>2.1757087900713804E-4</v>
      </c>
      <c r="H28" s="362">
        <f>[4]本社営業!$L$28</f>
        <v>429446</v>
      </c>
      <c r="I28" s="124">
        <f t="shared" si="19"/>
        <v>2.0926952970402759E-4</v>
      </c>
      <c r="J28" s="745">
        <f>[4]東大阪!$I$28</f>
        <v>4838</v>
      </c>
      <c r="K28" s="9">
        <f t="shared" si="20"/>
        <v>5.0996492330972925E-4</v>
      </c>
      <c r="L28" s="362">
        <f>[4]東大阪!$L$28</f>
        <v>101549</v>
      </c>
      <c r="M28" s="124">
        <f t="shared" si="37"/>
        <v>2.8784094039284057E-3</v>
      </c>
      <c r="N28" s="403">
        <f>[4]南港工場!$I$28</f>
        <v>0</v>
      </c>
      <c r="O28" s="9">
        <f t="shared" si="41"/>
        <v>0</v>
      </c>
      <c r="P28" s="362">
        <f>[4]南港工場!$L$28</f>
        <v>0</v>
      </c>
      <c r="Q28" s="204">
        <f t="shared" si="42"/>
        <v>0</v>
      </c>
      <c r="R28" s="437">
        <f>[4]南港事務!$I$28</f>
        <v>6082</v>
      </c>
      <c r="S28" s="9" t="str">
        <f t="shared" si="43"/>
        <v/>
      </c>
      <c r="T28" s="362">
        <f>[4]南港事務!$L$28</f>
        <v>77724</v>
      </c>
      <c r="U28" s="204" t="str">
        <f t="shared" si="44"/>
        <v/>
      </c>
      <c r="V28" s="456">
        <f>N28+R28</f>
        <v>6082</v>
      </c>
      <c r="W28" s="171">
        <f t="shared" si="45"/>
        <v>2.1029986644817425E-4</v>
      </c>
      <c r="X28" s="426">
        <f t="shared" si="22"/>
        <v>77724</v>
      </c>
      <c r="Y28" s="225">
        <f t="shared" si="46"/>
        <v>7.3878940263614665E-4</v>
      </c>
      <c r="Z28" s="460">
        <f t="shared" si="23"/>
        <v>130869</v>
      </c>
      <c r="AA28" s="189">
        <f t="shared" si="47"/>
        <v>2.2191811089949812E-4</v>
      </c>
      <c r="AB28" s="564">
        <f t="shared" si="24"/>
        <v>608719</v>
      </c>
      <c r="AC28" s="123">
        <f t="shared" si="48"/>
        <v>2.7762387649530018E-4</v>
      </c>
      <c r="AD28" s="352">
        <f>[4]東京事務!$I$28</f>
        <v>32956</v>
      </c>
      <c r="AE28" s="9">
        <f t="shared" si="49"/>
        <v>1.2349637560471572E-4</v>
      </c>
      <c r="AF28" s="362">
        <f>[4]東京事務!$L$28</f>
        <v>68853</v>
      </c>
      <c r="AG28" s="81">
        <f t="shared" si="50"/>
        <v>7.0077724851107251E-5</v>
      </c>
      <c r="AH28" s="388">
        <f>[4]東京工場!$I$28</f>
        <v>5599</v>
      </c>
      <c r="AI28" s="171">
        <f t="shared" si="25"/>
        <v>5.1238401694976207E-4</v>
      </c>
      <c r="AJ28" s="362">
        <f>[4]東京工場!$L$28</f>
        <v>80796</v>
      </c>
      <c r="AK28" s="99">
        <f t="shared" si="36"/>
        <v>2.0143282672962452E-3</v>
      </c>
      <c r="AL28" s="547">
        <f t="shared" si="26"/>
        <v>38555</v>
      </c>
      <c r="AM28" s="314">
        <f t="shared" si="51"/>
        <v>1.3879419898206669E-4</v>
      </c>
      <c r="AN28" s="478">
        <f t="shared" si="27"/>
        <v>149649</v>
      </c>
      <c r="AO28" s="123">
        <f t="shared" si="52"/>
        <v>1.4633681573212893E-4</v>
      </c>
      <c r="AP28" s="527">
        <f t="shared" si="28"/>
        <v>196017</v>
      </c>
      <c r="AQ28" s="284">
        <f t="shared" si="53"/>
        <v>2.2595543696352357E-4</v>
      </c>
      <c r="AR28" s="487">
        <f t="shared" si="29"/>
        <v>1939220</v>
      </c>
      <c r="AS28" s="285">
        <f t="shared" si="54"/>
        <v>6.0313435452568037E-4</v>
      </c>
      <c r="AT28" s="584">
        <f>[4]全社合計!$G$28</f>
        <v>164621</v>
      </c>
      <c r="AU28" s="124">
        <f t="shared" si="30"/>
        <v>1.7836383522566422E-4</v>
      </c>
      <c r="AV28" s="578">
        <f>[4]全社合計!$N$28</f>
        <v>1448422</v>
      </c>
      <c r="AW28" s="125">
        <f t="shared" si="31"/>
        <v>4.0029399992507175E-4</v>
      </c>
      <c r="AX28" s="584">
        <f t="shared" si="32"/>
        <v>31396</v>
      </c>
      <c r="AY28" s="124">
        <f t="shared" si="33"/>
        <v>1.190716858723978</v>
      </c>
      <c r="AZ28" s="578">
        <f t="shared" si="34"/>
        <v>490798</v>
      </c>
      <c r="BA28" s="125">
        <f t="shared" si="35"/>
        <v>1.3388501417404597</v>
      </c>
      <c r="BB28" s="11"/>
    </row>
    <row r="29" spans="1:54" ht="15.95" customHeight="1">
      <c r="A29" s="37" t="s">
        <v>23</v>
      </c>
      <c r="B29" s="703">
        <f>[4]本部!$I$29</f>
        <v>0</v>
      </c>
      <c r="C29" s="259" t="str">
        <f t="shared" si="38"/>
        <v/>
      </c>
      <c r="D29" s="728">
        <f>[4]本部!$L$29</f>
        <v>0</v>
      </c>
      <c r="E29" s="122" t="str">
        <f t="shared" si="39"/>
        <v/>
      </c>
      <c r="F29" s="352">
        <f>[4]本社営業!$I$29</f>
        <v>1905</v>
      </c>
      <c r="G29" s="9">
        <f t="shared" si="40"/>
        <v>3.4554062518953717E-6</v>
      </c>
      <c r="H29" s="362">
        <f>[4]本社営業!$L$29</f>
        <v>91045</v>
      </c>
      <c r="I29" s="124">
        <f t="shared" si="19"/>
        <v>4.4366333210469282E-5</v>
      </c>
      <c r="J29" s="745">
        <f>[4]東大阪!$I$29</f>
        <v>480360</v>
      </c>
      <c r="K29" s="9">
        <f t="shared" si="20"/>
        <v>5.0633888086205364E-2</v>
      </c>
      <c r="L29" s="362">
        <f>[4]東大阪!$L$29</f>
        <v>1378252</v>
      </c>
      <c r="M29" s="124">
        <f t="shared" si="37"/>
        <v>3.9066593642311916E-2</v>
      </c>
      <c r="N29" s="403">
        <f>[4]南港工場!$I$29</f>
        <v>3292184</v>
      </c>
      <c r="O29" s="9">
        <f t="shared" si="41"/>
        <v>0.11383522780710557</v>
      </c>
      <c r="P29" s="362">
        <f>[4]南港工場!$L$29</f>
        <v>11309442</v>
      </c>
      <c r="Q29" s="204">
        <f t="shared" si="42"/>
        <v>0.1074995612594327</v>
      </c>
      <c r="R29" s="437">
        <f>[4]南港事務!$I$29</f>
        <v>0</v>
      </c>
      <c r="S29" s="9" t="str">
        <f t="shared" si="43"/>
        <v/>
      </c>
      <c r="T29" s="362">
        <f>[4]南港事務!$L$29</f>
        <v>18979</v>
      </c>
      <c r="U29" s="204" t="str">
        <f t="shared" si="44"/>
        <v/>
      </c>
      <c r="V29" s="456">
        <f t="shared" si="21"/>
        <v>3292184</v>
      </c>
      <c r="W29" s="171">
        <f t="shared" si="45"/>
        <v>0.11383522780710557</v>
      </c>
      <c r="X29" s="426">
        <f t="shared" si="22"/>
        <v>11328421</v>
      </c>
      <c r="Y29" s="225">
        <f t="shared" si="46"/>
        <v>0.10767996221760047</v>
      </c>
      <c r="Z29" s="460">
        <f t="shared" si="23"/>
        <v>3774449</v>
      </c>
      <c r="AA29" s="189">
        <f t="shared" si="47"/>
        <v>6.4004354871398097E-3</v>
      </c>
      <c r="AB29" s="564">
        <f t="shared" si="24"/>
        <v>12797718</v>
      </c>
      <c r="AC29" s="123">
        <f t="shared" si="48"/>
        <v>5.8367688234697455E-3</v>
      </c>
      <c r="AD29" s="352">
        <f>[4]東京事務!$I$29</f>
        <v>0</v>
      </c>
      <c r="AE29" s="9">
        <f t="shared" si="49"/>
        <v>0</v>
      </c>
      <c r="AF29" s="362">
        <f>[4]東京事務!$L$29</f>
        <v>15800</v>
      </c>
      <c r="AG29" s="81">
        <f t="shared" si="50"/>
        <v>1.608104298501873E-5</v>
      </c>
      <c r="AH29" s="388">
        <f>[4]東京工場!$I$29</f>
        <v>528397</v>
      </c>
      <c r="AI29" s="171">
        <f t="shared" si="25"/>
        <v>4.8355452295803437E-2</v>
      </c>
      <c r="AJ29" s="362">
        <f>[4]東京工場!$L$29</f>
        <v>2748321</v>
      </c>
      <c r="AK29" s="99">
        <f t="shared" si="36"/>
        <v>6.8518499404721572E-2</v>
      </c>
      <c r="AL29" s="547">
        <f t="shared" si="26"/>
        <v>528397</v>
      </c>
      <c r="AM29" s="314">
        <f t="shared" si="51"/>
        <v>1.9021771069777484E-3</v>
      </c>
      <c r="AN29" s="478">
        <f t="shared" si="27"/>
        <v>2764121</v>
      </c>
      <c r="AO29" s="123">
        <f t="shared" si="52"/>
        <v>2.7029426554023616E-3</v>
      </c>
      <c r="AP29" s="527">
        <f t="shared" si="28"/>
        <v>4302846</v>
      </c>
      <c r="AQ29" s="284">
        <f t="shared" si="53"/>
        <v>4.9600363647885103E-3</v>
      </c>
      <c r="AR29" s="487">
        <f t="shared" si="29"/>
        <v>15561839</v>
      </c>
      <c r="AS29" s="285">
        <f t="shared" si="54"/>
        <v>4.8400283209215867E-3</v>
      </c>
      <c r="AT29" s="584">
        <f>[4]全社合計!$G$29</f>
        <v>7249894</v>
      </c>
      <c r="AU29" s="124">
        <f t="shared" si="30"/>
        <v>7.8551272244703381E-3</v>
      </c>
      <c r="AV29" s="578">
        <f>[4]全社合計!$N$29</f>
        <v>17827789</v>
      </c>
      <c r="AW29" s="125">
        <f t="shared" si="31"/>
        <v>4.9269874170857634E-3</v>
      </c>
      <c r="AX29" s="584">
        <f t="shared" si="32"/>
        <v>-2947048</v>
      </c>
      <c r="AY29" s="124">
        <f t="shared" si="33"/>
        <v>0.59350467744769786</v>
      </c>
      <c r="AZ29" s="578">
        <f t="shared" si="34"/>
        <v>-2265950</v>
      </c>
      <c r="BA29" s="125">
        <f t="shared" si="35"/>
        <v>0.87289786748093101</v>
      </c>
      <c r="BB29" s="11"/>
    </row>
    <row r="30" spans="1:54" ht="15.95" customHeight="1">
      <c r="A30" s="37" t="s">
        <v>24</v>
      </c>
      <c r="B30" s="703">
        <f>[4]本部!$I$30</f>
        <v>21781</v>
      </c>
      <c r="C30" s="259" t="str">
        <f t="shared" si="38"/>
        <v/>
      </c>
      <c r="D30" s="728">
        <f>[4]本部!$L$30</f>
        <v>78385</v>
      </c>
      <c r="E30" s="122" t="str">
        <f t="shared" si="39"/>
        <v/>
      </c>
      <c r="F30" s="352">
        <f>[4]本社営業!$I$30</f>
        <v>43563</v>
      </c>
      <c r="G30" s="9">
        <f t="shared" si="40"/>
        <v>7.9017250683106603E-5</v>
      </c>
      <c r="H30" s="362">
        <f>[4]本社営業!$L$30</f>
        <v>156771</v>
      </c>
      <c r="I30" s="124">
        <f t="shared" si="19"/>
        <v>7.6394688601663795E-5</v>
      </c>
      <c r="J30" s="745">
        <f>[4]東大阪!$I$30</f>
        <v>449712</v>
      </c>
      <c r="K30" s="9">
        <f t="shared" si="20"/>
        <v>4.7403337245032033E-2</v>
      </c>
      <c r="L30" s="362">
        <f>[4]東大阪!$L$30</f>
        <v>1822174</v>
      </c>
      <c r="M30" s="124">
        <f t="shared" si="37"/>
        <v>5.164957584214358E-2</v>
      </c>
      <c r="N30" s="403">
        <f>[4]南港工場!$I$30</f>
        <v>526920</v>
      </c>
      <c r="O30" s="9">
        <f t="shared" si="41"/>
        <v>1.8219533973836233E-2</v>
      </c>
      <c r="P30" s="362">
        <f>[4]南港工場!$L$30</f>
        <v>2313146</v>
      </c>
      <c r="Q30" s="204">
        <f t="shared" si="42"/>
        <v>2.1987130764631158E-2</v>
      </c>
      <c r="R30" s="437">
        <f>[4]南港事務!$I$30</f>
        <v>20934</v>
      </c>
      <c r="S30" s="9" t="str">
        <f t="shared" si="43"/>
        <v/>
      </c>
      <c r="T30" s="362">
        <f>[4]南港事務!$L$30</f>
        <v>93206</v>
      </c>
      <c r="U30" s="204" t="str">
        <f t="shared" si="44"/>
        <v/>
      </c>
      <c r="V30" s="456">
        <f t="shared" si="21"/>
        <v>547854</v>
      </c>
      <c r="W30" s="171">
        <f t="shared" si="45"/>
        <v>1.894337767726045E-2</v>
      </c>
      <c r="X30" s="426">
        <f t="shared" si="22"/>
        <v>2406352</v>
      </c>
      <c r="Y30" s="225">
        <f t="shared" si="46"/>
        <v>2.2873081115386454E-2</v>
      </c>
      <c r="Z30" s="460">
        <f t="shared" si="23"/>
        <v>1041129</v>
      </c>
      <c r="AA30" s="189">
        <f t="shared" si="47"/>
        <v>1.7654706682459832E-3</v>
      </c>
      <c r="AB30" s="564">
        <f t="shared" si="24"/>
        <v>4385297</v>
      </c>
      <c r="AC30" s="123">
        <f t="shared" si="48"/>
        <v>2.0000413207460427E-3</v>
      </c>
      <c r="AD30" s="352">
        <f>[4]東京事務!$I$30</f>
        <v>55895</v>
      </c>
      <c r="AE30" s="9">
        <f t="shared" si="49"/>
        <v>2.0945593865838043E-4</v>
      </c>
      <c r="AF30" s="362">
        <f>[4]東京事務!$L$30</f>
        <v>217251</v>
      </c>
      <c r="AG30" s="81">
        <f t="shared" si="50"/>
        <v>2.2111535883153821E-4</v>
      </c>
      <c r="AH30" s="388">
        <f>[4]東京工場!$I$30</f>
        <v>254152</v>
      </c>
      <c r="AI30" s="171">
        <f t="shared" si="25"/>
        <v>2.3258335894948374E-2</v>
      </c>
      <c r="AJ30" s="362">
        <f>[4]東京工場!$L$30</f>
        <v>1054683</v>
      </c>
      <c r="AK30" s="99">
        <f t="shared" si="36"/>
        <v>2.6294343531075869E-2</v>
      </c>
      <c r="AL30" s="547">
        <f t="shared" si="26"/>
        <v>310047</v>
      </c>
      <c r="AM30" s="314">
        <f t="shared" si="51"/>
        <v>1.116138633427385E-3</v>
      </c>
      <c r="AN30" s="478">
        <f t="shared" si="27"/>
        <v>1271934</v>
      </c>
      <c r="AO30" s="123">
        <f t="shared" si="52"/>
        <v>1.2437822596972228E-3</v>
      </c>
      <c r="AP30" s="527">
        <f t="shared" si="28"/>
        <v>1372957</v>
      </c>
      <c r="AQ30" s="284">
        <f t="shared" si="53"/>
        <v>1.5826540497361373E-3</v>
      </c>
      <c r="AR30" s="487">
        <f t="shared" si="29"/>
        <v>5735616</v>
      </c>
      <c r="AS30" s="285">
        <f t="shared" si="54"/>
        <v>1.7838858169610279E-3</v>
      </c>
      <c r="AT30" s="584">
        <f>[4]全社合計!$G$30</f>
        <v>1514373</v>
      </c>
      <c r="AU30" s="124">
        <f t="shared" si="30"/>
        <v>1.6407953799466338E-3</v>
      </c>
      <c r="AV30" s="578">
        <f>[4]全社合計!$N$30</f>
        <v>6037248</v>
      </c>
      <c r="AW30" s="125">
        <f t="shared" si="31"/>
        <v>1.6684876026873657E-3</v>
      </c>
      <c r="AX30" s="584">
        <f t="shared" si="32"/>
        <v>-141416</v>
      </c>
      <c r="AY30" s="124">
        <f t="shared" si="33"/>
        <v>0.90661745818236328</v>
      </c>
      <c r="AZ30" s="578">
        <f t="shared" si="34"/>
        <v>-301632</v>
      </c>
      <c r="BA30" s="125">
        <f t="shared" si="35"/>
        <v>0.95003816308357714</v>
      </c>
      <c r="BB30" s="11"/>
    </row>
    <row r="31" spans="1:54" ht="15.95" customHeight="1">
      <c r="A31" s="37" t="s">
        <v>25</v>
      </c>
      <c r="B31" s="703">
        <f>[4]本部!$I$31</f>
        <v>150157</v>
      </c>
      <c r="C31" s="259" t="str">
        <f t="shared" si="38"/>
        <v/>
      </c>
      <c r="D31" s="728">
        <f>[4]本部!$L$31</f>
        <v>581792</v>
      </c>
      <c r="E31" s="122" t="str">
        <f t="shared" si="39"/>
        <v/>
      </c>
      <c r="F31" s="352">
        <f>[4]本社営業!$I$31</f>
        <v>1202735</v>
      </c>
      <c r="G31" s="9">
        <f t="shared" si="40"/>
        <v>2.1815947707996748E-3</v>
      </c>
      <c r="H31" s="362">
        <f>[4]本社営業!$L$31</f>
        <v>3477158</v>
      </c>
      <c r="I31" s="124">
        <f t="shared" si="19"/>
        <v>1.6944230924647037E-3</v>
      </c>
      <c r="J31" s="745">
        <f>[4]東大阪!$I$31</f>
        <v>113546</v>
      </c>
      <c r="K31" s="9">
        <f t="shared" si="20"/>
        <v>1.1968680690807466E-2</v>
      </c>
      <c r="L31" s="362">
        <f>[4]東大阪!$L$31</f>
        <v>457566</v>
      </c>
      <c r="M31" s="124">
        <f t="shared" si="37"/>
        <v>1.2969721782764034E-2</v>
      </c>
      <c r="N31" s="403">
        <f>[4]南港工場!$I$31</f>
        <v>265719</v>
      </c>
      <c r="O31" s="9">
        <f t="shared" si="41"/>
        <v>9.1878773779583058E-3</v>
      </c>
      <c r="P31" s="362">
        <f>[4]南港工場!$L$31</f>
        <v>1062876</v>
      </c>
      <c r="Q31" s="204">
        <f t="shared" si="42"/>
        <v>1.0102947932637243E-2</v>
      </c>
      <c r="R31" s="437">
        <f>[4]南港事務!$I$31</f>
        <v>132914</v>
      </c>
      <c r="S31" s="9" t="str">
        <f t="shared" si="43"/>
        <v/>
      </c>
      <c r="T31" s="362">
        <f>[4]南港事務!$L$31</f>
        <v>531019</v>
      </c>
      <c r="U31" s="204" t="str">
        <f t="shared" si="44"/>
        <v/>
      </c>
      <c r="V31" s="456">
        <f t="shared" si="21"/>
        <v>398633</v>
      </c>
      <c r="W31" s="171">
        <f t="shared" si="45"/>
        <v>1.3783700536309611E-2</v>
      </c>
      <c r="X31" s="426">
        <f t="shared" si="22"/>
        <v>1593895</v>
      </c>
      <c r="Y31" s="225">
        <f t="shared" si="46"/>
        <v>1.5150439181137627E-2</v>
      </c>
      <c r="Z31" s="460">
        <f t="shared" si="23"/>
        <v>1714914</v>
      </c>
      <c r="AA31" s="189">
        <f t="shared" si="47"/>
        <v>2.9080261577233871E-3</v>
      </c>
      <c r="AB31" s="564">
        <f t="shared" si="24"/>
        <v>5528619</v>
      </c>
      <c r="AC31" s="123">
        <f t="shared" si="48"/>
        <v>2.5214863318634216E-3</v>
      </c>
      <c r="AD31" s="352">
        <f>[4]東京事務!$I$31</f>
        <v>269480</v>
      </c>
      <c r="AE31" s="9">
        <f t="shared" si="49"/>
        <v>1.0098253215790386E-3</v>
      </c>
      <c r="AF31" s="362">
        <f>[4]東京事務!$L$31</f>
        <v>1008111</v>
      </c>
      <c r="AG31" s="81">
        <f t="shared" si="50"/>
        <v>1.0260428053588744E-3</v>
      </c>
      <c r="AH31" s="388">
        <f>[4]東京工場!$I$31</f>
        <v>118246</v>
      </c>
      <c r="AI31" s="171">
        <f t="shared" si="25"/>
        <v>1.0821103852159595E-2</v>
      </c>
      <c r="AJ31" s="362">
        <f>[4]東京工場!$L$31</f>
        <v>612247</v>
      </c>
      <c r="AK31" s="99">
        <f t="shared" si="36"/>
        <v>1.5263954139652015E-2</v>
      </c>
      <c r="AL31" s="547">
        <f t="shared" si="26"/>
        <v>387726</v>
      </c>
      <c r="AM31" s="314">
        <f t="shared" si="51"/>
        <v>1.3957753752955721E-3</v>
      </c>
      <c r="AN31" s="478">
        <f t="shared" si="27"/>
        <v>1620358</v>
      </c>
      <c r="AO31" s="123">
        <f t="shared" si="52"/>
        <v>1.5844945844347839E-3</v>
      </c>
      <c r="AP31" s="527">
        <f t="shared" si="28"/>
        <v>2252797</v>
      </c>
      <c r="AQ31" s="284">
        <f t="shared" si="53"/>
        <v>2.5968754267492872E-3</v>
      </c>
      <c r="AR31" s="487">
        <f t="shared" si="29"/>
        <v>7730769</v>
      </c>
      <c r="AS31" s="285">
        <f t="shared" si="54"/>
        <v>2.4044163997907092E-3</v>
      </c>
      <c r="AT31" s="584">
        <f>[4]全社合計!$G$31</f>
        <v>1717286</v>
      </c>
      <c r="AU31" s="124">
        <f t="shared" si="30"/>
        <v>1.8606478951005037E-3</v>
      </c>
      <c r="AV31" s="578">
        <f>[4]全社合計!$N$31</f>
        <v>6427697</v>
      </c>
      <c r="AW31" s="125">
        <f t="shared" si="31"/>
        <v>1.7763942707556112E-3</v>
      </c>
      <c r="AX31" s="584">
        <f t="shared" si="32"/>
        <v>535511</v>
      </c>
      <c r="AY31" s="124">
        <f t="shared" si="33"/>
        <v>1.3118356523025285</v>
      </c>
      <c r="AZ31" s="578">
        <f t="shared" si="34"/>
        <v>1303072</v>
      </c>
      <c r="BA31" s="125">
        <f t="shared" si="35"/>
        <v>1.2027276643563005</v>
      </c>
      <c r="BB31" s="11"/>
    </row>
    <row r="32" spans="1:54" ht="15.95" customHeight="1">
      <c r="A32" s="37" t="s">
        <v>26</v>
      </c>
      <c r="B32" s="703">
        <f>[4]本部!$I$32</f>
        <v>421630</v>
      </c>
      <c r="C32" s="259" t="str">
        <f t="shared" si="38"/>
        <v/>
      </c>
      <c r="D32" s="728">
        <f>[4]本部!$L$32</f>
        <v>2622250</v>
      </c>
      <c r="E32" s="122" t="str">
        <f t="shared" si="39"/>
        <v/>
      </c>
      <c r="F32" s="352">
        <f>[4]本社営業!$I$32</f>
        <v>1046456</v>
      </c>
      <c r="G32" s="9">
        <f t="shared" si="40"/>
        <v>1.8981263016973351E-3</v>
      </c>
      <c r="H32" s="362">
        <f>[4]本社営業!$L$32</f>
        <v>4818022</v>
      </c>
      <c r="I32" s="124">
        <f t="shared" si="19"/>
        <v>2.3478276617867168E-3</v>
      </c>
      <c r="J32" s="745">
        <f>[4]東大阪!$I$32</f>
        <v>108200</v>
      </c>
      <c r="K32" s="9">
        <f t="shared" si="20"/>
        <v>1.1405168396468109E-2</v>
      </c>
      <c r="L32" s="362">
        <f>[4]東大阪!$L$32</f>
        <v>575918</v>
      </c>
      <c r="M32" s="124">
        <f t="shared" si="37"/>
        <v>1.6324412717915879E-2</v>
      </c>
      <c r="N32" s="403">
        <f>[4]南港工場!$I$32</f>
        <v>132100</v>
      </c>
      <c r="O32" s="9">
        <f t="shared" si="41"/>
        <v>4.5676771387378858E-3</v>
      </c>
      <c r="P32" s="362">
        <f>[4]南港工場!$L$32</f>
        <v>617300</v>
      </c>
      <c r="Q32" s="204">
        <f t="shared" si="42"/>
        <v>5.8676174443838885E-3</v>
      </c>
      <c r="R32" s="437">
        <f>[4]南港事務!$I$32</f>
        <v>53977</v>
      </c>
      <c r="S32" s="9" t="str">
        <f t="shared" si="43"/>
        <v/>
      </c>
      <c r="T32" s="362">
        <f>[4]南港事務!$L$32</f>
        <v>204684</v>
      </c>
      <c r="U32" s="204" t="str">
        <f t="shared" si="44"/>
        <v/>
      </c>
      <c r="V32" s="456">
        <f t="shared" si="21"/>
        <v>186077</v>
      </c>
      <c r="W32" s="171">
        <f t="shared" si="45"/>
        <v>6.4340625204006774E-3</v>
      </c>
      <c r="X32" s="426">
        <f t="shared" si="22"/>
        <v>821984</v>
      </c>
      <c r="Y32" s="225">
        <f t="shared" si="46"/>
        <v>7.8131988618247959E-3</v>
      </c>
      <c r="Z32" s="460">
        <f t="shared" si="23"/>
        <v>1340733</v>
      </c>
      <c r="AA32" s="189">
        <f t="shared" si="47"/>
        <v>2.2735172927172732E-3</v>
      </c>
      <c r="AB32" s="564">
        <f t="shared" si="24"/>
        <v>6215924</v>
      </c>
      <c r="AC32" s="123">
        <f t="shared" si="48"/>
        <v>2.8349516228016085E-3</v>
      </c>
      <c r="AD32" s="352">
        <f>[4]東京事務!$I$32</f>
        <v>85300</v>
      </c>
      <c r="AE32" s="9">
        <f t="shared" si="49"/>
        <v>3.1964561351748548E-4</v>
      </c>
      <c r="AF32" s="362">
        <f>[4]東京事務!$L$32</f>
        <v>327300</v>
      </c>
      <c r="AG32" s="81">
        <f t="shared" si="50"/>
        <v>3.3312185879725507E-4</v>
      </c>
      <c r="AH32" s="388">
        <f>[4]東京工場!$I$32</f>
        <v>42500</v>
      </c>
      <c r="AI32" s="171">
        <f t="shared" si="25"/>
        <v>3.8893232220690997E-3</v>
      </c>
      <c r="AJ32" s="362">
        <f>[4]東京工場!$L$32</f>
        <v>246326</v>
      </c>
      <c r="AK32" s="99">
        <f t="shared" si="36"/>
        <v>6.1411632354326316E-3</v>
      </c>
      <c r="AL32" s="547">
        <f t="shared" si="26"/>
        <v>127800</v>
      </c>
      <c r="AM32" s="314">
        <f t="shared" si="51"/>
        <v>4.6006740059416731E-4</v>
      </c>
      <c r="AN32" s="478">
        <f t="shared" si="27"/>
        <v>573626</v>
      </c>
      <c r="AO32" s="123">
        <f t="shared" si="52"/>
        <v>5.6092992443088963E-4</v>
      </c>
      <c r="AP32" s="527">
        <f t="shared" si="28"/>
        <v>1890163</v>
      </c>
      <c r="AQ32" s="284">
        <f t="shared" si="53"/>
        <v>2.1788549288953743E-3</v>
      </c>
      <c r="AR32" s="487">
        <f t="shared" si="29"/>
        <v>9411800</v>
      </c>
      <c r="AS32" s="285">
        <f t="shared" si="54"/>
        <v>2.9272490578298484E-3</v>
      </c>
      <c r="AT32" s="584">
        <f>[4]全社合計!$G$32</f>
        <v>2066196</v>
      </c>
      <c r="AU32" s="124">
        <f t="shared" si="30"/>
        <v>2.2386854829452288E-3</v>
      </c>
      <c r="AV32" s="578">
        <f>[4]全社合計!$N$32</f>
        <v>10405961</v>
      </c>
      <c r="AW32" s="125">
        <f t="shared" si="31"/>
        <v>2.8758495464404018E-3</v>
      </c>
      <c r="AX32" s="584">
        <f t="shared" si="32"/>
        <v>-176033</v>
      </c>
      <c r="AY32" s="124">
        <f t="shared" si="33"/>
        <v>0.91480333908302991</v>
      </c>
      <c r="AZ32" s="578">
        <f t="shared" si="34"/>
        <v>-994161</v>
      </c>
      <c r="BA32" s="125">
        <f t="shared" si="35"/>
        <v>0.90446235575935752</v>
      </c>
      <c r="BB32" s="11"/>
    </row>
    <row r="33" spans="1:54" ht="15.95" customHeight="1">
      <c r="A33" s="37" t="s">
        <v>27</v>
      </c>
      <c r="B33" s="703">
        <f>[4]本部!$I$33</f>
        <v>153891</v>
      </c>
      <c r="C33" s="259" t="str">
        <f t="shared" si="38"/>
        <v/>
      </c>
      <c r="D33" s="728">
        <f>[4]本部!$L$33</f>
        <v>1059815</v>
      </c>
      <c r="E33" s="122" t="str">
        <f t="shared" si="39"/>
        <v/>
      </c>
      <c r="F33" s="352">
        <f>[4]本社営業!$I$33</f>
        <v>55000</v>
      </c>
      <c r="G33" s="9">
        <f t="shared" si="40"/>
        <v>9.9762385225325703E-5</v>
      </c>
      <c r="H33" s="362">
        <f>[4]本社営業!$L$33</f>
        <v>220000</v>
      </c>
      <c r="I33" s="124">
        <f t="shared" si="19"/>
        <v>1.0720625302106916E-4</v>
      </c>
      <c r="J33" s="745">
        <f>[4]東大阪!$I$33</f>
        <v>440000</v>
      </c>
      <c r="K33" s="9">
        <f t="shared" si="20"/>
        <v>4.6379612702827797E-2</v>
      </c>
      <c r="L33" s="362">
        <f>[4]東大阪!$L$33</f>
        <v>2999000</v>
      </c>
      <c r="M33" s="124">
        <f t="shared" si="37"/>
        <v>8.5006743565975915E-2</v>
      </c>
      <c r="N33" s="403">
        <f>[4]南港工場!$I$33</f>
        <v>525000</v>
      </c>
      <c r="O33" s="9">
        <f t="shared" si="41"/>
        <v>1.8153145328065026E-2</v>
      </c>
      <c r="P33" s="362">
        <f>[4]南港工場!$L$33</f>
        <v>2100000</v>
      </c>
      <c r="Q33" s="204">
        <f t="shared" si="42"/>
        <v>1.9961115556789512E-2</v>
      </c>
      <c r="R33" s="437">
        <f>[4]南港事務!$I$33</f>
        <v>20000</v>
      </c>
      <c r="S33" s="9" t="str">
        <f t="shared" si="43"/>
        <v/>
      </c>
      <c r="T33" s="362">
        <f>[4]南港事務!$L$33</f>
        <v>80000</v>
      </c>
      <c r="U33" s="204" t="str">
        <f t="shared" si="44"/>
        <v/>
      </c>
      <c r="V33" s="456">
        <f t="shared" si="21"/>
        <v>545000</v>
      </c>
      <c r="W33" s="171">
        <f t="shared" si="45"/>
        <v>1.8844693721515121E-2</v>
      </c>
      <c r="X33" s="426">
        <f t="shared" si="22"/>
        <v>2180000</v>
      </c>
      <c r="Y33" s="225">
        <f t="shared" si="46"/>
        <v>2.0721539006571969E-2</v>
      </c>
      <c r="Z33" s="460">
        <f t="shared" si="23"/>
        <v>1040000</v>
      </c>
      <c r="AA33" s="189">
        <f t="shared" si="47"/>
        <v>1.7635561923410284E-3</v>
      </c>
      <c r="AB33" s="564">
        <f t="shared" si="24"/>
        <v>5399000</v>
      </c>
      <c r="AC33" s="123">
        <f t="shared" si="48"/>
        <v>2.4623698442107537E-3</v>
      </c>
      <c r="AD33" s="352">
        <f>[4]東京事務!$I$33</f>
        <v>55000</v>
      </c>
      <c r="AE33" s="9">
        <f t="shared" si="49"/>
        <v>2.0610209546848419E-4</v>
      </c>
      <c r="AF33" s="362">
        <f>[4]東京事務!$L$33</f>
        <v>980449</v>
      </c>
      <c r="AG33" s="81">
        <f t="shared" si="50"/>
        <v>9.9788876668472325E-4</v>
      </c>
      <c r="AH33" s="388">
        <f>[4]東京工場!$I$33</f>
        <v>325000</v>
      </c>
      <c r="AI33" s="171">
        <f t="shared" si="25"/>
        <v>2.9741883462881352E-2</v>
      </c>
      <c r="AJ33" s="362">
        <f>[4]東京工場!$L$33</f>
        <v>1300000</v>
      </c>
      <c r="AK33" s="99">
        <f t="shared" si="36"/>
        <v>3.2410351347654819E-2</v>
      </c>
      <c r="AL33" s="547">
        <f t="shared" si="26"/>
        <v>380000</v>
      </c>
      <c r="AM33" s="314">
        <f t="shared" si="51"/>
        <v>1.3679625369779622E-3</v>
      </c>
      <c r="AN33" s="478">
        <f t="shared" si="27"/>
        <v>2280449</v>
      </c>
      <c r="AO33" s="123">
        <f t="shared" si="52"/>
        <v>2.2299757773157035E-3</v>
      </c>
      <c r="AP33" s="527">
        <f t="shared" si="28"/>
        <v>1573891</v>
      </c>
      <c r="AQ33" s="284">
        <f t="shared" si="53"/>
        <v>1.8142774791878105E-3</v>
      </c>
      <c r="AR33" s="487">
        <f t="shared" si="29"/>
        <v>8739264</v>
      </c>
      <c r="AS33" s="285">
        <f t="shared" si="54"/>
        <v>2.718077552660098E-3</v>
      </c>
      <c r="AT33" s="584">
        <f>[4]全社合計!$G$33</f>
        <v>1551171</v>
      </c>
      <c r="AU33" s="124">
        <f t="shared" si="30"/>
        <v>1.6806653382668603E-3</v>
      </c>
      <c r="AV33" s="578">
        <f>[4]全社合計!$N$33</f>
        <v>8650391</v>
      </c>
      <c r="AW33" s="125">
        <f t="shared" si="31"/>
        <v>2.390670408420917E-3</v>
      </c>
      <c r="AX33" s="584">
        <f t="shared" si="32"/>
        <v>22720</v>
      </c>
      <c r="AY33" s="124">
        <f t="shared" si="33"/>
        <v>1.0146469989446683</v>
      </c>
      <c r="AZ33" s="578">
        <f t="shared" si="34"/>
        <v>88873</v>
      </c>
      <c r="BA33" s="125">
        <f t="shared" si="35"/>
        <v>1.0102738708573982</v>
      </c>
      <c r="BB33" s="11"/>
    </row>
    <row r="34" spans="1:54" ht="15.95" customHeight="1">
      <c r="A34" s="37" t="s">
        <v>28</v>
      </c>
      <c r="B34" s="703">
        <f>[4]本部!$I$34</f>
        <v>34900</v>
      </c>
      <c r="C34" s="259" t="str">
        <f t="shared" si="38"/>
        <v/>
      </c>
      <c r="D34" s="728">
        <f>[4]本部!$L$34</f>
        <v>578700</v>
      </c>
      <c r="E34" s="122" t="str">
        <f t="shared" si="39"/>
        <v/>
      </c>
      <c r="F34" s="352">
        <f>[4]本社営業!$I$34</f>
        <v>402457</v>
      </c>
      <c r="G34" s="9">
        <f t="shared" si="40"/>
        <v>7.3000127764779829E-4</v>
      </c>
      <c r="H34" s="362">
        <f>[4]本社営業!$L$34</f>
        <v>1882380</v>
      </c>
      <c r="I34" s="124">
        <f t="shared" si="19"/>
        <v>9.1728593891727357E-4</v>
      </c>
      <c r="J34" s="745">
        <f>[4]東大阪!$I$34</f>
        <v>0</v>
      </c>
      <c r="K34" s="9">
        <f t="shared" si="20"/>
        <v>0</v>
      </c>
      <c r="L34" s="362">
        <f>[4]東大阪!$L$34</f>
        <v>0</v>
      </c>
      <c r="M34" s="124">
        <f t="shared" si="37"/>
        <v>0</v>
      </c>
      <c r="N34" s="403">
        <f>[4]南港工場!$I$34</f>
        <v>0</v>
      </c>
      <c r="O34" s="9">
        <f t="shared" si="41"/>
        <v>0</v>
      </c>
      <c r="P34" s="362">
        <f>[4]南港工場!$L$34</f>
        <v>0</v>
      </c>
      <c r="Q34" s="204">
        <f t="shared" si="42"/>
        <v>0</v>
      </c>
      <c r="R34" s="437">
        <f>[4]南港事務!$I$34</f>
        <v>0</v>
      </c>
      <c r="S34" s="9" t="str">
        <f t="shared" si="43"/>
        <v/>
      </c>
      <c r="T34" s="362">
        <f>[4]南港事務!$L$34</f>
        <v>76300</v>
      </c>
      <c r="U34" s="204" t="str">
        <f t="shared" si="44"/>
        <v/>
      </c>
      <c r="V34" s="456">
        <f t="shared" si="21"/>
        <v>0</v>
      </c>
      <c r="W34" s="171">
        <f t="shared" si="45"/>
        <v>0</v>
      </c>
      <c r="X34" s="426">
        <f t="shared" si="22"/>
        <v>76300</v>
      </c>
      <c r="Y34" s="225">
        <f t="shared" si="46"/>
        <v>7.2525386523001896E-4</v>
      </c>
      <c r="Z34" s="460">
        <f t="shared" si="23"/>
        <v>402457</v>
      </c>
      <c r="AA34" s="189">
        <f t="shared" si="47"/>
        <v>6.8245724471249357E-4</v>
      </c>
      <c r="AB34" s="564">
        <f t="shared" si="24"/>
        <v>1958680</v>
      </c>
      <c r="AC34" s="123">
        <f t="shared" si="48"/>
        <v>8.9331257019053883E-4</v>
      </c>
      <c r="AD34" s="352">
        <f>[4]東京事務!$I$34</f>
        <v>318387</v>
      </c>
      <c r="AE34" s="9">
        <f t="shared" si="49"/>
        <v>1.1930950521804413E-3</v>
      </c>
      <c r="AF34" s="362">
        <f>[4]東京事務!$L$34</f>
        <v>1840123</v>
      </c>
      <c r="AG34" s="81">
        <f t="shared" si="50"/>
        <v>1.8728542443494697E-3</v>
      </c>
      <c r="AH34" s="388">
        <f>[4]東京工場!$I$34</f>
        <v>0</v>
      </c>
      <c r="AI34" s="171">
        <f t="shared" si="25"/>
        <v>0</v>
      </c>
      <c r="AJ34" s="362">
        <f>[4]東京工場!$L$34</f>
        <v>0</v>
      </c>
      <c r="AK34" s="99">
        <f t="shared" si="36"/>
        <v>0</v>
      </c>
      <c r="AL34" s="547">
        <f t="shared" si="26"/>
        <v>318387</v>
      </c>
      <c r="AM34" s="314">
        <f t="shared" si="51"/>
        <v>1.1461618112126382E-3</v>
      </c>
      <c r="AN34" s="478">
        <f t="shared" si="27"/>
        <v>1840123</v>
      </c>
      <c r="AO34" s="123">
        <f t="shared" si="52"/>
        <v>1.7993955213563226E-3</v>
      </c>
      <c r="AP34" s="527">
        <f t="shared" si="28"/>
        <v>755744</v>
      </c>
      <c r="AQ34" s="284">
        <f t="shared" si="53"/>
        <v>8.7117171343588135E-4</v>
      </c>
      <c r="AR34" s="487">
        <f t="shared" si="29"/>
        <v>4377503</v>
      </c>
      <c r="AS34" s="285">
        <f t="shared" si="54"/>
        <v>1.3614868072416896E-3</v>
      </c>
      <c r="AT34" s="584">
        <f>[4]全社合計!$G$34</f>
        <v>464512</v>
      </c>
      <c r="AU34" s="124">
        <f t="shared" si="30"/>
        <v>5.0329023531835995E-4</v>
      </c>
      <c r="AV34" s="578">
        <f>[4]全社合計!$N$34</f>
        <v>3630006</v>
      </c>
      <c r="AW34" s="125">
        <f t="shared" si="31"/>
        <v>1.0032087482046048E-3</v>
      </c>
      <c r="AX34" s="584">
        <f t="shared" si="32"/>
        <v>291232</v>
      </c>
      <c r="AY34" s="124">
        <f t="shared" si="33"/>
        <v>1.6269633507853403</v>
      </c>
      <c r="AZ34" s="578">
        <f t="shared" si="34"/>
        <v>747497</v>
      </c>
      <c r="BA34" s="125">
        <f t="shared" si="35"/>
        <v>1.2059216982010499</v>
      </c>
      <c r="BB34" s="11"/>
    </row>
    <row r="35" spans="1:54" ht="15.95" customHeight="1">
      <c r="A35" s="37" t="s">
        <v>29</v>
      </c>
      <c r="B35" s="703">
        <f>[4]本部!$I$35</f>
        <v>5889418</v>
      </c>
      <c r="C35" s="259" t="str">
        <f t="shared" si="38"/>
        <v/>
      </c>
      <c r="D35" s="728">
        <f>[4]本部!$L$35</f>
        <v>5645058</v>
      </c>
      <c r="E35" s="122" t="str">
        <f t="shared" si="39"/>
        <v/>
      </c>
      <c r="F35" s="352">
        <f>[4]本社営業!$I$35</f>
        <v>662205</v>
      </c>
      <c r="G35" s="9">
        <f t="shared" si="40"/>
        <v>1.2011481874206692E-3</v>
      </c>
      <c r="H35" s="362">
        <f>[4]本社営業!$L$35</f>
        <v>662205</v>
      </c>
      <c r="I35" s="124">
        <f t="shared" si="19"/>
        <v>3.2269325809916865E-4</v>
      </c>
      <c r="J35" s="745">
        <f>[4]東大阪!$I$35</f>
        <v>0</v>
      </c>
      <c r="K35" s="9">
        <f t="shared" si="20"/>
        <v>0</v>
      </c>
      <c r="L35" s="362">
        <f>[4]東大阪!$L$35</f>
        <v>3300</v>
      </c>
      <c r="M35" s="124">
        <f t="shared" si="37"/>
        <v>9.3538597455058528E-5</v>
      </c>
      <c r="N35" s="403">
        <f>[4]南港工場!$I$35</f>
        <v>0</v>
      </c>
      <c r="O35" s="9">
        <f t="shared" si="41"/>
        <v>0</v>
      </c>
      <c r="P35" s="362">
        <f>[4]南港工場!$L$35</f>
        <v>0</v>
      </c>
      <c r="Q35" s="204">
        <f t="shared" si="42"/>
        <v>0</v>
      </c>
      <c r="R35" s="437">
        <f>[4]南港事務!$I$35</f>
        <v>42516</v>
      </c>
      <c r="S35" s="9" t="str">
        <f t="shared" si="43"/>
        <v/>
      </c>
      <c r="T35" s="362">
        <f>[4]南港事務!$L$35</f>
        <v>42516</v>
      </c>
      <c r="U35" s="204" t="str">
        <f t="shared" si="44"/>
        <v/>
      </c>
      <c r="V35" s="456">
        <f t="shared" si="21"/>
        <v>42516</v>
      </c>
      <c r="W35" s="171">
        <f t="shared" si="45"/>
        <v>1.4700935747962145E-3</v>
      </c>
      <c r="X35" s="426">
        <f t="shared" si="22"/>
        <v>42516</v>
      </c>
      <c r="Y35" s="225">
        <f t="shared" si="46"/>
        <v>4.0412704238688708E-4</v>
      </c>
      <c r="Z35" s="460">
        <f t="shared" si="23"/>
        <v>704721</v>
      </c>
      <c r="AA35" s="189">
        <f t="shared" si="47"/>
        <v>1.1950145032911172E-3</v>
      </c>
      <c r="AB35" s="564">
        <f t="shared" si="24"/>
        <v>708021</v>
      </c>
      <c r="AC35" s="123">
        <f t="shared" si="48"/>
        <v>3.2291342090534213E-4</v>
      </c>
      <c r="AD35" s="352">
        <f>[4]東京事務!$I$35</f>
        <v>176352</v>
      </c>
      <c r="AE35" s="9">
        <f t="shared" si="49"/>
        <v>6.6084575891014769E-4</v>
      </c>
      <c r="AF35" s="362">
        <f>[4]東京事務!$L$35</f>
        <v>176352</v>
      </c>
      <c r="AG35" s="81">
        <f t="shared" si="50"/>
        <v>1.7948886661354576E-4</v>
      </c>
      <c r="AH35" s="388">
        <f>[4]東京工場!$I$35</f>
        <v>0</v>
      </c>
      <c r="AI35" s="171">
        <f t="shared" si="25"/>
        <v>0</v>
      </c>
      <c r="AJ35" s="362">
        <f>[4]東京工場!$L$35</f>
        <v>0</v>
      </c>
      <c r="AK35" s="99">
        <f t="shared" si="36"/>
        <v>0</v>
      </c>
      <c r="AL35" s="547">
        <f t="shared" si="26"/>
        <v>176352</v>
      </c>
      <c r="AM35" s="314">
        <f t="shared" si="51"/>
        <v>6.3484981400299375E-4</v>
      </c>
      <c r="AN35" s="478">
        <f t="shared" si="27"/>
        <v>176352</v>
      </c>
      <c r="AO35" s="123">
        <f t="shared" si="52"/>
        <v>1.7244879770658277E-4</v>
      </c>
      <c r="AP35" s="527">
        <f t="shared" si="28"/>
        <v>6770491</v>
      </c>
      <c r="AQ35" s="284">
        <f t="shared" si="53"/>
        <v>7.8045743601963275E-3</v>
      </c>
      <c r="AR35" s="487">
        <f t="shared" si="29"/>
        <v>6529431</v>
      </c>
      <c r="AS35" s="285">
        <f t="shared" si="54"/>
        <v>2.0307774010194651E-3</v>
      </c>
      <c r="AT35" s="584">
        <f>[4]全社合計!$G$35</f>
        <v>6605248</v>
      </c>
      <c r="AU35" s="124">
        <f t="shared" si="30"/>
        <v>7.1566651028522983E-3</v>
      </c>
      <c r="AV35" s="578">
        <f>[4]全社合計!$N$35</f>
        <v>6430735</v>
      </c>
      <c r="AW35" s="125">
        <f t="shared" si="31"/>
        <v>1.7772338694166177E-3</v>
      </c>
      <c r="AX35" s="584">
        <f t="shared" si="32"/>
        <v>165243</v>
      </c>
      <c r="AY35" s="124">
        <f t="shared" si="33"/>
        <v>1.0250169259352564</v>
      </c>
      <c r="AZ35" s="578">
        <f t="shared" si="34"/>
        <v>98696</v>
      </c>
      <c r="BA35" s="125">
        <f t="shared" si="35"/>
        <v>1.0153475458093049</v>
      </c>
      <c r="BB35" s="11"/>
    </row>
    <row r="36" spans="1:54" ht="15.95" customHeight="1">
      <c r="A36" s="37" t="s">
        <v>30</v>
      </c>
      <c r="B36" s="703">
        <f>[4]本部!$I$36</f>
        <v>55151</v>
      </c>
      <c r="C36" s="259" t="str">
        <f t="shared" si="38"/>
        <v/>
      </c>
      <c r="D36" s="728">
        <f>[4]本部!$L$36</f>
        <v>255654</v>
      </c>
      <c r="E36" s="122" t="str">
        <f t="shared" si="39"/>
        <v/>
      </c>
      <c r="F36" s="352">
        <f>[4]本社営業!$I$36</f>
        <v>65865</v>
      </c>
      <c r="G36" s="9">
        <f t="shared" si="40"/>
        <v>1.1946999096120141E-4</v>
      </c>
      <c r="H36" s="362">
        <f>[4]本社営業!$L$36</f>
        <v>232449</v>
      </c>
      <c r="I36" s="124">
        <f t="shared" si="19"/>
        <v>1.1327266503861139E-4</v>
      </c>
      <c r="J36" s="745">
        <f>[4]東大阪!$I$36</f>
        <v>24952</v>
      </c>
      <c r="K36" s="9">
        <f t="shared" si="20"/>
        <v>2.630145673093089E-3</v>
      </c>
      <c r="L36" s="362">
        <f>[4]東大阪!$L$36</f>
        <v>99958</v>
      </c>
      <c r="M36" s="124">
        <f t="shared" si="37"/>
        <v>2.8333124619432546E-3</v>
      </c>
      <c r="N36" s="403">
        <f>[4]南港工場!$I$36</f>
        <v>9896</v>
      </c>
      <c r="O36" s="9">
        <f t="shared" si="41"/>
        <v>3.4217814507910758E-4</v>
      </c>
      <c r="P36" s="362">
        <f>[4]南港工場!$L$36</f>
        <v>39560</v>
      </c>
      <c r="Q36" s="204">
        <f t="shared" si="42"/>
        <v>3.7602939591742526E-4</v>
      </c>
      <c r="R36" s="437">
        <f>[4]南港事務!$I$36</f>
        <v>33393</v>
      </c>
      <c r="S36" s="9" t="str">
        <f t="shared" si="43"/>
        <v/>
      </c>
      <c r="T36" s="362">
        <f>[4]南港事務!$L$36</f>
        <v>131989</v>
      </c>
      <c r="U36" s="204" t="str">
        <f t="shared" si="44"/>
        <v/>
      </c>
      <c r="V36" s="456">
        <f t="shared" si="21"/>
        <v>43289</v>
      </c>
      <c r="W36" s="171">
        <f t="shared" si="45"/>
        <v>1.4968219202030608E-3</v>
      </c>
      <c r="X36" s="426">
        <f t="shared" si="22"/>
        <v>171549</v>
      </c>
      <c r="Y36" s="225">
        <f t="shared" si="46"/>
        <v>1.6306235298341352E-3</v>
      </c>
      <c r="Z36" s="460">
        <f t="shared" si="23"/>
        <v>134106</v>
      </c>
      <c r="AA36" s="189">
        <f t="shared" si="47"/>
        <v>2.2740717954815957E-4</v>
      </c>
      <c r="AB36" s="564">
        <f t="shared" si="24"/>
        <v>503956</v>
      </c>
      <c r="AC36" s="123">
        <f t="shared" si="48"/>
        <v>2.2984368535081953E-4</v>
      </c>
      <c r="AD36" s="352">
        <f>[4]東京事務!$I$36</f>
        <v>24457</v>
      </c>
      <c r="AE36" s="9">
        <f t="shared" si="49"/>
        <v>9.1647980888594875E-5</v>
      </c>
      <c r="AF36" s="362">
        <f>[4]東京事務!$L$36</f>
        <v>106861</v>
      </c>
      <c r="AG36" s="81">
        <f t="shared" si="50"/>
        <v>1.0876179331785357E-4</v>
      </c>
      <c r="AH36" s="388">
        <f>[4]東京工場!$I$36</f>
        <v>3004</v>
      </c>
      <c r="AI36" s="171">
        <f t="shared" si="25"/>
        <v>2.7490651668460179E-4</v>
      </c>
      <c r="AJ36" s="362">
        <f>[4]東京工場!$L$36</f>
        <v>12014</v>
      </c>
      <c r="AK36" s="99">
        <f t="shared" si="36"/>
        <v>2.9952150853132693E-4</v>
      </c>
      <c r="AL36" s="547">
        <f t="shared" si="26"/>
        <v>27461</v>
      </c>
      <c r="AM36" s="314">
        <f t="shared" si="51"/>
        <v>9.8856892705136379E-5</v>
      </c>
      <c r="AN36" s="478">
        <f t="shared" si="27"/>
        <v>118875</v>
      </c>
      <c r="AO36" s="123">
        <f t="shared" si="52"/>
        <v>1.1624393728094961E-4</v>
      </c>
      <c r="AP36" s="527">
        <f t="shared" si="28"/>
        <v>216718</v>
      </c>
      <c r="AQ36" s="284">
        <f t="shared" si="53"/>
        <v>2.4981818101420234E-4</v>
      </c>
      <c r="AR36" s="487">
        <f t="shared" si="29"/>
        <v>878485</v>
      </c>
      <c r="AS36" s="285">
        <f t="shared" si="54"/>
        <v>2.732255666894382E-4</v>
      </c>
      <c r="AT36" s="584">
        <f>[4]全社合計!$G$36</f>
        <v>248794</v>
      </c>
      <c r="AU36" s="124">
        <f t="shared" si="30"/>
        <v>2.6956373744014373E-4</v>
      </c>
      <c r="AV36" s="578">
        <f>[4]全社合計!$N$36</f>
        <v>996949</v>
      </c>
      <c r="AW36" s="125">
        <f t="shared" si="31"/>
        <v>2.755223981210589E-4</v>
      </c>
      <c r="AX36" s="584">
        <f t="shared" si="32"/>
        <v>-32076</v>
      </c>
      <c r="AY36" s="124">
        <f t="shared" si="33"/>
        <v>0.87107406127157405</v>
      </c>
      <c r="AZ36" s="578">
        <f t="shared" si="34"/>
        <v>-118464</v>
      </c>
      <c r="BA36" s="125">
        <f t="shared" si="35"/>
        <v>0.88117346022715304</v>
      </c>
      <c r="BB36" s="11"/>
    </row>
    <row r="37" spans="1:54" ht="15.95" customHeight="1">
      <c r="A37" s="37" t="s">
        <v>31</v>
      </c>
      <c r="B37" s="703">
        <f>[4]本部!$I$37</f>
        <v>0</v>
      </c>
      <c r="C37" s="259" t="str">
        <f t="shared" si="38"/>
        <v/>
      </c>
      <c r="D37" s="728">
        <f>[4]本部!$L$37</f>
        <v>0</v>
      </c>
      <c r="E37" s="122" t="str">
        <f t="shared" si="39"/>
        <v/>
      </c>
      <c r="F37" s="352">
        <f>[4]本社営業!$I$37</f>
        <v>0</v>
      </c>
      <c r="G37" s="9">
        <f t="shared" si="40"/>
        <v>0</v>
      </c>
      <c r="H37" s="362">
        <f>[4]本社営業!$L$37</f>
        <v>100000</v>
      </c>
      <c r="I37" s="124">
        <f t="shared" si="19"/>
        <v>4.8730115009576891E-5</v>
      </c>
      <c r="J37" s="745">
        <f>[4]東大阪!$I$37</f>
        <v>5523</v>
      </c>
      <c r="K37" s="9">
        <f t="shared" si="20"/>
        <v>5.8216954763117706E-4</v>
      </c>
      <c r="L37" s="362">
        <f>[4]東大阪!$L$37</f>
        <v>84660</v>
      </c>
      <c r="M37" s="124">
        <f t="shared" si="37"/>
        <v>2.3996902001652289E-3</v>
      </c>
      <c r="N37" s="403">
        <f>[4]南港工場!$I$37</f>
        <v>18496</v>
      </c>
      <c r="O37" s="9">
        <f t="shared" si="41"/>
        <v>6.3954395426264895E-4</v>
      </c>
      <c r="P37" s="362">
        <f>[4]南港工場!$L$37</f>
        <v>18496</v>
      </c>
      <c r="Q37" s="204">
        <f t="shared" si="42"/>
        <v>1.758099015897042E-4</v>
      </c>
      <c r="R37" s="437">
        <f>[4]南港事務!$I$37</f>
        <v>0</v>
      </c>
      <c r="S37" s="9" t="str">
        <f t="shared" si="43"/>
        <v/>
      </c>
      <c r="T37" s="362">
        <f>[4]南港事務!$L$37</f>
        <v>0</v>
      </c>
      <c r="U37" s="204" t="str">
        <f t="shared" si="44"/>
        <v/>
      </c>
      <c r="V37" s="456">
        <f t="shared" si="21"/>
        <v>18496</v>
      </c>
      <c r="W37" s="171">
        <f t="shared" si="45"/>
        <v>6.3954395426264895E-4</v>
      </c>
      <c r="X37" s="426">
        <f t="shared" si="22"/>
        <v>18496</v>
      </c>
      <c r="Y37" s="225">
        <f t="shared" si="46"/>
        <v>1.758099015897042E-4</v>
      </c>
      <c r="Z37" s="460">
        <f t="shared" si="23"/>
        <v>24019</v>
      </c>
      <c r="AA37" s="189">
        <f t="shared" si="47"/>
        <v>4.0729669407537657E-5</v>
      </c>
      <c r="AB37" s="564">
        <f t="shared" si="24"/>
        <v>203156</v>
      </c>
      <c r="AC37" s="123">
        <f t="shared" si="48"/>
        <v>9.2655159857469885E-5</v>
      </c>
      <c r="AD37" s="352">
        <f>[4]東京事務!$I$37</f>
        <v>0</v>
      </c>
      <c r="AE37" s="9">
        <f t="shared" si="49"/>
        <v>0</v>
      </c>
      <c r="AF37" s="362">
        <f>[4]東京事務!$L$37</f>
        <v>0</v>
      </c>
      <c r="AG37" s="81">
        <f t="shared" si="50"/>
        <v>0</v>
      </c>
      <c r="AH37" s="388">
        <f>[4]東京工場!$I$37</f>
        <v>0</v>
      </c>
      <c r="AI37" s="171">
        <f t="shared" si="25"/>
        <v>0</v>
      </c>
      <c r="AJ37" s="362">
        <f>[4]東京工場!$L$37</f>
        <v>123281</v>
      </c>
      <c r="AK37" s="99">
        <f t="shared" si="36"/>
        <v>3.073523480377103E-3</v>
      </c>
      <c r="AL37" s="547">
        <f t="shared" si="26"/>
        <v>0</v>
      </c>
      <c r="AM37" s="314">
        <f t="shared" si="51"/>
        <v>0</v>
      </c>
      <c r="AN37" s="478">
        <f t="shared" si="27"/>
        <v>123281</v>
      </c>
      <c r="AO37" s="123">
        <f t="shared" si="52"/>
        <v>1.2055241919606938E-4</v>
      </c>
      <c r="AP37" s="527">
        <f t="shared" si="28"/>
        <v>24019</v>
      </c>
      <c r="AQ37" s="284">
        <f t="shared" si="53"/>
        <v>2.7687515064646805E-5</v>
      </c>
      <c r="AR37" s="487">
        <f t="shared" si="29"/>
        <v>326437</v>
      </c>
      <c r="AS37" s="285">
        <f t="shared" si="54"/>
        <v>1.0152812434293144E-4</v>
      </c>
      <c r="AT37" s="584">
        <f>[4]全社合計!$G$37</f>
        <v>817331</v>
      </c>
      <c r="AU37" s="124">
        <f t="shared" si="30"/>
        <v>8.8556315299279781E-4</v>
      </c>
      <c r="AV37" s="578">
        <f>[4]全社合計!$N$37</f>
        <v>2257617</v>
      </c>
      <c r="AW37" s="125">
        <f t="shared" si="31"/>
        <v>6.2392765314862712E-4</v>
      </c>
      <c r="AX37" s="584">
        <f t="shared" si="32"/>
        <v>-793312</v>
      </c>
      <c r="AY37" s="124">
        <f t="shared" si="33"/>
        <v>2.9387114889805967E-2</v>
      </c>
      <c r="AZ37" s="578">
        <f t="shared" si="34"/>
        <v>-1931180</v>
      </c>
      <c r="BA37" s="125">
        <f t="shared" si="35"/>
        <v>0.14459361353143602</v>
      </c>
      <c r="BB37" s="11"/>
    </row>
    <row r="38" spans="1:54" ht="15.95" customHeight="1">
      <c r="A38" s="37" t="s">
        <v>32</v>
      </c>
      <c r="B38" s="703">
        <f>[4]本部!$I$38</f>
        <v>0</v>
      </c>
      <c r="C38" s="259" t="str">
        <f t="shared" si="38"/>
        <v/>
      </c>
      <c r="D38" s="728">
        <f>[4]本部!$L$38</f>
        <v>33096</v>
      </c>
      <c r="E38" s="122" t="str">
        <f t="shared" si="39"/>
        <v/>
      </c>
      <c r="F38" s="352">
        <f>[4]本社営業!$I$38</f>
        <v>243194</v>
      </c>
      <c r="G38" s="9">
        <f t="shared" si="40"/>
        <v>4.4112024568159744E-4</v>
      </c>
      <c r="H38" s="362">
        <f>[4]本社営業!$L$38</f>
        <v>637943</v>
      </c>
      <c r="I38" s="124">
        <f>IF(ISERR(H38/$H$11),"",H38/$H$11)</f>
        <v>3.1087035759554512E-4</v>
      </c>
      <c r="J38" s="745">
        <f>[4]東大阪!$I$38</f>
        <v>0</v>
      </c>
      <c r="K38" s="9">
        <f t="shared" si="20"/>
        <v>0</v>
      </c>
      <c r="L38" s="362">
        <f>[4]東大阪!$L$38</f>
        <v>0</v>
      </c>
      <c r="M38" s="124">
        <f t="shared" si="37"/>
        <v>0</v>
      </c>
      <c r="N38" s="403">
        <f>[4]南港工場!$I$38</f>
        <v>0</v>
      </c>
      <c r="O38" s="9">
        <f t="shared" si="41"/>
        <v>0</v>
      </c>
      <c r="P38" s="362">
        <f>[4]南港工場!$L$38</f>
        <v>0</v>
      </c>
      <c r="Q38" s="204">
        <f t="shared" si="42"/>
        <v>0</v>
      </c>
      <c r="R38" s="437">
        <f>[4]南港事務!$I$38</f>
        <v>8134</v>
      </c>
      <c r="S38" s="9" t="str">
        <f t="shared" si="43"/>
        <v/>
      </c>
      <c r="T38" s="362">
        <f>[4]南港事務!$L$38</f>
        <v>31494</v>
      </c>
      <c r="U38" s="204" t="str">
        <f t="shared" si="44"/>
        <v/>
      </c>
      <c r="V38" s="456">
        <f t="shared" si="21"/>
        <v>8134</v>
      </c>
      <c r="W38" s="171">
        <f t="shared" si="45"/>
        <v>2.8125273161615412E-4</v>
      </c>
      <c r="X38" s="426">
        <f t="shared" si="22"/>
        <v>31494</v>
      </c>
      <c r="Y38" s="225">
        <f t="shared" si="46"/>
        <v>2.9935970159310899E-4</v>
      </c>
      <c r="Z38" s="460">
        <f t="shared" si="23"/>
        <v>251328</v>
      </c>
      <c r="AA38" s="189">
        <f t="shared" si="47"/>
        <v>4.2618370260450578E-4</v>
      </c>
      <c r="AB38" s="564">
        <f t="shared" si="24"/>
        <v>669437</v>
      </c>
      <c r="AC38" s="123">
        <f t="shared" si="48"/>
        <v>3.0531607360602229E-4</v>
      </c>
      <c r="AD38" s="352">
        <f>[4]東京事務!$I$38</f>
        <v>52857</v>
      </c>
      <c r="AE38" s="9">
        <f t="shared" si="49"/>
        <v>1.980716083668667E-4</v>
      </c>
      <c r="AF38" s="362">
        <f>[4]東京事務!$L$38</f>
        <v>197526</v>
      </c>
      <c r="AG38" s="81">
        <f t="shared" si="50"/>
        <v>2.0103949978853225E-4</v>
      </c>
      <c r="AH38" s="388">
        <f>[4]東京工場!$I$38</f>
        <v>0</v>
      </c>
      <c r="AI38" s="171">
        <f t="shared" si="25"/>
        <v>0</v>
      </c>
      <c r="AJ38" s="362">
        <f>[4]東京工場!$L$38</f>
        <v>6840</v>
      </c>
      <c r="AK38" s="99">
        <f t="shared" si="36"/>
        <v>1.7052831016766074E-4</v>
      </c>
      <c r="AL38" s="547">
        <f t="shared" si="26"/>
        <v>52857</v>
      </c>
      <c r="AM38" s="314">
        <f t="shared" si="51"/>
        <v>1.9027998899222146E-4</v>
      </c>
      <c r="AN38" s="478">
        <f t="shared" si="27"/>
        <v>204366</v>
      </c>
      <c r="AO38" s="123">
        <f t="shared" si="52"/>
        <v>1.9984276329218547E-4</v>
      </c>
      <c r="AP38" s="527">
        <f t="shared" si="28"/>
        <v>304185</v>
      </c>
      <c r="AQ38" s="284">
        <f t="shared" si="53"/>
        <v>3.5064435529953735E-4</v>
      </c>
      <c r="AR38" s="487">
        <f t="shared" si="29"/>
        <v>906899</v>
      </c>
      <c r="AS38" s="285">
        <f t="shared" si="54"/>
        <v>2.8206286186455636E-4</v>
      </c>
      <c r="AT38" s="584">
        <f>[4]全社合計!$G$38</f>
        <v>268385</v>
      </c>
      <c r="AU38" s="124">
        <f t="shared" si="30"/>
        <v>2.907902267453113E-4</v>
      </c>
      <c r="AV38" s="578">
        <f>[4]全社合計!$N$38</f>
        <v>1196248</v>
      </c>
      <c r="AW38" s="125">
        <f t="shared" si="31"/>
        <v>3.3060178374974092E-4</v>
      </c>
      <c r="AX38" s="584">
        <f t="shared" si="32"/>
        <v>35800</v>
      </c>
      <c r="AY38" s="124">
        <f t="shared" si="33"/>
        <v>1.1333904651899325</v>
      </c>
      <c r="AZ38" s="578">
        <f t="shared" si="34"/>
        <v>-289349</v>
      </c>
      <c r="BA38" s="125">
        <f t="shared" si="35"/>
        <v>0.7581195538048966</v>
      </c>
      <c r="BB38" s="11"/>
    </row>
    <row r="39" spans="1:54" ht="15.95" customHeight="1">
      <c r="A39" s="37" t="s">
        <v>56</v>
      </c>
      <c r="B39" s="703">
        <f>[4]本部!$I$39</f>
        <v>4445</v>
      </c>
      <c r="C39" s="259" t="str">
        <f t="shared" si="38"/>
        <v/>
      </c>
      <c r="D39" s="728">
        <f>[4]本部!$L$39</f>
        <v>39960</v>
      </c>
      <c r="E39" s="122" t="str">
        <f t="shared" si="39"/>
        <v/>
      </c>
      <c r="F39" s="352">
        <f>[4]本社営業!$I$39</f>
        <v>71204</v>
      </c>
      <c r="G39" s="9">
        <f t="shared" si="40"/>
        <v>1.291541977742562E-4</v>
      </c>
      <c r="H39" s="362">
        <f>[4]本社営業!$L$39</f>
        <v>71204</v>
      </c>
      <c r="I39" s="124">
        <f t="shared" si="19"/>
        <v>3.4697791091419128E-5</v>
      </c>
      <c r="J39" s="745">
        <f>[4]東大阪!$I$39</f>
        <v>0</v>
      </c>
      <c r="K39" s="9">
        <f t="shared" si="20"/>
        <v>0</v>
      </c>
      <c r="L39" s="362">
        <f>[4]東大阪!$L$39</f>
        <v>0</v>
      </c>
      <c r="M39" s="124">
        <f t="shared" si="37"/>
        <v>0</v>
      </c>
      <c r="N39" s="403">
        <f>[4]南港工場!$I$39</f>
        <v>0</v>
      </c>
      <c r="O39" s="9">
        <f t="shared" si="41"/>
        <v>0</v>
      </c>
      <c r="P39" s="362">
        <f>[4]南港工場!$L$39</f>
        <v>0</v>
      </c>
      <c r="Q39" s="204">
        <f t="shared" si="42"/>
        <v>0</v>
      </c>
      <c r="R39" s="437">
        <f>[4]南港事務!$I$39</f>
        <v>0</v>
      </c>
      <c r="S39" s="9" t="str">
        <f t="shared" si="43"/>
        <v/>
      </c>
      <c r="T39" s="362">
        <f>[4]南港事務!$L$39</f>
        <v>0</v>
      </c>
      <c r="U39" s="204" t="str">
        <f t="shared" si="44"/>
        <v/>
      </c>
      <c r="V39" s="456">
        <f t="shared" si="21"/>
        <v>0</v>
      </c>
      <c r="W39" s="171">
        <f t="shared" si="45"/>
        <v>0</v>
      </c>
      <c r="X39" s="426">
        <f t="shared" si="22"/>
        <v>0</v>
      </c>
      <c r="Y39" s="225">
        <f t="shared" si="46"/>
        <v>0</v>
      </c>
      <c r="Z39" s="460">
        <f t="shared" si="23"/>
        <v>71204</v>
      </c>
      <c r="AA39" s="189">
        <f t="shared" si="47"/>
        <v>1.2074255299947171E-4</v>
      </c>
      <c r="AB39" s="564">
        <f t="shared" si="24"/>
        <v>71204</v>
      </c>
      <c r="AC39" s="123">
        <f t="shared" si="48"/>
        <v>3.2474640190254217E-5</v>
      </c>
      <c r="AD39" s="352">
        <f>[4]東京事務!$I$39</f>
        <v>0</v>
      </c>
      <c r="AE39" s="9">
        <f t="shared" si="49"/>
        <v>0</v>
      </c>
      <c r="AF39" s="362">
        <f>[4]東京事務!$L$39</f>
        <v>71204</v>
      </c>
      <c r="AG39" s="81">
        <f t="shared" si="50"/>
        <v>7.2470543335776804E-5</v>
      </c>
      <c r="AH39" s="388">
        <f>[4]東京工場!$I$39</f>
        <v>0</v>
      </c>
      <c r="AI39" s="171">
        <f t="shared" si="25"/>
        <v>0</v>
      </c>
      <c r="AJ39" s="362">
        <f>[4]東京工場!$L$39</f>
        <v>0</v>
      </c>
      <c r="AK39" s="99">
        <f t="shared" si="36"/>
        <v>0</v>
      </c>
      <c r="AL39" s="547">
        <f t="shared" si="26"/>
        <v>0</v>
      </c>
      <c r="AM39" s="314">
        <f t="shared" si="51"/>
        <v>0</v>
      </c>
      <c r="AN39" s="478">
        <f t="shared" si="27"/>
        <v>71204</v>
      </c>
      <c r="AO39" s="123">
        <f t="shared" si="52"/>
        <v>6.9628040463955718E-5</v>
      </c>
      <c r="AP39" s="527">
        <f t="shared" si="28"/>
        <v>75649</v>
      </c>
      <c r="AQ39" s="284">
        <f t="shared" si="53"/>
        <v>8.7203165291039006E-5</v>
      </c>
      <c r="AR39" s="487">
        <f t="shared" si="29"/>
        <v>182368</v>
      </c>
      <c r="AS39" s="285">
        <f t="shared" si="54"/>
        <v>5.6719921394240606E-5</v>
      </c>
      <c r="AT39" s="584">
        <f>[4]全社合計!$G$39</f>
        <v>69168</v>
      </c>
      <c r="AU39" s="124">
        <f t="shared" si="30"/>
        <v>7.494225982644221E-5</v>
      </c>
      <c r="AV39" s="578">
        <f>[4]全社合計!$N$39</f>
        <v>160020</v>
      </c>
      <c r="AW39" s="125">
        <f t="shared" si="31"/>
        <v>4.4224021637347393E-5</v>
      </c>
      <c r="AX39" s="584">
        <f t="shared" si="32"/>
        <v>6481</v>
      </c>
      <c r="AY39" s="124">
        <f t="shared" si="33"/>
        <v>1.0936993985658108</v>
      </c>
      <c r="AZ39" s="578">
        <f t="shared" si="34"/>
        <v>22348</v>
      </c>
      <c r="BA39" s="125">
        <f t="shared" si="35"/>
        <v>1.1396575428071491</v>
      </c>
      <c r="BB39" s="11"/>
    </row>
    <row r="40" spans="1:54" ht="15.95" customHeight="1">
      <c r="A40" s="37" t="s">
        <v>33</v>
      </c>
      <c r="B40" s="703">
        <f>[4]本部!$I$40</f>
        <v>0</v>
      </c>
      <c r="C40" s="259" t="str">
        <f t="shared" si="38"/>
        <v/>
      </c>
      <c r="D40" s="728">
        <f>[4]本部!$L$40</f>
        <v>0</v>
      </c>
      <c r="E40" s="122" t="str">
        <f t="shared" si="39"/>
        <v/>
      </c>
      <c r="F40" s="352">
        <f>[4]本社営業!$I$40</f>
        <v>28529</v>
      </c>
      <c r="G40" s="9">
        <f t="shared" si="40"/>
        <v>5.1747656147151218E-5</v>
      </c>
      <c r="H40" s="362">
        <f>[4]本社営業!$L$40</f>
        <v>93000</v>
      </c>
      <c r="I40" s="124">
        <f t="shared" si="19"/>
        <v>4.5319006958906512E-5</v>
      </c>
      <c r="J40" s="745">
        <f>[4]東大阪!$I$40</f>
        <v>0</v>
      </c>
      <c r="K40" s="9">
        <f t="shared" si="20"/>
        <v>0</v>
      </c>
      <c r="L40" s="362">
        <f>[4]東大阪!$L$40</f>
        <v>0</v>
      </c>
      <c r="M40" s="124">
        <f t="shared" si="37"/>
        <v>0</v>
      </c>
      <c r="N40" s="403">
        <f>[4]南港工場!$I$40</f>
        <v>0</v>
      </c>
      <c r="O40" s="9">
        <f t="shared" si="41"/>
        <v>0</v>
      </c>
      <c r="P40" s="362">
        <f>[4]南港工場!$L$40</f>
        <v>0</v>
      </c>
      <c r="Q40" s="204">
        <f t="shared" si="42"/>
        <v>0</v>
      </c>
      <c r="R40" s="437">
        <f>[4]南港事務!$I$40</f>
        <v>0</v>
      </c>
      <c r="S40" s="9" t="str">
        <f t="shared" si="43"/>
        <v/>
      </c>
      <c r="T40" s="362">
        <f>[4]南港事務!$L$40</f>
        <v>9600</v>
      </c>
      <c r="U40" s="204" t="str">
        <f t="shared" si="44"/>
        <v/>
      </c>
      <c r="V40" s="456">
        <f t="shared" si="21"/>
        <v>0</v>
      </c>
      <c r="W40" s="171">
        <f t="shared" si="45"/>
        <v>0</v>
      </c>
      <c r="X40" s="426">
        <f t="shared" si="22"/>
        <v>9600</v>
      </c>
      <c r="Y40" s="225">
        <f t="shared" si="46"/>
        <v>9.1250813973894914E-5</v>
      </c>
      <c r="Z40" s="460">
        <f t="shared" si="23"/>
        <v>28529</v>
      </c>
      <c r="AA40" s="189">
        <f t="shared" si="47"/>
        <v>4.8377398664708844E-5</v>
      </c>
      <c r="AB40" s="564">
        <f t="shared" si="24"/>
        <v>102600</v>
      </c>
      <c r="AC40" s="123">
        <f t="shared" si="48"/>
        <v>4.6793692538622583E-5</v>
      </c>
      <c r="AD40" s="352">
        <f>[4]東京事務!$I$40</f>
        <v>0</v>
      </c>
      <c r="AE40" s="9">
        <f t="shared" si="49"/>
        <v>0</v>
      </c>
      <c r="AF40" s="362">
        <f>[4]東京事務!$L$40</f>
        <v>0</v>
      </c>
      <c r="AG40" s="81">
        <f t="shared" si="50"/>
        <v>0</v>
      </c>
      <c r="AH40" s="388">
        <f>[4]東京工場!$I$40</f>
        <v>0</v>
      </c>
      <c r="AI40" s="171">
        <f t="shared" si="25"/>
        <v>0</v>
      </c>
      <c r="AJ40" s="362">
        <f>[4]東京工場!$L$40</f>
        <v>0</v>
      </c>
      <c r="AK40" s="99">
        <f t="shared" si="36"/>
        <v>0</v>
      </c>
      <c r="AL40" s="547">
        <f t="shared" si="26"/>
        <v>0</v>
      </c>
      <c r="AM40" s="314">
        <f t="shared" si="51"/>
        <v>0</v>
      </c>
      <c r="AN40" s="478">
        <f t="shared" si="27"/>
        <v>0</v>
      </c>
      <c r="AO40" s="123">
        <f t="shared" si="52"/>
        <v>0</v>
      </c>
      <c r="AP40" s="527">
        <f t="shared" si="28"/>
        <v>28529</v>
      </c>
      <c r="AQ40" s="284">
        <f t="shared" si="53"/>
        <v>3.2886344863620825E-5</v>
      </c>
      <c r="AR40" s="487">
        <f t="shared" si="29"/>
        <v>102600</v>
      </c>
      <c r="AS40" s="285">
        <f t="shared" si="54"/>
        <v>3.1910554127089657E-5</v>
      </c>
      <c r="AT40" s="584">
        <f>[4]全社合計!$G$40</f>
        <v>20768</v>
      </c>
      <c r="AU40" s="124">
        <f t="shared" si="30"/>
        <v>2.2501747225242188E-5</v>
      </c>
      <c r="AV40" s="578">
        <f>[4]全社合計!$N$40</f>
        <v>112735</v>
      </c>
      <c r="AW40" s="125">
        <f t="shared" si="31"/>
        <v>3.1156074736197711E-5</v>
      </c>
      <c r="AX40" s="584">
        <f t="shared" si="32"/>
        <v>7761</v>
      </c>
      <c r="AY40" s="124">
        <f t="shared" si="33"/>
        <v>1.3736999229583975</v>
      </c>
      <c r="AZ40" s="578">
        <f t="shared" si="34"/>
        <v>-10135</v>
      </c>
      <c r="BA40" s="125">
        <f t="shared" si="35"/>
        <v>0.91009890451057796</v>
      </c>
      <c r="BB40" s="11"/>
    </row>
    <row r="41" spans="1:54" ht="15.95" customHeight="1">
      <c r="A41" s="37" t="s">
        <v>34</v>
      </c>
      <c r="B41" s="703">
        <f>[4]本部!$I$41</f>
        <v>91500</v>
      </c>
      <c r="C41" s="259" t="str">
        <f t="shared" si="38"/>
        <v/>
      </c>
      <c r="D41" s="728">
        <f>[4]本部!$L$41</f>
        <v>437300</v>
      </c>
      <c r="E41" s="122" t="str">
        <f t="shared" si="39"/>
        <v/>
      </c>
      <c r="F41" s="352">
        <f>[4]本社営業!$I$41</f>
        <v>5000</v>
      </c>
      <c r="G41" s="9">
        <f t="shared" si="40"/>
        <v>9.0693077477568815E-6</v>
      </c>
      <c r="H41" s="362">
        <f>[4]本社営業!$L$41</f>
        <v>102000</v>
      </c>
      <c r="I41" s="124">
        <f t="shared" si="19"/>
        <v>4.9704717309768431E-5</v>
      </c>
      <c r="J41" s="745">
        <f>[4]東大阪!$I$41</f>
        <v>0</v>
      </c>
      <c r="K41" s="9">
        <f t="shared" si="20"/>
        <v>0</v>
      </c>
      <c r="L41" s="362">
        <f>[4]東大阪!$L$41</f>
        <v>10000</v>
      </c>
      <c r="M41" s="124">
        <f t="shared" si="37"/>
        <v>2.8345029531835921E-4</v>
      </c>
      <c r="N41" s="403">
        <f>[4]南港工場!$I$41</f>
        <v>0</v>
      </c>
      <c r="O41" s="9">
        <f t="shared" si="41"/>
        <v>0</v>
      </c>
      <c r="P41" s="362">
        <f>[4]南港工場!$L$41</f>
        <v>0</v>
      </c>
      <c r="Q41" s="204">
        <f t="shared" si="42"/>
        <v>0</v>
      </c>
      <c r="R41" s="437">
        <f>[4]南港事務!$I$41</f>
        <v>0</v>
      </c>
      <c r="S41" s="9" t="str">
        <f t="shared" si="43"/>
        <v/>
      </c>
      <c r="T41" s="362">
        <f>[4]南港事務!$L$41</f>
        <v>395958</v>
      </c>
      <c r="U41" s="204" t="str">
        <f t="shared" si="44"/>
        <v/>
      </c>
      <c r="V41" s="456">
        <f t="shared" si="21"/>
        <v>0</v>
      </c>
      <c r="W41" s="171">
        <f t="shared" si="45"/>
        <v>0</v>
      </c>
      <c r="X41" s="426">
        <f t="shared" si="22"/>
        <v>395958</v>
      </c>
      <c r="Y41" s="225">
        <f t="shared" si="46"/>
        <v>3.7636968541120293E-3</v>
      </c>
      <c r="Z41" s="460">
        <f t="shared" si="23"/>
        <v>5000</v>
      </c>
      <c r="AA41" s="189">
        <f t="shared" si="47"/>
        <v>8.4786355401010987E-6</v>
      </c>
      <c r="AB41" s="564">
        <f t="shared" si="24"/>
        <v>507958</v>
      </c>
      <c r="AC41" s="123">
        <f t="shared" si="48"/>
        <v>2.3166891300715057E-4</v>
      </c>
      <c r="AD41" s="352">
        <f>[4]東京事務!$I$41</f>
        <v>4000</v>
      </c>
      <c r="AE41" s="9">
        <f t="shared" si="49"/>
        <v>1.498924330679885E-5</v>
      </c>
      <c r="AF41" s="362">
        <f>[4]東京事務!$L$41</f>
        <v>148000</v>
      </c>
      <c r="AG41" s="81">
        <f t="shared" si="50"/>
        <v>1.5063255454321342E-4</v>
      </c>
      <c r="AH41" s="388">
        <f>[4]東京工場!$I$41</f>
        <v>0</v>
      </c>
      <c r="AI41" s="171">
        <f t="shared" si="25"/>
        <v>0</v>
      </c>
      <c r="AJ41" s="362">
        <f>[4]東京工場!$L$41</f>
        <v>0</v>
      </c>
      <c r="AK41" s="99">
        <f t="shared" si="36"/>
        <v>0</v>
      </c>
      <c r="AL41" s="547">
        <f t="shared" si="26"/>
        <v>4000</v>
      </c>
      <c r="AM41" s="314">
        <f t="shared" si="51"/>
        <v>1.4399605652399603E-5</v>
      </c>
      <c r="AN41" s="478">
        <f t="shared" si="27"/>
        <v>148000</v>
      </c>
      <c r="AO41" s="123">
        <f t="shared" si="52"/>
        <v>1.4472431308164494E-4</v>
      </c>
      <c r="AP41" s="527">
        <f t="shared" si="28"/>
        <v>100500</v>
      </c>
      <c r="AQ41" s="284">
        <f t="shared" si="53"/>
        <v>1.1584975494387791E-4</v>
      </c>
      <c r="AR41" s="487">
        <f t="shared" si="29"/>
        <v>1093258</v>
      </c>
      <c r="AS41" s="285">
        <f t="shared" si="54"/>
        <v>3.4002406027167428E-4</v>
      </c>
      <c r="AT41" s="584">
        <f>[4]全社合計!$G$41</f>
        <v>156000</v>
      </c>
      <c r="AU41" s="124">
        <f t="shared" si="30"/>
        <v>1.6902313978899179E-4</v>
      </c>
      <c r="AV41" s="578">
        <f>[4]全社合計!$N$41</f>
        <v>1166577</v>
      </c>
      <c r="AW41" s="125">
        <f t="shared" si="31"/>
        <v>3.2240174034265599E-4</v>
      </c>
      <c r="AX41" s="584">
        <f t="shared" si="32"/>
        <v>-55500</v>
      </c>
      <c r="AY41" s="124">
        <f t="shared" si="33"/>
        <v>0.64423076923076927</v>
      </c>
      <c r="AZ41" s="578">
        <f t="shared" si="34"/>
        <v>-73319</v>
      </c>
      <c r="BA41" s="125">
        <f t="shared" si="35"/>
        <v>0.93715031240972524</v>
      </c>
      <c r="BB41" s="11"/>
    </row>
    <row r="42" spans="1:54" ht="15.95" customHeight="1">
      <c r="A42" s="37" t="s">
        <v>35</v>
      </c>
      <c r="B42" s="703">
        <f>[4]本部!$I$42</f>
        <v>0</v>
      </c>
      <c r="C42" s="259" t="str">
        <f t="shared" si="38"/>
        <v/>
      </c>
      <c r="D42" s="728">
        <f>[4]本部!$L$42</f>
        <v>0</v>
      </c>
      <c r="E42" s="122" t="str">
        <f t="shared" si="39"/>
        <v/>
      </c>
      <c r="F42" s="352">
        <f>[4]本社営業!$I$42</f>
        <v>0</v>
      </c>
      <c r="G42" s="9">
        <f t="shared" si="40"/>
        <v>0</v>
      </c>
      <c r="H42" s="362">
        <f>[4]本社営業!$L$42</f>
        <v>520000</v>
      </c>
      <c r="I42" s="124">
        <f t="shared" si="19"/>
        <v>2.5339659804979987E-4</v>
      </c>
      <c r="J42" s="745">
        <f>[4]東大阪!$I$42</f>
        <v>0</v>
      </c>
      <c r="K42" s="9">
        <f t="shared" si="20"/>
        <v>0</v>
      </c>
      <c r="L42" s="362">
        <f>[4]東大阪!$L$42</f>
        <v>0</v>
      </c>
      <c r="M42" s="124">
        <f t="shared" si="37"/>
        <v>0</v>
      </c>
      <c r="N42" s="403">
        <f>[4]南港工場!$I$42</f>
        <v>0</v>
      </c>
      <c r="O42" s="9">
        <f t="shared" si="41"/>
        <v>0</v>
      </c>
      <c r="P42" s="362">
        <f>[4]南港工場!$L$42</f>
        <v>0</v>
      </c>
      <c r="Q42" s="204">
        <f t="shared" si="42"/>
        <v>0</v>
      </c>
      <c r="R42" s="437">
        <f>[4]南港事務!$I$42</f>
        <v>0</v>
      </c>
      <c r="S42" s="9" t="str">
        <f t="shared" si="43"/>
        <v/>
      </c>
      <c r="T42" s="362">
        <f>[4]南港事務!$L$42</f>
        <v>0</v>
      </c>
      <c r="U42" s="204" t="str">
        <f t="shared" si="44"/>
        <v/>
      </c>
      <c r="V42" s="456">
        <f t="shared" si="21"/>
        <v>0</v>
      </c>
      <c r="W42" s="171">
        <f t="shared" si="45"/>
        <v>0</v>
      </c>
      <c r="X42" s="426">
        <f t="shared" si="22"/>
        <v>0</v>
      </c>
      <c r="Y42" s="225">
        <f t="shared" si="46"/>
        <v>0</v>
      </c>
      <c r="Z42" s="460">
        <f t="shared" si="23"/>
        <v>0</v>
      </c>
      <c r="AA42" s="189">
        <f t="shared" si="47"/>
        <v>0</v>
      </c>
      <c r="AB42" s="564">
        <f t="shared" si="24"/>
        <v>520000</v>
      </c>
      <c r="AC42" s="123">
        <f t="shared" si="48"/>
        <v>2.3716101481563104E-4</v>
      </c>
      <c r="AD42" s="352">
        <f>[4]東京事務!$I$42</f>
        <v>0</v>
      </c>
      <c r="AE42" s="9">
        <f t="shared" si="49"/>
        <v>0</v>
      </c>
      <c r="AF42" s="362">
        <f>[4]東京事務!$L$42</f>
        <v>0</v>
      </c>
      <c r="AG42" s="81">
        <f t="shared" si="50"/>
        <v>0</v>
      </c>
      <c r="AH42" s="388">
        <f>[4]東京工場!$I$42</f>
        <v>0</v>
      </c>
      <c r="AI42" s="171">
        <f t="shared" si="25"/>
        <v>0</v>
      </c>
      <c r="AJ42" s="362">
        <f>[4]東京工場!$L$42</f>
        <v>0</v>
      </c>
      <c r="AK42" s="99">
        <f t="shared" si="36"/>
        <v>0</v>
      </c>
      <c r="AL42" s="547">
        <f t="shared" si="26"/>
        <v>0</v>
      </c>
      <c r="AM42" s="314">
        <f t="shared" si="51"/>
        <v>0</v>
      </c>
      <c r="AN42" s="478">
        <f t="shared" si="27"/>
        <v>0</v>
      </c>
      <c r="AO42" s="123">
        <f t="shared" si="52"/>
        <v>0</v>
      </c>
      <c r="AP42" s="527">
        <f t="shared" si="28"/>
        <v>0</v>
      </c>
      <c r="AQ42" s="284">
        <f t="shared" si="53"/>
        <v>0</v>
      </c>
      <c r="AR42" s="487">
        <f t="shared" si="29"/>
        <v>520000</v>
      </c>
      <c r="AS42" s="285">
        <f t="shared" si="54"/>
        <v>1.6172990395795926E-4</v>
      </c>
      <c r="AT42" s="584">
        <f>[4]全社合計!$G$42</f>
        <v>25000</v>
      </c>
      <c r="AU42" s="124">
        <f t="shared" si="30"/>
        <v>2.708704163285125E-5</v>
      </c>
      <c r="AV42" s="578">
        <f>[4]全社合計!$N$42</f>
        <v>2015576</v>
      </c>
      <c r="AW42" s="125">
        <f t="shared" si="31"/>
        <v>5.5703584949205168E-4</v>
      </c>
      <c r="AX42" s="584">
        <f t="shared" si="32"/>
        <v>-25000</v>
      </c>
      <c r="AY42" s="124">
        <f t="shared" si="33"/>
        <v>0</v>
      </c>
      <c r="AZ42" s="578">
        <f t="shared" si="34"/>
        <v>-1495576</v>
      </c>
      <c r="BA42" s="125">
        <f t="shared" si="35"/>
        <v>0.25799076789959791</v>
      </c>
      <c r="BB42" s="11"/>
    </row>
    <row r="43" spans="1:54" ht="15.95" customHeight="1">
      <c r="A43" s="37" t="s">
        <v>36</v>
      </c>
      <c r="B43" s="703">
        <f>[4]本部!$I$43</f>
        <v>0</v>
      </c>
      <c r="C43" s="259" t="str">
        <f t="shared" si="38"/>
        <v/>
      </c>
      <c r="D43" s="728">
        <f>[4]本部!$L$43</f>
        <v>0</v>
      </c>
      <c r="E43" s="122" t="str">
        <f t="shared" si="39"/>
        <v/>
      </c>
      <c r="F43" s="352">
        <f>[4]本社営業!$I$43</f>
        <v>14476095</v>
      </c>
      <c r="G43" s="9">
        <f t="shared" si="40"/>
        <v>2.6257632108152931E-2</v>
      </c>
      <c r="H43" s="362">
        <f>[4]本社営業!$L$43</f>
        <v>52503082</v>
      </c>
      <c r="I43" s="124">
        <f t="shared" si="19"/>
        <v>2.5584812242172465E-2</v>
      </c>
      <c r="J43" s="745">
        <f>[4]東大阪!$I$43</f>
        <v>-462364</v>
      </c>
      <c r="K43" s="9">
        <f t="shared" si="20"/>
        <v>-4.873696192665971E-2</v>
      </c>
      <c r="L43" s="362">
        <f>[4]東大阪!$L$43</f>
        <v>-1948510</v>
      </c>
      <c r="M43" s="124">
        <f t="shared" si="37"/>
        <v>-5.5230573493077605E-2</v>
      </c>
      <c r="N43" s="403">
        <f>[4]南港工場!$I$43</f>
        <v>2420654</v>
      </c>
      <c r="O43" s="9">
        <f t="shared" si="41"/>
        <v>8.3699969239927466E-2</v>
      </c>
      <c r="P43" s="362">
        <f>[4]南港工場!$L$43</f>
        <v>6853862</v>
      </c>
      <c r="Q43" s="204">
        <f t="shared" si="42"/>
        <v>6.5147967329661174E-2</v>
      </c>
      <c r="R43" s="437">
        <f>[4]南港事務!$I$43</f>
        <v>0</v>
      </c>
      <c r="S43" s="9" t="str">
        <f t="shared" si="43"/>
        <v/>
      </c>
      <c r="T43" s="362">
        <f>[4]南港事務!$L$43</f>
        <v>0</v>
      </c>
      <c r="U43" s="204" t="str">
        <f t="shared" si="44"/>
        <v/>
      </c>
      <c r="V43" s="456">
        <f t="shared" si="21"/>
        <v>2420654</v>
      </c>
      <c r="W43" s="171">
        <f t="shared" si="45"/>
        <v>8.3699969239927466E-2</v>
      </c>
      <c r="X43" s="426">
        <f t="shared" si="22"/>
        <v>6853862</v>
      </c>
      <c r="Y43" s="225">
        <f t="shared" si="46"/>
        <v>6.5147967329661174E-2</v>
      </c>
      <c r="Z43" s="460">
        <f t="shared" si="23"/>
        <v>16434385</v>
      </c>
      <c r="AA43" s="189">
        <f t="shared" si="47"/>
        <v>2.7868232148140878E-2</v>
      </c>
      <c r="AB43" s="564">
        <f t="shared" si="24"/>
        <v>57408434</v>
      </c>
      <c r="AC43" s="123">
        <f t="shared" si="48"/>
        <v>2.6182773973877263E-2</v>
      </c>
      <c r="AD43" s="352">
        <f>[4]東京事務!$I$43</f>
        <v>7764653</v>
      </c>
      <c r="AE43" s="9">
        <f t="shared" si="49"/>
        <v>2.9096568252466402E-2</v>
      </c>
      <c r="AF43" s="362">
        <f>[4]東京事務!$L$43</f>
        <v>23186661</v>
      </c>
      <c r="AG43" s="81">
        <f t="shared" si="50"/>
        <v>2.3599094444307429E-2</v>
      </c>
      <c r="AH43" s="388">
        <f>[4]東京工場!$I$43</f>
        <v>0</v>
      </c>
      <c r="AI43" s="171">
        <f t="shared" si="25"/>
        <v>0</v>
      </c>
      <c r="AJ43" s="362">
        <f>[4]東京工場!$L$43</f>
        <v>0</v>
      </c>
      <c r="AK43" s="99">
        <f t="shared" si="36"/>
        <v>0</v>
      </c>
      <c r="AL43" s="547">
        <f t="shared" si="26"/>
        <v>7764653</v>
      </c>
      <c r="AM43" s="314">
        <f t="shared" si="51"/>
        <v>2.7951985306930386E-2</v>
      </c>
      <c r="AN43" s="478">
        <f t="shared" si="27"/>
        <v>23186661</v>
      </c>
      <c r="AO43" s="123">
        <f t="shared" si="52"/>
        <v>2.2673470174878151E-2</v>
      </c>
      <c r="AP43" s="527">
        <f t="shared" si="28"/>
        <v>24199038</v>
      </c>
      <c r="AQ43" s="284">
        <f t="shared" si="53"/>
        <v>2.7895050966941191E-2</v>
      </c>
      <c r="AR43" s="487">
        <f t="shared" si="29"/>
        <v>80595095</v>
      </c>
      <c r="AS43" s="285">
        <f t="shared" si="54"/>
        <v>2.5066609565062698E-2</v>
      </c>
      <c r="AT43" s="584">
        <f>[4]全社合計!$G$43</f>
        <v>21381430</v>
      </c>
      <c r="AU43" s="124">
        <f t="shared" si="30"/>
        <v>2.3166387383195788E-2</v>
      </c>
      <c r="AV43" s="578">
        <f>[4]全社合計!$N$43</f>
        <v>77339596</v>
      </c>
      <c r="AW43" s="125">
        <f t="shared" si="31"/>
        <v>2.1374003042917797E-2</v>
      </c>
      <c r="AX43" s="584">
        <f t="shared" si="32"/>
        <v>2817608</v>
      </c>
      <c r="AY43" s="124">
        <f t="shared" si="33"/>
        <v>1.1317782767569802</v>
      </c>
      <c r="AZ43" s="578">
        <f>AR43-AV43</f>
        <v>3255499</v>
      </c>
      <c r="BA43" s="125">
        <f t="shared" si="35"/>
        <v>1.0420935609748982</v>
      </c>
      <c r="BB43" s="11"/>
    </row>
    <row r="44" spans="1:54" ht="15.95" customHeight="1">
      <c r="A44" s="37" t="s">
        <v>37</v>
      </c>
      <c r="B44" s="703">
        <f>[4]本部!$I$44</f>
        <v>-165000</v>
      </c>
      <c r="C44" s="259" t="str">
        <f t="shared" si="38"/>
        <v/>
      </c>
      <c r="D44" s="728">
        <f>[4]本部!$L$44</f>
        <v>-660000</v>
      </c>
      <c r="E44" s="122" t="str">
        <f t="shared" si="39"/>
        <v/>
      </c>
      <c r="F44" s="352">
        <f>[4]本社営業!$I$44</f>
        <v>475000</v>
      </c>
      <c r="G44" s="9">
        <f t="shared" si="40"/>
        <v>8.6158423603690376E-4</v>
      </c>
      <c r="H44" s="362">
        <f>[4]本社営業!$L$44</f>
        <v>1900000</v>
      </c>
      <c r="I44" s="124">
        <f t="shared" si="19"/>
        <v>9.2587218518196091E-4</v>
      </c>
      <c r="J44" s="745">
        <f>[4]東大阪!$I$44</f>
        <v>375000</v>
      </c>
      <c r="K44" s="9">
        <f t="shared" si="20"/>
        <v>3.9528079008091875E-2</v>
      </c>
      <c r="L44" s="362">
        <f>[4]東大阪!$L$44</f>
        <v>1500000</v>
      </c>
      <c r="M44" s="124">
        <f t="shared" si="37"/>
        <v>4.2517544297753875E-2</v>
      </c>
      <c r="N44" s="403">
        <f>[4]南港工場!$I$44</f>
        <v>360000</v>
      </c>
      <c r="O44" s="9">
        <f t="shared" si="41"/>
        <v>1.2447871082101731E-2</v>
      </c>
      <c r="P44" s="362">
        <f>[4]南港工場!$L$44</f>
        <v>1440000</v>
      </c>
      <c r="Q44" s="204">
        <f t="shared" si="42"/>
        <v>1.3687622096084236E-2</v>
      </c>
      <c r="R44" s="437">
        <f>[4]南港事務!$I$44</f>
        <v>80000</v>
      </c>
      <c r="S44" s="9" t="str">
        <f t="shared" si="43"/>
        <v/>
      </c>
      <c r="T44" s="362">
        <f>[4]南港事務!$L$44</f>
        <v>320000</v>
      </c>
      <c r="U44" s="204" t="str">
        <f t="shared" si="44"/>
        <v/>
      </c>
      <c r="V44" s="456">
        <f t="shared" si="21"/>
        <v>440000</v>
      </c>
      <c r="W44" s="171">
        <f t="shared" si="45"/>
        <v>1.5214064655902117E-2</v>
      </c>
      <c r="X44" s="426">
        <f t="shared" si="22"/>
        <v>1760000</v>
      </c>
      <c r="Y44" s="225">
        <f t="shared" si="46"/>
        <v>1.6729315895214068E-2</v>
      </c>
      <c r="Z44" s="460">
        <f t="shared" si="23"/>
        <v>1290000</v>
      </c>
      <c r="AA44" s="189">
        <f t="shared" si="47"/>
        <v>2.1874879693460831E-3</v>
      </c>
      <c r="AB44" s="564">
        <f t="shared" si="24"/>
        <v>5160000</v>
      </c>
      <c r="AC44" s="123">
        <f t="shared" si="48"/>
        <v>2.3533669931704924E-3</v>
      </c>
      <c r="AD44" s="352">
        <f>[4]東京事務!$I$44</f>
        <v>55000</v>
      </c>
      <c r="AE44" s="9">
        <f t="shared" si="49"/>
        <v>2.0610209546848419E-4</v>
      </c>
      <c r="AF44" s="362">
        <f>[4]東京事務!$L$44</f>
        <v>220000</v>
      </c>
      <c r="AG44" s="81">
        <f t="shared" si="50"/>
        <v>2.2391325675342533E-4</v>
      </c>
      <c r="AH44" s="388">
        <f>[4]東京工場!$I$44</f>
        <v>275000</v>
      </c>
      <c r="AI44" s="171">
        <f t="shared" si="25"/>
        <v>2.5166209083976529E-2</v>
      </c>
      <c r="AJ44" s="362">
        <f>[4]東京工場!$L$44</f>
        <v>1100000</v>
      </c>
      <c r="AK44" s="99">
        <f t="shared" si="36"/>
        <v>2.7424143448015616E-2</v>
      </c>
      <c r="AL44" s="547">
        <f t="shared" si="26"/>
        <v>330000</v>
      </c>
      <c r="AM44" s="314">
        <f t="shared" si="51"/>
        <v>1.1879674663229673E-3</v>
      </c>
      <c r="AN44" s="478">
        <f t="shared" si="27"/>
        <v>1320000</v>
      </c>
      <c r="AO44" s="123">
        <f t="shared" si="52"/>
        <v>1.2907844139714278E-3</v>
      </c>
      <c r="AP44" s="527">
        <f t="shared" si="28"/>
        <v>1455000</v>
      </c>
      <c r="AQ44" s="284">
        <f t="shared" si="53"/>
        <v>1.6772277954561429E-3</v>
      </c>
      <c r="AR44" s="487">
        <f t="shared" si="29"/>
        <v>5820000</v>
      </c>
      <c r="AS44" s="285">
        <f t="shared" si="54"/>
        <v>1.8101308481448519E-3</v>
      </c>
      <c r="AT44" s="584">
        <f>[4]全社合計!$G$44</f>
        <v>1280000</v>
      </c>
      <c r="AU44" s="124">
        <f t="shared" si="30"/>
        <v>1.3868565316019839E-3</v>
      </c>
      <c r="AV44" s="578">
        <f>[4]全社合計!$N$44</f>
        <v>5120000</v>
      </c>
      <c r="AW44" s="125">
        <f t="shared" si="31"/>
        <v>1.4149918184178142E-3</v>
      </c>
      <c r="AX44" s="584">
        <f t="shared" si="32"/>
        <v>175000</v>
      </c>
      <c r="AY44" s="124">
        <f t="shared" si="33"/>
        <v>1.13671875</v>
      </c>
      <c r="AZ44" s="578">
        <f t="shared" si="34"/>
        <v>700000</v>
      </c>
      <c r="BA44" s="125">
        <f t="shared" si="35"/>
        <v>1.13671875</v>
      </c>
      <c r="BB44" s="14"/>
    </row>
    <row r="45" spans="1:54" ht="15.95" customHeight="1">
      <c r="A45" s="37" t="s">
        <v>57</v>
      </c>
      <c r="B45" s="703">
        <f>[4]本部!$I$45</f>
        <v>0</v>
      </c>
      <c r="C45" s="259" t="str">
        <f t="shared" si="38"/>
        <v/>
      </c>
      <c r="D45" s="728">
        <f>[4]本部!$L$45</f>
        <v>0</v>
      </c>
      <c r="E45" s="122" t="str">
        <f t="shared" si="39"/>
        <v/>
      </c>
      <c r="F45" s="352">
        <f>[4]本社営業!$I$45</f>
        <v>0</v>
      </c>
      <c r="G45" s="9">
        <f t="shared" si="40"/>
        <v>0</v>
      </c>
      <c r="H45" s="362">
        <f>[4]本社営業!$L$45</f>
        <v>0</v>
      </c>
      <c r="I45" s="124">
        <f t="shared" si="19"/>
        <v>0</v>
      </c>
      <c r="J45" s="745">
        <f>[4]東大阪!$I$45</f>
        <v>0</v>
      </c>
      <c r="K45" s="9">
        <f t="shared" si="20"/>
        <v>0</v>
      </c>
      <c r="L45" s="362">
        <f>[4]東大阪!$L$45</f>
        <v>0</v>
      </c>
      <c r="M45" s="124">
        <f t="shared" si="37"/>
        <v>0</v>
      </c>
      <c r="N45" s="403">
        <f>[4]南港工場!$I$45</f>
        <v>0</v>
      </c>
      <c r="O45" s="9">
        <f t="shared" si="41"/>
        <v>0</v>
      </c>
      <c r="P45" s="362">
        <f>[4]南港工場!$L$45</f>
        <v>0</v>
      </c>
      <c r="Q45" s="204">
        <f t="shared" si="42"/>
        <v>0</v>
      </c>
      <c r="R45" s="437">
        <f>[4]南港事務!$I$45</f>
        <v>0</v>
      </c>
      <c r="S45" s="9" t="str">
        <f t="shared" si="43"/>
        <v/>
      </c>
      <c r="T45" s="362">
        <f>[4]南港事務!$L$45</f>
        <v>0</v>
      </c>
      <c r="U45" s="204" t="str">
        <f t="shared" si="44"/>
        <v/>
      </c>
      <c r="V45" s="456">
        <f t="shared" si="21"/>
        <v>0</v>
      </c>
      <c r="W45" s="171">
        <f t="shared" si="45"/>
        <v>0</v>
      </c>
      <c r="X45" s="426">
        <f t="shared" si="22"/>
        <v>0</v>
      </c>
      <c r="Y45" s="225">
        <f t="shared" si="46"/>
        <v>0</v>
      </c>
      <c r="Z45" s="460">
        <f t="shared" si="23"/>
        <v>0</v>
      </c>
      <c r="AA45" s="189">
        <f t="shared" si="47"/>
        <v>0</v>
      </c>
      <c r="AB45" s="564">
        <f t="shared" si="24"/>
        <v>0</v>
      </c>
      <c r="AC45" s="123">
        <f t="shared" si="48"/>
        <v>0</v>
      </c>
      <c r="AD45" s="352">
        <f>[4]東京事務!$I$45</f>
        <v>0</v>
      </c>
      <c r="AE45" s="9">
        <f t="shared" si="49"/>
        <v>0</v>
      </c>
      <c r="AF45" s="362">
        <f>[4]東京事務!$L$45</f>
        <v>0</v>
      </c>
      <c r="AG45" s="81">
        <f t="shared" si="50"/>
        <v>0</v>
      </c>
      <c r="AH45" s="388">
        <f>[4]東京工場!$I$45</f>
        <v>0</v>
      </c>
      <c r="AI45" s="171">
        <f t="shared" si="25"/>
        <v>0</v>
      </c>
      <c r="AJ45" s="362">
        <f>[4]東京工場!$L$45</f>
        <v>0</v>
      </c>
      <c r="AK45" s="99">
        <f t="shared" si="36"/>
        <v>0</v>
      </c>
      <c r="AL45" s="547">
        <f t="shared" si="26"/>
        <v>0</v>
      </c>
      <c r="AM45" s="314">
        <f t="shared" si="51"/>
        <v>0</v>
      </c>
      <c r="AN45" s="478">
        <f t="shared" si="27"/>
        <v>0</v>
      </c>
      <c r="AO45" s="123">
        <f t="shared" si="52"/>
        <v>0</v>
      </c>
      <c r="AP45" s="527">
        <f t="shared" si="28"/>
        <v>0</v>
      </c>
      <c r="AQ45" s="284">
        <f t="shared" si="53"/>
        <v>0</v>
      </c>
      <c r="AR45" s="487">
        <f t="shared" si="29"/>
        <v>0</v>
      </c>
      <c r="AS45" s="285">
        <f t="shared" si="54"/>
        <v>0</v>
      </c>
      <c r="AT45" s="584">
        <f>[4]全社合計!$G$45</f>
        <v>0</v>
      </c>
      <c r="AU45" s="124">
        <f t="shared" si="30"/>
        <v>0</v>
      </c>
      <c r="AV45" s="578">
        <f>[4]全社合計!$N$45</f>
        <v>0</v>
      </c>
      <c r="AW45" s="125">
        <f t="shared" si="31"/>
        <v>0</v>
      </c>
      <c r="AX45" s="584">
        <f t="shared" si="32"/>
        <v>0</v>
      </c>
      <c r="AY45" s="124" t="str">
        <f t="shared" si="33"/>
        <v/>
      </c>
      <c r="AZ45" s="578">
        <f t="shared" si="34"/>
        <v>0</v>
      </c>
      <c r="BA45" s="125" t="str">
        <f t="shared" si="35"/>
        <v/>
      </c>
      <c r="BB45" s="11"/>
    </row>
    <row r="46" spans="1:54" ht="15.95" customHeight="1">
      <c r="A46" s="36" t="s">
        <v>38</v>
      </c>
      <c r="B46" s="704">
        <f>[4]本部!$I$46</f>
        <v>10000</v>
      </c>
      <c r="C46" s="260" t="str">
        <f t="shared" si="38"/>
        <v/>
      </c>
      <c r="D46" s="729">
        <f>[4]本部!$L$46</f>
        <v>60000</v>
      </c>
      <c r="E46" s="126" t="str">
        <f t="shared" si="39"/>
        <v/>
      </c>
      <c r="F46" s="353">
        <f>[4]本社営業!$I$46</f>
        <v>5100</v>
      </c>
      <c r="G46" s="12">
        <f t="shared" si="40"/>
        <v>9.2506939027120196E-6</v>
      </c>
      <c r="H46" s="362">
        <f>[4]本社営業!$L$46</f>
        <v>16100</v>
      </c>
      <c r="I46" s="128">
        <f t="shared" si="19"/>
        <v>7.8455485165418799E-6</v>
      </c>
      <c r="J46" s="746">
        <f>[4]東大阪!$I$46</f>
        <v>0</v>
      </c>
      <c r="K46" s="12">
        <f t="shared" si="20"/>
        <v>0</v>
      </c>
      <c r="L46" s="362">
        <f>[4]東大阪!$L$46</f>
        <v>0</v>
      </c>
      <c r="M46" s="128">
        <f t="shared" si="37"/>
        <v>0</v>
      </c>
      <c r="N46" s="403">
        <f>[4]南港工場!$I$46</f>
        <v>0</v>
      </c>
      <c r="O46" s="12">
        <f t="shared" si="41"/>
        <v>0</v>
      </c>
      <c r="P46" s="362">
        <f>[4]南港工場!$L$46</f>
        <v>0</v>
      </c>
      <c r="Q46" s="205">
        <f t="shared" si="42"/>
        <v>0</v>
      </c>
      <c r="R46" s="438">
        <f>[4]南港事務!$I$46</f>
        <v>0</v>
      </c>
      <c r="S46" s="12" t="str">
        <f t="shared" si="43"/>
        <v/>
      </c>
      <c r="T46" s="362">
        <f>[4]南港事務!$L$46</f>
        <v>0</v>
      </c>
      <c r="U46" s="205" t="str">
        <f t="shared" si="44"/>
        <v/>
      </c>
      <c r="V46" s="457">
        <f t="shared" si="21"/>
        <v>0</v>
      </c>
      <c r="W46" s="172">
        <f t="shared" si="45"/>
        <v>0</v>
      </c>
      <c r="X46" s="427">
        <f t="shared" si="22"/>
        <v>0</v>
      </c>
      <c r="Y46" s="226">
        <f t="shared" si="46"/>
        <v>0</v>
      </c>
      <c r="Z46" s="461">
        <f t="shared" si="23"/>
        <v>5100</v>
      </c>
      <c r="AA46" s="190">
        <f t="shared" si="47"/>
        <v>8.6482082509031206E-6</v>
      </c>
      <c r="AB46" s="565">
        <f t="shared" si="24"/>
        <v>16100</v>
      </c>
      <c r="AC46" s="127">
        <f t="shared" si="48"/>
        <v>7.342869881791653E-6</v>
      </c>
      <c r="AD46" s="353">
        <f>[4]東京事務!$I$46</f>
        <v>0</v>
      </c>
      <c r="AE46" s="12">
        <f t="shared" si="49"/>
        <v>0</v>
      </c>
      <c r="AF46" s="362">
        <f>[4]東京事務!$L$46</f>
        <v>0</v>
      </c>
      <c r="AG46" s="82">
        <f t="shared" si="50"/>
        <v>0</v>
      </c>
      <c r="AH46" s="389">
        <f>[4]東京工場!$I$46</f>
        <v>0</v>
      </c>
      <c r="AI46" s="172">
        <f t="shared" si="25"/>
        <v>0</v>
      </c>
      <c r="AJ46" s="362">
        <f>[4]東京工場!$L$46</f>
        <v>0</v>
      </c>
      <c r="AK46" s="100">
        <f t="shared" si="36"/>
        <v>0</v>
      </c>
      <c r="AL46" s="548">
        <f t="shared" si="26"/>
        <v>0</v>
      </c>
      <c r="AM46" s="315">
        <f t="shared" si="51"/>
        <v>0</v>
      </c>
      <c r="AN46" s="479">
        <f t="shared" si="27"/>
        <v>0</v>
      </c>
      <c r="AO46" s="127">
        <f t="shared" si="52"/>
        <v>0</v>
      </c>
      <c r="AP46" s="528">
        <f t="shared" si="28"/>
        <v>15100</v>
      </c>
      <c r="AQ46" s="286">
        <f t="shared" si="53"/>
        <v>1.7406281588582654E-5</v>
      </c>
      <c r="AR46" s="488">
        <f t="shared" si="29"/>
        <v>76100</v>
      </c>
      <c r="AS46" s="287">
        <f t="shared" si="54"/>
        <v>2.3668549406155195E-5</v>
      </c>
      <c r="AT46" s="585">
        <f>[4]全社合計!$G$46</f>
        <v>10000</v>
      </c>
      <c r="AU46" s="128">
        <f t="shared" si="30"/>
        <v>1.0834816653140499E-5</v>
      </c>
      <c r="AV46" s="579">
        <f>[4]全社合計!$N$46</f>
        <v>66100</v>
      </c>
      <c r="AW46" s="129">
        <f t="shared" si="31"/>
        <v>1.8267765468245609E-5</v>
      </c>
      <c r="AX46" s="585">
        <f t="shared" si="32"/>
        <v>5100</v>
      </c>
      <c r="AY46" s="128">
        <f t="shared" si="33"/>
        <v>1.51</v>
      </c>
      <c r="AZ46" s="579">
        <f t="shared" si="34"/>
        <v>10000</v>
      </c>
      <c r="BA46" s="129">
        <f t="shared" si="35"/>
        <v>1.1512859304084719</v>
      </c>
      <c r="BB46" s="11"/>
    </row>
    <row r="47" spans="1:54" ht="19.899999999999999" customHeight="1">
      <c r="A47" s="62" t="s">
        <v>39</v>
      </c>
      <c r="B47" s="708">
        <f>SUM(B19:B46)</f>
        <v>13923899</v>
      </c>
      <c r="C47" s="141" t="str">
        <f t="shared" si="38"/>
        <v/>
      </c>
      <c r="D47" s="401">
        <f>SUM(D19:D46)</f>
        <v>41106241</v>
      </c>
      <c r="E47" s="139" t="str">
        <f t="shared" si="39"/>
        <v/>
      </c>
      <c r="F47" s="466">
        <f>SUM(F19:F46)</f>
        <v>31326539</v>
      </c>
      <c r="G47" s="64">
        <f t="shared" si="40"/>
        <v>5.6822004572621626E-2</v>
      </c>
      <c r="H47" s="359">
        <f>SUM(H19:H46)</f>
        <v>118911606</v>
      </c>
      <c r="I47" s="141">
        <f t="shared" si="19"/>
        <v>5.7945762363534936E-2</v>
      </c>
      <c r="J47" s="747">
        <f>SUM(J19:J46)</f>
        <v>6505687</v>
      </c>
      <c r="K47" s="64">
        <f t="shared" si="20"/>
        <v>0.68575282596777654</v>
      </c>
      <c r="L47" s="359">
        <f>SUM(L19:L46)</f>
        <v>26149351</v>
      </c>
      <c r="M47" s="141">
        <f t="shared" si="37"/>
        <v>0.74120412633334309</v>
      </c>
      <c r="N47" s="405">
        <f>SUM(N19:N46)</f>
        <v>41789284</v>
      </c>
      <c r="O47" s="64">
        <f t="shared" si="41"/>
        <v>1.4449656106814905</v>
      </c>
      <c r="P47" s="359">
        <f>SUM(P19:P46)</f>
        <v>90117698</v>
      </c>
      <c r="Q47" s="177">
        <f t="shared" si="42"/>
        <v>0.85659513499517093</v>
      </c>
      <c r="R47" s="442">
        <f>SUM(R19:R46)</f>
        <v>3712583</v>
      </c>
      <c r="S47" s="64" t="str">
        <f t="shared" si="43"/>
        <v/>
      </c>
      <c r="T47" s="359">
        <f>SUM(T19:T46)</f>
        <v>16089698</v>
      </c>
      <c r="U47" s="209" t="str">
        <f t="shared" si="44"/>
        <v/>
      </c>
      <c r="V47" s="458">
        <f t="shared" si="21"/>
        <v>45501867</v>
      </c>
      <c r="W47" s="177">
        <f t="shared" si="45"/>
        <v>1.5733371511414975</v>
      </c>
      <c r="X47" s="428">
        <f t="shared" si="22"/>
        <v>106207396</v>
      </c>
      <c r="Y47" s="230">
        <f t="shared" si="46"/>
        <v>1.0095324307341449</v>
      </c>
      <c r="Z47" s="458">
        <f t="shared" si="23"/>
        <v>83334093</v>
      </c>
      <c r="AA47" s="194">
        <f t="shared" si="47"/>
        <v>0.14131188052237803</v>
      </c>
      <c r="AB47" s="428">
        <f t="shared" si="24"/>
        <v>251268353</v>
      </c>
      <c r="AC47" s="140">
        <f t="shared" si="48"/>
        <v>0.11459818767025425</v>
      </c>
      <c r="AD47" s="466">
        <f>SUM(AD19:AD46)</f>
        <v>13211028</v>
      </c>
      <c r="AE47" s="64">
        <f t="shared" si="49"/>
        <v>4.950582825623305E-2</v>
      </c>
      <c r="AF47" s="359">
        <f>SUM(AF19:AF46)</f>
        <v>49128856</v>
      </c>
      <c r="AG47" s="141">
        <f t="shared" si="50"/>
        <v>5.000273703422755E-2</v>
      </c>
      <c r="AH47" s="560">
        <f>SUM(AH19:AH46)</f>
        <v>6592305</v>
      </c>
      <c r="AI47" s="177">
        <f t="shared" si="25"/>
        <v>0.60328482172852327</v>
      </c>
      <c r="AJ47" s="359">
        <f>SUM(AJ19:AJ46)</f>
        <v>29627070</v>
      </c>
      <c r="AK47" s="105">
        <f t="shared" si="36"/>
        <v>0.73863365238581824</v>
      </c>
      <c r="AL47" s="549">
        <f t="shared" si="26"/>
        <v>19803333</v>
      </c>
      <c r="AM47" s="319">
        <f t="shared" si="51"/>
        <v>7.1290046450787903E-2</v>
      </c>
      <c r="AN47" s="480">
        <f t="shared" si="27"/>
        <v>78755926</v>
      </c>
      <c r="AO47" s="140">
        <f t="shared" si="52"/>
        <v>7.7012819536884186E-2</v>
      </c>
      <c r="AP47" s="529">
        <f t="shared" si="28"/>
        <v>117061325</v>
      </c>
      <c r="AQ47" s="141">
        <f t="shared" si="53"/>
        <v>0.13494055536970795</v>
      </c>
      <c r="AR47" s="428">
        <f t="shared" si="29"/>
        <v>371130520</v>
      </c>
      <c r="AS47" s="140">
        <f t="shared" si="54"/>
        <v>0.11542866029897593</v>
      </c>
      <c r="AT47" s="529">
        <f>SUM(AT19:AT46)</f>
        <v>98622271</v>
      </c>
      <c r="AU47" s="141">
        <f t="shared" si="30"/>
        <v>0.10685542242013353</v>
      </c>
      <c r="AV47" s="410">
        <f>SUM(AV19:AV46)</f>
        <v>347899526</v>
      </c>
      <c r="AW47" s="140">
        <f t="shared" si="31"/>
        <v>9.6147457601842901E-2</v>
      </c>
      <c r="AX47" s="529">
        <f t="shared" si="32"/>
        <v>18439054</v>
      </c>
      <c r="AY47" s="141">
        <f t="shared" si="33"/>
        <v>1.186966430736522</v>
      </c>
      <c r="AZ47" s="410">
        <f t="shared" si="34"/>
        <v>23230994</v>
      </c>
      <c r="BA47" s="140">
        <f t="shared" si="35"/>
        <v>1.0667750090582186</v>
      </c>
      <c r="BB47" s="14"/>
    </row>
    <row r="48" spans="1:54" ht="19.899999999999999" customHeight="1">
      <c r="A48" s="55" t="s">
        <v>40</v>
      </c>
      <c r="B48" s="709">
        <f>+B18-B47</f>
        <v>-13923899</v>
      </c>
      <c r="C48" s="138" t="str">
        <f t="shared" si="38"/>
        <v/>
      </c>
      <c r="D48" s="376">
        <f>D18-D47</f>
        <v>-41106241</v>
      </c>
      <c r="E48" s="136" t="str">
        <f t="shared" si="39"/>
        <v/>
      </c>
      <c r="F48" s="375">
        <f>F18-F47</f>
        <v>37787881</v>
      </c>
      <c r="G48" s="56">
        <f t="shared" si="40"/>
        <v>6.854198438492301E-2</v>
      </c>
      <c r="H48" s="376">
        <f>H18-H47</f>
        <v>158247933</v>
      </c>
      <c r="I48" s="138">
        <f t="shared" si="19"/>
        <v>7.7114399751178189E-2</v>
      </c>
      <c r="J48" s="374">
        <f>J18-J47</f>
        <v>2484903</v>
      </c>
      <c r="K48" s="56">
        <f t="shared" si="20"/>
        <v>0.26192917896385204</v>
      </c>
      <c r="L48" s="376">
        <f>L18-L47</f>
        <v>7093627</v>
      </c>
      <c r="M48" s="138">
        <f t="shared" si="37"/>
        <v>0.20106906680282863</v>
      </c>
      <c r="N48" s="412">
        <f>N18-N47</f>
        <v>-14582202</v>
      </c>
      <c r="O48" s="56">
        <f t="shared" si="41"/>
        <v>-0.50421491830323895</v>
      </c>
      <c r="P48" s="376">
        <f>P18-P47</f>
        <v>8192369</v>
      </c>
      <c r="Q48" s="176">
        <f t="shared" si="42"/>
        <v>7.7870868710885777E-2</v>
      </c>
      <c r="R48" s="443">
        <f>R18-R47</f>
        <v>-3712583</v>
      </c>
      <c r="S48" s="56" t="str">
        <f t="shared" si="43"/>
        <v/>
      </c>
      <c r="T48" s="376">
        <f>T18-T47</f>
        <v>-16089698</v>
      </c>
      <c r="U48" s="208" t="str">
        <f t="shared" si="44"/>
        <v/>
      </c>
      <c r="V48" s="490">
        <f t="shared" si="21"/>
        <v>-18294785</v>
      </c>
      <c r="W48" s="176">
        <f t="shared" si="45"/>
        <v>-0.63258645876324593</v>
      </c>
      <c r="X48" s="424">
        <f t="shared" si="22"/>
        <v>-7897329</v>
      </c>
      <c r="Y48" s="229">
        <f t="shared" si="46"/>
        <v>-7.5066427028088079E-2</v>
      </c>
      <c r="Z48" s="490">
        <f t="shared" si="23"/>
        <v>21977999</v>
      </c>
      <c r="AA48" s="193">
        <f t="shared" si="47"/>
        <v>3.7268688684341279E-2</v>
      </c>
      <c r="AB48" s="424">
        <f t="shared" si="24"/>
        <v>157444231</v>
      </c>
      <c r="AC48" s="137">
        <f t="shared" si="48"/>
        <v>7.1806987693897373E-2</v>
      </c>
      <c r="AD48" s="375">
        <f>AD18-AD47</f>
        <v>11106662</v>
      </c>
      <c r="AE48" s="56">
        <f t="shared" si="49"/>
        <v>4.1620114761094285E-2</v>
      </c>
      <c r="AF48" s="376">
        <f>AF18-AF47</f>
        <v>37357875</v>
      </c>
      <c r="AG48" s="138">
        <f t="shared" si="50"/>
        <v>3.8022379348351683E-2</v>
      </c>
      <c r="AH48" s="398">
        <f>AH18-AH47</f>
        <v>4335046</v>
      </c>
      <c r="AI48" s="176">
        <f t="shared" si="25"/>
        <v>0.39671517827147679</v>
      </c>
      <c r="AJ48" s="376">
        <f>AJ18-AJ47</f>
        <v>10483572</v>
      </c>
      <c r="AK48" s="104">
        <f t="shared" si="36"/>
        <v>0.26136634761418182</v>
      </c>
      <c r="AL48" s="545">
        <f t="shared" si="26"/>
        <v>15441708</v>
      </c>
      <c r="AM48" s="318">
        <f t="shared" si="51"/>
        <v>5.5588626449876041E-2</v>
      </c>
      <c r="AN48" s="537">
        <f t="shared" si="27"/>
        <v>47841447</v>
      </c>
      <c r="AO48" s="137">
        <f t="shared" si="52"/>
        <v>4.678257131018191E-2</v>
      </c>
      <c r="AP48" s="525">
        <f t="shared" si="28"/>
        <v>23495808</v>
      </c>
      <c r="AQ48" s="305">
        <f t="shared" si="53"/>
        <v>2.7084413920481654E-2</v>
      </c>
      <c r="AR48" s="517">
        <f t="shared" si="29"/>
        <v>164179437</v>
      </c>
      <c r="AS48" s="304">
        <f t="shared" si="54"/>
        <v>5.1062931880541972E-2</v>
      </c>
      <c r="AT48" s="582">
        <f>AT18-AT47</f>
        <v>51776763</v>
      </c>
      <c r="AU48" s="138">
        <f t="shared" si="30"/>
        <v>5.6099173399810888E-2</v>
      </c>
      <c r="AV48" s="597">
        <f>AV18-AV47</f>
        <v>225406377</v>
      </c>
      <c r="AW48" s="137">
        <f t="shared" si="31"/>
        <v>6.2294566264492458E-2</v>
      </c>
      <c r="AX48" s="582">
        <f t="shared" si="32"/>
        <v>-28280955</v>
      </c>
      <c r="AY48" s="138">
        <f t="shared" si="33"/>
        <v>0.45379059328216403</v>
      </c>
      <c r="AZ48" s="597">
        <f t="shared" si="34"/>
        <v>-61226940</v>
      </c>
      <c r="BA48" s="137">
        <f t="shared" si="35"/>
        <v>0.72837086148631902</v>
      </c>
      <c r="BB48" s="11"/>
    </row>
    <row r="49" spans="1:54" ht="15.95" customHeight="1">
      <c r="A49" s="37" t="s">
        <v>41</v>
      </c>
      <c r="B49" s="710">
        <f>[4]本部!$I$49</f>
        <v>1568351</v>
      </c>
      <c r="C49" s="258" t="str">
        <f t="shared" si="38"/>
        <v/>
      </c>
      <c r="D49" s="727">
        <f>[4]本部!$L$49</f>
        <v>7111151</v>
      </c>
      <c r="E49" s="118" t="str">
        <f t="shared" si="39"/>
        <v/>
      </c>
      <c r="F49" s="351">
        <f>[4]本社営業!$I$49</f>
        <v>0</v>
      </c>
      <c r="G49" s="7">
        <f t="shared" si="40"/>
        <v>0</v>
      </c>
      <c r="H49" s="364">
        <f>[4]本社営業!$L$49</f>
        <v>0</v>
      </c>
      <c r="I49" s="120">
        <f t="shared" si="19"/>
        <v>0</v>
      </c>
      <c r="J49" s="744">
        <f>[4]東大阪!$I$49</f>
        <v>0</v>
      </c>
      <c r="K49" s="7">
        <f t="shared" si="20"/>
        <v>0</v>
      </c>
      <c r="L49" s="364">
        <f>[4]東大阪!$L$49</f>
        <v>0</v>
      </c>
      <c r="M49" s="120">
        <f t="shared" si="37"/>
        <v>0</v>
      </c>
      <c r="N49" s="402">
        <f>[4]南港工場!$I$49</f>
        <v>0</v>
      </c>
      <c r="O49" s="7">
        <f t="shared" si="41"/>
        <v>0</v>
      </c>
      <c r="P49" s="364">
        <f>[4]南港工場!$L$49</f>
        <v>0</v>
      </c>
      <c r="Q49" s="174">
        <f t="shared" si="42"/>
        <v>0</v>
      </c>
      <c r="R49" s="444">
        <f>[4]南港事務!$I$49</f>
        <v>0</v>
      </c>
      <c r="S49" s="7" t="str">
        <f t="shared" si="43"/>
        <v/>
      </c>
      <c r="T49" s="364">
        <f>[4]南港事務!$L$49</f>
        <v>0</v>
      </c>
      <c r="U49" s="203" t="str">
        <f t="shared" si="44"/>
        <v/>
      </c>
      <c r="V49" s="455">
        <f t="shared" si="21"/>
        <v>0</v>
      </c>
      <c r="W49" s="174">
        <f t="shared" si="45"/>
        <v>0</v>
      </c>
      <c r="X49" s="429">
        <f t="shared" si="22"/>
        <v>0</v>
      </c>
      <c r="Y49" s="224">
        <f t="shared" si="46"/>
        <v>0</v>
      </c>
      <c r="Z49" s="459">
        <f t="shared" si="23"/>
        <v>0</v>
      </c>
      <c r="AA49" s="188">
        <f t="shared" si="47"/>
        <v>0</v>
      </c>
      <c r="AB49" s="563">
        <f t="shared" si="24"/>
        <v>0</v>
      </c>
      <c r="AC49" s="119">
        <f t="shared" si="48"/>
        <v>0</v>
      </c>
      <c r="AD49" s="351">
        <f>[4]東京事務!$I$49</f>
        <v>0</v>
      </c>
      <c r="AE49" s="7">
        <f t="shared" si="49"/>
        <v>0</v>
      </c>
      <c r="AF49" s="364">
        <f>[4]東京事務!$L$49</f>
        <v>2936</v>
      </c>
      <c r="AG49" s="80">
        <f t="shared" si="50"/>
        <v>2.9882241901275309E-6</v>
      </c>
      <c r="AH49" s="387">
        <f>[4]東京工場!$I$49</f>
        <v>0</v>
      </c>
      <c r="AI49" s="174">
        <f t="shared" si="25"/>
        <v>0</v>
      </c>
      <c r="AJ49" s="364">
        <f>[4]東京工場!$L$49</f>
        <v>0</v>
      </c>
      <c r="AK49" s="102">
        <f t="shared" si="36"/>
        <v>0</v>
      </c>
      <c r="AL49" s="546">
        <f t="shared" si="26"/>
        <v>0</v>
      </c>
      <c r="AM49" s="313">
        <f t="shared" si="51"/>
        <v>0</v>
      </c>
      <c r="AN49" s="477">
        <f t="shared" si="27"/>
        <v>2936</v>
      </c>
      <c r="AO49" s="119">
        <f t="shared" si="52"/>
        <v>2.8710174541061456E-6</v>
      </c>
      <c r="AP49" s="526">
        <f t="shared" si="28"/>
        <v>1568351</v>
      </c>
      <c r="AQ49" s="282">
        <f t="shared" si="53"/>
        <v>1.8078913334923967E-3</v>
      </c>
      <c r="AR49" s="486">
        <f t="shared" si="29"/>
        <v>7114087</v>
      </c>
      <c r="AS49" s="283">
        <f t="shared" si="54"/>
        <v>2.2126165524203206E-3</v>
      </c>
      <c r="AT49" s="586">
        <f>[4]全社合計!$G$49</f>
        <v>723627</v>
      </c>
      <c r="AU49" s="120">
        <f t="shared" si="30"/>
        <v>7.8403658702621008E-4</v>
      </c>
      <c r="AV49" s="577">
        <f>[4]全社合計!$N$49</f>
        <v>5424861</v>
      </c>
      <c r="AW49" s="121">
        <f t="shared" si="31"/>
        <v>1.4992449084089614E-3</v>
      </c>
      <c r="AX49" s="586">
        <f t="shared" si="32"/>
        <v>844724</v>
      </c>
      <c r="AY49" s="120">
        <f t="shared" si="33"/>
        <v>2.1673472659256774</v>
      </c>
      <c r="AZ49" s="577">
        <f t="shared" si="34"/>
        <v>1689226</v>
      </c>
      <c r="BA49" s="121">
        <f t="shared" si="35"/>
        <v>1.3113860428866289</v>
      </c>
      <c r="BB49" s="11"/>
    </row>
    <row r="50" spans="1:54" ht="15.95" customHeight="1">
      <c r="A50" s="37" t="s">
        <v>42</v>
      </c>
      <c r="B50" s="703">
        <f>[4]本部!$I$50</f>
        <v>0</v>
      </c>
      <c r="C50" s="259" t="str">
        <f t="shared" si="38"/>
        <v/>
      </c>
      <c r="D50" s="728">
        <f>[4]本部!$L$50</f>
        <v>0</v>
      </c>
      <c r="E50" s="122" t="str">
        <f t="shared" si="39"/>
        <v/>
      </c>
      <c r="F50" s="352">
        <f>[4]本社営業!$I$50</f>
        <v>0</v>
      </c>
      <c r="G50" s="9">
        <f t="shared" si="40"/>
        <v>0</v>
      </c>
      <c r="H50" s="362">
        <f>[4]本社営業!$L$50</f>
        <v>0</v>
      </c>
      <c r="I50" s="124">
        <f t="shared" si="19"/>
        <v>0</v>
      </c>
      <c r="J50" s="745">
        <f>[4]東大阪!$I$50</f>
        <v>0</v>
      </c>
      <c r="K50" s="9">
        <f t="shared" si="20"/>
        <v>0</v>
      </c>
      <c r="L50" s="362">
        <f>[4]東大阪!$L$50</f>
        <v>0</v>
      </c>
      <c r="M50" s="124">
        <f t="shared" si="37"/>
        <v>0</v>
      </c>
      <c r="N50" s="403">
        <f>[4]南港工場!$I$50</f>
        <v>0</v>
      </c>
      <c r="O50" s="9">
        <f t="shared" si="41"/>
        <v>0</v>
      </c>
      <c r="P50" s="362">
        <f>[4]南港工場!$L$50</f>
        <v>0</v>
      </c>
      <c r="Q50" s="171">
        <f t="shared" si="42"/>
        <v>0</v>
      </c>
      <c r="R50" s="445">
        <f>[4]南港事務!$I$50</f>
        <v>0</v>
      </c>
      <c r="S50" s="9" t="str">
        <f t="shared" si="43"/>
        <v/>
      </c>
      <c r="T50" s="362">
        <f>[4]南港事務!$L$50</f>
        <v>0</v>
      </c>
      <c r="U50" s="204" t="str">
        <f t="shared" si="44"/>
        <v/>
      </c>
      <c r="V50" s="456">
        <f t="shared" si="21"/>
        <v>0</v>
      </c>
      <c r="W50" s="171">
        <f t="shared" si="45"/>
        <v>0</v>
      </c>
      <c r="X50" s="426">
        <f t="shared" si="22"/>
        <v>0</v>
      </c>
      <c r="Y50" s="225">
        <f t="shared" si="46"/>
        <v>0</v>
      </c>
      <c r="Z50" s="460">
        <f t="shared" si="23"/>
        <v>0</v>
      </c>
      <c r="AA50" s="189">
        <f t="shared" si="47"/>
        <v>0</v>
      </c>
      <c r="AB50" s="564">
        <f t="shared" si="24"/>
        <v>0</v>
      </c>
      <c r="AC50" s="123">
        <f t="shared" si="48"/>
        <v>0</v>
      </c>
      <c r="AD50" s="352">
        <f>[4]東京事務!$I$50</f>
        <v>0</v>
      </c>
      <c r="AE50" s="9">
        <f t="shared" si="49"/>
        <v>0</v>
      </c>
      <c r="AF50" s="362">
        <f>[4]東京事務!$L$50</f>
        <v>0</v>
      </c>
      <c r="AG50" s="81">
        <f t="shared" si="50"/>
        <v>0</v>
      </c>
      <c r="AH50" s="388">
        <f>[4]東京工場!$I$50</f>
        <v>0</v>
      </c>
      <c r="AI50" s="171">
        <f t="shared" si="25"/>
        <v>0</v>
      </c>
      <c r="AJ50" s="362">
        <f>[4]東京工場!$L$50</f>
        <v>0</v>
      </c>
      <c r="AK50" s="99">
        <f t="shared" si="36"/>
        <v>0</v>
      </c>
      <c r="AL50" s="547">
        <f t="shared" si="26"/>
        <v>0</v>
      </c>
      <c r="AM50" s="314">
        <f t="shared" si="51"/>
        <v>0</v>
      </c>
      <c r="AN50" s="478">
        <f t="shared" si="27"/>
        <v>0</v>
      </c>
      <c r="AO50" s="123">
        <f t="shared" si="52"/>
        <v>0</v>
      </c>
      <c r="AP50" s="527">
        <f t="shared" si="28"/>
        <v>0</v>
      </c>
      <c r="AQ50" s="284">
        <f t="shared" si="53"/>
        <v>0</v>
      </c>
      <c r="AR50" s="487">
        <f t="shared" si="29"/>
        <v>0</v>
      </c>
      <c r="AS50" s="285">
        <f t="shared" si="54"/>
        <v>0</v>
      </c>
      <c r="AT50" s="584">
        <f>[4]全社合計!$G$50</f>
        <v>0</v>
      </c>
      <c r="AU50" s="124">
        <f t="shared" si="30"/>
        <v>0</v>
      </c>
      <c r="AV50" s="578">
        <f>[4]全社合計!$N$50</f>
        <v>1065084</v>
      </c>
      <c r="AW50" s="125">
        <f t="shared" si="31"/>
        <v>2.9435256756400768E-4</v>
      </c>
      <c r="AX50" s="584">
        <f t="shared" si="32"/>
        <v>0</v>
      </c>
      <c r="AY50" s="124" t="str">
        <f t="shared" si="33"/>
        <v/>
      </c>
      <c r="AZ50" s="578">
        <f t="shared" si="34"/>
        <v>-1065084</v>
      </c>
      <c r="BA50" s="125">
        <f t="shared" si="35"/>
        <v>0</v>
      </c>
      <c r="BB50" s="11"/>
    </row>
    <row r="51" spans="1:54" ht="15.95" customHeight="1">
      <c r="A51" s="37" t="s">
        <v>43</v>
      </c>
      <c r="B51" s="703">
        <f>[4]本部!$I$51</f>
        <v>1063000</v>
      </c>
      <c r="C51" s="259" t="str">
        <f t="shared" si="38"/>
        <v/>
      </c>
      <c r="D51" s="728">
        <f>[4]本部!$L$51</f>
        <v>4252000</v>
      </c>
      <c r="E51" s="122" t="str">
        <f t="shared" si="39"/>
        <v/>
      </c>
      <c r="F51" s="352">
        <f>[4]本社営業!$I$51</f>
        <v>0</v>
      </c>
      <c r="G51" s="9">
        <f t="shared" si="40"/>
        <v>0</v>
      </c>
      <c r="H51" s="362">
        <f>[4]本社営業!$L$51</f>
        <v>0</v>
      </c>
      <c r="I51" s="124">
        <f t="shared" si="19"/>
        <v>0</v>
      </c>
      <c r="J51" s="745">
        <f>[4]東大阪!$I$51</f>
        <v>850000</v>
      </c>
      <c r="K51" s="9">
        <f t="shared" si="20"/>
        <v>8.9596979085008244E-2</v>
      </c>
      <c r="L51" s="362">
        <f>[4]東大阪!$L$51</f>
        <v>3400000</v>
      </c>
      <c r="M51" s="124">
        <f t="shared" si="37"/>
        <v>9.6373100408242124E-2</v>
      </c>
      <c r="N51" s="403">
        <f>[4]南港工場!$I$51</f>
        <v>100000</v>
      </c>
      <c r="O51" s="9">
        <f t="shared" si="41"/>
        <v>3.457741967250481E-3</v>
      </c>
      <c r="P51" s="362">
        <f>[4]南港工場!$L$51</f>
        <v>400000</v>
      </c>
      <c r="Q51" s="171">
        <f t="shared" si="42"/>
        <v>3.8021172489122877E-3</v>
      </c>
      <c r="R51" s="445">
        <f>[4]南港事務!$I$51</f>
        <v>0</v>
      </c>
      <c r="S51" s="9" t="str">
        <f t="shared" si="43"/>
        <v/>
      </c>
      <c r="T51" s="362">
        <f>[4]南港事務!$L$51</f>
        <v>0</v>
      </c>
      <c r="U51" s="204" t="str">
        <f t="shared" si="44"/>
        <v/>
      </c>
      <c r="V51" s="456">
        <f t="shared" si="21"/>
        <v>100000</v>
      </c>
      <c r="W51" s="171">
        <f t="shared" si="45"/>
        <v>3.457741967250481E-3</v>
      </c>
      <c r="X51" s="426">
        <f t="shared" si="22"/>
        <v>400000</v>
      </c>
      <c r="Y51" s="225">
        <f t="shared" si="46"/>
        <v>3.8021172489122877E-3</v>
      </c>
      <c r="Z51" s="460">
        <f t="shared" si="23"/>
        <v>950000</v>
      </c>
      <c r="AA51" s="189">
        <f t="shared" si="47"/>
        <v>1.6109407526192086E-3</v>
      </c>
      <c r="AB51" s="564">
        <f t="shared" si="24"/>
        <v>3800000</v>
      </c>
      <c r="AC51" s="123">
        <f t="shared" si="48"/>
        <v>1.7330997236526882E-3</v>
      </c>
      <c r="AD51" s="352">
        <f>[4]東京事務!$I$51</f>
        <v>0</v>
      </c>
      <c r="AE51" s="9">
        <f t="shared" si="49"/>
        <v>0</v>
      </c>
      <c r="AF51" s="362">
        <f>[4]東京事務!$L$51</f>
        <v>0</v>
      </c>
      <c r="AG51" s="81">
        <f t="shared" si="50"/>
        <v>0</v>
      </c>
      <c r="AH51" s="388">
        <f>[4]東京工場!$I$51</f>
        <v>0</v>
      </c>
      <c r="AI51" s="171">
        <f t="shared" si="25"/>
        <v>0</v>
      </c>
      <c r="AJ51" s="362">
        <f>[4]東京工場!$L$51</f>
        <v>0</v>
      </c>
      <c r="AK51" s="99">
        <f t="shared" si="36"/>
        <v>0</v>
      </c>
      <c r="AL51" s="547">
        <f t="shared" si="26"/>
        <v>0</v>
      </c>
      <c r="AM51" s="314">
        <f t="shared" si="51"/>
        <v>0</v>
      </c>
      <c r="AN51" s="478">
        <f t="shared" si="27"/>
        <v>0</v>
      </c>
      <c r="AO51" s="123">
        <f t="shared" si="52"/>
        <v>0</v>
      </c>
      <c r="AP51" s="527">
        <f t="shared" si="28"/>
        <v>2013000</v>
      </c>
      <c r="AQ51" s="284">
        <f t="shared" si="53"/>
        <v>2.3204533005176742E-3</v>
      </c>
      <c r="AR51" s="487">
        <f t="shared" si="29"/>
        <v>8052000</v>
      </c>
      <c r="AS51" s="285">
        <f t="shared" si="54"/>
        <v>2.5043253589797847E-3</v>
      </c>
      <c r="AT51" s="584">
        <f>[4]全社合計!$G$51</f>
        <v>2013000</v>
      </c>
      <c r="AU51" s="124">
        <f t="shared" si="30"/>
        <v>2.1810485922771827E-3</v>
      </c>
      <c r="AV51" s="578">
        <f>[4]全社合計!$N$51</f>
        <v>7846000</v>
      </c>
      <c r="AW51" s="125">
        <f t="shared" si="31"/>
        <v>2.1683644154894864E-3</v>
      </c>
      <c r="AX51" s="584">
        <f t="shared" si="32"/>
        <v>0</v>
      </c>
      <c r="AY51" s="124">
        <f t="shared" si="33"/>
        <v>1</v>
      </c>
      <c r="AZ51" s="578">
        <f t="shared" si="34"/>
        <v>206000</v>
      </c>
      <c r="BA51" s="125">
        <f t="shared" si="35"/>
        <v>1.0262554167728779</v>
      </c>
      <c r="BB51" s="11"/>
    </row>
    <row r="52" spans="1:54" ht="15.95" customHeight="1">
      <c r="A52" s="37" t="s">
        <v>44</v>
      </c>
      <c r="B52" s="703">
        <f>[4]本部!$I$52</f>
        <v>0</v>
      </c>
      <c r="C52" s="259" t="str">
        <f t="shared" si="38"/>
        <v/>
      </c>
      <c r="D52" s="728">
        <f>[4]本部!$L$52</f>
        <v>0</v>
      </c>
      <c r="E52" s="122" t="str">
        <f t="shared" si="39"/>
        <v/>
      </c>
      <c r="F52" s="352">
        <f>[4]本社営業!$I$52</f>
        <v>0</v>
      </c>
      <c r="G52" s="9">
        <f t="shared" si="40"/>
        <v>0</v>
      </c>
      <c r="H52" s="362">
        <f>[4]本社営業!$L$52</f>
        <v>0</v>
      </c>
      <c r="I52" s="124">
        <f t="shared" si="19"/>
        <v>0</v>
      </c>
      <c r="J52" s="745">
        <f>[4]東大阪!$I$52</f>
        <v>0</v>
      </c>
      <c r="K52" s="9">
        <f t="shared" si="20"/>
        <v>0</v>
      </c>
      <c r="L52" s="362">
        <f>[4]東大阪!$L$52</f>
        <v>0</v>
      </c>
      <c r="M52" s="124">
        <f t="shared" si="37"/>
        <v>0</v>
      </c>
      <c r="N52" s="403">
        <f>[4]南港工場!$I$52</f>
        <v>0</v>
      </c>
      <c r="O52" s="9">
        <f t="shared" si="41"/>
        <v>0</v>
      </c>
      <c r="P52" s="362">
        <f>[4]南港工場!$L$52</f>
        <v>0</v>
      </c>
      <c r="Q52" s="171">
        <f t="shared" si="42"/>
        <v>0</v>
      </c>
      <c r="R52" s="445">
        <f>[4]南港事務!$I$52</f>
        <v>0</v>
      </c>
      <c r="S52" s="9" t="str">
        <f t="shared" si="43"/>
        <v/>
      </c>
      <c r="T52" s="362">
        <f>[4]南港事務!$L$52</f>
        <v>0</v>
      </c>
      <c r="U52" s="204" t="str">
        <f t="shared" si="44"/>
        <v/>
      </c>
      <c r="V52" s="456">
        <f t="shared" si="21"/>
        <v>0</v>
      </c>
      <c r="W52" s="171">
        <f t="shared" si="45"/>
        <v>0</v>
      </c>
      <c r="X52" s="426">
        <f t="shared" si="22"/>
        <v>0</v>
      </c>
      <c r="Y52" s="225">
        <f t="shared" si="46"/>
        <v>0</v>
      </c>
      <c r="Z52" s="460">
        <f t="shared" si="23"/>
        <v>0</v>
      </c>
      <c r="AA52" s="189">
        <f t="shared" si="47"/>
        <v>0</v>
      </c>
      <c r="AB52" s="564">
        <f t="shared" si="24"/>
        <v>0</v>
      </c>
      <c r="AC52" s="123">
        <f t="shared" si="48"/>
        <v>0</v>
      </c>
      <c r="AD52" s="352">
        <f>[4]東京事務!$I$52</f>
        <v>0</v>
      </c>
      <c r="AE52" s="9">
        <f t="shared" si="49"/>
        <v>0</v>
      </c>
      <c r="AF52" s="362">
        <f>[4]東京事務!$L$52</f>
        <v>0</v>
      </c>
      <c r="AG52" s="81">
        <f t="shared" si="50"/>
        <v>0</v>
      </c>
      <c r="AH52" s="388">
        <f>[4]東京工場!$I$52</f>
        <v>0</v>
      </c>
      <c r="AI52" s="171">
        <f t="shared" si="25"/>
        <v>0</v>
      </c>
      <c r="AJ52" s="362">
        <f>[4]東京工場!$L$52</f>
        <v>0</v>
      </c>
      <c r="AK52" s="99">
        <f t="shared" si="36"/>
        <v>0</v>
      </c>
      <c r="AL52" s="547">
        <f t="shared" si="26"/>
        <v>0</v>
      </c>
      <c r="AM52" s="314">
        <f t="shared" si="51"/>
        <v>0</v>
      </c>
      <c r="AN52" s="478">
        <f t="shared" si="27"/>
        <v>0</v>
      </c>
      <c r="AO52" s="123">
        <f t="shared" si="52"/>
        <v>0</v>
      </c>
      <c r="AP52" s="527">
        <f t="shared" si="28"/>
        <v>0</v>
      </c>
      <c r="AQ52" s="284">
        <f t="shared" si="53"/>
        <v>0</v>
      </c>
      <c r="AR52" s="487">
        <f t="shared" si="29"/>
        <v>0</v>
      </c>
      <c r="AS52" s="285">
        <f t="shared" si="54"/>
        <v>0</v>
      </c>
      <c r="AT52" s="584">
        <f>[4]全社合計!$G$52</f>
        <v>0</v>
      </c>
      <c r="AU52" s="124">
        <f t="shared" si="30"/>
        <v>0</v>
      </c>
      <c r="AV52" s="578">
        <f>[4]全社合計!$N$52</f>
        <v>0</v>
      </c>
      <c r="AW52" s="125">
        <f t="shared" si="31"/>
        <v>0</v>
      </c>
      <c r="AX52" s="584">
        <f t="shared" si="32"/>
        <v>0</v>
      </c>
      <c r="AY52" s="124" t="str">
        <f t="shared" si="33"/>
        <v/>
      </c>
      <c r="AZ52" s="578">
        <f t="shared" si="34"/>
        <v>0</v>
      </c>
      <c r="BA52" s="125" t="str">
        <f t="shared" si="35"/>
        <v/>
      </c>
      <c r="BB52" s="11"/>
    </row>
    <row r="53" spans="1:54" ht="15.95" customHeight="1">
      <c r="A53" s="35" t="s">
        <v>45</v>
      </c>
      <c r="B53" s="704">
        <f>[4]本部!$I$53</f>
        <v>131312</v>
      </c>
      <c r="C53" s="260" t="str">
        <f t="shared" si="38"/>
        <v/>
      </c>
      <c r="D53" s="729">
        <f>[4]本部!$L$53</f>
        <v>1260812</v>
      </c>
      <c r="E53" s="126" t="str">
        <f t="shared" si="39"/>
        <v/>
      </c>
      <c r="F53" s="353">
        <f>[4]本社営業!$I$53</f>
        <v>8553856</v>
      </c>
      <c r="G53" s="12">
        <f t="shared" si="40"/>
        <v>1.5515510498799338E-2</v>
      </c>
      <c r="H53" s="363">
        <f>[4]本社営業!$L$53</f>
        <v>58078930</v>
      </c>
      <c r="I53" s="128">
        <f t="shared" si="19"/>
        <v>2.8301929385331655E-2</v>
      </c>
      <c r="J53" s="746">
        <f>[4]東大阪!$I$53</f>
        <v>50000</v>
      </c>
      <c r="K53" s="12">
        <f t="shared" si="20"/>
        <v>5.2704105344122494E-3</v>
      </c>
      <c r="L53" s="363">
        <f>[4]東大阪!$L$53</f>
        <v>200000</v>
      </c>
      <c r="M53" s="128">
        <f t="shared" si="37"/>
        <v>5.669005906367184E-3</v>
      </c>
      <c r="N53" s="404">
        <f>[4]南港工場!$I$53</f>
        <v>18</v>
      </c>
      <c r="O53" s="12">
        <f t="shared" si="41"/>
        <v>6.2239355410508659E-7</v>
      </c>
      <c r="P53" s="363">
        <f>[4]南港工場!$L$53</f>
        <v>68</v>
      </c>
      <c r="Q53" s="172">
        <f t="shared" si="42"/>
        <v>6.4635993231508894E-7</v>
      </c>
      <c r="R53" s="446">
        <f>[4]南港事務!$I$53</f>
        <v>0</v>
      </c>
      <c r="S53" s="12" t="str">
        <f t="shared" si="43"/>
        <v/>
      </c>
      <c r="T53" s="363">
        <f>[4]南港事務!$L$53</f>
        <v>0</v>
      </c>
      <c r="U53" s="205" t="str">
        <f t="shared" si="44"/>
        <v/>
      </c>
      <c r="V53" s="457">
        <f t="shared" si="21"/>
        <v>18</v>
      </c>
      <c r="W53" s="172">
        <f t="shared" si="45"/>
        <v>6.2239355410508659E-7</v>
      </c>
      <c r="X53" s="427">
        <f t="shared" si="22"/>
        <v>68</v>
      </c>
      <c r="Y53" s="226">
        <f t="shared" si="46"/>
        <v>6.4635993231508894E-7</v>
      </c>
      <c r="Z53" s="461">
        <f t="shared" si="23"/>
        <v>8603874</v>
      </c>
      <c r="AA53" s="190">
        <f t="shared" si="47"/>
        <v>1.4589822375790359E-2</v>
      </c>
      <c r="AB53" s="565">
        <f t="shared" si="24"/>
        <v>58278998</v>
      </c>
      <c r="AC53" s="127">
        <f t="shared" si="48"/>
        <v>2.65798198233041E-2</v>
      </c>
      <c r="AD53" s="353">
        <f>[4]東京事務!$I$53</f>
        <v>3</v>
      </c>
      <c r="AE53" s="12">
        <f t="shared" si="49"/>
        <v>1.1241932480099137E-8</v>
      </c>
      <c r="AF53" s="363">
        <f>[4]東京事務!$L$53</f>
        <v>307130</v>
      </c>
      <c r="AG53" s="82">
        <f t="shared" si="50"/>
        <v>3.1259308430308877E-4</v>
      </c>
      <c r="AH53" s="389">
        <f>[4]東京工場!$I$53</f>
        <v>0</v>
      </c>
      <c r="AI53" s="172">
        <f t="shared" si="25"/>
        <v>0</v>
      </c>
      <c r="AJ53" s="363">
        <f>[4]東京工場!$L$53</f>
        <v>249066</v>
      </c>
      <c r="AK53" s="100">
        <f t="shared" si="36"/>
        <v>6.2094742836576889E-3</v>
      </c>
      <c r="AL53" s="548">
        <f t="shared" si="26"/>
        <v>3</v>
      </c>
      <c r="AM53" s="315">
        <f t="shared" si="51"/>
        <v>1.0799704239299702E-8</v>
      </c>
      <c r="AN53" s="479">
        <f t="shared" si="27"/>
        <v>556196</v>
      </c>
      <c r="AO53" s="127">
        <f t="shared" si="52"/>
        <v>5.4388570296458501E-4</v>
      </c>
      <c r="AP53" s="528">
        <f t="shared" si="28"/>
        <v>8735189</v>
      </c>
      <c r="AQ53" s="286">
        <f t="shared" si="53"/>
        <v>1.0069348308840377E-2</v>
      </c>
      <c r="AR53" s="488">
        <f t="shared" si="29"/>
        <v>60096006</v>
      </c>
      <c r="AS53" s="287">
        <f t="shared" si="54"/>
        <v>1.8691002458917201E-2</v>
      </c>
      <c r="AT53" s="585">
        <f>[4]全社合計!$G$53</f>
        <v>8038031</v>
      </c>
      <c r="AU53" s="128">
        <f t="shared" si="30"/>
        <v>8.7090592137259587E-3</v>
      </c>
      <c r="AV53" s="579">
        <f>[4]全社合計!$N$53</f>
        <v>33938142</v>
      </c>
      <c r="AW53" s="129">
        <f t="shared" si="31"/>
        <v>9.379334621543358E-3</v>
      </c>
      <c r="AX53" s="585">
        <f t="shared" si="32"/>
        <v>697158</v>
      </c>
      <c r="AY53" s="128">
        <f t="shared" si="33"/>
        <v>1.086732434846295</v>
      </c>
      <c r="AZ53" s="579">
        <f t="shared" si="34"/>
        <v>26157864</v>
      </c>
      <c r="BA53" s="129">
        <f t="shared" si="35"/>
        <v>1.7707512096566749</v>
      </c>
      <c r="BB53" s="11"/>
    </row>
    <row r="54" spans="1:54" ht="15.95" customHeight="1">
      <c r="A54" s="62" t="s">
        <v>46</v>
      </c>
      <c r="B54" s="708">
        <f>SUM(B49:B53)</f>
        <v>2762663</v>
      </c>
      <c r="C54" s="141" t="str">
        <f t="shared" si="38"/>
        <v/>
      </c>
      <c r="D54" s="730">
        <f>SUM(D49:D53)</f>
        <v>12623963</v>
      </c>
      <c r="E54" s="139" t="str">
        <f t="shared" si="39"/>
        <v/>
      </c>
      <c r="F54" s="466">
        <f>SUM(F49:F53)</f>
        <v>8553856</v>
      </c>
      <c r="G54" s="64">
        <f t="shared" si="40"/>
        <v>1.5515510498799338E-2</v>
      </c>
      <c r="H54" s="401">
        <f>SUM(H49:H53)</f>
        <v>58078930</v>
      </c>
      <c r="I54" s="141">
        <f t="shared" si="19"/>
        <v>2.8301929385331655E-2</v>
      </c>
      <c r="J54" s="747">
        <f>SUM(J49:J53)</f>
        <v>900000</v>
      </c>
      <c r="K54" s="64">
        <f t="shared" si="20"/>
        <v>9.4867389619420497E-2</v>
      </c>
      <c r="L54" s="401">
        <f>SUM(L49:L53)</f>
        <v>3600000</v>
      </c>
      <c r="M54" s="141">
        <f t="shared" si="37"/>
        <v>0.1020421063146093</v>
      </c>
      <c r="N54" s="405">
        <f>SUM(N49:N53)</f>
        <v>100018</v>
      </c>
      <c r="O54" s="64">
        <f t="shared" si="41"/>
        <v>3.4583643608045861E-3</v>
      </c>
      <c r="P54" s="401">
        <f>SUM(P49:P53)</f>
        <v>400068</v>
      </c>
      <c r="Q54" s="177">
        <f t="shared" si="42"/>
        <v>3.802763608844603E-3</v>
      </c>
      <c r="R54" s="442">
        <f>SUM(R49:R53)</f>
        <v>0</v>
      </c>
      <c r="S54" s="64" t="str">
        <f t="shared" si="43"/>
        <v/>
      </c>
      <c r="T54" s="401">
        <f>SUM(T49:T53)</f>
        <v>0</v>
      </c>
      <c r="U54" s="209" t="str">
        <f t="shared" si="44"/>
        <v/>
      </c>
      <c r="V54" s="458">
        <f t="shared" si="21"/>
        <v>100018</v>
      </c>
      <c r="W54" s="177">
        <f t="shared" si="45"/>
        <v>3.4583643608045861E-3</v>
      </c>
      <c r="X54" s="428">
        <f t="shared" si="22"/>
        <v>400068</v>
      </c>
      <c r="Y54" s="230">
        <f t="shared" si="46"/>
        <v>3.802763608844603E-3</v>
      </c>
      <c r="Z54" s="458">
        <f t="shared" si="23"/>
        <v>9553874</v>
      </c>
      <c r="AA54" s="194">
        <f t="shared" si="47"/>
        <v>1.6200763128409568E-2</v>
      </c>
      <c r="AB54" s="428">
        <f t="shared" si="24"/>
        <v>62078998</v>
      </c>
      <c r="AC54" s="140">
        <f t="shared" si="48"/>
        <v>2.8312919546956788E-2</v>
      </c>
      <c r="AD54" s="466">
        <f>SUM(AD49:AD53)</f>
        <v>3</v>
      </c>
      <c r="AE54" s="64">
        <f t="shared" si="49"/>
        <v>1.1241932480099137E-8</v>
      </c>
      <c r="AF54" s="401">
        <f>SUM(AF49:AF53)</f>
        <v>310066</v>
      </c>
      <c r="AG54" s="85">
        <f t="shared" si="50"/>
        <v>3.1558130849321627E-4</v>
      </c>
      <c r="AH54" s="390">
        <f>SUM(AH49:AH53)</f>
        <v>0</v>
      </c>
      <c r="AI54" s="177">
        <f t="shared" si="25"/>
        <v>0</v>
      </c>
      <c r="AJ54" s="401">
        <f>SUM(AJ49:AJ53)</f>
        <v>249066</v>
      </c>
      <c r="AK54" s="105">
        <f t="shared" si="36"/>
        <v>6.2094742836576889E-3</v>
      </c>
      <c r="AL54" s="549">
        <f t="shared" si="26"/>
        <v>3</v>
      </c>
      <c r="AM54" s="319">
        <f t="shared" si="51"/>
        <v>1.0799704239299702E-8</v>
      </c>
      <c r="AN54" s="480">
        <f t="shared" si="27"/>
        <v>559132</v>
      </c>
      <c r="AO54" s="140">
        <f t="shared" si="52"/>
        <v>5.467567204186912E-4</v>
      </c>
      <c r="AP54" s="529">
        <f t="shared" si="28"/>
        <v>12316540</v>
      </c>
      <c r="AQ54" s="141">
        <f t="shared" si="53"/>
        <v>1.4197692942850448E-2</v>
      </c>
      <c r="AR54" s="428">
        <f t="shared" si="29"/>
        <v>75262093</v>
      </c>
      <c r="AS54" s="140">
        <f t="shared" si="54"/>
        <v>2.3407944370317305E-2</v>
      </c>
      <c r="AT54" s="529">
        <f>SUM(AT49:AT53)</f>
        <v>10774658</v>
      </c>
      <c r="AU54" s="141">
        <f t="shared" si="30"/>
        <v>1.1674144393029351E-2</v>
      </c>
      <c r="AV54" s="410">
        <f>SUM(AV49:AV53)</f>
        <v>48274087</v>
      </c>
      <c r="AW54" s="140">
        <f t="shared" si="31"/>
        <v>1.3341296513005814E-2</v>
      </c>
      <c r="AX54" s="529">
        <f t="shared" si="32"/>
        <v>1541882</v>
      </c>
      <c r="AY54" s="141">
        <f t="shared" si="33"/>
        <v>1.1431026395454964</v>
      </c>
      <c r="AZ54" s="410">
        <f t="shared" si="34"/>
        <v>26988006</v>
      </c>
      <c r="BA54" s="140">
        <f t="shared" si="35"/>
        <v>1.5590578232996928</v>
      </c>
      <c r="BB54" s="11"/>
    </row>
    <row r="55" spans="1:54" ht="15.95" customHeight="1">
      <c r="A55" s="37" t="s">
        <v>47</v>
      </c>
      <c r="B55" s="710">
        <f>[4]本部!$I$55</f>
        <v>666121</v>
      </c>
      <c r="C55" s="258" t="str">
        <f t="shared" si="38"/>
        <v/>
      </c>
      <c r="D55" s="727">
        <f>[4]本部!$L$55</f>
        <v>2515572</v>
      </c>
      <c r="E55" s="118" t="str">
        <f t="shared" si="39"/>
        <v/>
      </c>
      <c r="F55" s="351">
        <f>[4]本社営業!$I$55</f>
        <v>200677</v>
      </c>
      <c r="G55" s="7">
        <f t="shared" si="40"/>
        <v>3.6400029417932154E-4</v>
      </c>
      <c r="H55" s="361">
        <f>[4]本社営業!$L$55</f>
        <v>881549</v>
      </c>
      <c r="I55" s="120">
        <f t="shared" si="19"/>
        <v>4.29579841565775E-4</v>
      </c>
      <c r="J55" s="744">
        <f>[4]東大阪!$I$55</f>
        <v>0</v>
      </c>
      <c r="K55" s="7">
        <f t="shared" si="20"/>
        <v>0</v>
      </c>
      <c r="L55" s="361">
        <f>[4]東大阪!$L$55</f>
        <v>0</v>
      </c>
      <c r="M55" s="120">
        <f t="shared" si="37"/>
        <v>0</v>
      </c>
      <c r="N55" s="402">
        <f>[4]南港工場!$I$55</f>
        <v>0</v>
      </c>
      <c r="O55" s="7">
        <f t="shared" si="41"/>
        <v>0</v>
      </c>
      <c r="P55" s="361">
        <f>[4]南港工場!$L$55</f>
        <v>0</v>
      </c>
      <c r="Q55" s="174">
        <f t="shared" si="42"/>
        <v>0</v>
      </c>
      <c r="R55" s="444">
        <f>[4]南港事務!$I$55</f>
        <v>0</v>
      </c>
      <c r="S55" s="7" t="str">
        <f t="shared" si="43"/>
        <v/>
      </c>
      <c r="T55" s="361">
        <f>[4]南港事務!$L$55</f>
        <v>0</v>
      </c>
      <c r="U55" s="203" t="str">
        <f t="shared" si="44"/>
        <v/>
      </c>
      <c r="V55" s="455">
        <f t="shared" si="21"/>
        <v>0</v>
      </c>
      <c r="W55" s="174">
        <f t="shared" si="45"/>
        <v>0</v>
      </c>
      <c r="X55" s="425">
        <f t="shared" si="22"/>
        <v>0</v>
      </c>
      <c r="Y55" s="224">
        <f t="shared" si="46"/>
        <v>0</v>
      </c>
      <c r="Z55" s="459">
        <f t="shared" si="23"/>
        <v>200677</v>
      </c>
      <c r="AA55" s="188">
        <f t="shared" si="47"/>
        <v>3.4029342885617364E-4</v>
      </c>
      <c r="AB55" s="563">
        <f t="shared" si="24"/>
        <v>881549</v>
      </c>
      <c r="AC55" s="119">
        <f t="shared" si="48"/>
        <v>4.0205587586481678E-4</v>
      </c>
      <c r="AD55" s="351">
        <f>[4]東京事務!$I$55</f>
        <v>0</v>
      </c>
      <c r="AE55" s="7">
        <f t="shared" si="49"/>
        <v>0</v>
      </c>
      <c r="AF55" s="361">
        <f>[4]東京事務!$L$55</f>
        <v>0</v>
      </c>
      <c r="AG55" s="80">
        <f t="shared" si="50"/>
        <v>0</v>
      </c>
      <c r="AH55" s="387">
        <f>[4]東京工場!$I$55</f>
        <v>0</v>
      </c>
      <c r="AI55" s="174">
        <f t="shared" si="25"/>
        <v>0</v>
      </c>
      <c r="AJ55" s="361">
        <f>[4]東京工場!$L$55</f>
        <v>0</v>
      </c>
      <c r="AK55" s="102">
        <f t="shared" si="36"/>
        <v>0</v>
      </c>
      <c r="AL55" s="546">
        <f t="shared" si="26"/>
        <v>0</v>
      </c>
      <c r="AM55" s="313">
        <f t="shared" si="51"/>
        <v>0</v>
      </c>
      <c r="AN55" s="477">
        <f t="shared" si="27"/>
        <v>0</v>
      </c>
      <c r="AO55" s="119">
        <f t="shared" si="52"/>
        <v>0</v>
      </c>
      <c r="AP55" s="526">
        <f t="shared" si="28"/>
        <v>866798</v>
      </c>
      <c r="AQ55" s="282">
        <f t="shared" si="53"/>
        <v>9.9918742174968651E-4</v>
      </c>
      <c r="AR55" s="486">
        <f t="shared" si="29"/>
        <v>3397121</v>
      </c>
      <c r="AS55" s="283">
        <f t="shared" si="54"/>
        <v>1.0565693328145511E-3</v>
      </c>
      <c r="AT55" s="583">
        <f>[4]全社合計!$G$55</f>
        <v>989084</v>
      </c>
      <c r="AU55" s="120">
        <f t="shared" si="30"/>
        <v>1.0716543794554818E-3</v>
      </c>
      <c r="AV55" s="577">
        <f>[4]全社合計!$N$55</f>
        <v>3144793</v>
      </c>
      <c r="AW55" s="121">
        <f t="shared" si="31"/>
        <v>8.6911257140969008E-4</v>
      </c>
      <c r="AX55" s="583">
        <f t="shared" si="32"/>
        <v>-122286</v>
      </c>
      <c r="AY55" s="120">
        <f t="shared" si="33"/>
        <v>0.87636439372186792</v>
      </c>
      <c r="AZ55" s="577">
        <f t="shared" si="34"/>
        <v>252328</v>
      </c>
      <c r="BA55" s="121">
        <f t="shared" si="35"/>
        <v>1.0802367596213804</v>
      </c>
      <c r="BB55" s="11"/>
    </row>
    <row r="56" spans="1:54" ht="15.95" customHeight="1">
      <c r="A56" s="37" t="s">
        <v>97</v>
      </c>
      <c r="B56" s="711">
        <f>[4]本部!$I$56</f>
        <v>0</v>
      </c>
      <c r="C56" s="336" t="str">
        <f>IF(ISERR(B56/$B$11),"",B56/$B$11)</f>
        <v/>
      </c>
      <c r="D56" s="731">
        <f>[4]本部!$L$56</f>
        <v>0</v>
      </c>
      <c r="E56" s="337" t="str">
        <f>IF(ISERR(D56/$D$11),"",D56/$D$11)</f>
        <v/>
      </c>
      <c r="F56" s="365">
        <f>[4]本社営業!$I$56</f>
        <v>0</v>
      </c>
      <c r="G56" s="338">
        <f>IF(ISERR(F56/$F$11),"",F56/$F$11)</f>
        <v>0</v>
      </c>
      <c r="H56" s="366">
        <f>[4]本社営業!$L$56</f>
        <v>0</v>
      </c>
      <c r="I56" s="339">
        <f>IF(ISERR(H56/$H$11),"",H56/$H$11)</f>
        <v>0</v>
      </c>
      <c r="J56" s="751">
        <f>[4]東大阪!$I$56</f>
        <v>0</v>
      </c>
      <c r="K56" s="338">
        <f>IF(ISERR(J56/$J$11),"",J56/$J$11)</f>
        <v>0</v>
      </c>
      <c r="L56" s="366">
        <f>[4]東大阪!$L$56</f>
        <v>0</v>
      </c>
      <c r="M56" s="339">
        <f t="shared" si="37"/>
        <v>0</v>
      </c>
      <c r="N56" s="413">
        <f>[4]南港工場!$I$56</f>
        <v>0</v>
      </c>
      <c r="O56" s="338">
        <f>IF(ISERR(N56/$N$11),"",N56/$N$11)</f>
        <v>0</v>
      </c>
      <c r="P56" s="366">
        <f>[4]南港工場!$L$56</f>
        <v>0</v>
      </c>
      <c r="Q56" s="340">
        <f>IF(ISERR(P56/$P$11),"",P56/$P$11)</f>
        <v>0</v>
      </c>
      <c r="R56" s="447">
        <f>[4]南港事務!$I$56</f>
        <v>0</v>
      </c>
      <c r="S56" s="338" t="str">
        <f>IF(ISERR(R56/$R$11),"",R56/$R$11)</f>
        <v/>
      </c>
      <c r="T56" s="366">
        <f>[4]南港事務!$L$56</f>
        <v>0</v>
      </c>
      <c r="U56" s="341" t="str">
        <f>IF(ISERR(T56/$T$11),"",T56/$T$11)</f>
        <v/>
      </c>
      <c r="V56" s="491">
        <f>N56+R56</f>
        <v>0</v>
      </c>
      <c r="W56" s="340">
        <f>IF(ISERR(V56/$V$11),"",V56/$V$11)</f>
        <v>0</v>
      </c>
      <c r="X56" s="430">
        <f>P56+T56</f>
        <v>0</v>
      </c>
      <c r="Y56" s="342">
        <f>IF(ISERR(X56/$X$11),"",X56/$X$11)</f>
        <v>0</v>
      </c>
      <c r="Z56" s="570">
        <f>F56+J56+N56+R56</f>
        <v>0</v>
      </c>
      <c r="AA56" s="343">
        <f>IF(ISERR(Z56/$Z$11),"",Z56/$Z$11)</f>
        <v>0</v>
      </c>
      <c r="AB56" s="566">
        <f>H56+L56+P56+T56</f>
        <v>0</v>
      </c>
      <c r="AC56" s="344">
        <f>IF(ISERR(AB56/$AB$11),"",AB56/$AB$11)</f>
        <v>0</v>
      </c>
      <c r="AD56" s="365">
        <f>[4]東京事務!$I$56</f>
        <v>0</v>
      </c>
      <c r="AE56" s="338">
        <f>IF(ISERR(AD56/$AD$11),"",AD56/$AD$11)</f>
        <v>0</v>
      </c>
      <c r="AF56" s="366">
        <f>[4]東京事務!$L$56</f>
        <v>0</v>
      </c>
      <c r="AG56" s="345">
        <f>IF(ISERR(AF56/$AF$11),"",AF56/$AF$11)</f>
        <v>0</v>
      </c>
      <c r="AH56" s="393">
        <f>[4]東京工場!$I$56</f>
        <v>0</v>
      </c>
      <c r="AI56" s="340">
        <f>IF(ISERR(AH56/$AH$11),"",AH56/$AH$11)</f>
        <v>0</v>
      </c>
      <c r="AJ56" s="366">
        <f>[4]東京工場!$L$56</f>
        <v>0</v>
      </c>
      <c r="AK56" s="346">
        <f>IF(ISERR(AJ56/$AJ$11),"",AJ56/$AJ$11)</f>
        <v>0</v>
      </c>
      <c r="AL56" s="550">
        <f>AD56+AH56</f>
        <v>0</v>
      </c>
      <c r="AM56" s="347">
        <f>IF(ISERR(AL56/$AL$11),"",AL56/AL$11)</f>
        <v>0</v>
      </c>
      <c r="AN56" s="538">
        <f>AF56+AJ56</f>
        <v>0</v>
      </c>
      <c r="AO56" s="344">
        <f>IF(ISERR(AN56/$AN$11),"",AN56/$AN$11)</f>
        <v>0</v>
      </c>
      <c r="AP56" s="530">
        <f>B56+Z56+AL56</f>
        <v>0</v>
      </c>
      <c r="AQ56" s="348">
        <f>IF(ISERR(AP56/$AP$11),"",AP56/$AP$11)</f>
        <v>0</v>
      </c>
      <c r="AR56" s="518">
        <f>D56+AB56+AN56</f>
        <v>0</v>
      </c>
      <c r="AS56" s="349">
        <f>IF(ISERR(AR56/$AR$11),"",AR56/$AR$11)</f>
        <v>0</v>
      </c>
      <c r="AT56" s="587">
        <f>[4]全社合計!$G$56</f>
        <v>0</v>
      </c>
      <c r="AU56" s="339">
        <f>IF(ISERR(AT56/$AT$11),"",AT56/$AT$11)</f>
        <v>0</v>
      </c>
      <c r="AV56" s="598">
        <f>[4]全社合計!$N$56</f>
        <v>0</v>
      </c>
      <c r="AW56" s="350">
        <f>IF(ISERR(AV56/$AV$11),"",AV56/$AV$11)</f>
        <v>0</v>
      </c>
      <c r="AX56" s="587">
        <f>AP56-AT56</f>
        <v>0</v>
      </c>
      <c r="AY56" s="339" t="str">
        <f>IF(ISERROR(AP56/AT56),"",AP56/AT56)</f>
        <v/>
      </c>
      <c r="AZ56" s="598">
        <f>AR56-AV56</f>
        <v>0</v>
      </c>
      <c r="BA56" s="350" t="str">
        <f>IF(ISERROR(AR56/AV56),"",AR56/AV56)</f>
        <v/>
      </c>
      <c r="BB56" s="11"/>
    </row>
    <row r="57" spans="1:54" ht="15.95" customHeight="1">
      <c r="A57" s="37" t="s">
        <v>58</v>
      </c>
      <c r="B57" s="703">
        <f>[4]本部!$I$57</f>
        <v>0</v>
      </c>
      <c r="C57" s="259" t="str">
        <f>IF(ISERR(B57/$B$11),"",B57/$B$11)</f>
        <v/>
      </c>
      <c r="D57" s="728">
        <f>[4]本部!$L$57</f>
        <v>0</v>
      </c>
      <c r="E57" s="122" t="str">
        <f t="shared" si="39"/>
        <v/>
      </c>
      <c r="F57" s="352">
        <f>[4]本社営業!$I$57</f>
        <v>0</v>
      </c>
      <c r="G57" s="9">
        <f t="shared" si="40"/>
        <v>0</v>
      </c>
      <c r="H57" s="362">
        <f>[4]本社営業!$L$57</f>
        <v>0</v>
      </c>
      <c r="I57" s="124">
        <f t="shared" si="19"/>
        <v>0</v>
      </c>
      <c r="J57" s="745">
        <f>[4]東大阪!$I$57</f>
        <v>0</v>
      </c>
      <c r="K57" s="9">
        <f t="shared" si="20"/>
        <v>0</v>
      </c>
      <c r="L57" s="362">
        <f>[4]東大阪!$L$57</f>
        <v>0</v>
      </c>
      <c r="M57" s="124">
        <f t="shared" si="37"/>
        <v>0</v>
      </c>
      <c r="N57" s="403">
        <f>[4]南港工場!$I$57</f>
        <v>0</v>
      </c>
      <c r="O57" s="9">
        <f t="shared" si="41"/>
        <v>0</v>
      </c>
      <c r="P57" s="362">
        <f>[4]南港工場!$L$57</f>
        <v>0</v>
      </c>
      <c r="Q57" s="171">
        <f t="shared" si="42"/>
        <v>0</v>
      </c>
      <c r="R57" s="445">
        <f>[4]南港事務!$I$57</f>
        <v>0</v>
      </c>
      <c r="S57" s="9" t="str">
        <f t="shared" si="43"/>
        <v/>
      </c>
      <c r="T57" s="362">
        <f>[4]南港事務!$L$57</f>
        <v>0</v>
      </c>
      <c r="U57" s="204" t="str">
        <f t="shared" si="44"/>
        <v/>
      </c>
      <c r="V57" s="456">
        <f t="shared" si="21"/>
        <v>0</v>
      </c>
      <c r="W57" s="171">
        <f t="shared" si="45"/>
        <v>0</v>
      </c>
      <c r="X57" s="426">
        <f t="shared" si="22"/>
        <v>0</v>
      </c>
      <c r="Y57" s="225">
        <f t="shared" si="46"/>
        <v>0</v>
      </c>
      <c r="Z57" s="460">
        <f t="shared" si="23"/>
        <v>0</v>
      </c>
      <c r="AA57" s="189">
        <f t="shared" si="47"/>
        <v>0</v>
      </c>
      <c r="AB57" s="564">
        <f t="shared" si="24"/>
        <v>0</v>
      </c>
      <c r="AC57" s="123">
        <f t="shared" si="48"/>
        <v>0</v>
      </c>
      <c r="AD57" s="352">
        <f>[4]東京事務!$I$57</f>
        <v>0</v>
      </c>
      <c r="AE57" s="9">
        <f t="shared" si="49"/>
        <v>0</v>
      </c>
      <c r="AF57" s="362">
        <f>[4]東京事務!$L$57</f>
        <v>0</v>
      </c>
      <c r="AG57" s="81">
        <f t="shared" si="50"/>
        <v>0</v>
      </c>
      <c r="AH57" s="388">
        <f>[4]東京工場!$I$57</f>
        <v>0</v>
      </c>
      <c r="AI57" s="171">
        <f t="shared" si="25"/>
        <v>0</v>
      </c>
      <c r="AJ57" s="362">
        <f>[4]東京工場!$L$57</f>
        <v>0</v>
      </c>
      <c r="AK57" s="99">
        <f t="shared" si="36"/>
        <v>0</v>
      </c>
      <c r="AL57" s="547">
        <f t="shared" si="26"/>
        <v>0</v>
      </c>
      <c r="AM57" s="314">
        <f t="shared" si="51"/>
        <v>0</v>
      </c>
      <c r="AN57" s="478">
        <f t="shared" si="27"/>
        <v>0</v>
      </c>
      <c r="AO57" s="123">
        <f t="shared" si="52"/>
        <v>0</v>
      </c>
      <c r="AP57" s="527">
        <f>B57+Z57+AL57</f>
        <v>0</v>
      </c>
      <c r="AQ57" s="284">
        <f t="shared" si="53"/>
        <v>0</v>
      </c>
      <c r="AR57" s="487">
        <f t="shared" si="29"/>
        <v>0</v>
      </c>
      <c r="AS57" s="285">
        <f t="shared" si="54"/>
        <v>0</v>
      </c>
      <c r="AT57" s="584">
        <f>[4]全社合計!$G$57</f>
        <v>0</v>
      </c>
      <c r="AU57" s="124">
        <f t="shared" si="30"/>
        <v>0</v>
      </c>
      <c r="AV57" s="578">
        <f>[4]全社合計!$N$57</f>
        <v>0</v>
      </c>
      <c r="AW57" s="125">
        <f t="shared" si="31"/>
        <v>0</v>
      </c>
      <c r="AX57" s="584">
        <f t="shared" si="32"/>
        <v>0</v>
      </c>
      <c r="AY57" s="124" t="str">
        <f t="shared" si="33"/>
        <v/>
      </c>
      <c r="AZ57" s="578">
        <f t="shared" si="34"/>
        <v>0</v>
      </c>
      <c r="BA57" s="125" t="str">
        <f t="shared" si="35"/>
        <v/>
      </c>
      <c r="BB57" s="11"/>
    </row>
    <row r="58" spans="1:54" ht="15.95" customHeight="1">
      <c r="A58" s="37" t="s">
        <v>98</v>
      </c>
      <c r="B58" s="703">
        <f>[4]本部!$I$58</f>
        <v>0</v>
      </c>
      <c r="C58" s="259" t="str">
        <f t="shared" si="38"/>
        <v/>
      </c>
      <c r="D58" s="728">
        <f>[4]本部!$L$58</f>
        <v>0</v>
      </c>
      <c r="E58" s="122" t="str">
        <f t="shared" si="39"/>
        <v/>
      </c>
      <c r="F58" s="352">
        <f>[4]本社営業!$I$58</f>
        <v>0</v>
      </c>
      <c r="G58" s="9">
        <f t="shared" si="40"/>
        <v>0</v>
      </c>
      <c r="H58" s="362">
        <f>[4]本社営業!$L$58</f>
        <v>0</v>
      </c>
      <c r="I58" s="124">
        <f t="shared" si="19"/>
        <v>0</v>
      </c>
      <c r="J58" s="745">
        <f>[4]東大阪!$I$58</f>
        <v>0</v>
      </c>
      <c r="K58" s="9">
        <f t="shared" si="20"/>
        <v>0</v>
      </c>
      <c r="L58" s="362">
        <f>[4]東大阪!$L$58</f>
        <v>0</v>
      </c>
      <c r="M58" s="124">
        <f t="shared" si="37"/>
        <v>0</v>
      </c>
      <c r="N58" s="403">
        <f>[4]南港工場!$I$58</f>
        <v>0</v>
      </c>
      <c r="O58" s="9">
        <f t="shared" si="41"/>
        <v>0</v>
      </c>
      <c r="P58" s="362">
        <f>[4]南港工場!$L$58</f>
        <v>0</v>
      </c>
      <c r="Q58" s="171">
        <f t="shared" si="42"/>
        <v>0</v>
      </c>
      <c r="R58" s="445">
        <f>[4]南港事務!$I$58</f>
        <v>0</v>
      </c>
      <c r="S58" s="9" t="str">
        <f t="shared" si="43"/>
        <v/>
      </c>
      <c r="T58" s="362">
        <f>[4]南港事務!$L$58</f>
        <v>0</v>
      </c>
      <c r="U58" s="204" t="str">
        <f t="shared" si="44"/>
        <v/>
      </c>
      <c r="V58" s="456">
        <f t="shared" si="21"/>
        <v>0</v>
      </c>
      <c r="W58" s="171">
        <f t="shared" si="45"/>
        <v>0</v>
      </c>
      <c r="X58" s="426">
        <f t="shared" si="22"/>
        <v>0</v>
      </c>
      <c r="Y58" s="225">
        <f t="shared" si="46"/>
        <v>0</v>
      </c>
      <c r="Z58" s="460">
        <f>F58+J58+N58+R58</f>
        <v>0</v>
      </c>
      <c r="AA58" s="189">
        <f>IF(ISERR(Z58/$Z$11),"",Z58/$Z$11)</f>
        <v>0</v>
      </c>
      <c r="AB58" s="564">
        <f>H58+L58+P58+T58</f>
        <v>0</v>
      </c>
      <c r="AC58" s="123">
        <f>IF(ISERR(AB58/$AB$11),"",AB58/$AB$11)</f>
        <v>0</v>
      </c>
      <c r="AD58" s="352">
        <f>[4]東京事務!$I$58</f>
        <v>0</v>
      </c>
      <c r="AE58" s="9">
        <f>IF(ISERR(AD58/$AD$11),"",AD58/$AD$11)</f>
        <v>0</v>
      </c>
      <c r="AF58" s="362">
        <f>[4]東京事務!$L$58</f>
        <v>0</v>
      </c>
      <c r="AG58" s="81">
        <f>IF(ISERR(AF58/$AF$11),"",AF58/$AF$11)</f>
        <v>0</v>
      </c>
      <c r="AH58" s="388">
        <f>[4]東京工場!$I$58</f>
        <v>0</v>
      </c>
      <c r="AI58" s="171">
        <f>IF(ISERR(AH58/$AH$11),"",AH58/$AH$11)</f>
        <v>0</v>
      </c>
      <c r="AJ58" s="362">
        <f>[4]東京工場!$L$58</f>
        <v>0</v>
      </c>
      <c r="AK58" s="99">
        <f>IF(ISERR(AJ58/$AJ$11),"",AJ58/$AJ$11)</f>
        <v>0</v>
      </c>
      <c r="AL58" s="547">
        <f>AD58+AH58</f>
        <v>0</v>
      </c>
      <c r="AM58" s="314">
        <f>IF(ISERR(AL58/$AL$11),"",AL58/AL$11)</f>
        <v>0</v>
      </c>
      <c r="AN58" s="478">
        <f>AF58+AJ58</f>
        <v>0</v>
      </c>
      <c r="AO58" s="123">
        <f>IF(ISERR(AN58/$AN$11),"",AN58/$AN$11)</f>
        <v>0</v>
      </c>
      <c r="AP58" s="527">
        <f>B58+Z58+AL58</f>
        <v>0</v>
      </c>
      <c r="AQ58" s="284">
        <f>IF(ISERR(AP58/$AP$11),"",AP58/$AP$11)</f>
        <v>0</v>
      </c>
      <c r="AR58" s="487">
        <f>D58+AB58+AN58</f>
        <v>0</v>
      </c>
      <c r="AS58" s="285">
        <f>IF(ISERR(AR58/$AR$11),"",AR58/$AR$11)</f>
        <v>0</v>
      </c>
      <c r="AT58" s="584">
        <f>[4]全社合計!$G$58</f>
        <v>0</v>
      </c>
      <c r="AU58" s="124">
        <f>IF(ISERR(AT58/$AT$11),"",AT58/$AT$11)</f>
        <v>0</v>
      </c>
      <c r="AV58" s="578">
        <f>[4]全社合計!$N$58</f>
        <v>402213</v>
      </c>
      <c r="AW58" s="125">
        <f>IF(ISERR(AV58/$AV$11),"",AV58/$AV$11)</f>
        <v>1.1115783286353209E-4</v>
      </c>
      <c r="AX58" s="584">
        <f t="shared" si="32"/>
        <v>0</v>
      </c>
      <c r="AY58" s="124" t="str">
        <f>IF(ISERROR(AP58/AT58),"",AP58/AT58)</f>
        <v/>
      </c>
      <c r="AZ58" s="578">
        <f>AR58-AV58</f>
        <v>-402213</v>
      </c>
      <c r="BA58" s="125">
        <f>IF(ISERROR(AR58/AV58),"",AR58/AV58)</f>
        <v>0</v>
      </c>
      <c r="BB58" s="11"/>
    </row>
    <row r="59" spans="1:54" ht="15.95" customHeight="1">
      <c r="A59" s="37" t="s">
        <v>95</v>
      </c>
      <c r="B59" s="703">
        <f>[4]本部!$I$59</f>
        <v>0</v>
      </c>
      <c r="C59" s="259" t="str">
        <f t="shared" si="38"/>
        <v/>
      </c>
      <c r="D59" s="728">
        <f>[4]本部!$L$59</f>
        <v>0</v>
      </c>
      <c r="E59" s="122" t="str">
        <f t="shared" si="39"/>
        <v/>
      </c>
      <c r="F59" s="352">
        <f>[4]本社営業!$I$59</f>
        <v>0</v>
      </c>
      <c r="G59" s="9">
        <f t="shared" si="40"/>
        <v>0</v>
      </c>
      <c r="H59" s="362">
        <f>[4]本社営業!$L$59</f>
        <v>0</v>
      </c>
      <c r="I59" s="124">
        <f t="shared" si="19"/>
        <v>0</v>
      </c>
      <c r="J59" s="745">
        <f>[4]東大阪!$I$59</f>
        <v>0</v>
      </c>
      <c r="K59" s="9">
        <f t="shared" si="20"/>
        <v>0</v>
      </c>
      <c r="L59" s="362">
        <f>[4]東大阪!$L$59</f>
        <v>0</v>
      </c>
      <c r="M59" s="124">
        <f t="shared" si="37"/>
        <v>0</v>
      </c>
      <c r="N59" s="403">
        <f>[4]南港工場!$I$59</f>
        <v>0</v>
      </c>
      <c r="O59" s="9">
        <f t="shared" si="41"/>
        <v>0</v>
      </c>
      <c r="P59" s="362">
        <f>[4]南港工場!$L$59</f>
        <v>0</v>
      </c>
      <c r="Q59" s="171">
        <f t="shared" si="42"/>
        <v>0</v>
      </c>
      <c r="R59" s="445">
        <f>[4]南港事務!$I$59</f>
        <v>0</v>
      </c>
      <c r="S59" s="9" t="str">
        <f t="shared" si="43"/>
        <v/>
      </c>
      <c r="T59" s="362">
        <f>[4]南港事務!$L$59</f>
        <v>0</v>
      </c>
      <c r="U59" s="204" t="str">
        <f t="shared" si="44"/>
        <v/>
      </c>
      <c r="V59" s="456">
        <f t="shared" si="21"/>
        <v>0</v>
      </c>
      <c r="W59" s="171">
        <f t="shared" si="45"/>
        <v>0</v>
      </c>
      <c r="X59" s="426">
        <f t="shared" si="22"/>
        <v>0</v>
      </c>
      <c r="Y59" s="225">
        <f t="shared" si="46"/>
        <v>0</v>
      </c>
      <c r="Z59" s="460">
        <f>F59+J59+N59+R59</f>
        <v>0</v>
      </c>
      <c r="AA59" s="189">
        <f>IF(ISERR(Z59/$Z$11),"",Z59/$Z$11)</f>
        <v>0</v>
      </c>
      <c r="AB59" s="564">
        <f>H59+L59+P59+T59</f>
        <v>0</v>
      </c>
      <c r="AC59" s="123">
        <f>IF(ISERR(AB59/$AB$11),"",AB59/$AB$11)</f>
        <v>0</v>
      </c>
      <c r="AD59" s="352">
        <f>[4]東京事務!$I$59</f>
        <v>0</v>
      </c>
      <c r="AE59" s="9">
        <f>IF(ISERR(AD59/$AD$11),"",AD59/$AD$11)</f>
        <v>0</v>
      </c>
      <c r="AF59" s="362">
        <f>[4]東京事務!$L$59</f>
        <v>0</v>
      </c>
      <c r="AG59" s="81">
        <f>IF(ISERR(AF59/$AF$11),"",AF59/$AF$11)</f>
        <v>0</v>
      </c>
      <c r="AH59" s="388">
        <f>[4]東京工場!$I$59</f>
        <v>0</v>
      </c>
      <c r="AI59" s="171">
        <f>IF(ISERR(AH59/$AH$11),"",AH59/$AH$11)</f>
        <v>0</v>
      </c>
      <c r="AJ59" s="362">
        <f>[4]東京工場!$L$59</f>
        <v>0</v>
      </c>
      <c r="AK59" s="99">
        <f>IF(ISERR(AJ59/$AJ$11),"",AJ59/$AJ$11)</f>
        <v>0</v>
      </c>
      <c r="AL59" s="547">
        <f>AD59+AH59</f>
        <v>0</v>
      </c>
      <c r="AM59" s="314">
        <f>IF(ISERR(AL59/$AL$11),"",AL59/AL$11)</f>
        <v>0</v>
      </c>
      <c r="AN59" s="478">
        <f>AF59+AJ59</f>
        <v>0</v>
      </c>
      <c r="AO59" s="123">
        <f>IF(ISERR(AN59/$AN$11),"",AN59/$AN$11)</f>
        <v>0</v>
      </c>
      <c r="AP59" s="527">
        <f>B59+Z59+AL59</f>
        <v>0</v>
      </c>
      <c r="AQ59" s="284">
        <f>IF(ISERR(AP59/$AP$11),"",AP59/$AP$11)</f>
        <v>0</v>
      </c>
      <c r="AR59" s="487">
        <f>D59+AB59+AN59</f>
        <v>0</v>
      </c>
      <c r="AS59" s="285">
        <f>IF(ISERR(AR59/$AR$11),"",AR59/$AR$11)</f>
        <v>0</v>
      </c>
      <c r="AT59" s="584">
        <f>[4]全社合計!$G$59</f>
        <v>0</v>
      </c>
      <c r="AU59" s="124">
        <f>IF(ISERR(AT59/$AT$11),"",AT59/$AT$11)</f>
        <v>0</v>
      </c>
      <c r="AV59" s="578">
        <f>[4]全社合計!$N$59</f>
        <v>0</v>
      </c>
      <c r="AW59" s="125">
        <f>IF(ISERR(AV59/$AV$11),"",AV59/$AV$11)</f>
        <v>0</v>
      </c>
      <c r="AX59" s="584">
        <f t="shared" si="32"/>
        <v>0</v>
      </c>
      <c r="AY59" s="124" t="str">
        <f>IF(ISERROR(AP59/AT59),"",AP59/AT59)</f>
        <v/>
      </c>
      <c r="AZ59" s="578">
        <f>AR59-AV59</f>
        <v>0</v>
      </c>
      <c r="BA59" s="125" t="str">
        <f>IF(ISERROR(AR59/AV59),"",AR59/AV59)</f>
        <v/>
      </c>
      <c r="BB59" s="11"/>
    </row>
    <row r="60" spans="1:54" ht="15.95" customHeight="1">
      <c r="A60" s="37" t="s">
        <v>93</v>
      </c>
      <c r="B60" s="703">
        <f>[4]本部!$I$60</f>
        <v>500000</v>
      </c>
      <c r="C60" s="259" t="str">
        <f>IF(ISERR(B60/$B$11),"",B60/$B$11)</f>
        <v/>
      </c>
      <c r="D60" s="728">
        <f>[4]本部!$L$60</f>
        <v>2000000</v>
      </c>
      <c r="E60" s="122" t="str">
        <f t="shared" si="39"/>
        <v/>
      </c>
      <c r="F60" s="352">
        <f>[4]本社営業!$I$60</f>
        <v>0</v>
      </c>
      <c r="G60" s="9">
        <f t="shared" si="40"/>
        <v>0</v>
      </c>
      <c r="H60" s="362">
        <f>[4]本社営業!$L$60</f>
        <v>0</v>
      </c>
      <c r="I60" s="124">
        <f t="shared" si="19"/>
        <v>0</v>
      </c>
      <c r="J60" s="745">
        <f>[4]東大阪!$I$60</f>
        <v>0</v>
      </c>
      <c r="K60" s="9">
        <f t="shared" si="20"/>
        <v>0</v>
      </c>
      <c r="L60" s="362">
        <f>[4]東大阪!$L$60</f>
        <v>0</v>
      </c>
      <c r="M60" s="124">
        <f t="shared" si="37"/>
        <v>0</v>
      </c>
      <c r="N60" s="403">
        <f>[4]南港工場!$I$60</f>
        <v>0</v>
      </c>
      <c r="O60" s="9">
        <f t="shared" si="41"/>
        <v>0</v>
      </c>
      <c r="P60" s="362">
        <f>[4]南港工場!$L$60</f>
        <v>0</v>
      </c>
      <c r="Q60" s="171">
        <f t="shared" si="42"/>
        <v>0</v>
      </c>
      <c r="R60" s="445">
        <f>[4]南港事務!$I$60</f>
        <v>0</v>
      </c>
      <c r="S60" s="9" t="str">
        <f t="shared" si="43"/>
        <v/>
      </c>
      <c r="T60" s="362">
        <f>[4]南港事務!$L$60</f>
        <v>0</v>
      </c>
      <c r="U60" s="204" t="str">
        <f t="shared" si="44"/>
        <v/>
      </c>
      <c r="V60" s="456">
        <f t="shared" si="21"/>
        <v>0</v>
      </c>
      <c r="W60" s="171">
        <f t="shared" si="45"/>
        <v>0</v>
      </c>
      <c r="X60" s="426">
        <f t="shared" si="22"/>
        <v>0</v>
      </c>
      <c r="Y60" s="225">
        <f t="shared" si="46"/>
        <v>0</v>
      </c>
      <c r="Z60" s="460">
        <f t="shared" si="23"/>
        <v>0</v>
      </c>
      <c r="AA60" s="189">
        <f t="shared" si="47"/>
        <v>0</v>
      </c>
      <c r="AB60" s="564">
        <f t="shared" si="24"/>
        <v>0</v>
      </c>
      <c r="AC60" s="123">
        <f t="shared" si="48"/>
        <v>0</v>
      </c>
      <c r="AD60" s="352">
        <f>[4]東京事務!$I$60</f>
        <v>0</v>
      </c>
      <c r="AE60" s="9">
        <f t="shared" si="49"/>
        <v>0</v>
      </c>
      <c r="AF60" s="362">
        <f>[4]東京事務!$L$60</f>
        <v>0</v>
      </c>
      <c r="AG60" s="81">
        <f t="shared" si="50"/>
        <v>0</v>
      </c>
      <c r="AH60" s="388">
        <f>[4]東京工場!$I$60</f>
        <v>0</v>
      </c>
      <c r="AI60" s="171">
        <f t="shared" si="25"/>
        <v>0</v>
      </c>
      <c r="AJ60" s="362">
        <f>[4]東京工場!$L$60</f>
        <v>0</v>
      </c>
      <c r="AK60" s="99">
        <f t="shared" si="36"/>
        <v>0</v>
      </c>
      <c r="AL60" s="547">
        <f t="shared" si="26"/>
        <v>0</v>
      </c>
      <c r="AM60" s="314">
        <f t="shared" si="51"/>
        <v>0</v>
      </c>
      <c r="AN60" s="478">
        <f t="shared" si="27"/>
        <v>0</v>
      </c>
      <c r="AO60" s="123">
        <f t="shared" si="52"/>
        <v>0</v>
      </c>
      <c r="AP60" s="527">
        <f>B60+Z60+AL60</f>
        <v>500000</v>
      </c>
      <c r="AQ60" s="284">
        <f t="shared" si="53"/>
        <v>5.7636694001929312E-4</v>
      </c>
      <c r="AR60" s="487">
        <f t="shared" si="29"/>
        <v>2000000</v>
      </c>
      <c r="AS60" s="285">
        <f t="shared" si="54"/>
        <v>6.2203809214599721E-4</v>
      </c>
      <c r="AT60" s="584">
        <f>[4]全社合計!$G$60</f>
        <v>500000</v>
      </c>
      <c r="AU60" s="124">
        <f t="shared" si="30"/>
        <v>5.4174083265702501E-4</v>
      </c>
      <c r="AV60" s="578">
        <f>[4]全社合計!$N$60</f>
        <v>2000000</v>
      </c>
      <c r="AW60" s="125">
        <f t="shared" si="31"/>
        <v>5.5273117906945869E-4</v>
      </c>
      <c r="AX60" s="584">
        <f t="shared" si="32"/>
        <v>0</v>
      </c>
      <c r="AY60" s="124">
        <f t="shared" si="33"/>
        <v>1</v>
      </c>
      <c r="AZ60" s="578">
        <f t="shared" si="34"/>
        <v>0</v>
      </c>
      <c r="BA60" s="125">
        <f t="shared" si="35"/>
        <v>1</v>
      </c>
      <c r="BB60" s="11"/>
    </row>
    <row r="61" spans="1:54" ht="15.95" customHeight="1">
      <c r="A61" s="35" t="s">
        <v>48</v>
      </c>
      <c r="B61" s="704">
        <f>[4]本部!$I$61</f>
        <v>0</v>
      </c>
      <c r="C61" s="260" t="str">
        <f t="shared" si="38"/>
        <v/>
      </c>
      <c r="D61" s="729">
        <f>[4]本部!$L$61</f>
        <v>7001</v>
      </c>
      <c r="E61" s="126" t="str">
        <f t="shared" si="39"/>
        <v/>
      </c>
      <c r="F61" s="353">
        <f>[4]本社営業!$I$61</f>
        <v>73835</v>
      </c>
      <c r="G61" s="12">
        <f t="shared" si="40"/>
        <v>1.3392646751112587E-4</v>
      </c>
      <c r="H61" s="363">
        <f>[4]本社営業!$L$61</f>
        <v>195030</v>
      </c>
      <c r="I61" s="128">
        <f t="shared" si="19"/>
        <v>9.5038343303177817E-5</v>
      </c>
      <c r="J61" s="746">
        <f>[4]東大阪!$I$61</f>
        <v>0</v>
      </c>
      <c r="K61" s="12">
        <f t="shared" si="20"/>
        <v>0</v>
      </c>
      <c r="L61" s="363">
        <f>[4]東大阪!$L$61</f>
        <v>0</v>
      </c>
      <c r="M61" s="128">
        <f t="shared" si="37"/>
        <v>0</v>
      </c>
      <c r="N61" s="404">
        <f>[4]南港工場!$I$61</f>
        <v>0</v>
      </c>
      <c r="O61" s="12">
        <f t="shared" si="41"/>
        <v>0</v>
      </c>
      <c r="P61" s="363">
        <f>[4]南港工場!$L$61</f>
        <v>2</v>
      </c>
      <c r="Q61" s="172">
        <f t="shared" si="42"/>
        <v>1.9010586244561438E-8</v>
      </c>
      <c r="R61" s="446">
        <f>[4]南港事務!$I$61</f>
        <v>0</v>
      </c>
      <c r="S61" s="12" t="str">
        <f t="shared" si="43"/>
        <v/>
      </c>
      <c r="T61" s="363">
        <f>[4]南港事務!$L$61</f>
        <v>0</v>
      </c>
      <c r="U61" s="205" t="str">
        <f t="shared" si="44"/>
        <v/>
      </c>
      <c r="V61" s="457">
        <f t="shared" si="21"/>
        <v>0</v>
      </c>
      <c r="W61" s="172">
        <f t="shared" si="45"/>
        <v>0</v>
      </c>
      <c r="X61" s="427">
        <f t="shared" si="22"/>
        <v>2</v>
      </c>
      <c r="Y61" s="226">
        <f t="shared" si="46"/>
        <v>1.9010586244561438E-8</v>
      </c>
      <c r="Z61" s="461">
        <f t="shared" si="23"/>
        <v>73835</v>
      </c>
      <c r="AA61" s="190">
        <f t="shared" si="47"/>
        <v>1.2520401102067292E-4</v>
      </c>
      <c r="AB61" s="565">
        <f t="shared" si="24"/>
        <v>195032</v>
      </c>
      <c r="AC61" s="127">
        <f t="shared" si="48"/>
        <v>8.8949975079850296E-5</v>
      </c>
      <c r="AD61" s="353">
        <f>[4]東京事務!$I$61</f>
        <v>33</v>
      </c>
      <c r="AE61" s="12">
        <f t="shared" si="49"/>
        <v>1.2366125728109052E-7</v>
      </c>
      <c r="AF61" s="363">
        <f>[4]東京事務!$L$61</f>
        <v>113</v>
      </c>
      <c r="AG61" s="82">
        <f t="shared" si="50"/>
        <v>1.1500999096880484E-7</v>
      </c>
      <c r="AH61" s="389">
        <f>[4]東京工場!$I$61</f>
        <v>0</v>
      </c>
      <c r="AI61" s="172">
        <f t="shared" si="25"/>
        <v>0</v>
      </c>
      <c r="AJ61" s="363">
        <f>[4]東京工場!$L$61</f>
        <v>0</v>
      </c>
      <c r="AK61" s="100">
        <f t="shared" si="36"/>
        <v>0</v>
      </c>
      <c r="AL61" s="548">
        <f t="shared" si="26"/>
        <v>33</v>
      </c>
      <c r="AM61" s="315">
        <f t="shared" si="51"/>
        <v>1.1879674663229672E-7</v>
      </c>
      <c r="AN61" s="479">
        <f t="shared" si="27"/>
        <v>113</v>
      </c>
      <c r="AO61" s="127">
        <f t="shared" si="52"/>
        <v>1.1049896877179647E-7</v>
      </c>
      <c r="AP61" s="528">
        <f t="shared" si="28"/>
        <v>73868</v>
      </c>
      <c r="AQ61" s="286">
        <f t="shared" si="53"/>
        <v>8.5150146250690293E-5</v>
      </c>
      <c r="AR61" s="488">
        <f t="shared" si="29"/>
        <v>202146</v>
      </c>
      <c r="AS61" s="287">
        <f t="shared" si="54"/>
        <v>6.2871256087472369E-5</v>
      </c>
      <c r="AT61" s="585">
        <f>[4]全社合計!$G$61</f>
        <v>94508</v>
      </c>
      <c r="AU61" s="128">
        <f t="shared" si="30"/>
        <v>1.0239768522550023E-4</v>
      </c>
      <c r="AV61" s="579">
        <f>[4]全社合計!$N$61</f>
        <v>1499215</v>
      </c>
      <c r="AW61" s="129">
        <f t="shared" si="31"/>
        <v>4.1433143731430926E-4</v>
      </c>
      <c r="AX61" s="585">
        <f t="shared" si="32"/>
        <v>-20640</v>
      </c>
      <c r="AY61" s="128">
        <f>IF(ISERROR(AP61/AT61),"",AP61/AT61)</f>
        <v>0.78160578998603292</v>
      </c>
      <c r="AZ61" s="579">
        <f t="shared" si="34"/>
        <v>-1297069</v>
      </c>
      <c r="BA61" s="129">
        <f t="shared" si="35"/>
        <v>0.13483456342152392</v>
      </c>
      <c r="BB61" s="14"/>
    </row>
    <row r="62" spans="1:54" ht="15.95" customHeight="1">
      <c r="A62" s="62" t="s">
        <v>49</v>
      </c>
      <c r="B62" s="708">
        <f>SUM(B55:B61)</f>
        <v>1166121</v>
      </c>
      <c r="C62" s="141" t="str">
        <f t="shared" si="38"/>
        <v/>
      </c>
      <c r="D62" s="401">
        <f>SUM(D55:D61)</f>
        <v>4522573</v>
      </c>
      <c r="E62" s="139" t="str">
        <f t="shared" si="39"/>
        <v/>
      </c>
      <c r="F62" s="466">
        <f>SUM(F55:F61)</f>
        <v>274512</v>
      </c>
      <c r="G62" s="64">
        <f t="shared" si="40"/>
        <v>4.9792676169044747E-4</v>
      </c>
      <c r="H62" s="401">
        <f>SUM(H55:H61)</f>
        <v>1076579</v>
      </c>
      <c r="I62" s="141">
        <f t="shared" si="19"/>
        <v>5.2461818486895285E-4</v>
      </c>
      <c r="J62" s="747">
        <f>SUM(J55:J61)</f>
        <v>0</v>
      </c>
      <c r="K62" s="64">
        <f t="shared" si="20"/>
        <v>0</v>
      </c>
      <c r="L62" s="401">
        <f>SUM(L55:L61)</f>
        <v>0</v>
      </c>
      <c r="M62" s="141">
        <f t="shared" si="37"/>
        <v>0</v>
      </c>
      <c r="N62" s="405">
        <f>SUM(N55:N61)</f>
        <v>0</v>
      </c>
      <c r="O62" s="64">
        <f t="shared" si="41"/>
        <v>0</v>
      </c>
      <c r="P62" s="401">
        <f>SUM(P55:P61)</f>
        <v>2</v>
      </c>
      <c r="Q62" s="177">
        <f t="shared" si="42"/>
        <v>1.9010586244561438E-8</v>
      </c>
      <c r="R62" s="442">
        <f>SUM(R55:R61)</f>
        <v>0</v>
      </c>
      <c r="S62" s="64" t="str">
        <f t="shared" si="43"/>
        <v/>
      </c>
      <c r="T62" s="401">
        <f>SUM(T55:T61)</f>
        <v>0</v>
      </c>
      <c r="U62" s="209" t="str">
        <f t="shared" si="44"/>
        <v/>
      </c>
      <c r="V62" s="458">
        <f t="shared" si="21"/>
        <v>0</v>
      </c>
      <c r="W62" s="177">
        <f t="shared" si="45"/>
        <v>0</v>
      </c>
      <c r="X62" s="428">
        <f t="shared" si="22"/>
        <v>2</v>
      </c>
      <c r="Y62" s="230">
        <f t="shared" si="46"/>
        <v>1.9010586244561438E-8</v>
      </c>
      <c r="Z62" s="458">
        <f t="shared" si="23"/>
        <v>274512</v>
      </c>
      <c r="AA62" s="194">
        <f t="shared" si="47"/>
        <v>4.6549743987684653E-4</v>
      </c>
      <c r="AB62" s="428">
        <f t="shared" si="24"/>
        <v>1076581</v>
      </c>
      <c r="AC62" s="140">
        <f t="shared" si="48"/>
        <v>4.9100585094466703E-4</v>
      </c>
      <c r="AD62" s="466">
        <f>SUM(AD55:AD61)</f>
        <v>33</v>
      </c>
      <c r="AE62" s="64">
        <f t="shared" si="49"/>
        <v>1.2366125728109052E-7</v>
      </c>
      <c r="AF62" s="401">
        <f>SUM(AF55:AF61)</f>
        <v>113</v>
      </c>
      <c r="AG62" s="85">
        <f t="shared" si="50"/>
        <v>1.1500999096880484E-7</v>
      </c>
      <c r="AH62" s="390">
        <f>SUM(AH55:AH61)</f>
        <v>0</v>
      </c>
      <c r="AI62" s="177">
        <f t="shared" si="25"/>
        <v>0</v>
      </c>
      <c r="AJ62" s="401">
        <f>SUM(AJ55:AJ61)</f>
        <v>0</v>
      </c>
      <c r="AK62" s="105">
        <f t="shared" si="36"/>
        <v>0</v>
      </c>
      <c r="AL62" s="549">
        <f t="shared" si="26"/>
        <v>33</v>
      </c>
      <c r="AM62" s="319">
        <f t="shared" si="51"/>
        <v>1.1879674663229672E-7</v>
      </c>
      <c r="AN62" s="480">
        <f t="shared" si="27"/>
        <v>113</v>
      </c>
      <c r="AO62" s="140">
        <f t="shared" si="52"/>
        <v>1.1049896877179647E-7</v>
      </c>
      <c r="AP62" s="529">
        <f t="shared" si="28"/>
        <v>1440666</v>
      </c>
      <c r="AQ62" s="141">
        <f t="shared" si="53"/>
        <v>1.66070450801967E-3</v>
      </c>
      <c r="AR62" s="428">
        <f t="shared" si="29"/>
        <v>5599267</v>
      </c>
      <c r="AS62" s="140">
        <f t="shared" si="54"/>
        <v>1.7414786810480206E-3</v>
      </c>
      <c r="AT62" s="529">
        <f>SUM(AT55:AT61)</f>
        <v>1583592</v>
      </c>
      <c r="AU62" s="141">
        <f t="shared" si="30"/>
        <v>1.7157928973380069E-3</v>
      </c>
      <c r="AV62" s="410">
        <f>SUM(AV55:AV61)</f>
        <v>7046221</v>
      </c>
      <c r="AW62" s="140">
        <f t="shared" si="31"/>
        <v>1.9473330206569901E-3</v>
      </c>
      <c r="AX62" s="529">
        <f t="shared" si="32"/>
        <v>-142926</v>
      </c>
      <c r="AY62" s="141">
        <f t="shared" si="33"/>
        <v>0.90974569207220046</v>
      </c>
      <c r="AZ62" s="410">
        <f t="shared" si="34"/>
        <v>-1446954</v>
      </c>
      <c r="BA62" s="140">
        <f t="shared" si="35"/>
        <v>0.79464822349455122</v>
      </c>
      <c r="BB62" s="11"/>
    </row>
    <row r="63" spans="1:54" ht="15.95" customHeight="1">
      <c r="A63" s="38" t="s">
        <v>59</v>
      </c>
      <c r="B63" s="712">
        <f>[4]本部!$I$63</f>
        <v>-12327357</v>
      </c>
      <c r="C63" s="221" t="str">
        <f t="shared" si="38"/>
        <v/>
      </c>
      <c r="D63" s="732">
        <f>[4]本部!$L$63</f>
        <v>-33004851</v>
      </c>
      <c r="E63" s="142" t="str">
        <f t="shared" si="39"/>
        <v/>
      </c>
      <c r="F63" s="365">
        <f>[4]本社営業!$I$63</f>
        <v>5991096</v>
      </c>
      <c r="G63" s="15">
        <f t="shared" si="40"/>
        <v>1.0867018674071053E-2</v>
      </c>
      <c r="H63" s="367">
        <f>[4]本社営業!$L$63</f>
        <v>16217984</v>
      </c>
      <c r="I63" s="144">
        <f t="shared" si="19"/>
        <v>7.9030422554347782E-3</v>
      </c>
      <c r="J63" s="751">
        <f>[4]東大阪!$I$63</f>
        <v>788951</v>
      </c>
      <c r="K63" s="15">
        <f t="shared" si="20"/>
        <v>8.3161913230701573E-2</v>
      </c>
      <c r="L63" s="367">
        <f>[4]東大阪!$L$63</f>
        <v>1963433</v>
      </c>
      <c r="M63" s="144">
        <f t="shared" si="37"/>
        <v>5.5653566368781195E-2</v>
      </c>
      <c r="N63" s="413">
        <f>[4]南港工場!$I$63</f>
        <v>1873758</v>
      </c>
      <c r="O63" s="15">
        <f t="shared" si="41"/>
        <v>6.4789716730713265E-2</v>
      </c>
      <c r="P63" s="367">
        <f>[4]南港工場!$L$63</f>
        <v>4848488</v>
      </c>
      <c r="Q63" s="178">
        <f t="shared" si="42"/>
        <v>4.6086299639860599E-2</v>
      </c>
      <c r="R63" s="447">
        <f>[4]南港事務!$I$63</f>
        <v>357493</v>
      </c>
      <c r="S63" s="15" t="str">
        <f t="shared" si="43"/>
        <v/>
      </c>
      <c r="T63" s="367">
        <f>[4]南港事務!$L$63</f>
        <v>956949</v>
      </c>
      <c r="U63" s="210" t="str">
        <f t="shared" si="44"/>
        <v/>
      </c>
      <c r="V63" s="491">
        <f t="shared" si="21"/>
        <v>2231251</v>
      </c>
      <c r="W63" s="178">
        <f t="shared" si="45"/>
        <v>7.715090222169603E-2</v>
      </c>
      <c r="X63" s="431">
        <f t="shared" si="22"/>
        <v>5805437</v>
      </c>
      <c r="Y63" s="231">
        <f t="shared" si="46"/>
        <v>5.5182380387934014E-2</v>
      </c>
      <c r="Z63" s="570">
        <f t="shared" si="23"/>
        <v>9011298</v>
      </c>
      <c r="AA63" s="195">
        <f t="shared" si="47"/>
        <v>1.528070229704839E-2</v>
      </c>
      <c r="AB63" s="567">
        <f t="shared" si="24"/>
        <v>23986854</v>
      </c>
      <c r="AC63" s="143">
        <f t="shared" si="48"/>
        <v>1.0939897378604574E-2</v>
      </c>
      <c r="AD63" s="365">
        <f>[4]東京事務!$I$63</f>
        <v>2428489</v>
      </c>
      <c r="AE63" s="15">
        <f t="shared" si="49"/>
        <v>9.1003031222211591E-3</v>
      </c>
      <c r="AF63" s="367">
        <f>[4]東京事務!$L$63</f>
        <v>6552433</v>
      </c>
      <c r="AG63" s="86">
        <f t="shared" si="50"/>
        <v>6.6689846031300773E-3</v>
      </c>
      <c r="AH63" s="393">
        <f>[4]東京工場!$I$63</f>
        <v>887570</v>
      </c>
      <c r="AI63" s="178">
        <f t="shared" si="25"/>
        <v>8.1224626169691075E-2</v>
      </c>
      <c r="AJ63" s="367">
        <f>[4]東京工場!$L$63</f>
        <v>2465564</v>
      </c>
      <c r="AK63" s="106">
        <f t="shared" si="36"/>
        <v>6.1469073469330157E-2</v>
      </c>
      <c r="AL63" s="551">
        <f t="shared" si="26"/>
        <v>3316059</v>
      </c>
      <c r="AM63" s="320">
        <f t="shared" si="51"/>
        <v>1.1937485480022644E-2</v>
      </c>
      <c r="AN63" s="538">
        <f t="shared" si="27"/>
        <v>9017997</v>
      </c>
      <c r="AO63" s="143">
        <f t="shared" si="52"/>
        <v>8.8184014945765863E-3</v>
      </c>
      <c r="AP63" s="531">
        <f t="shared" si="28"/>
        <v>0</v>
      </c>
      <c r="AQ63" s="288">
        <f t="shared" si="53"/>
        <v>0</v>
      </c>
      <c r="AR63" s="518">
        <f t="shared" si="29"/>
        <v>0</v>
      </c>
      <c r="AS63" s="289">
        <f t="shared" si="54"/>
        <v>0</v>
      </c>
      <c r="AT63" s="588">
        <f>[4]全社合計!$G$63</f>
        <v>0</v>
      </c>
      <c r="AU63" s="144">
        <f t="shared" si="30"/>
        <v>0</v>
      </c>
      <c r="AV63" s="598">
        <f>[4]全社合計!$N$63</f>
        <v>0</v>
      </c>
      <c r="AW63" s="145">
        <f t="shared" si="31"/>
        <v>0</v>
      </c>
      <c r="AX63" s="588">
        <f t="shared" si="32"/>
        <v>0</v>
      </c>
      <c r="AY63" s="144" t="str">
        <f t="shared" si="33"/>
        <v/>
      </c>
      <c r="AZ63" s="598">
        <f t="shared" si="34"/>
        <v>0</v>
      </c>
      <c r="BA63" s="145" t="str">
        <f t="shared" si="35"/>
        <v/>
      </c>
      <c r="BB63" s="11"/>
    </row>
    <row r="64" spans="1:54" ht="19.899999999999999" customHeight="1">
      <c r="A64" s="57" t="s">
        <v>50</v>
      </c>
      <c r="B64" s="713">
        <f>+B48+B54-B62-B63</f>
        <v>0</v>
      </c>
      <c r="C64" s="146" t="str">
        <f t="shared" si="38"/>
        <v/>
      </c>
      <c r="D64" s="376">
        <f>D48+D54-D62-D63</f>
        <v>0</v>
      </c>
      <c r="E64" s="136" t="str">
        <f t="shared" si="39"/>
        <v/>
      </c>
      <c r="F64" s="375">
        <f>F48+F54-F62-F63</f>
        <v>40076129</v>
      </c>
      <c r="G64" s="56">
        <f t="shared" si="40"/>
        <v>7.2692549447960844E-2</v>
      </c>
      <c r="H64" s="376">
        <f>H48+H54-H62-H63</f>
        <v>199032300</v>
      </c>
      <c r="I64" s="146">
        <f t="shared" si="19"/>
        <v>9.6988668696206107E-2</v>
      </c>
      <c r="J64" s="374">
        <f>J48+J54-J62-J63</f>
        <v>2595952</v>
      </c>
      <c r="K64" s="56">
        <f t="shared" si="20"/>
        <v>0.27363465535257098</v>
      </c>
      <c r="L64" s="376">
        <f>L48+L54-L62-L63</f>
        <v>8730194</v>
      </c>
      <c r="M64" s="146">
        <f t="shared" si="37"/>
        <v>0.24745760674865674</v>
      </c>
      <c r="N64" s="412">
        <f>N48+N54-N62-N63</f>
        <v>-16355942</v>
      </c>
      <c r="O64" s="56">
        <f t="shared" si="41"/>
        <v>-0.56554627067314767</v>
      </c>
      <c r="P64" s="376">
        <f>P48+P54-P62-P63</f>
        <v>3743947</v>
      </c>
      <c r="Q64" s="176">
        <f t="shared" si="42"/>
        <v>3.5587313669283534E-2</v>
      </c>
      <c r="R64" s="443">
        <f>R48+R54-R62-R63</f>
        <v>-4070076</v>
      </c>
      <c r="S64" s="56" t="str">
        <f t="shared" si="43"/>
        <v/>
      </c>
      <c r="T64" s="376">
        <f>T48+T54-T62-T63</f>
        <v>-17046647</v>
      </c>
      <c r="U64" s="211" t="str">
        <f t="shared" si="44"/>
        <v/>
      </c>
      <c r="V64" s="490">
        <f t="shared" si="21"/>
        <v>-20426018</v>
      </c>
      <c r="W64" s="176">
        <f t="shared" si="45"/>
        <v>-0.7062789966241374</v>
      </c>
      <c r="X64" s="424">
        <f t="shared" si="22"/>
        <v>-13302700</v>
      </c>
      <c r="Y64" s="232">
        <f t="shared" si="46"/>
        <v>-0.12644606281776374</v>
      </c>
      <c r="Z64" s="490">
        <f t="shared" si="23"/>
        <v>22246063</v>
      </c>
      <c r="AA64" s="193">
        <f t="shared" si="47"/>
        <v>3.7723252075825608E-2</v>
      </c>
      <c r="AB64" s="424">
        <f t="shared" si="24"/>
        <v>194459794</v>
      </c>
      <c r="AC64" s="185">
        <f t="shared" si="48"/>
        <v>8.8689004011304917E-2</v>
      </c>
      <c r="AD64" s="375">
        <f>AD48+AD54-AD62-AD63</f>
        <v>8678143</v>
      </c>
      <c r="AE64" s="56">
        <f t="shared" si="49"/>
        <v>3.2519699219548323E-2</v>
      </c>
      <c r="AF64" s="376">
        <f>AF48+AF54-AF62-AF63</f>
        <v>31115395</v>
      </c>
      <c r="AG64" s="87">
        <f t="shared" si="50"/>
        <v>3.166886104372385E-2</v>
      </c>
      <c r="AH64" s="392">
        <f>AH48+AH54-AH62-AH63</f>
        <v>3447476</v>
      </c>
      <c r="AI64" s="176">
        <f t="shared" si="25"/>
        <v>0.31549055210178567</v>
      </c>
      <c r="AJ64" s="376">
        <f>AJ48+AJ54-AJ62-AJ63</f>
        <v>8267074</v>
      </c>
      <c r="AK64" s="104">
        <f t="shared" si="36"/>
        <v>0.20610674842850932</v>
      </c>
      <c r="AL64" s="545">
        <f t="shared" si="26"/>
        <v>12125619</v>
      </c>
      <c r="AM64" s="321">
        <f t="shared" si="51"/>
        <v>4.3651032972811005E-2</v>
      </c>
      <c r="AN64" s="537">
        <f t="shared" si="27"/>
        <v>39382469</v>
      </c>
      <c r="AO64" s="137">
        <f t="shared" si="52"/>
        <v>3.8510816037055244E-2</v>
      </c>
      <c r="AP64" s="525">
        <f t="shared" si="28"/>
        <v>34371682</v>
      </c>
      <c r="AQ64" s="303">
        <f t="shared" si="53"/>
        <v>3.9621402355312432E-2</v>
      </c>
      <c r="AR64" s="517">
        <f t="shared" si="29"/>
        <v>233842263</v>
      </c>
      <c r="AS64" s="304">
        <f t="shared" si="54"/>
        <v>7.2729397569811255E-2</v>
      </c>
      <c r="AT64" s="582">
        <f>AT48+AT54-AT62-AT63</f>
        <v>60967829</v>
      </c>
      <c r="AU64" s="146">
        <f t="shared" si="30"/>
        <v>6.6057524895502234E-2</v>
      </c>
      <c r="AV64" s="597">
        <f>AV48+AV54-AV62-AV63</f>
        <v>266634243</v>
      </c>
      <c r="AW64" s="137">
        <f t="shared" si="31"/>
        <v>7.3688529756841287E-2</v>
      </c>
      <c r="AX64" s="582">
        <f t="shared" si="32"/>
        <v>-26596147</v>
      </c>
      <c r="AY64" s="146">
        <f t="shared" si="33"/>
        <v>0.56376752401664165</v>
      </c>
      <c r="AZ64" s="597">
        <f t="shared" si="34"/>
        <v>-32791980</v>
      </c>
      <c r="BA64" s="137">
        <f t="shared" si="35"/>
        <v>0.87701512142234483</v>
      </c>
      <c r="BB64" s="11"/>
    </row>
    <row r="65" spans="1:54" ht="15.95" customHeight="1">
      <c r="A65" s="39" t="s">
        <v>51</v>
      </c>
      <c r="B65" s="714">
        <f>[4]本部!$I$65</f>
        <v>0</v>
      </c>
      <c r="C65" s="261" t="str">
        <f t="shared" si="38"/>
        <v/>
      </c>
      <c r="D65" s="733">
        <f>[4]本部!$L$65</f>
        <v>0</v>
      </c>
      <c r="E65" s="142" t="str">
        <f t="shared" si="39"/>
        <v/>
      </c>
      <c r="F65" s="368">
        <f>[4]本社営業!$I$65</f>
        <v>0</v>
      </c>
      <c r="G65" s="15">
        <f t="shared" si="40"/>
        <v>0</v>
      </c>
      <c r="H65" s="370">
        <f>[4]本社営業!$L$65</f>
        <v>0</v>
      </c>
      <c r="I65" s="144">
        <f t="shared" si="19"/>
        <v>0</v>
      </c>
      <c r="J65" s="752">
        <f>[4]東大阪!$I$65</f>
        <v>0</v>
      </c>
      <c r="K65" s="15">
        <f t="shared" si="20"/>
        <v>0</v>
      </c>
      <c r="L65" s="370">
        <f>[4]東大阪!$L$65</f>
        <v>0</v>
      </c>
      <c r="M65" s="144">
        <f t="shared" si="37"/>
        <v>0</v>
      </c>
      <c r="N65" s="414">
        <f>[4]南港工場!$I$65</f>
        <v>0</v>
      </c>
      <c r="O65" s="15">
        <f t="shared" si="41"/>
        <v>0</v>
      </c>
      <c r="P65" s="370">
        <f>[4]南港工場!$L$65</f>
        <v>0</v>
      </c>
      <c r="Q65" s="178">
        <f t="shared" si="42"/>
        <v>0</v>
      </c>
      <c r="R65" s="448">
        <f>[4]南港事務!$I$65</f>
        <v>0</v>
      </c>
      <c r="S65" s="15" t="str">
        <f t="shared" si="43"/>
        <v/>
      </c>
      <c r="T65" s="370">
        <f>[4]南港事務!$L$65</f>
        <v>0</v>
      </c>
      <c r="U65" s="210" t="str">
        <f t="shared" si="44"/>
        <v/>
      </c>
      <c r="V65" s="492">
        <f t="shared" si="21"/>
        <v>0</v>
      </c>
      <c r="W65" s="178">
        <f t="shared" si="45"/>
        <v>0</v>
      </c>
      <c r="X65" s="432">
        <f t="shared" si="22"/>
        <v>0</v>
      </c>
      <c r="Y65" s="231">
        <f t="shared" si="46"/>
        <v>0</v>
      </c>
      <c r="Z65" s="571">
        <f t="shared" si="23"/>
        <v>0</v>
      </c>
      <c r="AA65" s="195">
        <f t="shared" si="47"/>
        <v>0</v>
      </c>
      <c r="AB65" s="568">
        <f t="shared" si="24"/>
        <v>0</v>
      </c>
      <c r="AC65" s="143">
        <f t="shared" si="48"/>
        <v>0</v>
      </c>
      <c r="AD65" s="368">
        <f>[4]東京事務!$I$65</f>
        <v>0</v>
      </c>
      <c r="AE65" s="15">
        <f t="shared" si="49"/>
        <v>0</v>
      </c>
      <c r="AF65" s="370">
        <f>[4]東京事務!$L$65</f>
        <v>0</v>
      </c>
      <c r="AG65" s="86">
        <f t="shared" si="50"/>
        <v>0</v>
      </c>
      <c r="AH65" s="394">
        <f>[4]東京工場!$I$65</f>
        <v>0</v>
      </c>
      <c r="AI65" s="178">
        <f t="shared" si="25"/>
        <v>0</v>
      </c>
      <c r="AJ65" s="370">
        <f>[4]東京工場!$L$65</f>
        <v>0</v>
      </c>
      <c r="AK65" s="106">
        <f t="shared" si="36"/>
        <v>0</v>
      </c>
      <c r="AL65" s="552">
        <f t="shared" si="26"/>
        <v>0</v>
      </c>
      <c r="AM65" s="320">
        <f t="shared" si="51"/>
        <v>0</v>
      </c>
      <c r="AN65" s="539">
        <f t="shared" si="27"/>
        <v>0</v>
      </c>
      <c r="AO65" s="143">
        <f t="shared" si="52"/>
        <v>0</v>
      </c>
      <c r="AP65" s="532">
        <f t="shared" si="28"/>
        <v>0</v>
      </c>
      <c r="AQ65" s="288">
        <f t="shared" si="53"/>
        <v>0</v>
      </c>
      <c r="AR65" s="519">
        <f t="shared" si="29"/>
        <v>0</v>
      </c>
      <c r="AS65" s="289">
        <f t="shared" si="54"/>
        <v>0</v>
      </c>
      <c r="AT65" s="589">
        <f>[4]全社合計!$G$65</f>
        <v>0</v>
      </c>
      <c r="AU65" s="144">
        <f t="shared" si="30"/>
        <v>0</v>
      </c>
      <c r="AV65" s="599">
        <f>[4]全社合計!$N$65</f>
        <v>0</v>
      </c>
      <c r="AW65" s="145">
        <f t="shared" si="31"/>
        <v>0</v>
      </c>
      <c r="AX65" s="589">
        <f t="shared" si="32"/>
        <v>0</v>
      </c>
      <c r="AY65" s="144" t="str">
        <f t="shared" si="33"/>
        <v/>
      </c>
      <c r="AZ65" s="599">
        <f t="shared" si="34"/>
        <v>0</v>
      </c>
      <c r="BA65" s="145" t="str">
        <f t="shared" si="35"/>
        <v/>
      </c>
      <c r="BB65" s="11"/>
    </row>
    <row r="66" spans="1:54" ht="15.95" customHeight="1">
      <c r="A66" s="40" t="s">
        <v>52</v>
      </c>
      <c r="B66" s="715">
        <f>[4]本部!$I$66</f>
        <v>0</v>
      </c>
      <c r="C66" s="262" t="str">
        <f t="shared" si="38"/>
        <v/>
      </c>
      <c r="D66" s="734">
        <f>[4]本部!$L$66</f>
        <v>0</v>
      </c>
      <c r="E66" s="147" t="str">
        <f t="shared" si="39"/>
        <v/>
      </c>
      <c r="F66" s="369">
        <f>[4]本社営業!$I$66</f>
        <v>0</v>
      </c>
      <c r="G66" s="16">
        <f t="shared" si="40"/>
        <v>0</v>
      </c>
      <c r="H66" s="371">
        <f>[4]本社営業!$L$66</f>
        <v>0</v>
      </c>
      <c r="I66" s="149">
        <f t="shared" si="19"/>
        <v>0</v>
      </c>
      <c r="J66" s="753">
        <f>[4]東大阪!$I$66</f>
        <v>0</v>
      </c>
      <c r="K66" s="16">
        <f>IF(ISERR(J66/$J$11),"",J66/$J$11)</f>
        <v>0</v>
      </c>
      <c r="L66" s="371">
        <f>[4]東大阪!$L$66</f>
        <v>0</v>
      </c>
      <c r="M66" s="149">
        <f t="shared" si="37"/>
        <v>0</v>
      </c>
      <c r="N66" s="415">
        <f>[4]南港工場!$I$66</f>
        <v>0</v>
      </c>
      <c r="O66" s="16">
        <f t="shared" si="41"/>
        <v>0</v>
      </c>
      <c r="P66" s="371">
        <f>[4]南港工場!$L$66</f>
        <v>0</v>
      </c>
      <c r="Q66" s="179">
        <f t="shared" si="42"/>
        <v>0</v>
      </c>
      <c r="R66" s="449">
        <f>[4]南港事務!$I$66</f>
        <v>0</v>
      </c>
      <c r="S66" s="16" t="str">
        <f t="shared" si="43"/>
        <v/>
      </c>
      <c r="T66" s="371">
        <f>[4]南港事務!$L$66</f>
        <v>0</v>
      </c>
      <c r="U66" s="212" t="str">
        <f t="shared" si="44"/>
        <v/>
      </c>
      <c r="V66" s="493">
        <f t="shared" si="21"/>
        <v>0</v>
      </c>
      <c r="W66" s="179">
        <f t="shared" si="45"/>
        <v>0</v>
      </c>
      <c r="X66" s="433">
        <f t="shared" si="22"/>
        <v>0</v>
      </c>
      <c r="Y66" s="233">
        <f t="shared" si="46"/>
        <v>0</v>
      </c>
      <c r="Z66" s="572">
        <f t="shared" si="23"/>
        <v>0</v>
      </c>
      <c r="AA66" s="196">
        <f t="shared" si="47"/>
        <v>0</v>
      </c>
      <c r="AB66" s="569">
        <f t="shared" si="24"/>
        <v>0</v>
      </c>
      <c r="AC66" s="148">
        <f t="shared" si="48"/>
        <v>0</v>
      </c>
      <c r="AD66" s="369">
        <f>[4]東京事務!$I$66</f>
        <v>0</v>
      </c>
      <c r="AE66" s="16">
        <f t="shared" si="49"/>
        <v>0</v>
      </c>
      <c r="AF66" s="371">
        <f>[4]東京事務!$L$66</f>
        <v>0</v>
      </c>
      <c r="AG66" s="88">
        <f t="shared" si="50"/>
        <v>0</v>
      </c>
      <c r="AH66" s="395">
        <f>[4]東京工場!$I$66</f>
        <v>0</v>
      </c>
      <c r="AI66" s="179">
        <f t="shared" si="25"/>
        <v>0</v>
      </c>
      <c r="AJ66" s="371">
        <f>[4]東京工場!$L$66</f>
        <v>0</v>
      </c>
      <c r="AK66" s="107">
        <f t="shared" si="36"/>
        <v>0</v>
      </c>
      <c r="AL66" s="553">
        <f t="shared" si="26"/>
        <v>0</v>
      </c>
      <c r="AM66" s="322">
        <f t="shared" si="51"/>
        <v>0</v>
      </c>
      <c r="AN66" s="540">
        <f t="shared" si="27"/>
        <v>0</v>
      </c>
      <c r="AO66" s="148">
        <f t="shared" si="52"/>
        <v>0</v>
      </c>
      <c r="AP66" s="533">
        <f t="shared" si="28"/>
        <v>0</v>
      </c>
      <c r="AQ66" s="290">
        <f t="shared" si="53"/>
        <v>0</v>
      </c>
      <c r="AR66" s="520">
        <f t="shared" si="29"/>
        <v>0</v>
      </c>
      <c r="AS66" s="291">
        <f t="shared" si="54"/>
        <v>0</v>
      </c>
      <c r="AT66" s="590">
        <f>[4]全社合計!$G$66</f>
        <v>0</v>
      </c>
      <c r="AU66" s="149">
        <f t="shared" si="30"/>
        <v>0</v>
      </c>
      <c r="AV66" s="600">
        <f>[4]全社合計!$N$66</f>
        <v>0</v>
      </c>
      <c r="AW66" s="150">
        <f t="shared" si="31"/>
        <v>0</v>
      </c>
      <c r="AX66" s="590">
        <f t="shared" si="32"/>
        <v>0</v>
      </c>
      <c r="AY66" s="149" t="str">
        <f t="shared" si="33"/>
        <v/>
      </c>
      <c r="AZ66" s="600">
        <f t="shared" si="34"/>
        <v>0</v>
      </c>
      <c r="BA66" s="150" t="str">
        <f t="shared" si="35"/>
        <v/>
      </c>
      <c r="BB66" s="11"/>
    </row>
    <row r="67" spans="1:54" ht="18" customHeight="1">
      <c r="A67" s="68" t="s">
        <v>60</v>
      </c>
      <c r="B67" s="716">
        <f>+B64+B65-B66</f>
        <v>0</v>
      </c>
      <c r="C67" s="152" t="str">
        <f t="shared" si="38"/>
        <v/>
      </c>
      <c r="D67" s="377">
        <f>D64+D65-D66</f>
        <v>0</v>
      </c>
      <c r="E67" s="218" t="str">
        <f t="shared" si="39"/>
        <v/>
      </c>
      <c r="F67" s="372">
        <f>F64+F65-F66</f>
        <v>40076129</v>
      </c>
      <c r="G67" s="69">
        <f t="shared" si="40"/>
        <v>7.2692549447960844E-2</v>
      </c>
      <c r="H67" s="377">
        <f>H64+H65-H66</f>
        <v>199032300</v>
      </c>
      <c r="I67" s="152">
        <f t="shared" si="19"/>
        <v>9.6988668696206107E-2</v>
      </c>
      <c r="J67" s="754">
        <f>J64+J65-J66</f>
        <v>2595952</v>
      </c>
      <c r="K67" s="69">
        <f>IF(ISERR(J67/$J$11),"",J67/$J$11)</f>
        <v>0.27363465535257098</v>
      </c>
      <c r="L67" s="377">
        <f>L64+L65-L66</f>
        <v>8730194</v>
      </c>
      <c r="M67" s="152">
        <f t="shared" si="37"/>
        <v>0.24745760674865674</v>
      </c>
      <c r="N67" s="416">
        <f>N64+N65-N66</f>
        <v>-16355942</v>
      </c>
      <c r="O67" s="69">
        <f t="shared" si="41"/>
        <v>-0.56554627067314767</v>
      </c>
      <c r="P67" s="377">
        <f>P64+P65-P66</f>
        <v>3743947</v>
      </c>
      <c r="Q67" s="180">
        <f t="shared" si="42"/>
        <v>3.5587313669283534E-2</v>
      </c>
      <c r="R67" s="450">
        <f>R64+R65-R66</f>
        <v>-4070076</v>
      </c>
      <c r="S67" s="69" t="str">
        <f t="shared" si="43"/>
        <v/>
      </c>
      <c r="T67" s="377">
        <f>T64+T65-T66</f>
        <v>-17046647</v>
      </c>
      <c r="U67" s="213" t="str">
        <f t="shared" si="44"/>
        <v/>
      </c>
      <c r="V67" s="494">
        <f t="shared" si="21"/>
        <v>-20426018</v>
      </c>
      <c r="W67" s="180">
        <f t="shared" si="45"/>
        <v>-0.7062789966241374</v>
      </c>
      <c r="X67" s="434">
        <f t="shared" si="22"/>
        <v>-13302700</v>
      </c>
      <c r="Y67" s="234">
        <f t="shared" si="46"/>
        <v>-0.12644606281776374</v>
      </c>
      <c r="Z67" s="494">
        <f t="shared" si="23"/>
        <v>22246063</v>
      </c>
      <c r="AA67" s="197">
        <f t="shared" si="47"/>
        <v>3.7723252075825608E-2</v>
      </c>
      <c r="AB67" s="434">
        <f t="shared" si="24"/>
        <v>194459794</v>
      </c>
      <c r="AC67" s="186">
        <f t="shared" si="48"/>
        <v>8.8689004011304917E-2</v>
      </c>
      <c r="AD67" s="372">
        <f>AD64+AD65-AD66</f>
        <v>8678143</v>
      </c>
      <c r="AE67" s="69">
        <f t="shared" si="49"/>
        <v>3.2519699219548323E-2</v>
      </c>
      <c r="AF67" s="377">
        <f>AF64+AF65-AF66</f>
        <v>31115395</v>
      </c>
      <c r="AG67" s="89">
        <f t="shared" si="50"/>
        <v>3.166886104372385E-2</v>
      </c>
      <c r="AH67" s="396">
        <f>AH64+AH65-AH66</f>
        <v>3447476</v>
      </c>
      <c r="AI67" s="180">
        <f t="shared" si="25"/>
        <v>0.31549055210178567</v>
      </c>
      <c r="AJ67" s="377">
        <f>AJ64+AJ65-AJ66</f>
        <v>8267074</v>
      </c>
      <c r="AK67" s="108">
        <f t="shared" si="36"/>
        <v>0.20610674842850932</v>
      </c>
      <c r="AL67" s="554">
        <f t="shared" si="26"/>
        <v>12125619</v>
      </c>
      <c r="AM67" s="323">
        <f t="shared" si="51"/>
        <v>4.3651032972811005E-2</v>
      </c>
      <c r="AN67" s="541">
        <f t="shared" si="27"/>
        <v>39382469</v>
      </c>
      <c r="AO67" s="151">
        <f t="shared" si="52"/>
        <v>3.8510816037055244E-2</v>
      </c>
      <c r="AP67" s="534">
        <f t="shared" si="28"/>
        <v>34371682</v>
      </c>
      <c r="AQ67" s="152">
        <f t="shared" si="53"/>
        <v>3.9621402355312432E-2</v>
      </c>
      <c r="AR67" s="521">
        <f t="shared" si="29"/>
        <v>233842263</v>
      </c>
      <c r="AS67" s="151">
        <f t="shared" si="54"/>
        <v>7.2729397569811255E-2</v>
      </c>
      <c r="AT67" s="534">
        <f>AT64+AT65-AT66</f>
        <v>60967829</v>
      </c>
      <c r="AU67" s="152">
        <f t="shared" si="30"/>
        <v>6.6057524895502234E-2</v>
      </c>
      <c r="AV67" s="601">
        <f>AV64+AV65-AV66</f>
        <v>266634243</v>
      </c>
      <c r="AW67" s="151">
        <f t="shared" si="31"/>
        <v>7.3688529756841287E-2</v>
      </c>
      <c r="AX67" s="534">
        <f t="shared" si="32"/>
        <v>-26596147</v>
      </c>
      <c r="AY67" s="152">
        <f t="shared" si="33"/>
        <v>0.56376752401664165</v>
      </c>
      <c r="AZ67" s="601">
        <f t="shared" si="34"/>
        <v>-32791980</v>
      </c>
      <c r="BA67" s="151">
        <f t="shared" si="35"/>
        <v>0.87701512142234483</v>
      </c>
      <c r="BB67" s="11"/>
    </row>
    <row r="68" spans="1:54" ht="18" customHeight="1">
      <c r="A68" s="70" t="s">
        <v>61</v>
      </c>
      <c r="B68" s="717"/>
      <c r="C68" s="155" t="str">
        <f t="shared" si="38"/>
        <v/>
      </c>
      <c r="D68" s="378"/>
      <c r="E68" s="153" t="str">
        <f t="shared" si="39"/>
        <v/>
      </c>
      <c r="F68" s="373"/>
      <c r="G68" s="71">
        <f t="shared" si="40"/>
        <v>0</v>
      </c>
      <c r="H68" s="378"/>
      <c r="I68" s="155">
        <f t="shared" si="19"/>
        <v>0</v>
      </c>
      <c r="J68" s="755"/>
      <c r="K68" s="71">
        <f t="shared" si="20"/>
        <v>0</v>
      </c>
      <c r="L68" s="378"/>
      <c r="M68" s="155">
        <f t="shared" si="37"/>
        <v>0</v>
      </c>
      <c r="N68" s="417"/>
      <c r="O68" s="71">
        <f t="shared" si="41"/>
        <v>0</v>
      </c>
      <c r="P68" s="378"/>
      <c r="Q68" s="181">
        <f t="shared" si="42"/>
        <v>0</v>
      </c>
      <c r="R68" s="451"/>
      <c r="S68" s="71" t="str">
        <f t="shared" si="43"/>
        <v/>
      </c>
      <c r="T68" s="378"/>
      <c r="U68" s="214" t="str">
        <f t="shared" si="44"/>
        <v/>
      </c>
      <c r="V68" s="495">
        <f t="shared" si="21"/>
        <v>0</v>
      </c>
      <c r="W68" s="181">
        <f t="shared" si="45"/>
        <v>0</v>
      </c>
      <c r="X68" s="435">
        <f t="shared" si="22"/>
        <v>0</v>
      </c>
      <c r="Y68" s="235">
        <f t="shared" si="46"/>
        <v>0</v>
      </c>
      <c r="Z68" s="495">
        <f t="shared" si="23"/>
        <v>0</v>
      </c>
      <c r="AA68" s="198">
        <f t="shared" si="47"/>
        <v>0</v>
      </c>
      <c r="AB68" s="435">
        <f t="shared" si="24"/>
        <v>0</v>
      </c>
      <c r="AC68" s="154">
        <f t="shared" si="48"/>
        <v>0</v>
      </c>
      <c r="AD68" s="373"/>
      <c r="AE68" s="71">
        <f t="shared" si="49"/>
        <v>0</v>
      </c>
      <c r="AF68" s="378"/>
      <c r="AG68" s="90">
        <f t="shared" si="50"/>
        <v>0</v>
      </c>
      <c r="AH68" s="561"/>
      <c r="AI68" s="181">
        <f t="shared" si="25"/>
        <v>0</v>
      </c>
      <c r="AJ68" s="378"/>
      <c r="AK68" s="109">
        <f t="shared" si="36"/>
        <v>0</v>
      </c>
      <c r="AL68" s="555">
        <f t="shared" si="26"/>
        <v>0</v>
      </c>
      <c r="AM68" s="324"/>
      <c r="AN68" s="542">
        <f t="shared" si="27"/>
        <v>0</v>
      </c>
      <c r="AO68" s="154">
        <f t="shared" si="52"/>
        <v>0</v>
      </c>
      <c r="AP68" s="535">
        <f t="shared" si="28"/>
        <v>0</v>
      </c>
      <c r="AQ68" s="293">
        <f t="shared" si="53"/>
        <v>0</v>
      </c>
      <c r="AR68" s="522">
        <f t="shared" si="29"/>
        <v>0</v>
      </c>
      <c r="AS68" s="292">
        <f t="shared" si="54"/>
        <v>0</v>
      </c>
      <c r="AT68" s="591"/>
      <c r="AU68" s="155">
        <f t="shared" si="30"/>
        <v>0</v>
      </c>
      <c r="AV68" s="602"/>
      <c r="AW68" s="154">
        <f t="shared" si="31"/>
        <v>0</v>
      </c>
      <c r="AX68" s="591">
        <f t="shared" si="32"/>
        <v>0</v>
      </c>
      <c r="AY68" s="155" t="str">
        <f t="shared" si="33"/>
        <v/>
      </c>
      <c r="AZ68" s="602">
        <f t="shared" si="34"/>
        <v>0</v>
      </c>
      <c r="BA68" s="154" t="str">
        <f t="shared" si="35"/>
        <v/>
      </c>
      <c r="BB68" s="11"/>
    </row>
    <row r="69" spans="1:54" ht="18" customHeight="1">
      <c r="A69" s="58" t="s">
        <v>62</v>
      </c>
      <c r="B69" s="718">
        <f>+B67-B68</f>
        <v>0</v>
      </c>
      <c r="C69" s="157" t="str">
        <f t="shared" si="38"/>
        <v/>
      </c>
      <c r="D69" s="376">
        <f>D67-D68</f>
        <v>0</v>
      </c>
      <c r="E69" s="219" t="str">
        <f t="shared" si="39"/>
        <v/>
      </c>
      <c r="F69" s="374">
        <f>F67-F68</f>
        <v>40076129</v>
      </c>
      <c r="G69" s="59">
        <f t="shared" si="40"/>
        <v>7.2692549447960844E-2</v>
      </c>
      <c r="H69" s="376">
        <f>H67-H68</f>
        <v>199032300</v>
      </c>
      <c r="I69" s="157">
        <f t="shared" si="19"/>
        <v>9.6988668696206107E-2</v>
      </c>
      <c r="J69" s="374">
        <f>J67-J68</f>
        <v>2595952</v>
      </c>
      <c r="K69" s="59">
        <f t="shared" si="20"/>
        <v>0.27363465535257098</v>
      </c>
      <c r="L69" s="376">
        <f>L67-L68</f>
        <v>8730194</v>
      </c>
      <c r="M69" s="157">
        <f t="shared" si="37"/>
        <v>0.24745760674865674</v>
      </c>
      <c r="N69" s="418">
        <f>N67-N68</f>
        <v>-16355942</v>
      </c>
      <c r="O69" s="59">
        <f t="shared" si="41"/>
        <v>-0.56554627067314767</v>
      </c>
      <c r="P69" s="376">
        <f>P67-P68</f>
        <v>3743947</v>
      </c>
      <c r="Q69" s="182">
        <f t="shared" si="42"/>
        <v>3.5587313669283534E-2</v>
      </c>
      <c r="R69" s="443">
        <f>R67-R68</f>
        <v>-4070076</v>
      </c>
      <c r="S69" s="59" t="str">
        <f t="shared" si="43"/>
        <v/>
      </c>
      <c r="T69" s="376">
        <f>T67-T68</f>
        <v>-17046647</v>
      </c>
      <c r="U69" s="215" t="str">
        <f t="shared" si="44"/>
        <v/>
      </c>
      <c r="V69" s="496">
        <f t="shared" si="21"/>
        <v>-20426018</v>
      </c>
      <c r="W69" s="182">
        <f t="shared" si="45"/>
        <v>-0.7062789966241374</v>
      </c>
      <c r="X69" s="424">
        <f t="shared" si="22"/>
        <v>-13302700</v>
      </c>
      <c r="Y69" s="236">
        <f t="shared" si="46"/>
        <v>-0.12644606281776374</v>
      </c>
      <c r="Z69" s="490">
        <f t="shared" si="23"/>
        <v>22246063</v>
      </c>
      <c r="AA69" s="199">
        <f t="shared" si="47"/>
        <v>3.7723252075825608E-2</v>
      </c>
      <c r="AB69" s="424">
        <f t="shared" si="24"/>
        <v>194459794</v>
      </c>
      <c r="AC69" s="187">
        <f t="shared" si="48"/>
        <v>8.8689004011304917E-2</v>
      </c>
      <c r="AD69" s="374">
        <f>AD67-AD68</f>
        <v>8678143</v>
      </c>
      <c r="AE69" s="59">
        <f t="shared" si="49"/>
        <v>3.2519699219548323E-2</v>
      </c>
      <c r="AF69" s="376">
        <f>AF67-AF68</f>
        <v>31115395</v>
      </c>
      <c r="AG69" s="91">
        <f t="shared" si="50"/>
        <v>3.166886104372385E-2</v>
      </c>
      <c r="AH69" s="398">
        <f>+AH67-AH68</f>
        <v>3447476</v>
      </c>
      <c r="AI69" s="182">
        <f t="shared" si="25"/>
        <v>0.31549055210178567</v>
      </c>
      <c r="AJ69" s="376">
        <f>AJ67-AJ68</f>
        <v>8267074</v>
      </c>
      <c r="AK69" s="110">
        <f t="shared" si="36"/>
        <v>0.20610674842850932</v>
      </c>
      <c r="AL69" s="545">
        <f t="shared" si="26"/>
        <v>12125619</v>
      </c>
      <c r="AM69" s="325"/>
      <c r="AN69" s="543">
        <f t="shared" si="27"/>
        <v>39382469</v>
      </c>
      <c r="AO69" s="156">
        <f t="shared" si="52"/>
        <v>3.8510816037055244E-2</v>
      </c>
      <c r="AP69" s="525">
        <f t="shared" si="28"/>
        <v>34371682</v>
      </c>
      <c r="AQ69" s="152">
        <f t="shared" si="53"/>
        <v>3.9621402355312432E-2</v>
      </c>
      <c r="AR69" s="523">
        <f t="shared" si="29"/>
        <v>233842263</v>
      </c>
      <c r="AS69" s="151">
        <f t="shared" si="54"/>
        <v>7.2729397569811255E-2</v>
      </c>
      <c r="AT69" s="582">
        <f>AT67-AT68</f>
        <v>60967829</v>
      </c>
      <c r="AU69" s="157">
        <f t="shared" si="30"/>
        <v>6.6057524895502234E-2</v>
      </c>
      <c r="AV69" s="603">
        <f>AV67-AV68</f>
        <v>266634243</v>
      </c>
      <c r="AW69" s="156">
        <f t="shared" si="31"/>
        <v>7.3688529756841287E-2</v>
      </c>
      <c r="AX69" s="582">
        <f t="shared" si="32"/>
        <v>-26596147</v>
      </c>
      <c r="AY69" s="157">
        <f t="shared" si="33"/>
        <v>0.56376752401664165</v>
      </c>
      <c r="AZ69" s="603">
        <f t="shared" si="34"/>
        <v>-32791980</v>
      </c>
      <c r="BA69" s="156">
        <f t="shared" si="35"/>
        <v>0.87701512142234483</v>
      </c>
      <c r="BB69" s="11"/>
    </row>
    <row r="70" spans="1:54" ht="15.95" customHeight="1" thickBot="1">
      <c r="A70" s="41" t="s">
        <v>84</v>
      </c>
      <c r="B70" s="263">
        <f>[4]本部!$I$68</f>
        <v>6</v>
      </c>
      <c r="C70" s="264"/>
      <c r="D70" s="248">
        <f>[4]本部!$L$68</f>
        <v>6</v>
      </c>
      <c r="E70" s="46"/>
      <c r="F70" s="28">
        <f>[4]本社営業!$I$68</f>
        <v>19</v>
      </c>
      <c r="G70" s="19"/>
      <c r="H70" s="249">
        <f>[4]本社営業!$L$68</f>
        <v>19</v>
      </c>
      <c r="I70" s="20"/>
      <c r="J70" s="756">
        <f>[4]東大阪!$I$68</f>
        <v>15</v>
      </c>
      <c r="K70" s="19"/>
      <c r="L70" s="249">
        <f>J70</f>
        <v>15</v>
      </c>
      <c r="M70" s="20"/>
      <c r="N70" s="237">
        <f>[4]南港工場!$I$68</f>
        <v>17</v>
      </c>
      <c r="O70" s="19"/>
      <c r="P70" s="249">
        <f>N70</f>
        <v>17</v>
      </c>
      <c r="Q70" s="246"/>
      <c r="R70" s="247">
        <f>[4]南港事務!$I$68</f>
        <v>6</v>
      </c>
      <c r="S70" s="19"/>
      <c r="T70" s="249">
        <f>R70</f>
        <v>6</v>
      </c>
      <c r="U70" s="73"/>
      <c r="V70" s="18">
        <f t="shared" si="21"/>
        <v>23</v>
      </c>
      <c r="W70" s="19"/>
      <c r="X70" s="250">
        <f t="shared" si="22"/>
        <v>23</v>
      </c>
      <c r="Y70" s="238"/>
      <c r="Z70" s="53">
        <f t="shared" si="23"/>
        <v>57</v>
      </c>
      <c r="AA70" s="75"/>
      <c r="AB70" s="251">
        <f t="shared" si="24"/>
        <v>57</v>
      </c>
      <c r="AC70" s="333"/>
      <c r="AD70" s="28">
        <f>[4]東京事務!$I$68</f>
        <v>8</v>
      </c>
      <c r="AE70" s="19"/>
      <c r="AF70" s="249">
        <f>AD70</f>
        <v>8</v>
      </c>
      <c r="AG70" s="32"/>
      <c r="AH70" s="31">
        <f>[4]東京工場!$I$68</f>
        <v>12</v>
      </c>
      <c r="AI70" s="19"/>
      <c r="AJ70" s="249">
        <f>AH70</f>
        <v>12</v>
      </c>
      <c r="AK70" s="45"/>
      <c r="AL70" s="48">
        <f t="shared" si="26"/>
        <v>20</v>
      </c>
      <c r="AM70" s="326"/>
      <c r="AN70" s="252">
        <f t="shared" si="27"/>
        <v>20</v>
      </c>
      <c r="AO70" s="54"/>
      <c r="AP70" s="294">
        <f t="shared" si="28"/>
        <v>83</v>
      </c>
      <c r="AQ70" s="295"/>
      <c r="AR70" s="296">
        <f t="shared" si="29"/>
        <v>83</v>
      </c>
      <c r="AS70" s="297"/>
      <c r="AT70" s="17">
        <f>[4]全社合計!$G$68</f>
        <v>79</v>
      </c>
      <c r="AU70" s="20"/>
      <c r="AV70" s="257">
        <f>[4]全社合計!$N$68</f>
        <v>79</v>
      </c>
      <c r="AW70" s="34"/>
      <c r="AX70" s="17">
        <f t="shared" si="32"/>
        <v>4</v>
      </c>
      <c r="AY70" s="311"/>
      <c r="AZ70" s="257">
        <f t="shared" si="34"/>
        <v>4</v>
      </c>
      <c r="BA70" s="34"/>
      <c r="BB70" s="11"/>
    </row>
    <row r="71" spans="1:54" ht="16.149999999999999" customHeight="1" thickTop="1">
      <c r="A71" s="42" t="s">
        <v>63</v>
      </c>
      <c r="B71" s="705">
        <f>[4]本部!$I$71</f>
        <v>850000</v>
      </c>
      <c r="C71" s="265" t="str">
        <f t="shared" ref="C71:C79" si="55">IF(ISERR(B71/$B$11),"",B71/$B$11)</f>
        <v/>
      </c>
      <c r="D71" s="725">
        <f>[4]本部!$L$71</f>
        <v>3400000</v>
      </c>
      <c r="E71" s="158" t="str">
        <f t="shared" ref="E71:E76" si="56">IF(ISERR(D72/$D$11),"",D72/$D$11)</f>
        <v/>
      </c>
      <c r="F71" s="379">
        <f>[4]本社営業!$I$71</f>
        <v>2050000</v>
      </c>
      <c r="G71" s="307">
        <f t="shared" ref="G71:G78" si="57">IF(ISERR(F71/$F$11),"",F71/$F$11)</f>
        <v>3.7184161765803215E-3</v>
      </c>
      <c r="H71" s="360">
        <f>[4]本社営業!$L$71</f>
        <v>8200000</v>
      </c>
      <c r="I71" s="160">
        <f t="shared" si="19"/>
        <v>3.995869430785305E-3</v>
      </c>
      <c r="J71" s="757">
        <f>[4]東大阪!$I$71</f>
        <v>750000</v>
      </c>
      <c r="K71" s="308">
        <f t="shared" si="20"/>
        <v>7.905615801618375E-2</v>
      </c>
      <c r="L71" s="360">
        <f>[4]東大阪!$L$71</f>
        <v>1203000</v>
      </c>
      <c r="M71" s="160">
        <f t="shared" si="37"/>
        <v>3.4099070526798607E-2</v>
      </c>
      <c r="N71" s="419">
        <f>[4]南港工場!$I$71</f>
        <v>1550000</v>
      </c>
      <c r="O71" s="79">
        <f t="shared" ref="O71:O78" si="58">IF(ISERR(N71/$N$11),"",N71/$N$11)</f>
        <v>5.3595000492382458E-2</v>
      </c>
      <c r="P71" s="360">
        <f>[4]南港工場!$L$71</f>
        <v>6200000</v>
      </c>
      <c r="Q71" s="169">
        <f t="shared" ref="Q71:Q79" si="59">IF(ISERR(P71/$P$11),"",P71/$P$11)</f>
        <v>5.893281735814046E-2</v>
      </c>
      <c r="R71" s="452">
        <f>[4]南港事務!$I$71</f>
        <v>520000</v>
      </c>
      <c r="S71" s="21" t="str">
        <f t="shared" ref="S71:S78" si="60">IF(ISERR(R71/$R$11),"",R71/$R$11)</f>
        <v/>
      </c>
      <c r="T71" s="360">
        <f>[4]南港事務!$L$71</f>
        <v>2080000</v>
      </c>
      <c r="U71" s="216" t="str">
        <f t="shared" ref="U71:U79" si="61">IF(ISERR(T71/$T$11),"",T71/$T$11)</f>
        <v/>
      </c>
      <c r="V71" s="497">
        <f t="shared" si="21"/>
        <v>2070000</v>
      </c>
      <c r="W71" s="21">
        <f t="shared" ref="W71:W78" si="62">IF(ISERR(V71/$V$11),"",V71/$V$11)</f>
        <v>7.1575258722084964E-2</v>
      </c>
      <c r="X71" s="421">
        <f t="shared" si="22"/>
        <v>8280000</v>
      </c>
      <c r="Y71" s="239">
        <f t="shared" ref="Y71:Y79" si="63">IF(ISERR(X71/$X$11),"",X71/$X$11)</f>
        <v>7.8703827052484354E-2</v>
      </c>
      <c r="Z71" s="500">
        <f t="shared" si="23"/>
        <v>4870000</v>
      </c>
      <c r="AA71" s="200">
        <f t="shared" ref="AA71:AA78" si="64">IF(ISERR(Z71/$Z$11),"",Z71/$Z$11)</f>
        <v>8.2581910160584703E-3</v>
      </c>
      <c r="AB71" s="502">
        <f t="shared" si="24"/>
        <v>17683000</v>
      </c>
      <c r="AC71" s="334">
        <f t="shared" ref="AC71:AC79" si="65">IF(ISERR(AB71/$AB$11),"",AB71/$AB$11)</f>
        <v>8.0648427403553907E-3</v>
      </c>
      <c r="AD71" s="379">
        <f>[4]東京事務!$I$71</f>
        <v>750000</v>
      </c>
      <c r="AE71" s="22">
        <f t="shared" ref="AE71:AE79" si="66">IF(ISERR(AD71/$AD$11),"",AD71/$AD$11)</f>
        <v>2.8104831200247843E-3</v>
      </c>
      <c r="AF71" s="360">
        <f>[4]東京事務!$L$71</f>
        <v>3000000</v>
      </c>
      <c r="AG71" s="92">
        <f t="shared" ref="AG71:AG79" si="67">IF(ISERR(AF71/$AF$11),"",AF71/$AF$11)</f>
        <v>3.0533625920921639E-3</v>
      </c>
      <c r="AH71" s="399">
        <f>[4]東京工場!$I$71</f>
        <v>920000</v>
      </c>
      <c r="AI71" s="183">
        <f t="shared" si="25"/>
        <v>8.4192408571848745E-2</v>
      </c>
      <c r="AJ71" s="360">
        <f>[4]東京工場!$L$71</f>
        <v>3680000</v>
      </c>
      <c r="AK71" s="111">
        <f t="shared" si="36"/>
        <v>9.1746225353361341E-2</v>
      </c>
      <c r="AL71" s="506">
        <f t="shared" si="26"/>
        <v>1670000</v>
      </c>
      <c r="AM71" s="327">
        <f t="shared" ref="AM71:AM79" si="68">IF(ISERR(AL71/$AL$11),"",AL71/AL$11)</f>
        <v>6.0118353598768342E-3</v>
      </c>
      <c r="AN71" s="508">
        <f t="shared" si="27"/>
        <v>6680000</v>
      </c>
      <c r="AO71" s="159">
        <f t="shared" ref="AO71:AO78" si="69">IF(ISERR(AN71/$AN$11),"",AN71/$AN$11)</f>
        <v>6.5321514282796495E-3</v>
      </c>
      <c r="AP71" s="511">
        <f t="shared" si="28"/>
        <v>7390000</v>
      </c>
      <c r="AQ71" s="298">
        <f t="shared" ref="AQ71:AQ79" si="70">IF(ISERR(AP71/$AP$11),"",AP71/$AP$11)</f>
        <v>8.5187033734851515E-3</v>
      </c>
      <c r="AR71" s="513">
        <f t="shared" si="29"/>
        <v>27763000</v>
      </c>
      <c r="AS71" s="310">
        <f t="shared" ref="AS71:AS78" si="71">IF(ISERR(AR71/$AR$11),"",AR71/$AR$11)</f>
        <v>8.6348217761246602E-3</v>
      </c>
      <c r="AT71" s="592">
        <f>[4]全社合計!$G$71</f>
        <v>7095000</v>
      </c>
      <c r="AU71" s="160">
        <f t="shared" si="30"/>
        <v>7.6873024154031841E-3</v>
      </c>
      <c r="AV71" s="594">
        <f>[4]全社合計!$N$71</f>
        <v>26362000</v>
      </c>
      <c r="AW71" s="306">
        <f t="shared" si="31"/>
        <v>7.2855496713145349E-3</v>
      </c>
      <c r="AX71" s="592">
        <f t="shared" si="32"/>
        <v>295000</v>
      </c>
      <c r="AY71" s="160">
        <f t="shared" si="33"/>
        <v>1.0415785764622973</v>
      </c>
      <c r="AZ71" s="594">
        <f t="shared" si="34"/>
        <v>1401000</v>
      </c>
      <c r="BA71" s="306">
        <f t="shared" si="35"/>
        <v>1.0531446779455276</v>
      </c>
      <c r="BB71" s="11"/>
    </row>
    <row r="72" spans="1:54" ht="16.149999999999999" customHeight="1">
      <c r="A72" s="43" t="s">
        <v>64</v>
      </c>
      <c r="B72" s="706">
        <f>[4]本部!$I$72</f>
        <v>115000</v>
      </c>
      <c r="C72" s="266" t="str">
        <f t="shared" si="55"/>
        <v/>
      </c>
      <c r="D72" s="723">
        <f>[4]本部!$L$72</f>
        <v>460000</v>
      </c>
      <c r="E72" s="161" t="str">
        <f t="shared" si="56"/>
        <v/>
      </c>
      <c r="F72" s="352">
        <f>[4]本社営業!$I$72</f>
        <v>55000</v>
      </c>
      <c r="G72" s="10">
        <f t="shared" si="57"/>
        <v>9.9762385225325703E-5</v>
      </c>
      <c r="H72" s="356">
        <f>[4]本社営業!$L$72</f>
        <v>220000</v>
      </c>
      <c r="I72" s="163">
        <f t="shared" si="19"/>
        <v>1.0720625302106916E-4</v>
      </c>
      <c r="J72" s="745">
        <f>[4]東大阪!$I$72</f>
        <v>440000</v>
      </c>
      <c r="K72" s="77">
        <f t="shared" si="20"/>
        <v>4.6379612702827797E-2</v>
      </c>
      <c r="L72" s="356">
        <f>[4]東大阪!$L$72</f>
        <v>1760000</v>
      </c>
      <c r="M72" s="163">
        <f t="shared" si="37"/>
        <v>4.9887251976031215E-2</v>
      </c>
      <c r="N72" s="403">
        <f>[4]南港工場!$I$72</f>
        <v>525000</v>
      </c>
      <c r="O72" s="77">
        <f t="shared" si="58"/>
        <v>1.8153145328065026E-2</v>
      </c>
      <c r="P72" s="356">
        <f>[4]南港工場!$L$72</f>
        <v>2100000</v>
      </c>
      <c r="Q72" s="170">
        <f t="shared" si="59"/>
        <v>1.9961115556789512E-2</v>
      </c>
      <c r="R72" s="445">
        <f>[4]南港事務!$I$72</f>
        <v>20000</v>
      </c>
      <c r="S72" s="10" t="str">
        <f t="shared" si="60"/>
        <v/>
      </c>
      <c r="T72" s="356">
        <f>[4]南港事務!$L$72</f>
        <v>80000</v>
      </c>
      <c r="U72" s="217" t="str">
        <f t="shared" si="61"/>
        <v/>
      </c>
      <c r="V72" s="456">
        <f t="shared" si="21"/>
        <v>545000</v>
      </c>
      <c r="W72" s="170">
        <f t="shared" si="62"/>
        <v>1.8844693721515121E-2</v>
      </c>
      <c r="X72" s="408">
        <f t="shared" si="22"/>
        <v>2180000</v>
      </c>
      <c r="Y72" s="240">
        <f t="shared" si="63"/>
        <v>2.0721539006571969E-2</v>
      </c>
      <c r="Z72" s="460">
        <f t="shared" si="23"/>
        <v>1040000</v>
      </c>
      <c r="AA72" s="201">
        <f t="shared" si="64"/>
        <v>1.7635561923410284E-3</v>
      </c>
      <c r="AB72" s="464">
        <f t="shared" si="24"/>
        <v>4160000</v>
      </c>
      <c r="AC72" s="162">
        <f t="shared" si="65"/>
        <v>1.8972881185250483E-3</v>
      </c>
      <c r="AD72" s="352">
        <f>[4]東京事務!$I$72</f>
        <v>55000</v>
      </c>
      <c r="AE72" s="10">
        <f t="shared" si="66"/>
        <v>2.0610209546848419E-4</v>
      </c>
      <c r="AF72" s="356">
        <f>[4]東京事務!$L$72</f>
        <v>220000</v>
      </c>
      <c r="AG72" s="93">
        <f t="shared" si="67"/>
        <v>2.2391325675342533E-4</v>
      </c>
      <c r="AH72" s="388">
        <f>[4]東京工場!$I$72</f>
        <v>325000</v>
      </c>
      <c r="AI72" s="170">
        <f t="shared" si="25"/>
        <v>2.9741883462881352E-2</v>
      </c>
      <c r="AJ72" s="356">
        <f>[4]東京工場!$L$72</f>
        <v>1300000</v>
      </c>
      <c r="AK72" s="98">
        <f t="shared" si="36"/>
        <v>3.2410351347654819E-2</v>
      </c>
      <c r="AL72" s="474">
        <f t="shared" si="26"/>
        <v>380000</v>
      </c>
      <c r="AM72" s="328">
        <f t="shared" si="68"/>
        <v>1.3679625369779622E-3</v>
      </c>
      <c r="AN72" s="478">
        <f t="shared" si="27"/>
        <v>1520000</v>
      </c>
      <c r="AO72" s="162">
        <f t="shared" si="69"/>
        <v>1.4863578100277049E-3</v>
      </c>
      <c r="AP72" s="483">
        <f t="shared" si="28"/>
        <v>1535000</v>
      </c>
      <c r="AQ72" s="299">
        <f t="shared" si="70"/>
        <v>1.76944650585923E-3</v>
      </c>
      <c r="AR72" s="487">
        <f t="shared" si="29"/>
        <v>6140000</v>
      </c>
      <c r="AS72" s="300">
        <f t="shared" si="71"/>
        <v>1.9096569428882113E-3</v>
      </c>
      <c r="AT72" s="575">
        <f>[4]全社合計!$G$72</f>
        <v>1495000</v>
      </c>
      <c r="AU72" s="163">
        <f t="shared" si="30"/>
        <v>1.6198050896445047E-3</v>
      </c>
      <c r="AV72" s="578">
        <f>[4]全社合計!$N$72</f>
        <v>5980000</v>
      </c>
      <c r="AW72" s="164">
        <f t="shared" si="31"/>
        <v>1.6526662254176816E-3</v>
      </c>
      <c r="AX72" s="575">
        <f t="shared" si="32"/>
        <v>40000</v>
      </c>
      <c r="AY72" s="163">
        <f t="shared" si="33"/>
        <v>1.0267558528428093</v>
      </c>
      <c r="AZ72" s="578">
        <f t="shared" si="34"/>
        <v>160000</v>
      </c>
      <c r="BA72" s="164">
        <f t="shared" si="35"/>
        <v>1.0267558528428093</v>
      </c>
      <c r="BB72" s="11"/>
    </row>
    <row r="73" spans="1:54" ht="16.149999999999999" customHeight="1">
      <c r="A73" s="43" t="s">
        <v>65</v>
      </c>
      <c r="B73" s="706">
        <f>[4]本部!$I$70</f>
        <v>5667898</v>
      </c>
      <c r="C73" s="266" t="str">
        <f t="shared" si="55"/>
        <v/>
      </c>
      <c r="D73" s="723">
        <f>[4]本部!$L$70</f>
        <v>6542720</v>
      </c>
      <c r="E73" s="161" t="str">
        <f t="shared" si="56"/>
        <v/>
      </c>
      <c r="F73" s="352">
        <f>[4]本社営業!$I$70</f>
        <v>0</v>
      </c>
      <c r="G73" s="10">
        <f t="shared" si="57"/>
        <v>0</v>
      </c>
      <c r="H73" s="356">
        <f>[4]本社営業!$L$70</f>
        <v>2665396</v>
      </c>
      <c r="I73" s="163">
        <f t="shared" si="19"/>
        <v>1.2988505362606622E-3</v>
      </c>
      <c r="J73" s="745">
        <f>[4]東大阪!$I$70</f>
        <v>0</v>
      </c>
      <c r="K73" s="77">
        <f t="shared" si="20"/>
        <v>0</v>
      </c>
      <c r="L73" s="356">
        <f>[4]東大阪!$L$70</f>
        <v>1954492</v>
      </c>
      <c r="M73" s="163">
        <f t="shared" si="37"/>
        <v>5.5400133459737044E-2</v>
      </c>
      <c r="N73" s="403">
        <f>[4]南港工場!$I$70</f>
        <v>0</v>
      </c>
      <c r="O73" s="77">
        <f t="shared" si="58"/>
        <v>0</v>
      </c>
      <c r="P73" s="356">
        <f>[4]南港工場!$L$70</f>
        <v>2840318</v>
      </c>
      <c r="Q73" s="170">
        <f t="shared" si="59"/>
        <v>2.6998055150490131E-2</v>
      </c>
      <c r="R73" s="445">
        <f>[4]南港事務!$I$70</f>
        <v>0</v>
      </c>
      <c r="S73" s="10" t="str">
        <f t="shared" si="60"/>
        <v/>
      </c>
      <c r="T73" s="356">
        <f>[4]南港事務!$L$70</f>
        <v>1097612</v>
      </c>
      <c r="U73" s="217" t="str">
        <f t="shared" si="61"/>
        <v/>
      </c>
      <c r="V73" s="456">
        <f t="shared" si="21"/>
        <v>0</v>
      </c>
      <c r="W73" s="170">
        <f t="shared" si="62"/>
        <v>0</v>
      </c>
      <c r="X73" s="408">
        <f t="shared" si="22"/>
        <v>3937930</v>
      </c>
      <c r="Y73" s="240">
        <f t="shared" si="63"/>
        <v>3.7431178945022917E-2</v>
      </c>
      <c r="Z73" s="460">
        <f t="shared" si="23"/>
        <v>0</v>
      </c>
      <c r="AA73" s="201">
        <f t="shared" si="64"/>
        <v>0</v>
      </c>
      <c r="AB73" s="464">
        <f t="shared" si="24"/>
        <v>8557818</v>
      </c>
      <c r="AC73" s="162">
        <f t="shared" si="65"/>
        <v>3.9030400028605269E-3</v>
      </c>
      <c r="AD73" s="352">
        <f>[4]東京事務!$I$70</f>
        <v>0</v>
      </c>
      <c r="AE73" s="10">
        <f t="shared" si="66"/>
        <v>0</v>
      </c>
      <c r="AF73" s="356">
        <f>[4]東京事務!$L$70</f>
        <v>1312573</v>
      </c>
      <c r="AG73" s="93">
        <f t="shared" si="67"/>
        <v>1.3359204325300625E-3</v>
      </c>
      <c r="AH73" s="388">
        <f>[4]東京工場!$I$70</f>
        <v>0</v>
      </c>
      <c r="AI73" s="170">
        <f t="shared" si="25"/>
        <v>0</v>
      </c>
      <c r="AJ73" s="356">
        <f>[4]東京工場!$L$70</f>
        <v>1708695</v>
      </c>
      <c r="AK73" s="98">
        <f t="shared" si="36"/>
        <v>4.2599542535370037E-2</v>
      </c>
      <c r="AL73" s="474">
        <f t="shared" si="26"/>
        <v>0</v>
      </c>
      <c r="AM73" s="328">
        <f t="shared" si="68"/>
        <v>0</v>
      </c>
      <c r="AN73" s="478">
        <f t="shared" si="27"/>
        <v>3021268</v>
      </c>
      <c r="AO73" s="162">
        <f t="shared" si="69"/>
        <v>2.9543982157807787E-3</v>
      </c>
      <c r="AP73" s="483">
        <f t="shared" si="28"/>
        <v>5667898</v>
      </c>
      <c r="AQ73" s="299">
        <f t="shared" si="70"/>
        <v>6.5335780532029429E-3</v>
      </c>
      <c r="AR73" s="487">
        <f t="shared" si="29"/>
        <v>18121806</v>
      </c>
      <c r="AS73" s="300">
        <f t="shared" si="71"/>
        <v>5.6362268152399427E-3</v>
      </c>
      <c r="AT73" s="575">
        <f>[4]全社合計!$G$70</f>
        <v>5667898</v>
      </c>
      <c r="AU73" s="163">
        <f t="shared" si="30"/>
        <v>6.1410635638701732E-3</v>
      </c>
      <c r="AV73" s="578">
        <f>[4]全社合計!$N$70</f>
        <v>17260983</v>
      </c>
      <c r="AW73" s="164">
        <f t="shared" si="31"/>
        <v>4.770341742743941E-3</v>
      </c>
      <c r="AX73" s="575">
        <f t="shared" si="32"/>
        <v>0</v>
      </c>
      <c r="AY73" s="163">
        <f t="shared" si="33"/>
        <v>1</v>
      </c>
      <c r="AZ73" s="578">
        <f t="shared" si="34"/>
        <v>860823</v>
      </c>
      <c r="BA73" s="164">
        <f t="shared" si="35"/>
        <v>1.049871029940763</v>
      </c>
      <c r="BB73" s="11"/>
    </row>
    <row r="74" spans="1:54" ht="16.149999999999999" customHeight="1">
      <c r="A74" s="43" t="s">
        <v>66</v>
      </c>
      <c r="B74" s="706">
        <f>[4]本部!$I$74</f>
        <v>0</v>
      </c>
      <c r="C74" s="266" t="str">
        <f t="shared" si="55"/>
        <v/>
      </c>
      <c r="D74" s="723">
        <f>[4]本部!$L$74</f>
        <v>0</v>
      </c>
      <c r="E74" s="161" t="str">
        <f t="shared" si="56"/>
        <v/>
      </c>
      <c r="F74" s="352">
        <f>[4]本社営業!$I$74</f>
        <v>0</v>
      </c>
      <c r="G74" s="10">
        <f t="shared" si="57"/>
        <v>0</v>
      </c>
      <c r="H74" s="356">
        <f>[4]本社営業!$L$74</f>
        <v>0</v>
      </c>
      <c r="I74" s="163">
        <f t="shared" ref="I74:I79" si="72">IF(ISERR(H74/$H$11),"",H74/$H$11)</f>
        <v>0</v>
      </c>
      <c r="J74" s="745">
        <f>[4]東大阪!$I$74</f>
        <v>0</v>
      </c>
      <c r="K74" s="77">
        <f t="shared" ref="K74:K79" si="73">IF(ISERR(J74/$J$11),"",J74/$J$11)</f>
        <v>0</v>
      </c>
      <c r="L74" s="356">
        <f>[4]東大阪!$L$74</f>
        <v>1189000</v>
      </c>
      <c r="M74" s="163">
        <f t="shared" si="37"/>
        <v>3.3702240113352905E-2</v>
      </c>
      <c r="N74" s="403">
        <f>[4]南港工場!$I$74</f>
        <v>0</v>
      </c>
      <c r="O74" s="77">
        <f t="shared" si="58"/>
        <v>0</v>
      </c>
      <c r="P74" s="356">
        <f>[4]南港工場!$L$74</f>
        <v>0</v>
      </c>
      <c r="Q74" s="170">
        <f t="shared" si="59"/>
        <v>0</v>
      </c>
      <c r="R74" s="445">
        <f>[4]南港事務!$I$74</f>
        <v>0</v>
      </c>
      <c r="S74" s="10" t="str">
        <f t="shared" si="60"/>
        <v/>
      </c>
      <c r="T74" s="356">
        <f>[4]南港事務!$L$74</f>
        <v>0</v>
      </c>
      <c r="U74" s="217" t="str">
        <f t="shared" si="61"/>
        <v/>
      </c>
      <c r="V74" s="456">
        <f t="shared" ref="V74:V79" si="74">N74+R74</f>
        <v>0</v>
      </c>
      <c r="W74" s="170">
        <f t="shared" si="62"/>
        <v>0</v>
      </c>
      <c r="X74" s="408">
        <f t="shared" ref="X74:X79" si="75">P74+T74</f>
        <v>0</v>
      </c>
      <c r="Y74" s="240">
        <f t="shared" si="63"/>
        <v>0</v>
      </c>
      <c r="Z74" s="460">
        <f>F74+J74+N74+R74</f>
        <v>0</v>
      </c>
      <c r="AA74" s="201">
        <f t="shared" si="64"/>
        <v>0</v>
      </c>
      <c r="AB74" s="464">
        <f t="shared" ref="AB74:AB79" si="76">H74+L74+P74+T74</f>
        <v>1189000</v>
      </c>
      <c r="AC74" s="162">
        <f t="shared" si="65"/>
        <v>5.4227778195343329E-4</v>
      </c>
      <c r="AD74" s="352">
        <f>[4]東京事務!$I$74</f>
        <v>0</v>
      </c>
      <c r="AE74" s="10">
        <f t="shared" si="66"/>
        <v>0</v>
      </c>
      <c r="AF74" s="356">
        <f>[4]東京事務!$L$74</f>
        <v>760000</v>
      </c>
      <c r="AG74" s="93">
        <f t="shared" si="67"/>
        <v>7.735185233300148E-4</v>
      </c>
      <c r="AH74" s="388">
        <f>[4]東京工場!$I$74</f>
        <v>0</v>
      </c>
      <c r="AI74" s="170">
        <f t="shared" ref="AI74:AI79" si="77">IF(ISERR(AH74/$AH$11),"",AH74/$AH$11)</f>
        <v>0</v>
      </c>
      <c r="AJ74" s="356">
        <f>[4]東京工場!$L$74</f>
        <v>0</v>
      </c>
      <c r="AK74" s="98">
        <f t="shared" si="36"/>
        <v>0</v>
      </c>
      <c r="AL74" s="474">
        <f t="shared" ref="AL74:AL79" si="78">AD74+AH74</f>
        <v>0</v>
      </c>
      <c r="AM74" s="328">
        <f t="shared" si="68"/>
        <v>0</v>
      </c>
      <c r="AN74" s="478">
        <f t="shared" ref="AN74:AN79" si="79">AF74+AJ74</f>
        <v>760000</v>
      </c>
      <c r="AO74" s="162">
        <f t="shared" si="69"/>
        <v>7.4317890501385243E-4</v>
      </c>
      <c r="AP74" s="483">
        <f t="shared" ref="AP74:AP79" si="80">B74+Z74+AL74</f>
        <v>0</v>
      </c>
      <c r="AQ74" s="299">
        <f t="shared" si="70"/>
        <v>0</v>
      </c>
      <c r="AR74" s="487">
        <f t="shared" ref="AR74:AR79" si="81">D74+AB74+AN74</f>
        <v>1949000</v>
      </c>
      <c r="AS74" s="300">
        <f t="shared" si="71"/>
        <v>6.0617612079627429E-4</v>
      </c>
      <c r="AT74" s="575">
        <f>[4]全社合計!$G$74</f>
        <v>0</v>
      </c>
      <c r="AU74" s="163">
        <f t="shared" ref="AU74:AU79" si="82">IF(ISERR(AT74/$AT$11),"",AT74/$AT$11)</f>
        <v>0</v>
      </c>
      <c r="AV74" s="578">
        <f>[4]全社合計!$N$74</f>
        <v>1949000</v>
      </c>
      <c r="AW74" s="164">
        <f t="shared" ref="AW74:AW79" si="83">IF(ISERR(AV74/$AV$11),"",AV74/$AV$11)</f>
        <v>5.3863653400318748E-4</v>
      </c>
      <c r="AX74" s="575">
        <f t="shared" ref="AX74:AX79" si="84">AP74-AT74</f>
        <v>0</v>
      </c>
      <c r="AY74" s="163" t="str">
        <f t="shared" ref="AY74:AY79" si="85">IF(ISERROR(AP74/AT74),"",AP74/AT74)</f>
        <v/>
      </c>
      <c r="AZ74" s="578">
        <f t="shared" ref="AZ74:AZ79" si="86">AR74-AV74</f>
        <v>0</v>
      </c>
      <c r="BA74" s="164">
        <f t="shared" ref="BA74:BA79" si="87">IF(ISERROR(AR74/AV74),"",AR74/AV74)</f>
        <v>1</v>
      </c>
      <c r="BB74" s="11"/>
    </row>
    <row r="75" spans="1:54" ht="16.149999999999999" customHeight="1">
      <c r="A75" s="43" t="s">
        <v>67</v>
      </c>
      <c r="B75" s="706">
        <f>[4]本部!$I$73</f>
        <v>0</v>
      </c>
      <c r="C75" s="266" t="str">
        <f t="shared" si="55"/>
        <v/>
      </c>
      <c r="D75" s="723">
        <f>[4]本部!$L$73</f>
        <v>12000</v>
      </c>
      <c r="E75" s="161" t="str">
        <f t="shared" si="56"/>
        <v/>
      </c>
      <c r="F75" s="352">
        <f>[4]本社営業!$I$73</f>
        <v>0</v>
      </c>
      <c r="G75" s="10">
        <f t="shared" si="57"/>
        <v>0</v>
      </c>
      <c r="H75" s="356">
        <f>[4]本社営業!$L$73</f>
        <v>343050</v>
      </c>
      <c r="I75" s="163">
        <f t="shared" si="72"/>
        <v>1.6716865954035352E-4</v>
      </c>
      <c r="J75" s="745">
        <f>[4]東大阪!$I$73</f>
        <v>0</v>
      </c>
      <c r="K75" s="77">
        <f t="shared" si="73"/>
        <v>0</v>
      </c>
      <c r="L75" s="356">
        <f>[4]東大阪!$L$73</f>
        <v>0</v>
      </c>
      <c r="M75" s="163">
        <f t="shared" si="37"/>
        <v>0</v>
      </c>
      <c r="N75" s="403">
        <f>[4]南港工場!$I$73</f>
        <v>0</v>
      </c>
      <c r="O75" s="77">
        <f t="shared" si="58"/>
        <v>0</v>
      </c>
      <c r="P75" s="356">
        <f>[4]南港工場!$L$73</f>
        <v>0</v>
      </c>
      <c r="Q75" s="170">
        <f t="shared" si="59"/>
        <v>0</v>
      </c>
      <c r="R75" s="445">
        <f>[4]南港事務!$I$73</f>
        <v>0</v>
      </c>
      <c r="S75" s="10" t="str">
        <f t="shared" si="60"/>
        <v/>
      </c>
      <c r="T75" s="356">
        <f>[4]南港事務!$L$73</f>
        <v>24400</v>
      </c>
      <c r="U75" s="217" t="str">
        <f t="shared" si="61"/>
        <v/>
      </c>
      <c r="V75" s="456">
        <f t="shared" si="74"/>
        <v>0</v>
      </c>
      <c r="W75" s="170">
        <f t="shared" si="62"/>
        <v>0</v>
      </c>
      <c r="X75" s="408">
        <f t="shared" si="75"/>
        <v>24400</v>
      </c>
      <c r="Y75" s="240">
        <f t="shared" si="63"/>
        <v>2.3192915218364957E-4</v>
      </c>
      <c r="Z75" s="460">
        <f>F75+J75+N75+R75</f>
        <v>0</v>
      </c>
      <c r="AA75" s="201">
        <f t="shared" si="64"/>
        <v>0</v>
      </c>
      <c r="AB75" s="464">
        <f t="shared" si="76"/>
        <v>367450</v>
      </c>
      <c r="AC75" s="162">
        <f t="shared" si="65"/>
        <v>1.6758618248846851E-4</v>
      </c>
      <c r="AD75" s="352">
        <f>[4]東京事務!$I$73</f>
        <v>0</v>
      </c>
      <c r="AE75" s="10">
        <f t="shared" si="66"/>
        <v>0</v>
      </c>
      <c r="AF75" s="356">
        <f>[4]東京事務!$L$73</f>
        <v>242721</v>
      </c>
      <c r="AG75" s="93">
        <f t="shared" si="67"/>
        <v>2.470384072384007E-4</v>
      </c>
      <c r="AH75" s="388">
        <f>[4]東京工場!$I$73</f>
        <v>0</v>
      </c>
      <c r="AI75" s="170">
        <f t="shared" si="77"/>
        <v>0</v>
      </c>
      <c r="AJ75" s="356">
        <f>[4]東京工場!$L$73</f>
        <v>0</v>
      </c>
      <c r="AK75" s="98">
        <f t="shared" si="36"/>
        <v>0</v>
      </c>
      <c r="AL75" s="474">
        <f t="shared" si="78"/>
        <v>0</v>
      </c>
      <c r="AM75" s="328">
        <f t="shared" si="68"/>
        <v>0</v>
      </c>
      <c r="AN75" s="478">
        <f t="shared" si="79"/>
        <v>242721</v>
      </c>
      <c r="AO75" s="162">
        <f t="shared" si="69"/>
        <v>2.3734885132087799E-4</v>
      </c>
      <c r="AP75" s="483">
        <f t="shared" si="80"/>
        <v>0</v>
      </c>
      <c r="AQ75" s="299">
        <f t="shared" si="70"/>
        <v>0</v>
      </c>
      <c r="AR75" s="487">
        <f t="shared" si="81"/>
        <v>622171</v>
      </c>
      <c r="AS75" s="300">
        <f t="shared" si="71"/>
        <v>1.935070309142836E-4</v>
      </c>
      <c r="AT75" s="575">
        <f>[4]全社合計!$G$73</f>
        <v>0</v>
      </c>
      <c r="AU75" s="163">
        <f t="shared" si="82"/>
        <v>0</v>
      </c>
      <c r="AV75" s="578">
        <f>[4]全社合計!$N$73</f>
        <v>629828</v>
      </c>
      <c r="AW75" s="164">
        <f t="shared" si="83"/>
        <v>1.7406278652547951E-4</v>
      </c>
      <c r="AX75" s="575">
        <f t="shared" si="84"/>
        <v>0</v>
      </c>
      <c r="AY75" s="163" t="str">
        <f t="shared" si="85"/>
        <v/>
      </c>
      <c r="AZ75" s="578">
        <f t="shared" si="86"/>
        <v>-7657</v>
      </c>
      <c r="BA75" s="164">
        <f t="shared" si="87"/>
        <v>0.98784271261360246</v>
      </c>
      <c r="BB75" s="11"/>
    </row>
    <row r="76" spans="1:54" ht="16.149999999999999" customHeight="1">
      <c r="A76" s="43" t="s">
        <v>68</v>
      </c>
      <c r="B76" s="706"/>
      <c r="C76" s="266" t="str">
        <f t="shared" si="55"/>
        <v/>
      </c>
      <c r="D76" s="723">
        <f>B76</f>
        <v>0</v>
      </c>
      <c r="E76" s="161" t="str">
        <f t="shared" si="56"/>
        <v/>
      </c>
      <c r="F76" s="352"/>
      <c r="G76" s="10">
        <f t="shared" si="57"/>
        <v>0</v>
      </c>
      <c r="H76" s="356">
        <f>F76</f>
        <v>0</v>
      </c>
      <c r="I76" s="163">
        <f t="shared" si="72"/>
        <v>0</v>
      </c>
      <c r="J76" s="745"/>
      <c r="K76" s="77">
        <f t="shared" si="73"/>
        <v>0</v>
      </c>
      <c r="L76" s="356">
        <f>J76</f>
        <v>0</v>
      </c>
      <c r="M76" s="163">
        <f t="shared" si="37"/>
        <v>0</v>
      </c>
      <c r="N76" s="403"/>
      <c r="O76" s="77">
        <f t="shared" si="58"/>
        <v>0</v>
      </c>
      <c r="P76" s="356">
        <f>N76</f>
        <v>0</v>
      </c>
      <c r="Q76" s="170">
        <f t="shared" si="59"/>
        <v>0</v>
      </c>
      <c r="R76" s="445"/>
      <c r="S76" s="10" t="str">
        <f t="shared" si="60"/>
        <v/>
      </c>
      <c r="T76" s="356">
        <f>R76</f>
        <v>0</v>
      </c>
      <c r="U76" s="217" t="str">
        <f t="shared" si="61"/>
        <v/>
      </c>
      <c r="V76" s="456">
        <f t="shared" si="74"/>
        <v>0</v>
      </c>
      <c r="W76" s="170">
        <f t="shared" si="62"/>
        <v>0</v>
      </c>
      <c r="X76" s="408">
        <f t="shared" si="75"/>
        <v>0</v>
      </c>
      <c r="Y76" s="240">
        <f t="shared" si="63"/>
        <v>0</v>
      </c>
      <c r="Z76" s="460">
        <f>F76+J76+N76+R76</f>
        <v>0</v>
      </c>
      <c r="AA76" s="201">
        <f t="shared" si="64"/>
        <v>0</v>
      </c>
      <c r="AB76" s="464">
        <f t="shared" si="76"/>
        <v>0</v>
      </c>
      <c r="AC76" s="162">
        <f t="shared" si="65"/>
        <v>0</v>
      </c>
      <c r="AD76" s="352"/>
      <c r="AE76" s="10">
        <f t="shared" si="66"/>
        <v>0</v>
      </c>
      <c r="AF76" s="356">
        <f>AD76</f>
        <v>0</v>
      </c>
      <c r="AG76" s="93">
        <f t="shared" si="67"/>
        <v>0</v>
      </c>
      <c r="AH76" s="388"/>
      <c r="AI76" s="170">
        <f t="shared" si="77"/>
        <v>0</v>
      </c>
      <c r="AJ76" s="356">
        <f>AH76</f>
        <v>0</v>
      </c>
      <c r="AK76" s="98">
        <f t="shared" si="36"/>
        <v>0</v>
      </c>
      <c r="AL76" s="474">
        <f t="shared" si="78"/>
        <v>0</v>
      </c>
      <c r="AM76" s="328">
        <f t="shared" si="68"/>
        <v>0</v>
      </c>
      <c r="AN76" s="478">
        <f t="shared" si="79"/>
        <v>0</v>
      </c>
      <c r="AO76" s="162">
        <f t="shared" si="69"/>
        <v>0</v>
      </c>
      <c r="AP76" s="483">
        <f t="shared" si="80"/>
        <v>0</v>
      </c>
      <c r="AQ76" s="299">
        <f t="shared" si="70"/>
        <v>0</v>
      </c>
      <c r="AR76" s="487">
        <f t="shared" si="81"/>
        <v>0</v>
      </c>
      <c r="AS76" s="300">
        <f t="shared" si="71"/>
        <v>0</v>
      </c>
      <c r="AT76" s="575">
        <v>0</v>
      </c>
      <c r="AU76" s="163">
        <f t="shared" si="82"/>
        <v>0</v>
      </c>
      <c r="AV76" s="578">
        <f>AT76</f>
        <v>0</v>
      </c>
      <c r="AW76" s="164">
        <f t="shared" si="83"/>
        <v>0</v>
      </c>
      <c r="AX76" s="575">
        <f t="shared" si="84"/>
        <v>0</v>
      </c>
      <c r="AY76" s="163" t="str">
        <f t="shared" si="85"/>
        <v/>
      </c>
      <c r="AZ76" s="578">
        <f t="shared" si="86"/>
        <v>0</v>
      </c>
      <c r="BA76" s="164" t="str">
        <f t="shared" si="87"/>
        <v/>
      </c>
      <c r="BB76" s="11"/>
    </row>
    <row r="77" spans="1:54" ht="16.149999999999999" customHeight="1">
      <c r="A77" s="43" t="s">
        <v>69</v>
      </c>
      <c r="B77" s="706"/>
      <c r="C77" s="266" t="str">
        <f t="shared" si="55"/>
        <v/>
      </c>
      <c r="D77" s="723">
        <f>[4]本部!$L$75</f>
        <v>0</v>
      </c>
      <c r="E77" s="161" t="str">
        <f>IF(ISERR(#REF!/$D$11),"",#REF!/$D$11)</f>
        <v/>
      </c>
      <c r="F77" s="352">
        <f>[4]本社営業!$I$75</f>
        <v>0</v>
      </c>
      <c r="G77" s="10">
        <f t="shared" si="57"/>
        <v>0</v>
      </c>
      <c r="H77" s="356">
        <f>[4]本社営業!$L$75</f>
        <v>672000</v>
      </c>
      <c r="I77" s="163">
        <f t="shared" si="72"/>
        <v>3.2746637286435674E-4</v>
      </c>
      <c r="J77" s="745"/>
      <c r="K77" s="77">
        <f t="shared" si="73"/>
        <v>0</v>
      </c>
      <c r="L77" s="356">
        <f>[4]東大阪!$L$75</f>
        <v>0</v>
      </c>
      <c r="M77" s="163">
        <f t="shared" si="37"/>
        <v>0</v>
      </c>
      <c r="N77" s="403"/>
      <c r="O77" s="77">
        <f t="shared" si="58"/>
        <v>0</v>
      </c>
      <c r="P77" s="356">
        <f>[4]南港工場!$L$75</f>
        <v>0</v>
      </c>
      <c r="Q77" s="170">
        <f t="shared" si="59"/>
        <v>0</v>
      </c>
      <c r="R77" s="445"/>
      <c r="S77" s="10" t="str">
        <f t="shared" si="60"/>
        <v/>
      </c>
      <c r="T77" s="356">
        <f>[4]南港事務!$L$75</f>
        <v>0</v>
      </c>
      <c r="U77" s="217" t="str">
        <f t="shared" si="61"/>
        <v/>
      </c>
      <c r="V77" s="456">
        <f t="shared" si="74"/>
        <v>0</v>
      </c>
      <c r="W77" s="170">
        <f t="shared" si="62"/>
        <v>0</v>
      </c>
      <c r="X77" s="408">
        <f t="shared" si="75"/>
        <v>0</v>
      </c>
      <c r="Y77" s="240">
        <f t="shared" si="63"/>
        <v>0</v>
      </c>
      <c r="Z77" s="460">
        <f>F77+J77+N77+R77</f>
        <v>0</v>
      </c>
      <c r="AA77" s="201">
        <f t="shared" si="64"/>
        <v>0</v>
      </c>
      <c r="AB77" s="464">
        <f t="shared" si="76"/>
        <v>672000</v>
      </c>
      <c r="AC77" s="162">
        <f t="shared" si="65"/>
        <v>3.0648500376173854E-4</v>
      </c>
      <c r="AD77" s="352"/>
      <c r="AE77" s="10">
        <f t="shared" si="66"/>
        <v>0</v>
      </c>
      <c r="AF77" s="356">
        <f>[4]東京事務!$L$75</f>
        <v>0</v>
      </c>
      <c r="AG77" s="93">
        <f t="shared" si="67"/>
        <v>0</v>
      </c>
      <c r="AH77" s="388"/>
      <c r="AI77" s="170">
        <f t="shared" si="77"/>
        <v>0</v>
      </c>
      <c r="AJ77" s="356">
        <f>[4]東京工場!$L$75</f>
        <v>0</v>
      </c>
      <c r="AK77" s="98">
        <f t="shared" si="36"/>
        <v>0</v>
      </c>
      <c r="AL77" s="474">
        <f t="shared" si="78"/>
        <v>0</v>
      </c>
      <c r="AM77" s="328">
        <f t="shared" si="68"/>
        <v>0</v>
      </c>
      <c r="AN77" s="478">
        <f t="shared" si="79"/>
        <v>0</v>
      </c>
      <c r="AO77" s="162">
        <f t="shared" si="69"/>
        <v>0</v>
      </c>
      <c r="AP77" s="483">
        <f t="shared" si="80"/>
        <v>0</v>
      </c>
      <c r="AQ77" s="299">
        <f t="shared" si="70"/>
        <v>0</v>
      </c>
      <c r="AR77" s="487">
        <f t="shared" si="81"/>
        <v>672000</v>
      </c>
      <c r="AS77" s="300">
        <f t="shared" si="71"/>
        <v>2.0900479896105505E-4</v>
      </c>
      <c r="AT77" s="575">
        <f>[4]全社合計!$G$75</f>
        <v>0</v>
      </c>
      <c r="AU77" s="163">
        <f t="shared" si="82"/>
        <v>0</v>
      </c>
      <c r="AV77" s="578">
        <f>[4]全社合計!$N$75</f>
        <v>672000</v>
      </c>
      <c r="AW77" s="164">
        <f t="shared" si="83"/>
        <v>1.8571767616733811E-4</v>
      </c>
      <c r="AX77" s="575">
        <f t="shared" si="84"/>
        <v>0</v>
      </c>
      <c r="AY77" s="163" t="str">
        <f t="shared" si="85"/>
        <v/>
      </c>
      <c r="AZ77" s="578">
        <f t="shared" si="86"/>
        <v>0</v>
      </c>
      <c r="BA77" s="164">
        <f t="shared" si="87"/>
        <v>1</v>
      </c>
      <c r="BB77" s="11"/>
    </row>
    <row r="78" spans="1:54" ht="16.149999999999999" customHeight="1" thickBot="1">
      <c r="A78" s="44"/>
      <c r="B78" s="707"/>
      <c r="C78" s="267" t="str">
        <f t="shared" si="55"/>
        <v/>
      </c>
      <c r="D78" s="735">
        <f>B78</f>
        <v>0</v>
      </c>
      <c r="E78" s="165" t="str">
        <f>IF(ISERR(#REF!/$D$11),"",#REF!/$D$11)</f>
        <v/>
      </c>
      <c r="F78" s="380"/>
      <c r="G78" s="23">
        <f t="shared" si="57"/>
        <v>0</v>
      </c>
      <c r="H78" s="381">
        <f>F78</f>
        <v>0</v>
      </c>
      <c r="I78" s="167">
        <f t="shared" si="72"/>
        <v>0</v>
      </c>
      <c r="J78" s="758"/>
      <c r="K78" s="78">
        <f t="shared" si="73"/>
        <v>0</v>
      </c>
      <c r="L78" s="381">
        <f>J78</f>
        <v>0</v>
      </c>
      <c r="M78" s="167">
        <f t="shared" si="37"/>
        <v>0</v>
      </c>
      <c r="N78" s="420"/>
      <c r="O78" s="241">
        <f t="shared" si="58"/>
        <v>0</v>
      </c>
      <c r="P78" s="381">
        <f>N78</f>
        <v>0</v>
      </c>
      <c r="Q78" s="244">
        <f t="shared" si="59"/>
        <v>0</v>
      </c>
      <c r="R78" s="453"/>
      <c r="S78" s="243" t="str">
        <f t="shared" si="60"/>
        <v/>
      </c>
      <c r="T78" s="381">
        <f>R78</f>
        <v>0</v>
      </c>
      <c r="U78" s="242" t="str">
        <f t="shared" si="61"/>
        <v/>
      </c>
      <c r="V78" s="498">
        <f t="shared" si="74"/>
        <v>0</v>
      </c>
      <c r="W78" s="244">
        <f t="shared" si="62"/>
        <v>0</v>
      </c>
      <c r="X78" s="422">
        <f t="shared" si="75"/>
        <v>0</v>
      </c>
      <c r="Y78" s="245">
        <f t="shared" si="63"/>
        <v>0</v>
      </c>
      <c r="Z78" s="501">
        <f>F78+J78+N78+R78</f>
        <v>0</v>
      </c>
      <c r="AA78" s="202">
        <f t="shared" si="64"/>
        <v>0</v>
      </c>
      <c r="AB78" s="503">
        <f t="shared" si="76"/>
        <v>0</v>
      </c>
      <c r="AC78" s="166">
        <f t="shared" si="65"/>
        <v>0</v>
      </c>
      <c r="AD78" s="380"/>
      <c r="AE78" s="23">
        <f t="shared" si="66"/>
        <v>0</v>
      </c>
      <c r="AF78" s="381">
        <f>AD78</f>
        <v>0</v>
      </c>
      <c r="AG78" s="94">
        <f t="shared" si="67"/>
        <v>0</v>
      </c>
      <c r="AH78" s="400"/>
      <c r="AI78" s="184">
        <f t="shared" si="77"/>
        <v>0</v>
      </c>
      <c r="AJ78" s="381">
        <f>AH78</f>
        <v>0</v>
      </c>
      <c r="AK78" s="112">
        <f>IF(ISERR(AJ78/$AJ$11),"",AJ78/$AJ$11)</f>
        <v>0</v>
      </c>
      <c r="AL78" s="507">
        <f t="shared" si="78"/>
        <v>0</v>
      </c>
      <c r="AM78" s="329">
        <f t="shared" si="68"/>
        <v>0</v>
      </c>
      <c r="AN78" s="509">
        <f t="shared" si="79"/>
        <v>0</v>
      </c>
      <c r="AO78" s="166">
        <f t="shared" si="69"/>
        <v>0</v>
      </c>
      <c r="AP78" s="512">
        <f t="shared" si="80"/>
        <v>0</v>
      </c>
      <c r="AQ78" s="301">
        <f t="shared" si="70"/>
        <v>0</v>
      </c>
      <c r="AR78" s="514">
        <f t="shared" si="81"/>
        <v>0</v>
      </c>
      <c r="AS78" s="302">
        <f t="shared" si="71"/>
        <v>0</v>
      </c>
      <c r="AT78" s="593">
        <v>0</v>
      </c>
      <c r="AU78" s="167">
        <f t="shared" si="82"/>
        <v>0</v>
      </c>
      <c r="AV78" s="595">
        <f>AT78</f>
        <v>0</v>
      </c>
      <c r="AW78" s="168">
        <f t="shared" si="83"/>
        <v>0</v>
      </c>
      <c r="AX78" s="593">
        <f t="shared" si="84"/>
        <v>0</v>
      </c>
      <c r="AY78" s="167" t="str">
        <f t="shared" si="85"/>
        <v/>
      </c>
      <c r="AZ78" s="595">
        <f t="shared" si="86"/>
        <v>0</v>
      </c>
      <c r="BA78" s="168" t="str">
        <f t="shared" si="87"/>
        <v/>
      </c>
      <c r="BB78" s="11"/>
    </row>
    <row r="79" spans="1:54" s="25" customFormat="1" ht="15.75" thickTop="1">
      <c r="A79" s="24" t="s">
        <v>70</v>
      </c>
      <c r="B79" s="737">
        <f>+B18-B67</f>
        <v>0</v>
      </c>
      <c r="C79" s="220" t="str">
        <f t="shared" si="55"/>
        <v/>
      </c>
      <c r="D79" s="736">
        <f>D18-D67</f>
        <v>0</v>
      </c>
      <c r="E79" s="220" t="str">
        <f>IF(ISERR(#REF!/$D$11),"",#REF!/$D$11)</f>
        <v/>
      </c>
      <c r="F79" s="382">
        <f>F18-F67</f>
        <v>29038291</v>
      </c>
      <c r="G79" s="309">
        <f>IF(ISERR(F79/$F$11),"",F79/$F$11)</f>
        <v>5.2671439509583785E-2</v>
      </c>
      <c r="H79" s="383">
        <f>H18-H67</f>
        <v>78127239</v>
      </c>
      <c r="I79" s="95">
        <f t="shared" si="72"/>
        <v>3.8071493418507012E-2</v>
      </c>
      <c r="J79" s="382">
        <f>J18-J67</f>
        <v>6394638</v>
      </c>
      <c r="K79" s="309">
        <f t="shared" si="73"/>
        <v>0.67404734957905754</v>
      </c>
      <c r="L79" s="383">
        <f>L18-L67</f>
        <v>24512784</v>
      </c>
      <c r="M79" s="95">
        <f>IF(ISERR(L79/$L$11),"",L79/$L$11)</f>
        <v>0.69481558638751495</v>
      </c>
      <c r="N79" s="382">
        <f>N18-N67</f>
        <v>43563024</v>
      </c>
      <c r="O79" s="95">
        <f>IF(ISERR(N79/$N$11),"",N79/$N$11)</f>
        <v>1.5062969630513992</v>
      </c>
      <c r="P79" s="383">
        <f>P18-P67</f>
        <v>94566120</v>
      </c>
      <c r="Q79" s="95">
        <f t="shared" si="59"/>
        <v>0.89887869003677323</v>
      </c>
      <c r="R79" s="382">
        <f>R18-R67</f>
        <v>4070076</v>
      </c>
      <c r="S79" s="113"/>
      <c r="T79" s="383">
        <f>T18-T67</f>
        <v>17046647</v>
      </c>
      <c r="U79" s="95" t="str">
        <f t="shared" si="61"/>
        <v/>
      </c>
      <c r="V79" s="499">
        <f t="shared" si="74"/>
        <v>47633100</v>
      </c>
      <c r="W79" s="95">
        <f>IF(ISERR(V79/$V$11),"",V79/$V$11)</f>
        <v>1.6470296890023888</v>
      </c>
      <c r="X79" s="383">
        <f t="shared" si="75"/>
        <v>111612767</v>
      </c>
      <c r="Y79" s="95">
        <f t="shared" si="63"/>
        <v>1.0609120665238205</v>
      </c>
      <c r="Z79" s="499">
        <f>F79+J79+V79</f>
        <v>83066029</v>
      </c>
      <c r="AA79" s="95">
        <f>IF(ISERR(Z79/$Z$11),"",Z79/$Z$11)</f>
        <v>0.14085731713089369</v>
      </c>
      <c r="AB79" s="383">
        <f t="shared" si="76"/>
        <v>214252790</v>
      </c>
      <c r="AC79" s="95">
        <f t="shared" si="65"/>
        <v>9.7716171352846701E-2</v>
      </c>
      <c r="AD79" s="382">
        <f>AD18-AD67</f>
        <v>15639547</v>
      </c>
      <c r="AE79" s="309">
        <f t="shared" si="66"/>
        <v>5.8606243797779012E-2</v>
      </c>
      <c r="AF79" s="383">
        <f>AF18-AF67</f>
        <v>55371336</v>
      </c>
      <c r="AG79" s="95">
        <f t="shared" si="67"/>
        <v>5.6356255338855382E-2</v>
      </c>
      <c r="AH79" s="382">
        <f>AH18-AH67</f>
        <v>7479875</v>
      </c>
      <c r="AI79" s="309">
        <f t="shared" si="77"/>
        <v>0.68450944789821433</v>
      </c>
      <c r="AJ79" s="383">
        <f>AJ18-AJ67</f>
        <v>31843568</v>
      </c>
      <c r="AK79" s="309">
        <f>IF(ISERR(AJ79/$AJ$11),"",AJ79/$AJ$11)</f>
        <v>0.79389325157149071</v>
      </c>
      <c r="AL79" s="382">
        <f t="shared" si="78"/>
        <v>23119422</v>
      </c>
      <c r="AM79" s="95">
        <f t="shared" si="68"/>
        <v>8.3227639927852939E-2</v>
      </c>
      <c r="AN79" s="510">
        <f t="shared" si="79"/>
        <v>87214904</v>
      </c>
      <c r="AO79" s="113"/>
      <c r="AP79" s="382">
        <f t="shared" si="80"/>
        <v>106185451</v>
      </c>
      <c r="AQ79" s="95">
        <f t="shared" si="70"/>
        <v>0.12240356693487718</v>
      </c>
      <c r="AR79" s="515">
        <f t="shared" si="81"/>
        <v>301467694</v>
      </c>
      <c r="AS79" s="95">
        <f>IF(ISERR(AR79/$AR$11),"",AR79/$AR$11)</f>
        <v>9.3762194609706639E-2</v>
      </c>
      <c r="AT79" s="382">
        <f>AT18-AT67</f>
        <v>89431205</v>
      </c>
      <c r="AU79" s="95">
        <f t="shared" si="82"/>
        <v>9.6897070924442191E-2</v>
      </c>
      <c r="AV79" s="383">
        <f>AT79</f>
        <v>89431205</v>
      </c>
      <c r="AW79" s="309">
        <f t="shared" si="83"/>
        <v>2.4715707692626234E-2</v>
      </c>
      <c r="AX79" s="382">
        <f t="shared" si="84"/>
        <v>16754246</v>
      </c>
      <c r="AY79" s="95">
        <f t="shared" si="85"/>
        <v>1.1873422817013368</v>
      </c>
      <c r="AZ79" s="383">
        <f t="shared" si="86"/>
        <v>212036489</v>
      </c>
      <c r="BA79" s="309">
        <f t="shared" si="87"/>
        <v>3.3709452310298178</v>
      </c>
    </row>
    <row r="80" spans="1:54">
      <c r="A80" s="26"/>
      <c r="B80" s="26"/>
    </row>
    <row r="81" spans="1:53" s="268" customFormat="1">
      <c r="A81" s="270" t="s">
        <v>85</v>
      </c>
      <c r="B81" s="271"/>
      <c r="C81" s="272"/>
      <c r="D81" s="824"/>
      <c r="E81" s="825"/>
      <c r="F81" s="773">
        <f>'8月'!F83</f>
        <v>6452594</v>
      </c>
      <c r="G81" s="774"/>
      <c r="H81" s="669">
        <f>'6月'!H81</f>
        <v>6712201</v>
      </c>
      <c r="I81" s="670"/>
      <c r="J81" s="667"/>
      <c r="K81" s="668"/>
      <c r="L81" s="669">
        <f>+J81</f>
        <v>0</v>
      </c>
      <c r="M81" s="670"/>
      <c r="N81" s="667"/>
      <c r="O81" s="668"/>
      <c r="P81" s="669">
        <f>+N81</f>
        <v>0</v>
      </c>
      <c r="Q81" s="670"/>
      <c r="R81" s="671"/>
      <c r="S81" s="672"/>
      <c r="T81" s="669">
        <f>+R81</f>
        <v>0</v>
      </c>
      <c r="U81" s="670"/>
      <c r="V81" s="667">
        <f>N81+R81</f>
        <v>0</v>
      </c>
      <c r="W81" s="668"/>
      <c r="X81" s="673">
        <f>P81+T81</f>
        <v>0</v>
      </c>
      <c r="Y81" s="674"/>
      <c r="Z81" s="667">
        <f>F81+J81+N81+R81</f>
        <v>6452594</v>
      </c>
      <c r="AA81" s="668"/>
      <c r="AB81" s="675">
        <f>H81+L81+P81+T81</f>
        <v>6712201</v>
      </c>
      <c r="AC81" s="676"/>
      <c r="AD81" s="671">
        <f>'8月'!AD83</f>
        <v>3888491</v>
      </c>
      <c r="AE81" s="672"/>
      <c r="AF81" s="669">
        <f>'6月'!AF81</f>
        <v>4214746</v>
      </c>
      <c r="AG81" s="670"/>
      <c r="AH81" s="671"/>
      <c r="AI81" s="672"/>
      <c r="AJ81" s="669">
        <f>+AH81</f>
        <v>0</v>
      </c>
      <c r="AK81" s="670"/>
      <c r="AL81" s="671">
        <f>+AD81+AH81</f>
        <v>3888491</v>
      </c>
      <c r="AM81" s="672"/>
      <c r="AN81" s="669">
        <f>AF81+AJ81</f>
        <v>4214746</v>
      </c>
      <c r="AO81" s="670"/>
      <c r="AP81" s="671">
        <f>+AB81+AL81</f>
        <v>10600692</v>
      </c>
      <c r="AQ81" s="672"/>
      <c r="AR81" s="669">
        <f>D81+AB81+AN81</f>
        <v>10926947</v>
      </c>
      <c r="AS81" s="670"/>
      <c r="AT81" s="671">
        <f>'8月'!AT83</f>
        <v>10332283</v>
      </c>
      <c r="AU81" s="672"/>
      <c r="AV81" s="669">
        <f>'6月'!AV81</f>
        <v>10388772</v>
      </c>
      <c r="AW81" s="670"/>
      <c r="AX81" s="671">
        <f>AP81-AT81</f>
        <v>268409</v>
      </c>
      <c r="AY81" s="677">
        <f>IF(ISERROR(AP81/AT81),"",AP81/AT81)</f>
        <v>1.0259777050241461</v>
      </c>
      <c r="AZ81" s="669">
        <f>AR81-AV81</f>
        <v>538175</v>
      </c>
      <c r="BA81" s="678">
        <f>IF(ISERROR(AR81/AV81),"",AR81/AV81)</f>
        <v>1.051803524035372</v>
      </c>
    </row>
    <row r="82" spans="1:53" s="268" customFormat="1">
      <c r="A82" s="269" t="s">
        <v>86</v>
      </c>
      <c r="B82" s="273"/>
      <c r="C82" s="274"/>
      <c r="D82" s="826"/>
      <c r="E82" s="827"/>
      <c r="F82" s="771">
        <v>2671000</v>
      </c>
      <c r="G82" s="772"/>
      <c r="H82" s="685">
        <f>F82+'8月'!H82</f>
        <v>9456522</v>
      </c>
      <c r="I82" s="686"/>
      <c r="J82" s="683">
        <v>34502</v>
      </c>
      <c r="K82" s="684"/>
      <c r="L82" s="685">
        <f>J82+'8月'!L82</f>
        <v>119186</v>
      </c>
      <c r="M82" s="686"/>
      <c r="N82" s="683">
        <v>66788</v>
      </c>
      <c r="O82" s="684"/>
      <c r="P82" s="685">
        <f>N82+'8月'!P82</f>
        <v>248891</v>
      </c>
      <c r="Q82" s="686"/>
      <c r="R82" s="683"/>
      <c r="S82" s="684"/>
      <c r="T82" s="685">
        <f>R82+'8月'!T82</f>
        <v>0</v>
      </c>
      <c r="U82" s="686"/>
      <c r="V82" s="683">
        <f>N82+R82</f>
        <v>66788</v>
      </c>
      <c r="W82" s="684"/>
      <c r="X82" s="687">
        <f>P82+T82</f>
        <v>248891</v>
      </c>
      <c r="Y82" s="688"/>
      <c r="Z82" s="683">
        <f>F82+J82+N82+R82</f>
        <v>2772290</v>
      </c>
      <c r="AA82" s="684"/>
      <c r="AB82" s="687">
        <f>H82+L82+P82+T82</f>
        <v>9824599</v>
      </c>
      <c r="AC82" s="688"/>
      <c r="AD82" s="683">
        <v>1074514</v>
      </c>
      <c r="AE82" s="684"/>
      <c r="AF82" s="685">
        <f>AD82+'8月'!AF82</f>
        <v>3605369</v>
      </c>
      <c r="AG82" s="686"/>
      <c r="AH82" s="683"/>
      <c r="AI82" s="684"/>
      <c r="AJ82" s="685">
        <f>AH82+'8月'!AJ82</f>
        <v>0</v>
      </c>
      <c r="AK82" s="686"/>
      <c r="AL82" s="683">
        <f>+AD82+AH82</f>
        <v>1074514</v>
      </c>
      <c r="AM82" s="684"/>
      <c r="AN82" s="685">
        <f>AF82+AJ82</f>
        <v>3605369</v>
      </c>
      <c r="AO82" s="686"/>
      <c r="AP82" s="683">
        <f>+AL82+Z82</f>
        <v>3846804</v>
      </c>
      <c r="AQ82" s="684"/>
      <c r="AR82" s="685">
        <f>D82+AB82+AN82</f>
        <v>13429968</v>
      </c>
      <c r="AS82" s="686"/>
      <c r="AT82" s="683">
        <v>4317214</v>
      </c>
      <c r="AU82" s="684"/>
      <c r="AV82" s="685">
        <f>AT82+'8月'!AV82</f>
        <v>15740185</v>
      </c>
      <c r="AW82" s="686"/>
      <c r="AX82" s="683">
        <f>AP82-AT82</f>
        <v>-470410</v>
      </c>
      <c r="AY82" s="689">
        <f>IF(ISERROR(AP82/AT82),"",AP82/AT82)</f>
        <v>0.891038526234743</v>
      </c>
      <c r="AZ82" s="685">
        <f>AR82-AV82</f>
        <v>-2310217</v>
      </c>
      <c r="BA82" s="690">
        <f>IF(ISERROR(AR82/AV82),"",AR82/AV82)</f>
        <v>0.85322809102942565</v>
      </c>
    </row>
    <row r="83" spans="1:53" s="268" customFormat="1" ht="14.25" thickBot="1">
      <c r="A83" s="275" t="s">
        <v>87</v>
      </c>
      <c r="B83" s="276"/>
      <c r="C83" s="277"/>
      <c r="D83" s="828"/>
      <c r="E83" s="829"/>
      <c r="F83" s="769">
        <f>[4]本社営業!$I$13</f>
        <v>6433314</v>
      </c>
      <c r="G83" s="770"/>
      <c r="H83" s="696">
        <f>+F83</f>
        <v>6433314</v>
      </c>
      <c r="I83" s="697"/>
      <c r="J83" s="694"/>
      <c r="K83" s="695"/>
      <c r="L83" s="696">
        <f>+J83</f>
        <v>0</v>
      </c>
      <c r="M83" s="697"/>
      <c r="N83" s="694"/>
      <c r="O83" s="695"/>
      <c r="P83" s="696">
        <f>+N83</f>
        <v>0</v>
      </c>
      <c r="Q83" s="697"/>
      <c r="R83" s="694"/>
      <c r="S83" s="695"/>
      <c r="T83" s="696">
        <f>+R83</f>
        <v>0</v>
      </c>
      <c r="U83" s="697"/>
      <c r="V83" s="694">
        <f>N83+R83</f>
        <v>0</v>
      </c>
      <c r="W83" s="695"/>
      <c r="X83" s="698">
        <f>P83+T83</f>
        <v>0</v>
      </c>
      <c r="Y83" s="699"/>
      <c r="Z83" s="694">
        <f>F83+J83+N83+R83</f>
        <v>6433314</v>
      </c>
      <c r="AA83" s="695"/>
      <c r="AB83" s="698">
        <f>H83+L83+P83+T83</f>
        <v>6433314</v>
      </c>
      <c r="AC83" s="699"/>
      <c r="AD83" s="694">
        <f>[4]東京事務!$I$13</f>
        <v>3792735</v>
      </c>
      <c r="AE83" s="695"/>
      <c r="AF83" s="696">
        <f>+AD83</f>
        <v>3792735</v>
      </c>
      <c r="AG83" s="697"/>
      <c r="AH83" s="694"/>
      <c r="AI83" s="695"/>
      <c r="AJ83" s="696">
        <f>+AH83</f>
        <v>0</v>
      </c>
      <c r="AK83" s="697"/>
      <c r="AL83" s="694">
        <f>+AD83+AH83</f>
        <v>3792735</v>
      </c>
      <c r="AM83" s="695"/>
      <c r="AN83" s="696">
        <f>AF83+AJ83</f>
        <v>3792735</v>
      </c>
      <c r="AO83" s="697"/>
      <c r="AP83" s="694">
        <f>+AB83+AL83</f>
        <v>10226049</v>
      </c>
      <c r="AQ83" s="695"/>
      <c r="AR83" s="696">
        <f>D83+AB83+AN83</f>
        <v>10226049</v>
      </c>
      <c r="AS83" s="697"/>
      <c r="AT83" s="694">
        <f>[4]全社合計!$G$13</f>
        <v>10818012</v>
      </c>
      <c r="AU83" s="695"/>
      <c r="AV83" s="696">
        <f>AT83</f>
        <v>10818012</v>
      </c>
      <c r="AW83" s="697"/>
      <c r="AX83" s="694">
        <f>AP83-AT83</f>
        <v>-591963</v>
      </c>
      <c r="AY83" s="700">
        <f>IF(ISERROR(AP83/AT83),"",AP83/AT83)</f>
        <v>0.94527987212437925</v>
      </c>
      <c r="AZ83" s="696">
        <f>AR83-AV83</f>
        <v>-591963</v>
      </c>
      <c r="BA83" s="701">
        <f>IF(ISERROR(AR83/AV83),"",AR83/AV83)</f>
        <v>0.94527987212437925</v>
      </c>
    </row>
    <row r="84" spans="1:53" ht="14.25" thickTop="1">
      <c r="D84" s="26"/>
      <c r="H84" s="26"/>
      <c r="L84" s="26"/>
      <c r="P84" s="26"/>
      <c r="T84" s="26"/>
      <c r="AL84" s="26"/>
      <c r="AP84" s="26"/>
      <c r="AT84" s="26"/>
      <c r="AX84" s="26"/>
    </row>
    <row r="85" spans="1:53">
      <c r="AL85" s="26"/>
    </row>
    <row r="89" spans="1:53">
      <c r="B89" s="27"/>
      <c r="D89" s="27"/>
      <c r="H89" s="27"/>
      <c r="L89" s="27"/>
      <c r="P89" s="27"/>
      <c r="T89" s="27"/>
      <c r="X89" s="27"/>
      <c r="AB89" s="27"/>
      <c r="AF89" s="27"/>
      <c r="AL89" s="27"/>
      <c r="AP89" s="27"/>
      <c r="AT89" s="27"/>
      <c r="AX89" s="27"/>
    </row>
    <row r="90" spans="1:53">
      <c r="B90" s="27"/>
      <c r="D90" s="27"/>
      <c r="H90" s="27"/>
      <c r="L90" s="27"/>
      <c r="P90" s="27"/>
      <c r="T90" s="27"/>
      <c r="X90" s="27"/>
      <c r="AB90" s="27"/>
      <c r="AF90" s="27"/>
      <c r="AL90" s="27"/>
      <c r="AP90" s="27"/>
      <c r="AT90" s="27"/>
      <c r="AX90" s="27"/>
    </row>
    <row r="91" spans="1:53">
      <c r="B91" s="27"/>
      <c r="D91" s="27"/>
      <c r="H91" s="27"/>
      <c r="L91" s="27"/>
      <c r="P91" s="27"/>
      <c r="T91" s="27"/>
      <c r="X91" s="27"/>
      <c r="AB91" s="27"/>
      <c r="AF91" s="27"/>
      <c r="AL91" s="27"/>
      <c r="AP91" s="27"/>
      <c r="AT91" s="27"/>
      <c r="AX91" s="27"/>
    </row>
    <row r="92" spans="1:53">
      <c r="B92" s="27"/>
      <c r="D92" s="27"/>
      <c r="H92" s="27"/>
      <c r="L92" s="27"/>
      <c r="P92" s="27"/>
      <c r="T92" s="27"/>
      <c r="X92" s="27"/>
      <c r="AB92" s="27"/>
      <c r="AF92" s="27"/>
      <c r="AL92" s="27"/>
      <c r="AP92" s="27"/>
      <c r="AT92" s="27"/>
      <c r="AX92" s="27"/>
    </row>
    <row r="93" spans="1:53">
      <c r="B93" s="27"/>
      <c r="D93" s="27"/>
      <c r="H93" s="27"/>
      <c r="L93" s="27"/>
      <c r="P93" s="27"/>
      <c r="T93" s="27"/>
      <c r="X93" s="27"/>
      <c r="AB93" s="27"/>
      <c r="AF93" s="27"/>
      <c r="AL93" s="27"/>
      <c r="AP93" s="27"/>
      <c r="AT93" s="27"/>
      <c r="AX93" s="27"/>
    </row>
    <row r="94" spans="1:53">
      <c r="B94" s="27"/>
    </row>
    <row r="95" spans="1:53">
      <c r="B95" s="27"/>
    </row>
  </sheetData>
  <mergeCells count="48">
    <mergeCell ref="D82:E82"/>
    <mergeCell ref="F82:G82"/>
    <mergeCell ref="D83:E83"/>
    <mergeCell ref="F83:G83"/>
    <mergeCell ref="AT4:AU4"/>
    <mergeCell ref="R4:S4"/>
    <mergeCell ref="T4:U4"/>
    <mergeCell ref="AV4:AW4"/>
    <mergeCell ref="V4:W4"/>
    <mergeCell ref="X4:Y4"/>
    <mergeCell ref="Z4:AA4"/>
    <mergeCell ref="AB4:AC4"/>
    <mergeCell ref="AX4:AY4"/>
    <mergeCell ref="AZ4:BA4"/>
    <mergeCell ref="D81:E81"/>
    <mergeCell ref="F81:G81"/>
    <mergeCell ref="AH4:AI4"/>
    <mergeCell ref="AJ4:AK4"/>
    <mergeCell ref="AL4:AM4"/>
    <mergeCell ref="AN4:AO4"/>
    <mergeCell ref="AP4:AQ4"/>
    <mergeCell ref="AR4:AS4"/>
    <mergeCell ref="AD4:AE4"/>
    <mergeCell ref="AF4:AG4"/>
    <mergeCell ref="J4:K4"/>
    <mergeCell ref="L4:M4"/>
    <mergeCell ref="N4:O4"/>
    <mergeCell ref="P4:Q4"/>
    <mergeCell ref="AX2:BA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T2:AW3"/>
    <mergeCell ref="A2:A5"/>
    <mergeCell ref="B2:E3"/>
    <mergeCell ref="F2:AC2"/>
    <mergeCell ref="AD2:AO2"/>
    <mergeCell ref="AP2:AS3"/>
    <mergeCell ref="B4:C4"/>
    <mergeCell ref="D4:E4"/>
    <mergeCell ref="F4:G4"/>
    <mergeCell ref="H4:I4"/>
  </mergeCells>
  <phoneticPr fontId="30"/>
  <dataValidations count="2">
    <dataValidation imeMode="off" allowBlank="1" showInputMessage="1" showErrorMessage="1" sqref="B1 AP1 AR1:AT1 AZ1:BA1 AV1:AX1 B6:BA65536" xr:uid="{67DC6FEE-D081-4D5A-B592-27A156217E99}"/>
    <dataValidation imeMode="on" allowBlank="1" showInputMessage="1" showErrorMessage="1" sqref="A2:BA5" xr:uid="{826EE3E2-D77E-4ADE-9EE6-614DC883C1D8}"/>
  </dataValidations>
  <printOptions gridLinesSet="0"/>
  <pageMargins left="0.39370078740157483" right="0.19685039370078741" top="0.39370078740157483" bottom="0.19685039370078741" header="0" footer="0"/>
  <pageSetup paperSize="8" scale="68" orientation="landscape" r:id="rId1"/>
  <headerFooter alignWithMargins="0">
    <oddHeader>&amp;L&amp;D&amp;T&amp;C&amp;"明朝,太字"&amp;16&amp;F&amp;R&amp;"明朝,太字"&amp;A</oddHeader>
    <oddFooter>&amp;C&amp;"明朝,太字"&amp;14&amp;F&amp;R&amp;"明朝,太字"&amp;14&amp;A</oddFooter>
  </headerFooter>
  <colBreaks count="1" manualBreakCount="1">
    <brk id="29" min="1" max="7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21C8-9BC8-44CD-A8E5-F76F0FE888EB}">
  <dimension ref="A1:BB95"/>
  <sheetViews>
    <sheetView view="pageBreakPreview" zoomScale="80" zoomScaleNormal="80" zoomScaleSheetLayoutView="80" workbookViewId="0">
      <pane xSplit="1" ySplit="5" topLeftCell="B6" activePane="bottomRight" state="frozen"/>
      <selection activeCell="B4" sqref="A4:XFD4"/>
      <selection pane="topRight" activeCell="B4" sqref="A4:XFD4"/>
      <selection pane="bottomLeft" activeCell="B4" sqref="A4:XFD4"/>
      <selection pane="bottomRight" activeCell="AR85" sqref="AR85"/>
    </sheetView>
  </sheetViews>
  <sheetFormatPr defaultRowHeight="13.5"/>
  <cols>
    <col min="1" max="1" width="23.75" style="1" customWidth="1"/>
    <col min="2" max="2" width="11.375" style="1" bestFit="1" customWidth="1"/>
    <col min="3" max="3" width="7.875" style="1" customWidth="1"/>
    <col min="4" max="4" width="12.625" style="1" customWidth="1"/>
    <col min="5" max="5" width="8.25" style="1" customWidth="1"/>
    <col min="6" max="6" width="11.625" style="1" customWidth="1"/>
    <col min="7" max="7" width="8.375" style="1" customWidth="1"/>
    <col min="8" max="8" width="12.625" style="1" customWidth="1"/>
    <col min="9" max="9" width="7.375" style="1" customWidth="1"/>
    <col min="10" max="10" width="11.625" style="1" customWidth="1"/>
    <col min="11" max="11" width="8.375" style="1" customWidth="1"/>
    <col min="12" max="12" width="12.625" style="1" customWidth="1"/>
    <col min="13" max="13" width="7.625" style="1" customWidth="1"/>
    <col min="14" max="14" width="11.625" style="1" customWidth="1"/>
    <col min="15" max="15" width="8.375" style="1" customWidth="1"/>
    <col min="16" max="16" width="12.625" style="1" customWidth="1"/>
    <col min="17" max="17" width="8.625" style="1" customWidth="1"/>
    <col min="18" max="18" width="11.625" style="1" customWidth="1"/>
    <col min="19" max="19" width="8.375" style="1" customWidth="1"/>
    <col min="20" max="20" width="12.625" style="1" customWidth="1"/>
    <col min="21" max="21" width="7.25" style="1" customWidth="1"/>
    <col min="22" max="22" width="11.625" style="1" customWidth="1"/>
    <col min="23" max="23" width="8.375" style="1" customWidth="1"/>
    <col min="24" max="24" width="12.625" style="1" customWidth="1"/>
    <col min="25" max="25" width="7.375" style="1" customWidth="1"/>
    <col min="26" max="26" width="11.625" style="1" customWidth="1"/>
    <col min="27" max="27" width="8.375" style="1" customWidth="1"/>
    <col min="28" max="28" width="12.625" style="1" customWidth="1"/>
    <col min="29" max="29" width="7.375" style="1" customWidth="1"/>
    <col min="30" max="30" width="11.625" style="1" customWidth="1"/>
    <col min="31" max="31" width="8.375" style="1" customWidth="1"/>
    <col min="32" max="32" width="12.625" style="1" customWidth="1"/>
    <col min="33" max="33" width="7.375" style="1" customWidth="1"/>
    <col min="34" max="34" width="11.625" style="1" customWidth="1"/>
    <col min="35" max="35" width="8.375" style="1" customWidth="1"/>
    <col min="36" max="36" width="12.625" style="1" customWidth="1"/>
    <col min="37" max="37" width="8.375" style="1" customWidth="1"/>
    <col min="38" max="38" width="11.625" style="1" customWidth="1"/>
    <col min="39" max="39" width="7.375" style="1" customWidth="1"/>
    <col min="40" max="40" width="12.625" style="1" customWidth="1"/>
    <col min="41" max="41" width="8.375" style="1" customWidth="1"/>
    <col min="42" max="42" width="13.625" style="1" customWidth="1"/>
    <col min="43" max="43" width="7.375" style="1" customWidth="1"/>
    <col min="44" max="44" width="13.625" style="1" customWidth="1"/>
    <col min="45" max="45" width="8.375" style="1" customWidth="1"/>
    <col min="46" max="46" width="13.625" style="1" customWidth="1"/>
    <col min="47" max="47" width="7.375" style="1" customWidth="1"/>
    <col min="48" max="48" width="13.625" style="1" customWidth="1"/>
    <col min="49" max="49" width="8.375" style="1" customWidth="1"/>
    <col min="50" max="50" width="13.625" style="1" customWidth="1"/>
    <col min="51" max="51" width="7.375" style="1" customWidth="1"/>
    <col min="52" max="52" width="13.625" style="1" customWidth="1"/>
    <col min="53" max="53" width="8.375" style="1" customWidth="1"/>
  </cols>
  <sheetData>
    <row r="1" spans="1:54" ht="10.5" customHeight="1" thickBot="1"/>
    <row r="2" spans="1:54" ht="14.25" customHeight="1" thickTop="1">
      <c r="A2" s="798" t="s">
        <v>0</v>
      </c>
      <c r="B2" s="759" t="s">
        <v>71</v>
      </c>
      <c r="C2" s="760"/>
      <c r="D2" s="760"/>
      <c r="E2" s="761"/>
      <c r="F2" s="812" t="s">
        <v>82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4"/>
      <c r="AD2" s="807" t="s">
        <v>83</v>
      </c>
      <c r="AE2" s="808"/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759" t="s">
        <v>81</v>
      </c>
      <c r="AQ2" s="760"/>
      <c r="AR2" s="760"/>
      <c r="AS2" s="761"/>
      <c r="AT2" s="759" t="s">
        <v>88</v>
      </c>
      <c r="AU2" s="760"/>
      <c r="AV2" s="760"/>
      <c r="AW2" s="761"/>
      <c r="AX2" s="759" t="s">
        <v>89</v>
      </c>
      <c r="AY2" s="760"/>
      <c r="AZ2" s="760"/>
      <c r="BA2" s="761"/>
    </row>
    <row r="3" spans="1:54">
      <c r="A3" s="799"/>
      <c r="B3" s="762"/>
      <c r="C3" s="763"/>
      <c r="D3" s="763"/>
      <c r="E3" s="764"/>
      <c r="F3" s="784" t="s">
        <v>73</v>
      </c>
      <c r="G3" s="785"/>
      <c r="H3" s="785"/>
      <c r="I3" s="823"/>
      <c r="J3" s="787" t="s">
        <v>74</v>
      </c>
      <c r="K3" s="787"/>
      <c r="L3" s="787"/>
      <c r="M3" s="787"/>
      <c r="N3" s="788" t="s">
        <v>92</v>
      </c>
      <c r="O3" s="789"/>
      <c r="P3" s="789"/>
      <c r="Q3" s="790"/>
      <c r="R3" s="820" t="s">
        <v>75</v>
      </c>
      <c r="S3" s="789"/>
      <c r="T3" s="789"/>
      <c r="U3" s="790"/>
      <c r="V3" s="789" t="s">
        <v>76</v>
      </c>
      <c r="W3" s="789"/>
      <c r="X3" s="789"/>
      <c r="Y3" s="821"/>
      <c r="Z3" s="816" t="s">
        <v>79</v>
      </c>
      <c r="AA3" s="817"/>
      <c r="AB3" s="817"/>
      <c r="AC3" s="818"/>
      <c r="AD3" s="819" t="s">
        <v>77</v>
      </c>
      <c r="AE3" s="805"/>
      <c r="AF3" s="805"/>
      <c r="AG3" s="805"/>
      <c r="AH3" s="804" t="s">
        <v>78</v>
      </c>
      <c r="AI3" s="805"/>
      <c r="AJ3" s="805"/>
      <c r="AK3" s="806"/>
      <c r="AL3" s="805" t="s">
        <v>80</v>
      </c>
      <c r="AM3" s="805"/>
      <c r="AN3" s="805"/>
      <c r="AO3" s="811"/>
      <c r="AP3" s="762"/>
      <c r="AQ3" s="763"/>
      <c r="AR3" s="763"/>
      <c r="AS3" s="764"/>
      <c r="AT3" s="762"/>
      <c r="AU3" s="763"/>
      <c r="AV3" s="763"/>
      <c r="AW3" s="764"/>
      <c r="AX3" s="762"/>
      <c r="AY3" s="763"/>
      <c r="AZ3" s="763"/>
      <c r="BA3" s="764"/>
    </row>
    <row r="4" spans="1:54" ht="15.95" customHeight="1">
      <c r="A4" s="799"/>
      <c r="B4" s="779">
        <v>45960</v>
      </c>
      <c r="C4" s="776"/>
      <c r="D4" s="780" t="s">
        <v>72</v>
      </c>
      <c r="E4" s="781"/>
      <c r="F4" s="765">
        <v>45960</v>
      </c>
      <c r="G4" s="766"/>
      <c r="H4" s="767" t="s">
        <v>72</v>
      </c>
      <c r="I4" s="822"/>
      <c r="J4" s="797">
        <v>45960</v>
      </c>
      <c r="K4" s="766"/>
      <c r="L4" s="767" t="s">
        <v>72</v>
      </c>
      <c r="M4" s="782"/>
      <c r="N4" s="795">
        <v>45960</v>
      </c>
      <c r="O4" s="766"/>
      <c r="P4" s="767" t="s">
        <v>72</v>
      </c>
      <c r="Q4" s="783"/>
      <c r="R4" s="796">
        <v>45960</v>
      </c>
      <c r="S4" s="766"/>
      <c r="T4" s="767" t="s">
        <v>72</v>
      </c>
      <c r="U4" s="783"/>
      <c r="V4" s="797">
        <v>45960</v>
      </c>
      <c r="W4" s="766"/>
      <c r="X4" s="767" t="s">
        <v>72</v>
      </c>
      <c r="Y4" s="793"/>
      <c r="Z4" s="775">
        <v>45960</v>
      </c>
      <c r="AA4" s="815"/>
      <c r="AB4" s="780" t="s">
        <v>72</v>
      </c>
      <c r="AC4" s="781"/>
      <c r="AD4" s="765">
        <v>45960</v>
      </c>
      <c r="AE4" s="766"/>
      <c r="AF4" s="791" t="s">
        <v>72</v>
      </c>
      <c r="AG4" s="792"/>
      <c r="AH4" s="797">
        <v>45960</v>
      </c>
      <c r="AI4" s="766"/>
      <c r="AJ4" s="767" t="s">
        <v>72</v>
      </c>
      <c r="AK4" s="810"/>
      <c r="AL4" s="775">
        <v>45960</v>
      </c>
      <c r="AM4" s="776"/>
      <c r="AN4" s="780" t="s">
        <v>72</v>
      </c>
      <c r="AO4" s="803"/>
      <c r="AP4" s="777">
        <v>45960</v>
      </c>
      <c r="AQ4" s="778"/>
      <c r="AR4" s="801" t="s">
        <v>72</v>
      </c>
      <c r="AS4" s="802"/>
      <c r="AT4" s="765">
        <v>45595</v>
      </c>
      <c r="AU4" s="766"/>
      <c r="AV4" s="767" t="s">
        <v>72</v>
      </c>
      <c r="AW4" s="768"/>
      <c r="AX4" s="765" t="s">
        <v>90</v>
      </c>
      <c r="AY4" s="766"/>
      <c r="AZ4" s="767" t="s">
        <v>91</v>
      </c>
      <c r="BA4" s="768"/>
    </row>
    <row r="5" spans="1:54" ht="15.95" customHeight="1">
      <c r="A5" s="800"/>
      <c r="B5" s="49" t="s">
        <v>1</v>
      </c>
      <c r="C5" s="50" t="s">
        <v>2</v>
      </c>
      <c r="D5" s="47" t="s">
        <v>1</v>
      </c>
      <c r="E5" s="51" t="s">
        <v>2</v>
      </c>
      <c r="F5" s="2" t="s">
        <v>1</v>
      </c>
      <c r="G5" s="4" t="s">
        <v>2</v>
      </c>
      <c r="H5" s="29" t="s">
        <v>1</v>
      </c>
      <c r="I5" s="335" t="s">
        <v>2</v>
      </c>
      <c r="J5" s="3" t="s">
        <v>1</v>
      </c>
      <c r="K5" s="4" t="s">
        <v>2</v>
      </c>
      <c r="L5" s="29" t="s">
        <v>1</v>
      </c>
      <c r="M5" s="5" t="s">
        <v>2</v>
      </c>
      <c r="N5" s="222" t="s">
        <v>1</v>
      </c>
      <c r="O5" s="4" t="s">
        <v>2</v>
      </c>
      <c r="P5" s="33" t="s">
        <v>1</v>
      </c>
      <c r="Q5" s="72" t="s">
        <v>2</v>
      </c>
      <c r="R5" s="67" t="s">
        <v>1</v>
      </c>
      <c r="S5" s="4" t="s">
        <v>2</v>
      </c>
      <c r="T5" s="33" t="s">
        <v>1</v>
      </c>
      <c r="U5" s="72" t="s">
        <v>2</v>
      </c>
      <c r="V5" s="3" t="s">
        <v>1</v>
      </c>
      <c r="W5" s="4" t="s">
        <v>2</v>
      </c>
      <c r="X5" s="33" t="s">
        <v>1</v>
      </c>
      <c r="Y5" s="223" t="s">
        <v>2</v>
      </c>
      <c r="Z5" s="52" t="s">
        <v>1</v>
      </c>
      <c r="AA5" s="74" t="s">
        <v>2</v>
      </c>
      <c r="AB5" s="76" t="s">
        <v>1</v>
      </c>
      <c r="AC5" s="332" t="s">
        <v>2</v>
      </c>
      <c r="AD5" s="2" t="s">
        <v>1</v>
      </c>
      <c r="AE5" s="4" t="s">
        <v>2</v>
      </c>
      <c r="AF5" s="29" t="s">
        <v>1</v>
      </c>
      <c r="AG5" s="6" t="s">
        <v>2</v>
      </c>
      <c r="AH5" s="3" t="s">
        <v>1</v>
      </c>
      <c r="AI5" s="4" t="s">
        <v>2</v>
      </c>
      <c r="AJ5" s="33" t="s">
        <v>1</v>
      </c>
      <c r="AK5" s="96" t="s">
        <v>2</v>
      </c>
      <c r="AL5" s="114" t="s">
        <v>1</v>
      </c>
      <c r="AM5" s="312" t="s">
        <v>2</v>
      </c>
      <c r="AN5" s="52" t="s">
        <v>1</v>
      </c>
      <c r="AO5" s="115" t="s">
        <v>2</v>
      </c>
      <c r="AP5" s="278" t="s">
        <v>1</v>
      </c>
      <c r="AQ5" s="279" t="s">
        <v>2</v>
      </c>
      <c r="AR5" s="280" t="s">
        <v>1</v>
      </c>
      <c r="AS5" s="281" t="s">
        <v>2</v>
      </c>
      <c r="AT5" s="116" t="s">
        <v>1</v>
      </c>
      <c r="AU5" s="5" t="s">
        <v>2</v>
      </c>
      <c r="AV5" s="33" t="s">
        <v>1</v>
      </c>
      <c r="AW5" s="117" t="s">
        <v>2</v>
      </c>
      <c r="AX5" s="116" t="s">
        <v>1</v>
      </c>
      <c r="AY5" s="5" t="s">
        <v>2</v>
      </c>
      <c r="AZ5" s="33" t="s">
        <v>1</v>
      </c>
      <c r="BA5" s="117" t="s">
        <v>2</v>
      </c>
    </row>
    <row r="6" spans="1:54" ht="15.95" customHeight="1">
      <c r="A6" s="253" t="s">
        <v>3</v>
      </c>
      <c r="B6" s="721"/>
      <c r="C6" s="258" t="str">
        <f t="shared" ref="C6:C11" si="0">IF(ISERR(B6/$B$11),"",B6/$B$11)</f>
        <v/>
      </c>
      <c r="D6" s="723"/>
      <c r="E6" s="118" t="str">
        <f t="shared" ref="E6:E11" si="1">IF(ISERR(D6/$D$11),"",D6/$D$11)</f>
        <v/>
      </c>
      <c r="F6" s="351">
        <f>[5]本社営業!$I$5</f>
        <v>463360376</v>
      </c>
      <c r="G6" s="7">
        <f t="shared" ref="G6:G11" si="2">IF(ISERR(F6/$F$11),"",F6/$F$11)</f>
        <v>0.79889300167953603</v>
      </c>
      <c r="H6" s="354">
        <f>[5]本社営業!$L$5</f>
        <v>2106677748</v>
      </c>
      <c r="I6" s="120">
        <f>IF(ISERR(H6/$H$11),"",H6/$H$11)</f>
        <v>0.80037233287174114</v>
      </c>
      <c r="J6" s="744">
        <f>[5]東大阪!$I$5</f>
        <v>505570</v>
      </c>
      <c r="K6" s="7">
        <f>IF(ISERR(J6/$J$11),"",J6/$J$11)</f>
        <v>4.7484122024153343E-2</v>
      </c>
      <c r="L6" s="354">
        <f>[5]東大阪!$L$5</f>
        <v>2309380</v>
      </c>
      <c r="M6" s="120">
        <f t="shared" ref="M6:M11" si="3">IF(ISERR(L6/$L$11),"",L6/$L$11)</f>
        <v>5.0284048326406788E-2</v>
      </c>
      <c r="N6" s="402">
        <f>[5]南港工場!$I$5</f>
        <v>3733910</v>
      </c>
      <c r="O6" s="7">
        <f t="shared" ref="O6:O11" si="4">IF(ISERR(N6/$N$11),"",N6/$N$11)</f>
        <v>0.11899986710192645</v>
      </c>
      <c r="P6" s="354">
        <f>[5]南港工場!$L$5</f>
        <v>17044218</v>
      </c>
      <c r="Q6" s="203">
        <f t="shared" ref="Q6:Q11" si="5">IF(ISERR(P6/$P$11),"",P6/$P$11)</f>
        <v>0.12479112634858666</v>
      </c>
      <c r="R6" s="436"/>
      <c r="S6" s="7" t="str">
        <f t="shared" ref="S6:S11" si="6">IF(ISERR(R6/$R$11),"",R6/$R$11)</f>
        <v/>
      </c>
      <c r="T6" s="354">
        <f>[5]南港事務!$L$5</f>
        <v>0</v>
      </c>
      <c r="U6" s="203" t="str">
        <f t="shared" ref="U6:U11" si="7">IF(ISERR(T6/$T$11),"",T6/$T$11)</f>
        <v/>
      </c>
      <c r="V6" s="455">
        <f>N6+R6</f>
        <v>3733910</v>
      </c>
      <c r="W6" s="174">
        <f t="shared" ref="W6:W11" si="8">IF(ISERR(V6/$V$11),"",V6/$V$11)</f>
        <v>0.11899986710192645</v>
      </c>
      <c r="X6" s="406">
        <f>P6+T6</f>
        <v>17044218</v>
      </c>
      <c r="Y6" s="224">
        <f t="shared" ref="Y6:Y11" si="9">IF(ISERR(X6/$X$11),"",X6/$X$11)</f>
        <v>0.12479112634858666</v>
      </c>
      <c r="Z6" s="459">
        <f>F6+J6+N6+R6</f>
        <v>467599856</v>
      </c>
      <c r="AA6" s="188">
        <f t="shared" ref="AA6:AA11" si="10">IF(ISERR(Z6/$Z$11),"",Z6/$Z$11)</f>
        <v>0.75173488117286424</v>
      </c>
      <c r="AB6" s="462">
        <f>H6+L6+P6+T6</f>
        <v>2126031346</v>
      </c>
      <c r="AC6" s="119">
        <f t="shared" ref="AC6:AC11" si="11">IF(ISERR(AB6/$AB$11),"",AB6/$AB$11)</f>
        <v>0.75534998548100885</v>
      </c>
      <c r="AD6" s="351">
        <f>[5]東京事務!$I$5</f>
        <v>172130791</v>
      </c>
      <c r="AE6" s="7">
        <f t="shared" ref="AE6:AE11" si="12">IF(ISERR(AD6/$AD$11),"",AD6/$AD$11)</f>
        <v>0.62677767102008786</v>
      </c>
      <c r="AF6" s="354">
        <f>[5]東京事務!$L$5</f>
        <v>799902967</v>
      </c>
      <c r="AG6" s="80">
        <f t="shared" ref="AG6:AG11" si="13">IF(ISERR(AF6/$AF$11),"",AF6/$AF$11)</f>
        <v>0.63628208468153069</v>
      </c>
      <c r="AH6" s="467">
        <f>[5]東京工場!$I$5</f>
        <v>0</v>
      </c>
      <c r="AI6" s="169">
        <f>IF(ISERR(AH6/$AH$11),"",AH6/$AH$11)</f>
        <v>0</v>
      </c>
      <c r="AJ6" s="354">
        <f>[5]東京工場!$L$5</f>
        <v>0</v>
      </c>
      <c r="AK6" s="97">
        <f t="shared" ref="AK6:AK11" si="14">IF(ISERR(AJ6/$AJ$11),"",AJ6/$AJ$11)</f>
        <v>0</v>
      </c>
      <c r="AL6" s="472">
        <f>AD6+AH6</f>
        <v>172130791</v>
      </c>
      <c r="AM6" s="313">
        <f t="shared" ref="AM6:AM11" si="15">IF(ISERR(AL6/$AL$11),"",AL6/AL$11)</f>
        <v>0.60165563909616226</v>
      </c>
      <c r="AN6" s="477">
        <f>AF6+AJ6</f>
        <v>799902967</v>
      </c>
      <c r="AO6" s="119">
        <f t="shared" ref="AO6:AO11" si="16">IF(ISERR(AN6/$AN$11),"",AN6/$AN$11)</f>
        <v>0.61120587806501414</v>
      </c>
      <c r="AP6" s="481">
        <f>B6+Z6+AL6</f>
        <v>639730647</v>
      </c>
      <c r="AQ6" s="282">
        <f t="shared" ref="AQ6:AQ11" si="17">IF(ISERR(AP6/$AP$11),"",AP6/$AP$11)</f>
        <v>0.70445388555852129</v>
      </c>
      <c r="AR6" s="486">
        <f>D6+AB6+AN6</f>
        <v>2925934313</v>
      </c>
      <c r="AS6" s="283">
        <f t="shared" ref="AS6:AS11" si="18">IF(ISERR(AR6/$AR$11),"",AR6/$AR$11)</f>
        <v>0.70959952964281503</v>
      </c>
      <c r="AT6" s="573">
        <f>[5]全社合計!$G$5</f>
        <v>743692080</v>
      </c>
      <c r="AU6" s="120">
        <f>IF(ISERR(AT6/$AT$11),"",AT6/$AT$11)</f>
        <v>0.72980471797700996</v>
      </c>
      <c r="AV6" s="577">
        <f>[5]全社合計!$N$5</f>
        <v>3384139651</v>
      </c>
      <c r="AW6" s="121">
        <f>IF(ISERR(AV6/$AV$11),"",AV6/$AV$11)</f>
        <v>0.72974552093362299</v>
      </c>
      <c r="AX6" s="573">
        <f>AP6-AT6</f>
        <v>-103961433</v>
      </c>
      <c r="AY6" s="120">
        <f>IF(ISERROR(AP6/AT6),"",AP6/AT6)</f>
        <v>0.86020903570735885</v>
      </c>
      <c r="AZ6" s="577">
        <f>AR6-AV6</f>
        <v>-458205338</v>
      </c>
      <c r="BA6" s="121">
        <f>IF(ISERROR(AR6/AV6),"",AR6/AV6)</f>
        <v>0.86460211892715422</v>
      </c>
      <c r="BB6" s="8"/>
    </row>
    <row r="7" spans="1:54" ht="15.95" customHeight="1">
      <c r="A7" s="254" t="s">
        <v>53</v>
      </c>
      <c r="B7" s="719"/>
      <c r="C7" s="259" t="str">
        <f t="shared" si="0"/>
        <v/>
      </c>
      <c r="D7" s="723"/>
      <c r="E7" s="122" t="str">
        <f t="shared" si="1"/>
        <v/>
      </c>
      <c r="F7" s="352">
        <f>[5]本社営業!$I$6</f>
        <v>42821378</v>
      </c>
      <c r="G7" s="9">
        <f t="shared" si="2"/>
        <v>7.3829574081824487E-2</v>
      </c>
      <c r="H7" s="355">
        <f>[5]本社営業!$L$6</f>
        <v>204446421</v>
      </c>
      <c r="I7" s="124">
        <f t="shared" ref="I7:I73" si="19">IF(ISERR(H7/$H$11),"",H7/$H$11)</f>
        <v>7.7673606738569934E-2</v>
      </c>
      <c r="J7" s="745">
        <f>[5]東大阪!$I$6</f>
        <v>0</v>
      </c>
      <c r="K7" s="9">
        <f t="shared" ref="K7:K73" si="20">IF(ISERR(J7/$J$11),"",J7/$J$11)</f>
        <v>0</v>
      </c>
      <c r="L7" s="355">
        <f>[5]東大阪!$L$6</f>
        <v>0</v>
      </c>
      <c r="M7" s="124">
        <f t="shared" si="3"/>
        <v>0</v>
      </c>
      <c r="N7" s="403">
        <f>[5]南港工場!$I$6</f>
        <v>0</v>
      </c>
      <c r="O7" s="9">
        <f>IF(ISERR(N7/$N$11),"",N7/$N$11)</f>
        <v>0</v>
      </c>
      <c r="P7" s="355">
        <f>[5]南港工場!$L$6</f>
        <v>0</v>
      </c>
      <c r="Q7" s="204">
        <f t="shared" si="5"/>
        <v>0</v>
      </c>
      <c r="R7" s="437"/>
      <c r="S7" s="9" t="str">
        <f t="shared" si="6"/>
        <v/>
      </c>
      <c r="T7" s="355">
        <f>[5]南港事務!$L$6</f>
        <v>0</v>
      </c>
      <c r="U7" s="204" t="str">
        <f t="shared" si="7"/>
        <v/>
      </c>
      <c r="V7" s="456">
        <f t="shared" ref="V7:V73" si="21">N7+R7</f>
        <v>0</v>
      </c>
      <c r="W7" s="171">
        <f t="shared" si="8"/>
        <v>0</v>
      </c>
      <c r="X7" s="407">
        <f t="shared" ref="X7:X73" si="22">P7+T7</f>
        <v>0</v>
      </c>
      <c r="Y7" s="225">
        <f t="shared" si="9"/>
        <v>0</v>
      </c>
      <c r="Z7" s="460">
        <f t="shared" ref="Z7:Z73" si="23">F7+J7+N7+R7</f>
        <v>42821378</v>
      </c>
      <c r="AA7" s="189">
        <f t="shared" si="10"/>
        <v>6.8841602685370165E-2</v>
      </c>
      <c r="AB7" s="463">
        <f t="shared" ref="AB7:AB73" si="24">H7+L7+P7+T7</f>
        <v>204446421</v>
      </c>
      <c r="AC7" s="123">
        <f t="shared" si="11"/>
        <v>7.2637029282066959E-2</v>
      </c>
      <c r="AD7" s="352">
        <f>[5]東京事務!$I$6</f>
        <v>0</v>
      </c>
      <c r="AE7" s="9">
        <f t="shared" si="12"/>
        <v>0</v>
      </c>
      <c r="AF7" s="355">
        <f>[5]東京事務!$L$6</f>
        <v>0</v>
      </c>
      <c r="AG7" s="81">
        <f t="shared" si="13"/>
        <v>0</v>
      </c>
      <c r="AH7" s="468">
        <f>[5]東京工場!$I$6</f>
        <v>0</v>
      </c>
      <c r="AI7" s="170">
        <f t="shared" ref="AI7:AI73" si="25">IF(ISERR(AH7/$AH$11),"",AH7/$AH$11)</f>
        <v>0</v>
      </c>
      <c r="AJ7" s="355">
        <f>[5]東京工場!$L$6</f>
        <v>0</v>
      </c>
      <c r="AK7" s="98">
        <f t="shared" si="14"/>
        <v>0</v>
      </c>
      <c r="AL7" s="473">
        <f t="shared" ref="AL7:AL73" si="26">AD7+AH7</f>
        <v>0</v>
      </c>
      <c r="AM7" s="314">
        <f t="shared" si="15"/>
        <v>0</v>
      </c>
      <c r="AN7" s="478">
        <f t="shared" ref="AN7:AN73" si="27">AF7+AJ7</f>
        <v>0</v>
      </c>
      <c r="AO7" s="123">
        <f t="shared" si="16"/>
        <v>0</v>
      </c>
      <c r="AP7" s="482">
        <f t="shared" ref="AP7:AP73" si="28">B7+Z7+AL7</f>
        <v>42821378</v>
      </c>
      <c r="AQ7" s="284">
        <f t="shared" si="17"/>
        <v>4.7153729868236537E-2</v>
      </c>
      <c r="AR7" s="487">
        <f t="shared" ref="AR7:AR73" si="29">D7+AB7+AN7</f>
        <v>204446421</v>
      </c>
      <c r="AS7" s="285">
        <f t="shared" si="18"/>
        <v>4.9582481580049381E-2</v>
      </c>
      <c r="AT7" s="574">
        <f>[5]全社合計!$G$6</f>
        <v>28753157</v>
      </c>
      <c r="AU7" s="124">
        <f t="shared" ref="AU7:AU73" si="30">IF(ISERR(AT7/$AT$11),"",AT7/$AT$11)</f>
        <v>2.8216233841476018E-2</v>
      </c>
      <c r="AV7" s="578">
        <f>[5]全社合計!$N$6</f>
        <v>171652610</v>
      </c>
      <c r="AW7" s="125">
        <f t="shared" ref="AW7:AW73" si="31">IF(ISERR(AV7/$AV$11),"",AV7/$AV$11)</f>
        <v>3.7014643667867365E-2</v>
      </c>
      <c r="AX7" s="574">
        <f t="shared" ref="AX7:AX73" si="32">AP7-AT7</f>
        <v>14068221</v>
      </c>
      <c r="AY7" s="124">
        <f t="shared" ref="AY7:AY73" si="33">IF(ISERROR(AP7/AT7),"",AP7/AT7)</f>
        <v>1.4892756993605953</v>
      </c>
      <c r="AZ7" s="578">
        <f t="shared" ref="AZ7:AZ73" si="34">AR7-AV7</f>
        <v>32793811</v>
      </c>
      <c r="BA7" s="125">
        <f t="shared" ref="BA7:BA73" si="35">IF(ISERROR(AR7/AV7),"",AR7/AV7)</f>
        <v>1.1910475523791919</v>
      </c>
      <c r="BB7" s="8"/>
    </row>
    <row r="8" spans="1:54" ht="15.95" customHeight="1">
      <c r="A8" s="255" t="s">
        <v>4</v>
      </c>
      <c r="B8" s="706"/>
      <c r="C8" s="259" t="str">
        <f t="shared" si="0"/>
        <v/>
      </c>
      <c r="D8" s="723"/>
      <c r="E8" s="122" t="str">
        <f t="shared" si="1"/>
        <v/>
      </c>
      <c r="F8" s="352">
        <f>[5]本社営業!$I$7</f>
        <v>1888248</v>
      </c>
      <c r="G8" s="9">
        <f t="shared" si="2"/>
        <v>3.2555828913505987E-3</v>
      </c>
      <c r="H8" s="356">
        <f>[5]本社営業!$L$7</f>
        <v>7944729</v>
      </c>
      <c r="I8" s="124">
        <f t="shared" si="19"/>
        <v>3.0183739728586981E-3</v>
      </c>
      <c r="J8" s="745">
        <f>[5]東大阪!$I$7</f>
        <v>0</v>
      </c>
      <c r="K8" s="9">
        <f t="shared" si="20"/>
        <v>0</v>
      </c>
      <c r="L8" s="356">
        <f>[5]東大阪!$L$7</f>
        <v>0</v>
      </c>
      <c r="M8" s="124">
        <f t="shared" si="3"/>
        <v>0</v>
      </c>
      <c r="N8" s="403">
        <f>[5]南港工場!$I$7</f>
        <v>17094442</v>
      </c>
      <c r="O8" s="9">
        <f t="shared" si="4"/>
        <v>0.54480057799507475</v>
      </c>
      <c r="P8" s="356">
        <f>[5]南港工場!$L$7</f>
        <v>71612433</v>
      </c>
      <c r="Q8" s="204">
        <f t="shared" si="5"/>
        <v>0.52431834506180908</v>
      </c>
      <c r="R8" s="437"/>
      <c r="S8" s="9" t="str">
        <f t="shared" si="6"/>
        <v/>
      </c>
      <c r="T8" s="356">
        <f>[5]南港事務!$L$7</f>
        <v>0</v>
      </c>
      <c r="U8" s="204" t="str">
        <f t="shared" si="7"/>
        <v/>
      </c>
      <c r="V8" s="456">
        <f t="shared" si="21"/>
        <v>17094442</v>
      </c>
      <c r="W8" s="171">
        <f t="shared" si="8"/>
        <v>0.54480057799507475</v>
      </c>
      <c r="X8" s="408">
        <f t="shared" si="22"/>
        <v>71612433</v>
      </c>
      <c r="Y8" s="225">
        <f t="shared" si="9"/>
        <v>0.52431834506180908</v>
      </c>
      <c r="Z8" s="460">
        <f t="shared" si="23"/>
        <v>18982690</v>
      </c>
      <c r="AA8" s="189">
        <f t="shared" si="10"/>
        <v>3.0517439277165468E-2</v>
      </c>
      <c r="AB8" s="464">
        <f t="shared" si="24"/>
        <v>79557162</v>
      </c>
      <c r="AC8" s="123">
        <f t="shared" si="11"/>
        <v>2.8265576269452738E-2</v>
      </c>
      <c r="AD8" s="352">
        <f>[5]東京事務!$I$7</f>
        <v>202760</v>
      </c>
      <c r="AE8" s="9">
        <f t="shared" si="12"/>
        <v>7.3830742215106075E-4</v>
      </c>
      <c r="AF8" s="356">
        <f>[5]東京事務!$L$7</f>
        <v>775680</v>
      </c>
      <c r="AG8" s="81">
        <f t="shared" si="13"/>
        <v>6.1701394770019612E-4</v>
      </c>
      <c r="AH8" s="468">
        <f>[5]東京工場!$I$7</f>
        <v>0</v>
      </c>
      <c r="AI8" s="171">
        <f t="shared" si="25"/>
        <v>0</v>
      </c>
      <c r="AJ8" s="356">
        <f>[5]東京工場!$L$7</f>
        <v>0</v>
      </c>
      <c r="AK8" s="99">
        <f t="shared" si="14"/>
        <v>0</v>
      </c>
      <c r="AL8" s="474">
        <f t="shared" si="26"/>
        <v>202760</v>
      </c>
      <c r="AM8" s="314">
        <f t="shared" si="15"/>
        <v>7.0871513849685304E-4</v>
      </c>
      <c r="AN8" s="478">
        <f t="shared" si="27"/>
        <v>775680</v>
      </c>
      <c r="AO8" s="123">
        <f t="shared" si="16"/>
        <v>5.9269710834498023E-4</v>
      </c>
      <c r="AP8" s="483">
        <f t="shared" si="28"/>
        <v>19185450</v>
      </c>
      <c r="AQ8" s="284">
        <f t="shared" si="17"/>
        <v>2.112649262946556E-2</v>
      </c>
      <c r="AR8" s="487">
        <f t="shared" si="29"/>
        <v>80332842</v>
      </c>
      <c r="AS8" s="285">
        <f t="shared" si="18"/>
        <v>1.9482374106896287E-2</v>
      </c>
      <c r="AT8" s="575">
        <f>[5]全社合計!$G$7</f>
        <v>20133845</v>
      </c>
      <c r="AU8" s="124">
        <f t="shared" si="30"/>
        <v>1.9757874888243845E-2</v>
      </c>
      <c r="AV8" s="578">
        <f>[5]全社合計!$N$7</f>
        <v>81966012</v>
      </c>
      <c r="AW8" s="125">
        <f t="shared" si="31"/>
        <v>1.7674900061561197E-2</v>
      </c>
      <c r="AX8" s="575">
        <f t="shared" si="32"/>
        <v>-948395</v>
      </c>
      <c r="AY8" s="124">
        <f t="shared" si="33"/>
        <v>0.95289548518924228</v>
      </c>
      <c r="AZ8" s="578">
        <f t="shared" si="34"/>
        <v>-1633170</v>
      </c>
      <c r="BA8" s="125">
        <f t="shared" si="35"/>
        <v>0.98007503402751861</v>
      </c>
      <c r="BB8" s="11"/>
    </row>
    <row r="9" spans="1:54" ht="15.95" customHeight="1">
      <c r="A9" s="255" t="s">
        <v>5</v>
      </c>
      <c r="B9" s="706"/>
      <c r="C9" s="259" t="str">
        <f t="shared" si="0"/>
        <v/>
      </c>
      <c r="D9" s="723"/>
      <c r="E9" s="122" t="str">
        <f t="shared" si="1"/>
        <v/>
      </c>
      <c r="F9" s="352">
        <f>[5]本社営業!$I$8</f>
        <v>843015</v>
      </c>
      <c r="G9" s="9">
        <f t="shared" si="2"/>
        <v>1.4534664997139807E-3</v>
      </c>
      <c r="H9" s="356">
        <f>[5]本社営業!$L$8</f>
        <v>6024881</v>
      </c>
      <c r="I9" s="124">
        <f>IF(ISERR(H9/$H$11),"",H9/$H$11)</f>
        <v>2.2889822925326823E-3</v>
      </c>
      <c r="J9" s="745">
        <f>[5]東大阪!$I$8</f>
        <v>0</v>
      </c>
      <c r="K9" s="9">
        <f>IF(ISERR(J9/$J$11),"",J9/$J$11)</f>
        <v>0</v>
      </c>
      <c r="L9" s="356">
        <f>[5]東大阪!$L$8</f>
        <v>0</v>
      </c>
      <c r="M9" s="124">
        <f t="shared" si="3"/>
        <v>0</v>
      </c>
      <c r="N9" s="403">
        <f>[5]南港工場!$I$8</f>
        <v>5053526</v>
      </c>
      <c r="O9" s="9">
        <f t="shared" si="4"/>
        <v>0.16105608394314003</v>
      </c>
      <c r="P9" s="356">
        <f>[5]南港工場!$L$8</f>
        <v>22210472</v>
      </c>
      <c r="Q9" s="204">
        <f t="shared" si="5"/>
        <v>0.16261642614602478</v>
      </c>
      <c r="R9" s="437"/>
      <c r="S9" s="9" t="str">
        <f t="shared" si="6"/>
        <v/>
      </c>
      <c r="T9" s="356">
        <f>[5]南港事務!$L$8</f>
        <v>0</v>
      </c>
      <c r="U9" s="204" t="str">
        <f t="shared" si="7"/>
        <v/>
      </c>
      <c r="V9" s="456">
        <f t="shared" si="21"/>
        <v>5053526</v>
      </c>
      <c r="W9" s="171">
        <f t="shared" si="8"/>
        <v>0.16105608394314003</v>
      </c>
      <c r="X9" s="408">
        <f t="shared" si="22"/>
        <v>22210472</v>
      </c>
      <c r="Y9" s="225">
        <f t="shared" si="9"/>
        <v>0.16261642614602478</v>
      </c>
      <c r="Z9" s="460">
        <f t="shared" si="23"/>
        <v>5896541</v>
      </c>
      <c r="AA9" s="189">
        <f t="shared" si="10"/>
        <v>9.4795485736118828E-3</v>
      </c>
      <c r="AB9" s="464">
        <f t="shared" si="24"/>
        <v>28235353</v>
      </c>
      <c r="AC9" s="123">
        <f t="shared" si="11"/>
        <v>1.0031636419062073E-2</v>
      </c>
      <c r="AD9" s="352">
        <f>[5]東京事務!$I$8</f>
        <v>15900</v>
      </c>
      <c r="AE9" s="9">
        <f t="shared" si="12"/>
        <v>5.789646879168409E-5</v>
      </c>
      <c r="AF9" s="356">
        <f>[5]東京事務!$L$8</f>
        <v>69910</v>
      </c>
      <c r="AG9" s="81">
        <f t="shared" si="13"/>
        <v>5.5609845662800016E-5</v>
      </c>
      <c r="AH9" s="468">
        <f>[5]東京工場!$I$8</f>
        <v>0</v>
      </c>
      <c r="AI9" s="171">
        <f t="shared" si="25"/>
        <v>0</v>
      </c>
      <c r="AJ9" s="356">
        <f>[5]東京工場!$L$8</f>
        <v>0</v>
      </c>
      <c r="AK9" s="99">
        <f t="shared" si="14"/>
        <v>0</v>
      </c>
      <c r="AL9" s="474">
        <f t="shared" si="26"/>
        <v>15900</v>
      </c>
      <c r="AM9" s="314">
        <f t="shared" si="15"/>
        <v>5.5575906007595006E-5</v>
      </c>
      <c r="AN9" s="478">
        <f t="shared" si="27"/>
        <v>69910</v>
      </c>
      <c r="AO9" s="123">
        <f t="shared" si="16"/>
        <v>5.3418232833639605E-5</v>
      </c>
      <c r="AP9" s="483">
        <f t="shared" si="28"/>
        <v>5912441</v>
      </c>
      <c r="AQ9" s="284">
        <f t="shared" si="17"/>
        <v>6.5106182658551132E-3</v>
      </c>
      <c r="AR9" s="487">
        <f t="shared" si="29"/>
        <v>28305263</v>
      </c>
      <c r="AS9" s="285">
        <f t="shared" si="18"/>
        <v>6.8646111506933801E-3</v>
      </c>
      <c r="AT9" s="575">
        <f>[5]全社合計!$G$8</f>
        <v>7323160</v>
      </c>
      <c r="AU9" s="124">
        <f t="shared" si="30"/>
        <v>7.1864106963469617E-3</v>
      </c>
      <c r="AV9" s="578">
        <f>[5]全社合計!$N$8</f>
        <v>27758167</v>
      </c>
      <c r="AW9" s="125">
        <f t="shared" si="31"/>
        <v>5.9856862087803667E-3</v>
      </c>
      <c r="AX9" s="575">
        <f t="shared" si="32"/>
        <v>-1410719</v>
      </c>
      <c r="AY9" s="124">
        <f t="shared" si="33"/>
        <v>0.80736198580940466</v>
      </c>
      <c r="AZ9" s="578">
        <f t="shared" si="34"/>
        <v>547096</v>
      </c>
      <c r="BA9" s="125">
        <f t="shared" si="35"/>
        <v>1.0197093705791165</v>
      </c>
      <c r="BB9" s="11"/>
    </row>
    <row r="10" spans="1:54" ht="15.95" customHeight="1">
      <c r="A10" s="256" t="s">
        <v>6</v>
      </c>
      <c r="B10" s="720"/>
      <c r="C10" s="260" t="str">
        <f t="shared" si="0"/>
        <v/>
      </c>
      <c r="D10" s="724"/>
      <c r="E10" s="126" t="str">
        <f t="shared" si="1"/>
        <v/>
      </c>
      <c r="F10" s="353">
        <f>[5]本社営業!$I$9</f>
        <v>71090031</v>
      </c>
      <c r="G10" s="12">
        <f t="shared" si="2"/>
        <v>0.12256837484757493</v>
      </c>
      <c r="H10" s="357">
        <f>[5]本社営業!$L$9</f>
        <v>307028374</v>
      </c>
      <c r="I10" s="128">
        <f>IF(ISERR(H10/$H$11),"",H10/$H$11)</f>
        <v>0.11664670412429753</v>
      </c>
      <c r="J10" s="746">
        <f>[5]東大阪!$I$9</f>
        <v>10141568</v>
      </c>
      <c r="K10" s="12">
        <f t="shared" si="20"/>
        <v>0.95251587797584669</v>
      </c>
      <c r="L10" s="357">
        <f>[5]東大阪!$L$9</f>
        <v>43617312</v>
      </c>
      <c r="M10" s="128">
        <f t="shared" si="3"/>
        <v>0.94971595167359324</v>
      </c>
      <c r="N10" s="404">
        <f>[5]南港工場!$I$9</f>
        <v>5495552</v>
      </c>
      <c r="O10" s="12">
        <f t="shared" si="4"/>
        <v>0.17514347095985872</v>
      </c>
      <c r="P10" s="357">
        <f>[5]南港工場!$L$9</f>
        <v>25714848</v>
      </c>
      <c r="Q10" s="205">
        <f t="shared" si="5"/>
        <v>0.18827410244357948</v>
      </c>
      <c r="R10" s="438"/>
      <c r="S10" s="12" t="str">
        <f t="shared" si="6"/>
        <v/>
      </c>
      <c r="T10" s="357">
        <f>[5]南港事務!$L$9</f>
        <v>0</v>
      </c>
      <c r="U10" s="205" t="str">
        <f t="shared" si="7"/>
        <v/>
      </c>
      <c r="V10" s="457">
        <f t="shared" si="21"/>
        <v>5495552</v>
      </c>
      <c r="W10" s="172">
        <f t="shared" si="8"/>
        <v>0.17514347095985872</v>
      </c>
      <c r="X10" s="409">
        <f t="shared" si="22"/>
        <v>25714848</v>
      </c>
      <c r="Y10" s="226">
        <f t="shared" si="9"/>
        <v>0.18827410244357948</v>
      </c>
      <c r="Z10" s="461">
        <f t="shared" si="23"/>
        <v>86727151</v>
      </c>
      <c r="AA10" s="190">
        <f t="shared" si="10"/>
        <v>0.13942652829098828</v>
      </c>
      <c r="AB10" s="465">
        <f t="shared" si="24"/>
        <v>376360534</v>
      </c>
      <c r="AC10" s="127">
        <f t="shared" si="11"/>
        <v>0.13371577254840941</v>
      </c>
      <c r="AD10" s="353">
        <f>[5]東京事務!$I$9</f>
        <v>102278697</v>
      </c>
      <c r="AE10" s="12">
        <f t="shared" si="12"/>
        <v>0.37242612508896938</v>
      </c>
      <c r="AF10" s="357">
        <f>[5]東京事務!$L$9</f>
        <v>456402927</v>
      </c>
      <c r="AG10" s="82">
        <f t="shared" si="13"/>
        <v>0.36304529152510628</v>
      </c>
      <c r="AH10" s="469">
        <f>[5]東京工場!$I$9</f>
        <v>11467053</v>
      </c>
      <c r="AI10" s="172">
        <f t="shared" si="25"/>
        <v>1</v>
      </c>
      <c r="AJ10" s="357">
        <f>[5]東京工場!$L$9</f>
        <v>51577695</v>
      </c>
      <c r="AK10" s="100">
        <f t="shared" si="14"/>
        <v>1</v>
      </c>
      <c r="AL10" s="475">
        <f t="shared" si="26"/>
        <v>113745750</v>
      </c>
      <c r="AM10" s="315">
        <f t="shared" si="15"/>
        <v>0.39758006985933331</v>
      </c>
      <c r="AN10" s="479">
        <f t="shared" si="27"/>
        <v>507980622</v>
      </c>
      <c r="AO10" s="127">
        <f t="shared" si="16"/>
        <v>0.38814800659380727</v>
      </c>
      <c r="AP10" s="484">
        <f t="shared" si="28"/>
        <v>200472901</v>
      </c>
      <c r="AQ10" s="286">
        <f t="shared" si="17"/>
        <v>0.22075527367792147</v>
      </c>
      <c r="AR10" s="488">
        <f t="shared" si="29"/>
        <v>884341156</v>
      </c>
      <c r="AS10" s="287">
        <f t="shared" si="18"/>
        <v>0.21447100351954596</v>
      </c>
      <c r="AT10" s="576">
        <f>[5]全社合計!$G$9</f>
        <v>219126632</v>
      </c>
      <c r="AU10" s="128">
        <f t="shared" si="30"/>
        <v>0.21503476259692322</v>
      </c>
      <c r="AV10" s="579">
        <f>[5]全社合計!$N$9</f>
        <v>971907914</v>
      </c>
      <c r="AW10" s="129">
        <f t="shared" si="31"/>
        <v>0.20957924912816811</v>
      </c>
      <c r="AX10" s="576">
        <f t="shared" si="32"/>
        <v>-18653731</v>
      </c>
      <c r="AY10" s="128">
        <f t="shared" si="33"/>
        <v>0.91487236932478389</v>
      </c>
      <c r="AZ10" s="579">
        <f t="shared" si="34"/>
        <v>-87566758</v>
      </c>
      <c r="BA10" s="129">
        <f t="shared" si="35"/>
        <v>0.90990220705209734</v>
      </c>
      <c r="BB10" s="11"/>
    </row>
    <row r="11" spans="1:54" ht="19.899999999999999" customHeight="1">
      <c r="A11" s="62" t="s">
        <v>7</v>
      </c>
      <c r="B11" s="722"/>
      <c r="C11" s="132" t="str">
        <f t="shared" si="0"/>
        <v/>
      </c>
      <c r="D11" s="359"/>
      <c r="E11" s="130" t="str">
        <f t="shared" si="1"/>
        <v/>
      </c>
      <c r="F11" s="358">
        <f>SUM(F6:F10)</f>
        <v>580003048</v>
      </c>
      <c r="G11" s="63">
        <f t="shared" si="2"/>
        <v>1</v>
      </c>
      <c r="H11" s="359">
        <f>SUM(H6:H10)</f>
        <v>2632122153</v>
      </c>
      <c r="I11" s="132">
        <f>IF(ISERR(H11/$H$11),"",H11/$H$11)</f>
        <v>1</v>
      </c>
      <c r="J11" s="747">
        <f>SUM(J6:J10)</f>
        <v>10647138</v>
      </c>
      <c r="K11" s="63">
        <f t="shared" si="20"/>
        <v>1</v>
      </c>
      <c r="L11" s="359">
        <f>SUM(L6:L10)</f>
        <v>45926692</v>
      </c>
      <c r="M11" s="132">
        <f t="shared" si="3"/>
        <v>1</v>
      </c>
      <c r="N11" s="405">
        <f>SUM(N6:N10)</f>
        <v>31377430</v>
      </c>
      <c r="O11" s="63">
        <f t="shared" si="4"/>
        <v>1</v>
      </c>
      <c r="P11" s="359">
        <f>SUM(P6:P10)</f>
        <v>136581971</v>
      </c>
      <c r="Q11" s="206">
        <f t="shared" si="5"/>
        <v>1</v>
      </c>
      <c r="R11" s="439">
        <f>SUM(R6:R10)</f>
        <v>0</v>
      </c>
      <c r="S11" s="63" t="str">
        <f t="shared" si="6"/>
        <v/>
      </c>
      <c r="T11" s="359">
        <f>SUM(T6:T10)</f>
        <v>0</v>
      </c>
      <c r="U11" s="206" t="str">
        <f t="shared" si="7"/>
        <v/>
      </c>
      <c r="V11" s="458">
        <f t="shared" si="21"/>
        <v>31377430</v>
      </c>
      <c r="W11" s="173">
        <f t="shared" si="8"/>
        <v>1</v>
      </c>
      <c r="X11" s="410">
        <f t="shared" si="22"/>
        <v>136581971</v>
      </c>
      <c r="Y11" s="227">
        <f t="shared" si="9"/>
        <v>1</v>
      </c>
      <c r="Z11" s="458">
        <f t="shared" si="23"/>
        <v>622027616</v>
      </c>
      <c r="AA11" s="191">
        <f t="shared" si="10"/>
        <v>1</v>
      </c>
      <c r="AB11" s="410">
        <f t="shared" si="24"/>
        <v>2814630816</v>
      </c>
      <c r="AC11" s="131">
        <f t="shared" si="11"/>
        <v>1</v>
      </c>
      <c r="AD11" s="466">
        <f>SUM(AD6:AD10)</f>
        <v>274628148</v>
      </c>
      <c r="AE11" s="63">
        <f t="shared" si="12"/>
        <v>1</v>
      </c>
      <c r="AF11" s="359">
        <f>SUM(AF6:AF10)</f>
        <v>1257151484</v>
      </c>
      <c r="AG11" s="83">
        <f t="shared" si="13"/>
        <v>1</v>
      </c>
      <c r="AH11" s="470">
        <f>SUM(AH6:AH10)</f>
        <v>11467053</v>
      </c>
      <c r="AI11" s="173">
        <f t="shared" si="25"/>
        <v>1</v>
      </c>
      <c r="AJ11" s="359">
        <f>SUM(AJ6:AJ10)</f>
        <v>51577695</v>
      </c>
      <c r="AK11" s="101">
        <f t="shared" si="14"/>
        <v>1</v>
      </c>
      <c r="AL11" s="476">
        <f t="shared" si="26"/>
        <v>286095201</v>
      </c>
      <c r="AM11" s="316">
        <f t="shared" si="15"/>
        <v>1</v>
      </c>
      <c r="AN11" s="480">
        <f t="shared" si="27"/>
        <v>1308729179</v>
      </c>
      <c r="AO11" s="131">
        <f t="shared" si="16"/>
        <v>1</v>
      </c>
      <c r="AP11" s="485">
        <f t="shared" si="28"/>
        <v>908122817</v>
      </c>
      <c r="AQ11" s="132">
        <f t="shared" si="17"/>
        <v>1</v>
      </c>
      <c r="AR11" s="428">
        <f t="shared" si="29"/>
        <v>4123359995</v>
      </c>
      <c r="AS11" s="131">
        <f t="shared" si="18"/>
        <v>1</v>
      </c>
      <c r="AT11" s="485">
        <f>SUM(AT6:AT10)</f>
        <v>1019028874</v>
      </c>
      <c r="AU11" s="132">
        <f t="shared" si="30"/>
        <v>1</v>
      </c>
      <c r="AV11" s="410">
        <f>SUM(AV6:AV10)</f>
        <v>4637424354</v>
      </c>
      <c r="AW11" s="131">
        <f t="shared" si="31"/>
        <v>1</v>
      </c>
      <c r="AX11" s="485">
        <f t="shared" si="32"/>
        <v>-110906057</v>
      </c>
      <c r="AY11" s="132">
        <f t="shared" si="33"/>
        <v>0.89116495142609664</v>
      </c>
      <c r="AZ11" s="410">
        <f t="shared" si="34"/>
        <v>-514064359</v>
      </c>
      <c r="BA11" s="131">
        <f t="shared" si="35"/>
        <v>0.88914873434936037</v>
      </c>
      <c r="BB11" s="13"/>
    </row>
    <row r="12" spans="1:54" ht="15.95" customHeight="1">
      <c r="A12" s="65" t="s">
        <v>8</v>
      </c>
      <c r="B12" s="606"/>
      <c r="C12" s="607"/>
      <c r="D12" s="608"/>
      <c r="E12" s="609"/>
      <c r="F12" s="386">
        <f>[5]本社営業!$I$11</f>
        <v>2849482</v>
      </c>
      <c r="G12" s="610"/>
      <c r="H12" s="608">
        <f>[5]本社営業!$L$11</f>
        <v>12602463</v>
      </c>
      <c r="I12" s="607"/>
      <c r="J12" s="748">
        <f>[5]東大阪!$I$11</f>
        <v>38710</v>
      </c>
      <c r="K12" s="610"/>
      <c r="L12" s="608">
        <f>[5]東大阪!$L$11</f>
        <v>157896</v>
      </c>
      <c r="M12" s="607"/>
      <c r="N12" s="612">
        <f>[5]南港工場!$I$11</f>
        <v>96420</v>
      </c>
      <c r="O12" s="610"/>
      <c r="P12" s="608">
        <f>[5]南港工場!$L$11</f>
        <v>432545</v>
      </c>
      <c r="Q12" s="614"/>
      <c r="R12" s="615"/>
      <c r="S12" s="610"/>
      <c r="T12" s="608">
        <f>[5]南港事務!$L$11</f>
        <v>0</v>
      </c>
      <c r="U12" s="614"/>
      <c r="V12" s="616">
        <f t="shared" si="21"/>
        <v>96420</v>
      </c>
      <c r="W12" s="617"/>
      <c r="X12" s="613">
        <f t="shared" si="22"/>
        <v>432545</v>
      </c>
      <c r="Y12" s="618"/>
      <c r="Z12" s="616">
        <f t="shared" si="23"/>
        <v>2984612</v>
      </c>
      <c r="AA12" s="619"/>
      <c r="AB12" s="613">
        <f t="shared" si="24"/>
        <v>13192904</v>
      </c>
      <c r="AC12" s="620"/>
      <c r="AD12" s="386">
        <f>[5]東京事務!$I$11</f>
        <v>1205420</v>
      </c>
      <c r="AE12" s="610"/>
      <c r="AF12" s="608">
        <f>[5]東京事務!$L$11</f>
        <v>5321909</v>
      </c>
      <c r="AG12" s="621"/>
      <c r="AH12" s="622"/>
      <c r="AI12" s="617">
        <f t="shared" si="25"/>
        <v>0</v>
      </c>
      <c r="AJ12" s="608">
        <f>[5]東京工場!$L$11</f>
        <v>0</v>
      </c>
      <c r="AK12" s="623"/>
      <c r="AL12" s="624">
        <f t="shared" si="26"/>
        <v>1205420</v>
      </c>
      <c r="AM12" s="625"/>
      <c r="AN12" s="626">
        <f t="shared" si="27"/>
        <v>5321909</v>
      </c>
      <c r="AO12" s="620"/>
      <c r="AP12" s="627">
        <f t="shared" si="28"/>
        <v>4190032</v>
      </c>
      <c r="AQ12" s="628"/>
      <c r="AR12" s="629">
        <f t="shared" si="29"/>
        <v>18514813</v>
      </c>
      <c r="AS12" s="630"/>
      <c r="AT12" s="631">
        <f>[5]全社合計!$G$11</f>
        <v>4176388</v>
      </c>
      <c r="AU12" s="607"/>
      <c r="AV12" s="632">
        <f>[5]全社合計!$N$11</f>
        <v>19575360</v>
      </c>
      <c r="AW12" s="620"/>
      <c r="AX12" s="631">
        <f t="shared" si="32"/>
        <v>13644</v>
      </c>
      <c r="AY12" s="607"/>
      <c r="AZ12" s="632">
        <f t="shared" si="34"/>
        <v>-1060547</v>
      </c>
      <c r="BA12" s="620"/>
      <c r="BB12" s="11"/>
    </row>
    <row r="13" spans="1:54" ht="15.95" customHeight="1">
      <c r="A13" s="66" t="s">
        <v>9</v>
      </c>
      <c r="B13" s="636"/>
      <c r="C13" s="637"/>
      <c r="D13" s="638"/>
      <c r="E13" s="639"/>
      <c r="F13" s="640"/>
      <c r="G13" s="641"/>
      <c r="H13" s="638">
        <f>[5]本社営業!$N$12</f>
        <v>0</v>
      </c>
      <c r="I13" s="637"/>
      <c r="J13" s="749"/>
      <c r="K13" s="641"/>
      <c r="L13" s="638">
        <f>[5]東大阪!$L$12</f>
        <v>0</v>
      </c>
      <c r="M13" s="637"/>
      <c r="N13" s="643">
        <f>[5]南港工場!$I$12</f>
        <v>4649880</v>
      </c>
      <c r="O13" s="641"/>
      <c r="P13" s="638">
        <f>[5]南港工場!$L$12</f>
        <v>19383597</v>
      </c>
      <c r="Q13" s="645"/>
      <c r="R13" s="646"/>
      <c r="S13" s="641"/>
      <c r="T13" s="638">
        <f>[5]南港事務!$N$12</f>
        <v>0</v>
      </c>
      <c r="U13" s="645"/>
      <c r="V13" s="647">
        <f t="shared" si="21"/>
        <v>4649880</v>
      </c>
      <c r="W13" s="648"/>
      <c r="X13" s="644">
        <f t="shared" si="22"/>
        <v>19383597</v>
      </c>
      <c r="Y13" s="649"/>
      <c r="Z13" s="647">
        <f t="shared" si="23"/>
        <v>4649880</v>
      </c>
      <c r="AA13" s="650"/>
      <c r="AB13" s="644">
        <f t="shared" si="24"/>
        <v>19383597</v>
      </c>
      <c r="AC13" s="651"/>
      <c r="AD13" s="640"/>
      <c r="AE13" s="641"/>
      <c r="AF13" s="638">
        <f>[5]東京事務!$L$12</f>
        <v>0</v>
      </c>
      <c r="AG13" s="652"/>
      <c r="AH13" s="653"/>
      <c r="AI13" s="648">
        <f t="shared" si="25"/>
        <v>0</v>
      </c>
      <c r="AJ13" s="638">
        <f>[5]東京工場!$L$12</f>
        <v>0</v>
      </c>
      <c r="AK13" s="654"/>
      <c r="AL13" s="655">
        <f t="shared" si="26"/>
        <v>0</v>
      </c>
      <c r="AM13" s="656"/>
      <c r="AN13" s="657">
        <f t="shared" si="27"/>
        <v>0</v>
      </c>
      <c r="AO13" s="651"/>
      <c r="AP13" s="658">
        <f t="shared" si="28"/>
        <v>4649880</v>
      </c>
      <c r="AQ13" s="659"/>
      <c r="AR13" s="660">
        <f t="shared" si="29"/>
        <v>19383597</v>
      </c>
      <c r="AS13" s="661"/>
      <c r="AT13" s="662">
        <f>[5]全社合計!$G$12</f>
        <v>4668076</v>
      </c>
      <c r="AU13" s="637"/>
      <c r="AV13" s="663">
        <f>[5]全社合計!$N$12</f>
        <v>20050297</v>
      </c>
      <c r="AW13" s="651"/>
      <c r="AX13" s="662">
        <f t="shared" si="32"/>
        <v>-18196</v>
      </c>
      <c r="AY13" s="637"/>
      <c r="AZ13" s="663">
        <f t="shared" si="34"/>
        <v>-666700</v>
      </c>
      <c r="BA13" s="651"/>
      <c r="BB13" s="11"/>
    </row>
    <row r="14" spans="1:54" ht="15.95" customHeight="1">
      <c r="A14" s="35" t="s">
        <v>10</v>
      </c>
      <c r="B14" s="705"/>
      <c r="C14" s="258" t="str">
        <f>IF(ISERR(B14/$B$11),"",B14/$B$11)</f>
        <v/>
      </c>
      <c r="D14" s="725"/>
      <c r="E14" s="118" t="str">
        <f>IF(ISERR(D14/$D$11),"",D14/$D$11)</f>
        <v/>
      </c>
      <c r="F14" s="351">
        <f>[5]本社営業!$I$14</f>
        <v>1153455207</v>
      </c>
      <c r="G14" s="7">
        <f>IF(ISERR(F14/$F$11),"",F14/$F$11)</f>
        <v>1.9887054231480521</v>
      </c>
      <c r="H14" s="360">
        <f>[5]本社営業!$L$14</f>
        <v>1205973702</v>
      </c>
      <c r="I14" s="120">
        <f>IF(ISERR(H14/$H$11),"",H14/$H$11)</f>
        <v>0.45817543103973107</v>
      </c>
      <c r="J14" s="744"/>
      <c r="K14" s="7">
        <f t="shared" si="20"/>
        <v>0</v>
      </c>
      <c r="L14" s="360">
        <f>[5]東大阪!$L$14</f>
        <v>0</v>
      </c>
      <c r="M14" s="203">
        <f>IF(ISERR(L14/$L$11),"",L14/$L$11)</f>
        <v>0</v>
      </c>
      <c r="N14" s="402"/>
      <c r="O14" s="7">
        <f>IF(ISERR(N14/$N$11),"",N14/$N$11)</f>
        <v>0</v>
      </c>
      <c r="P14" s="360">
        <f>[5]南港工場!$L$14</f>
        <v>0</v>
      </c>
      <c r="Q14" s="203">
        <f>IF(ISERR(P14/$P$11),"",P14/$P$11)</f>
        <v>0</v>
      </c>
      <c r="R14" s="436"/>
      <c r="S14" s="7" t="str">
        <f>IF(ISERR(R14/$R$11),"",R14/$R$11)</f>
        <v/>
      </c>
      <c r="T14" s="360">
        <f>[5]南港事務!$L$14</f>
        <v>0</v>
      </c>
      <c r="U14" s="203" t="str">
        <f>IF(ISERR(T14/$T$11),"",T14/$T$11)</f>
        <v/>
      </c>
      <c r="V14" s="455">
        <f t="shared" si="21"/>
        <v>0</v>
      </c>
      <c r="W14" s="174">
        <f>IF(ISERR(V14/$V$11),"",V14/$V$11)</f>
        <v>0</v>
      </c>
      <c r="X14" s="421">
        <f t="shared" si="22"/>
        <v>0</v>
      </c>
      <c r="Y14" s="224">
        <f>IF(ISERR(X14/$X$11),"",X14/$X$11)</f>
        <v>0</v>
      </c>
      <c r="Z14" s="459">
        <f t="shared" si="23"/>
        <v>1153455207</v>
      </c>
      <c r="AA14" s="188">
        <f>IF(ISERR(Z14/$Z$11),"",Z14/$Z$11)</f>
        <v>1.8543472626141408</v>
      </c>
      <c r="AB14" s="502">
        <f t="shared" si="24"/>
        <v>1205973702</v>
      </c>
      <c r="AC14" s="119">
        <f>IF(ISERR(AB14/$AB$11),"",AB14/$AB$11)</f>
        <v>0.42846603367821579</v>
      </c>
      <c r="AD14" s="351">
        <f>[5]東京事務!$I$14</f>
        <v>727931890</v>
      </c>
      <c r="AE14" s="7">
        <f>IF(ISERR(AD14/$AD$11),"",AD14/$AD$11)</f>
        <v>2.6506091793620512</v>
      </c>
      <c r="AF14" s="360">
        <f>[5]東京事務!$L$14</f>
        <v>804499700</v>
      </c>
      <c r="AG14" s="80">
        <f>IF(ISERR(AF14/$AF$11),"",AF14/$AF$11)</f>
        <v>0.63993855174894743</v>
      </c>
      <c r="AH14" s="467"/>
      <c r="AI14" s="174">
        <f t="shared" si="25"/>
        <v>0</v>
      </c>
      <c r="AJ14" s="360">
        <f>[5]東京工場!$L$14</f>
        <v>0</v>
      </c>
      <c r="AK14" s="102">
        <f t="shared" ref="AK14:AK77" si="36">IF(ISERR(AJ14/$AJ$11),"",AJ14/$AJ$11)</f>
        <v>0</v>
      </c>
      <c r="AL14" s="506">
        <f t="shared" si="26"/>
        <v>727931890</v>
      </c>
      <c r="AM14" s="313">
        <f>IF(ISERR(AL14/$AL$11),"",AL14/AL$11)</f>
        <v>2.5443694527403133</v>
      </c>
      <c r="AN14" s="477">
        <f>AF14+AJ14</f>
        <v>804499700</v>
      </c>
      <c r="AO14" s="119">
        <f>IF(ISERR(AN14/$AN$11),"",AN14/$AN$11)</f>
        <v>0.61471824187087987</v>
      </c>
      <c r="AP14" s="511">
        <f>B14+Z14+AL14</f>
        <v>1881387097</v>
      </c>
      <c r="AQ14" s="282">
        <f>IF(ISERR(AP14/$AP$11),"",AP14/$AP$11)</f>
        <v>2.0717319967966406</v>
      </c>
      <c r="AR14" s="486">
        <f>D14+AB14+AN14</f>
        <v>2010473402</v>
      </c>
      <c r="AS14" s="283">
        <f>IF(ISERR(AR14/$AR$11),"",AR14/$AR$11)</f>
        <v>0.48758134250657392</v>
      </c>
      <c r="AT14" s="580">
        <f>[5]全社合計!$G$14</f>
        <v>1895067231</v>
      </c>
      <c r="AU14" s="120">
        <f t="shared" si="30"/>
        <v>1.8596796217964673</v>
      </c>
      <c r="AV14" s="577">
        <f>[5]全社合計!$N$14</f>
        <v>1816376496</v>
      </c>
      <c r="AW14" s="121">
        <f t="shared" si="31"/>
        <v>0.39167787059066278</v>
      </c>
      <c r="AX14" s="592">
        <f t="shared" si="32"/>
        <v>-13680134</v>
      </c>
      <c r="AY14" s="120">
        <f t="shared" si="33"/>
        <v>0.99278118803585602</v>
      </c>
      <c r="AZ14" s="577">
        <f t="shared" si="34"/>
        <v>194096906</v>
      </c>
      <c r="BA14" s="121">
        <f t="shared" si="35"/>
        <v>1.1068594019067288</v>
      </c>
      <c r="BB14" s="13"/>
    </row>
    <row r="15" spans="1:54" ht="15.95" customHeight="1">
      <c r="A15" s="35" t="s">
        <v>11</v>
      </c>
      <c r="B15" s="719"/>
      <c r="C15" s="259" t="str">
        <f>IF(ISERR(B15/$B$11),"",B15/$B$11)</f>
        <v/>
      </c>
      <c r="D15" s="726"/>
      <c r="E15" s="122" t="str">
        <f>IF(ISERR(D15/$D$11),"",D15/$D$11)</f>
        <v/>
      </c>
      <c r="F15" s="352">
        <f>[5]本社営業!$I$15</f>
        <v>476882442</v>
      </c>
      <c r="G15" s="9">
        <f>IF(ISERR(F15/$F$11),"",F15/$F$11)</f>
        <v>0.82220678605813124</v>
      </c>
      <c r="H15" s="355">
        <f>[5]本社営業!$L$15</f>
        <v>2199323513</v>
      </c>
      <c r="I15" s="124">
        <f t="shared" si="19"/>
        <v>0.83557045804021235</v>
      </c>
      <c r="J15" s="745">
        <f>[5]東大阪!$I$15</f>
        <v>611780</v>
      </c>
      <c r="K15" s="9">
        <f>IF(ISERR(J15/$J$11),"",J15/$J$11)</f>
        <v>5.7459572703951051E-2</v>
      </c>
      <c r="L15" s="355">
        <f>[5]東大阪!$L$15</f>
        <v>2648356</v>
      </c>
      <c r="M15" s="124">
        <f>IF(ISERR(L15/$L$11),"",L15/$L$11)</f>
        <v>5.7664854242060366E-2</v>
      </c>
      <c r="N15" s="403">
        <f>[5]南港工場!$I$15</f>
        <v>2001195</v>
      </c>
      <c r="O15" s="9">
        <f>IF(ISERR(N15/$N$11),"",N15/$N$11)</f>
        <v>6.3778167937909511E-2</v>
      </c>
      <c r="P15" s="355">
        <f>[5]南港工場!$L$15</f>
        <v>8895669</v>
      </c>
      <c r="Q15" s="204">
        <f>IF(ISERR(P15/$P$11),"",P15/$P$11)</f>
        <v>6.5130624011861718E-2</v>
      </c>
      <c r="R15" s="437"/>
      <c r="S15" s="9" t="str">
        <f>IF(ISERR(R15/$R$11),"",R15/$R$11)</f>
        <v/>
      </c>
      <c r="T15" s="355">
        <f>[5]南港事務!$L$15</f>
        <v>0</v>
      </c>
      <c r="U15" s="204" t="str">
        <f>IF(ISERR(T15/$T$11),"",T15/$T$11)</f>
        <v/>
      </c>
      <c r="V15" s="456">
        <f t="shared" si="21"/>
        <v>2001195</v>
      </c>
      <c r="W15" s="171">
        <f>IF(ISERR(V15/$V$11),"",V15/$V$11)</f>
        <v>6.3778167937909511E-2</v>
      </c>
      <c r="X15" s="407">
        <f t="shared" si="22"/>
        <v>8895669</v>
      </c>
      <c r="Y15" s="225">
        <f>IF(ISERR(X15/$X$11),"",X15/$X$11)</f>
        <v>6.5130624011861718E-2</v>
      </c>
      <c r="Z15" s="460">
        <f t="shared" si="23"/>
        <v>479495417</v>
      </c>
      <c r="AA15" s="189">
        <f>IF(ISERR(Z15/$Z$11),"",Z15/$Z$11)</f>
        <v>0.77085872824013013</v>
      </c>
      <c r="AB15" s="463">
        <f t="shared" si="24"/>
        <v>2210867538</v>
      </c>
      <c r="AC15" s="123">
        <f>IF(ISERR(AB15/$AB$11),"",AB15/$AB$11)</f>
        <v>0.78549112922097697</v>
      </c>
      <c r="AD15" s="352">
        <f>[5]東京事務!$I$15</f>
        <v>221185081</v>
      </c>
      <c r="AE15" s="9">
        <f>IF(ISERR(AD15/$AD$11),"",AD15/$AD$11)</f>
        <v>0.8053984364341269</v>
      </c>
      <c r="AF15" s="355">
        <f>[5]東京事務!$L$15</f>
        <v>1040653876</v>
      </c>
      <c r="AG15" s="81">
        <f>IF(ISERR(AF15/$AF$11),"",AF15/$AF$11)</f>
        <v>0.82778717540773317</v>
      </c>
      <c r="AH15" s="468">
        <f>[5]東京工場!$I$15</f>
        <v>0</v>
      </c>
      <c r="AI15" s="171">
        <f t="shared" si="25"/>
        <v>0</v>
      </c>
      <c r="AJ15" s="355">
        <f>[5]東京工場!$L$15</f>
        <v>0</v>
      </c>
      <c r="AK15" s="99">
        <f t="shared" si="36"/>
        <v>0</v>
      </c>
      <c r="AL15" s="473">
        <f t="shared" si="26"/>
        <v>221185081</v>
      </c>
      <c r="AM15" s="314">
        <f>IF(ISERR(AL15/$AL$11),"",AL15/AL$11)</f>
        <v>0.77311706112819423</v>
      </c>
      <c r="AN15" s="478">
        <f t="shared" si="27"/>
        <v>1040653876</v>
      </c>
      <c r="AO15" s="123">
        <f>IF(ISERR(AN15/$AN$11),"",AN15/$AN$11)</f>
        <v>0.79516365394646715</v>
      </c>
      <c r="AP15" s="482">
        <f t="shared" si="28"/>
        <v>700680498</v>
      </c>
      <c r="AQ15" s="284">
        <f>IF(ISERR(AP15/$AP$11),"",AP15/$AP$11)</f>
        <v>0.77157019390252801</v>
      </c>
      <c r="AR15" s="487">
        <f t="shared" si="29"/>
        <v>3251521414</v>
      </c>
      <c r="AS15" s="285">
        <f>IF(ISERR(AR15/$AR$11),"",AR15/$AR$11)</f>
        <v>0.7885611292593433</v>
      </c>
      <c r="AT15" s="574">
        <f>[5]全社合計!$G$15</f>
        <v>886074946</v>
      </c>
      <c r="AU15" s="124">
        <f t="shared" si="30"/>
        <v>0.8695287921743422</v>
      </c>
      <c r="AV15" s="578">
        <f>[5]全社合計!$N$15</f>
        <v>4009855258</v>
      </c>
      <c r="AW15" s="125">
        <f t="shared" si="31"/>
        <v>0.8646729201181057</v>
      </c>
      <c r="AX15" s="574">
        <f t="shared" si="32"/>
        <v>-185394448</v>
      </c>
      <c r="AY15" s="124">
        <f t="shared" si="33"/>
        <v>0.79076888604409312</v>
      </c>
      <c r="AZ15" s="578">
        <f t="shared" si="34"/>
        <v>-758333844</v>
      </c>
      <c r="BA15" s="125">
        <f t="shared" si="35"/>
        <v>0.8108824894646609</v>
      </c>
      <c r="BB15" s="11"/>
    </row>
    <row r="16" spans="1:54" ht="15.95" customHeight="1">
      <c r="A16" s="36" t="s">
        <v>12</v>
      </c>
      <c r="B16" s="720"/>
      <c r="C16" s="260" t="str">
        <f>IF(ISERR(B16/$B$11),"",B16/$B$11)</f>
        <v/>
      </c>
      <c r="D16" s="724"/>
      <c r="E16" s="126" t="str">
        <f>IF(ISERR(D16/$D$11),"",D16/$D$11)</f>
        <v/>
      </c>
      <c r="F16" s="353">
        <f>[5]本社営業!$I$16</f>
        <v>1124338483</v>
      </c>
      <c r="G16" s="12">
        <f>IF(ISERR(F16/$F$11),"",F16/$F$11)</f>
        <v>1.9385044386870187</v>
      </c>
      <c r="H16" s="357">
        <f>[5]本社営業!$L$16</f>
        <v>1124338483</v>
      </c>
      <c r="I16" s="128">
        <f t="shared" si="19"/>
        <v>0.42716044987445534</v>
      </c>
      <c r="J16" s="746"/>
      <c r="K16" s="12">
        <f t="shared" si="20"/>
        <v>0</v>
      </c>
      <c r="L16" s="357">
        <f>[5]東大阪!$L$16</f>
        <v>0</v>
      </c>
      <c r="M16" s="128">
        <f t="shared" ref="M16:M78" si="37">IF(ISERR(L16/$L$11),"",L16/$L$11)</f>
        <v>0</v>
      </c>
      <c r="N16" s="404"/>
      <c r="O16" s="12">
        <f>IF(ISERR(N16/$N$11),"",N16/$N$11)</f>
        <v>0</v>
      </c>
      <c r="P16" s="357">
        <f>[5]南港工場!$L$16</f>
        <v>0</v>
      </c>
      <c r="Q16" s="205">
        <f>IF(ISERR(P16/$P$11),"",P16/$P$11)</f>
        <v>0</v>
      </c>
      <c r="R16" s="438"/>
      <c r="S16" s="12" t="str">
        <f>IF(ISERR(R16/$R$11),"",R16/$R$11)</f>
        <v/>
      </c>
      <c r="T16" s="357">
        <f>[5]南港事務!$L$16</f>
        <v>0</v>
      </c>
      <c r="U16" s="205" t="str">
        <f>IF(ISERR(T16/$T$11),"",T16/$T$11)</f>
        <v/>
      </c>
      <c r="V16" s="457">
        <f t="shared" si="21"/>
        <v>0</v>
      </c>
      <c r="W16" s="172">
        <f>IF(ISERR(V16/$V$11),"",V16/$V$11)</f>
        <v>0</v>
      </c>
      <c r="X16" s="409">
        <f t="shared" si="22"/>
        <v>0</v>
      </c>
      <c r="Y16" s="226">
        <f>IF(ISERR(X16/$X$11),"",X16/$X$11)</f>
        <v>0</v>
      </c>
      <c r="Z16" s="461">
        <f t="shared" si="23"/>
        <v>1124338483</v>
      </c>
      <c r="AA16" s="190">
        <f>IF(ISERR(Z16/$Z$11),"",Z16/$Z$11)</f>
        <v>1.8075378875139847</v>
      </c>
      <c r="AB16" s="465">
        <f t="shared" si="24"/>
        <v>1124338483</v>
      </c>
      <c r="AC16" s="127">
        <f>IF(ISERR(AB16/$AB$11),"",AB16/$AB$11)</f>
        <v>0.39946215205511343</v>
      </c>
      <c r="AD16" s="353">
        <f>[5]東京事務!$I$16</f>
        <v>697233631</v>
      </c>
      <c r="AE16" s="12">
        <f>IF(ISERR(AD16/$AD$11),"",AD16/$AD$11)</f>
        <v>2.5388279973398795</v>
      </c>
      <c r="AF16" s="357">
        <f>[5]東京事務!$L$16</f>
        <v>697233631</v>
      </c>
      <c r="AG16" s="82">
        <f>IF(ISERR(AF16/$AF$11),"",AF16/$AF$11)</f>
        <v>0.55461385511119521</v>
      </c>
      <c r="AH16" s="469"/>
      <c r="AI16" s="172">
        <f t="shared" si="25"/>
        <v>0</v>
      </c>
      <c r="AJ16" s="357">
        <f>[5]東京工場!$L$16</f>
        <v>0</v>
      </c>
      <c r="AK16" s="100">
        <f t="shared" si="36"/>
        <v>0</v>
      </c>
      <c r="AL16" s="475">
        <f t="shared" si="26"/>
        <v>697233631</v>
      </c>
      <c r="AM16" s="315">
        <f>IF(ISERR(AL16/$AL$11),"",AL16/AL$11)</f>
        <v>2.4370686001125899</v>
      </c>
      <c r="AN16" s="479">
        <f t="shared" si="27"/>
        <v>697233631</v>
      </c>
      <c r="AO16" s="127">
        <f>IF(ISERR(AN16/$AN$11),"",AN16/$AN$11)</f>
        <v>0.53275623573454378</v>
      </c>
      <c r="AP16" s="484">
        <f t="shared" si="28"/>
        <v>1821572114</v>
      </c>
      <c r="AQ16" s="286">
        <f>IF(ISERR(AP16/$AP$11),"",AP16/$AP$11)</f>
        <v>2.0058653740444448</v>
      </c>
      <c r="AR16" s="488">
        <f t="shared" si="29"/>
        <v>1821572114</v>
      </c>
      <c r="AS16" s="287">
        <f>IF(ISERR(AR16/$AR$11),"",AR16/$AR$11)</f>
        <v>0.44176887688895572</v>
      </c>
      <c r="AT16" s="581">
        <f>[5]全社合計!$G$16</f>
        <v>1944937491</v>
      </c>
      <c r="AU16" s="128">
        <f t="shared" si="30"/>
        <v>1.908618627620948</v>
      </c>
      <c r="AV16" s="579">
        <f>[5]全社合計!$N$16</f>
        <v>1944937491</v>
      </c>
      <c r="AW16" s="129">
        <f t="shared" si="31"/>
        <v>0.41940037023404997</v>
      </c>
      <c r="AX16" s="576">
        <f t="shared" si="32"/>
        <v>-123365377</v>
      </c>
      <c r="AY16" s="128">
        <f t="shared" si="33"/>
        <v>0.9365710324517571</v>
      </c>
      <c r="AZ16" s="579">
        <f t="shared" si="34"/>
        <v>-123365377</v>
      </c>
      <c r="BA16" s="129">
        <f t="shared" si="35"/>
        <v>0.9365710324517571</v>
      </c>
      <c r="BB16" s="11"/>
    </row>
    <row r="17" spans="1:54" ht="19.899999999999999" customHeight="1">
      <c r="A17" s="60" t="s">
        <v>13</v>
      </c>
      <c r="B17" s="524"/>
      <c r="C17" s="135" t="str">
        <f>IF(ISERR(B17/$B$11),"",B17/$B$11)</f>
        <v/>
      </c>
      <c r="D17" s="385"/>
      <c r="E17" s="133" t="str">
        <f>IF(ISERR(D17/$D$11),"",D17/$D$11)</f>
        <v/>
      </c>
      <c r="F17" s="384">
        <f>F14+F15-F16</f>
        <v>505999166</v>
      </c>
      <c r="G17" s="61">
        <f>IF(ISERR(F17/$F$11),"",F17/$F$11)</f>
        <v>0.87240777051916463</v>
      </c>
      <c r="H17" s="385">
        <f>H14+H15-H16</f>
        <v>2280958732</v>
      </c>
      <c r="I17" s="135">
        <f>IF(ISERR(H17/$H$11),"",H17/$H$11)</f>
        <v>0.86658543920548814</v>
      </c>
      <c r="J17" s="750">
        <f>J14+J15-J16</f>
        <v>611780</v>
      </c>
      <c r="K17" s="61">
        <f t="shared" si="20"/>
        <v>5.7459572703951051E-2</v>
      </c>
      <c r="L17" s="385">
        <f>L14+L15-L16</f>
        <v>2648356</v>
      </c>
      <c r="M17" s="135">
        <f t="shared" si="37"/>
        <v>5.7664854242060366E-2</v>
      </c>
      <c r="N17" s="411">
        <f>N14+N15-N16</f>
        <v>2001195</v>
      </c>
      <c r="O17" s="61">
        <f>IF(ISERR(N17/$N$11),"",N17/$N$11)</f>
        <v>6.3778167937909511E-2</v>
      </c>
      <c r="P17" s="385">
        <f>P14+P15-P16</f>
        <v>8895669</v>
      </c>
      <c r="Q17" s="207">
        <f>IF(ISERR(P17/$P$11),"",P17/$P$11)</f>
        <v>6.5130624011861718E-2</v>
      </c>
      <c r="R17" s="440">
        <f>R14+R15-R16</f>
        <v>0</v>
      </c>
      <c r="S17" s="61" t="str">
        <f>IF(ISERR(R17/$R$11),"",R17/$R$11)</f>
        <v/>
      </c>
      <c r="T17" s="385">
        <f>T14+T15-T16</f>
        <v>0</v>
      </c>
      <c r="U17" s="207" t="str">
        <f>IF(ISERR(T17/$T$11),"",T17/$T$11)</f>
        <v/>
      </c>
      <c r="V17" s="489">
        <f t="shared" si="21"/>
        <v>2001195</v>
      </c>
      <c r="W17" s="175">
        <f>IF(ISERR(V17/$V$11),"",V17/$V$11)</f>
        <v>6.3778167937909511E-2</v>
      </c>
      <c r="X17" s="423">
        <f t="shared" si="22"/>
        <v>8895669</v>
      </c>
      <c r="Y17" s="228">
        <f>IF(ISERR(X17/$X$11),"",X17/$X$11)</f>
        <v>6.5130624011861718E-2</v>
      </c>
      <c r="Z17" s="489">
        <f t="shared" si="23"/>
        <v>508612141</v>
      </c>
      <c r="AA17" s="192">
        <f>IF(ISERR(Z17/$Z$11),"",Z17/$Z$11)</f>
        <v>0.81766810334028639</v>
      </c>
      <c r="AB17" s="423">
        <f t="shared" si="24"/>
        <v>2292502757</v>
      </c>
      <c r="AC17" s="134">
        <f>IF(ISERR(AB17/$AB$11),"",AB17/$AB$11)</f>
        <v>0.81449501084407938</v>
      </c>
      <c r="AD17" s="384">
        <f>AD14+AD15-AD16</f>
        <v>251883340</v>
      </c>
      <c r="AE17" s="331">
        <f>IF(ISERR(AD17/$AD$11),"",AD17/$AD$11)</f>
        <v>0.91717961845629892</v>
      </c>
      <c r="AF17" s="385">
        <f>AF14+AF15-AF16</f>
        <v>1147919945</v>
      </c>
      <c r="AG17" s="330">
        <f>IF(ISERR(AF17/$AF$11),"",AF17/$AF$11)</f>
        <v>0.91311187204548538</v>
      </c>
      <c r="AH17" s="489">
        <f>AH14+AH15-AH16</f>
        <v>0</v>
      </c>
      <c r="AI17" s="194">
        <f t="shared" si="25"/>
        <v>0</v>
      </c>
      <c r="AJ17" s="385">
        <f>AJ14+AJ15-AJ16</f>
        <v>0</v>
      </c>
      <c r="AK17" s="103">
        <f t="shared" si="36"/>
        <v>0</v>
      </c>
      <c r="AL17" s="544">
        <f t="shared" si="26"/>
        <v>251883340</v>
      </c>
      <c r="AM17" s="317">
        <f>IF(ISERR(AL17/$AL$11),"",AL17/AL$11)</f>
        <v>0.88041791375591794</v>
      </c>
      <c r="AN17" s="536">
        <f t="shared" si="27"/>
        <v>1147919945</v>
      </c>
      <c r="AO17" s="134">
        <f>IF(ISERR(AN17/$AN$11),"",AN17/$AN$11)</f>
        <v>0.87712566008280313</v>
      </c>
      <c r="AP17" s="524">
        <f t="shared" si="28"/>
        <v>760495481</v>
      </c>
      <c r="AQ17" s="135">
        <f>IF(ISERR(AP17/$AP$11),"",AP17/$AP$11)</f>
        <v>0.83743681665472347</v>
      </c>
      <c r="AR17" s="516">
        <f t="shared" si="29"/>
        <v>3440422702</v>
      </c>
      <c r="AS17" s="134">
        <f>IF(ISERR(AR17/$AR$11),"",AR17/$AR$11)</f>
        <v>0.8343735948769615</v>
      </c>
      <c r="AT17" s="524">
        <f>AT14+AT15-AT16</f>
        <v>836204686</v>
      </c>
      <c r="AU17" s="135">
        <f t="shared" si="30"/>
        <v>0.82058978634986157</v>
      </c>
      <c r="AV17" s="596">
        <f>AV14+AV15-AV16</f>
        <v>3881294263</v>
      </c>
      <c r="AW17" s="134">
        <f t="shared" si="31"/>
        <v>0.83695042047471857</v>
      </c>
      <c r="AX17" s="524">
        <f t="shared" si="32"/>
        <v>-75709205</v>
      </c>
      <c r="AY17" s="135">
        <f t="shared" si="33"/>
        <v>0.90946091756295178</v>
      </c>
      <c r="AZ17" s="596">
        <f t="shared" si="34"/>
        <v>-440871561</v>
      </c>
      <c r="BA17" s="134">
        <f t="shared" si="35"/>
        <v>0.88641119917065148</v>
      </c>
      <c r="BB17" s="11"/>
    </row>
    <row r="18" spans="1:54" ht="19.899999999999999" customHeight="1">
      <c r="A18" s="55" t="s">
        <v>14</v>
      </c>
      <c r="B18" s="709"/>
      <c r="C18" s="138" t="str">
        <f>IF(ISERR(B18/$B$11),"",B18/$B$11)</f>
        <v/>
      </c>
      <c r="D18" s="376"/>
      <c r="E18" s="136" t="str">
        <f>IF(ISERR(D18/$D$11),"",D18/$D$11)</f>
        <v/>
      </c>
      <c r="F18" s="375">
        <f>F11-F17</f>
        <v>74003882</v>
      </c>
      <c r="G18" s="56">
        <f>IF(ISERR(F18/$F$11),"",F18/$F$11)</f>
        <v>0.12759222948083543</v>
      </c>
      <c r="H18" s="376">
        <f>H11-H17</f>
        <v>351163421</v>
      </c>
      <c r="I18" s="138">
        <f t="shared" si="19"/>
        <v>0.13341456079451189</v>
      </c>
      <c r="J18" s="374">
        <f>J11-J17</f>
        <v>10035358</v>
      </c>
      <c r="K18" s="56">
        <f t="shared" si="20"/>
        <v>0.94254042729604892</v>
      </c>
      <c r="L18" s="376">
        <f>L11-L17</f>
        <v>43278336</v>
      </c>
      <c r="M18" s="138">
        <f t="shared" si="37"/>
        <v>0.94233514575793964</v>
      </c>
      <c r="N18" s="412">
        <f>N11-N17</f>
        <v>29376235</v>
      </c>
      <c r="O18" s="56">
        <f>IF(ISERR(N18/$N$11),"",N18/$N$11)</f>
        <v>0.93622183206209053</v>
      </c>
      <c r="P18" s="376">
        <f>P11-P17</f>
        <v>127686302</v>
      </c>
      <c r="Q18" s="208">
        <f>IF(ISERR(P18/$P$11),"",P18/$P$11)</f>
        <v>0.93486937598813824</v>
      </c>
      <c r="R18" s="441">
        <f>R11-R17</f>
        <v>0</v>
      </c>
      <c r="S18" s="56" t="str">
        <f>IF(ISERR(R18/$R$11),"",R18/$R$11)</f>
        <v/>
      </c>
      <c r="T18" s="376">
        <f>T11-T17</f>
        <v>0</v>
      </c>
      <c r="U18" s="208" t="str">
        <f>IF(ISERR(T18/$T$11),"",T18/$T$11)</f>
        <v/>
      </c>
      <c r="V18" s="490">
        <f t="shared" si="21"/>
        <v>29376235</v>
      </c>
      <c r="W18" s="176">
        <f>IF(ISERR(V18/$V$11),"",V18/$V$11)</f>
        <v>0.93622183206209053</v>
      </c>
      <c r="X18" s="424">
        <f t="shared" si="22"/>
        <v>127686302</v>
      </c>
      <c r="Y18" s="229">
        <f>IF(ISERR(X18/$X$11),"",X18/$X$11)</f>
        <v>0.93486937598813824</v>
      </c>
      <c r="Z18" s="490">
        <f t="shared" si="23"/>
        <v>113415475</v>
      </c>
      <c r="AA18" s="193">
        <f>IF(ISERR(Z18/$Z$11),"",Z18/$Z$11)</f>
        <v>0.18233189665971358</v>
      </c>
      <c r="AB18" s="424">
        <f t="shared" si="24"/>
        <v>522128059</v>
      </c>
      <c r="AC18" s="137">
        <f>IF(ISERR(AB18/$AB$11),"",AB18/$AB$11)</f>
        <v>0.18550498915592062</v>
      </c>
      <c r="AD18" s="375">
        <f>AD11-AD17</f>
        <v>22744808</v>
      </c>
      <c r="AE18" s="56">
        <f>IF(ISERR(AD18/$AD$11),"",AD18/$AD$11)</f>
        <v>8.2820381543701055E-2</v>
      </c>
      <c r="AF18" s="376">
        <f>AF11-AF17</f>
        <v>109231539</v>
      </c>
      <c r="AG18" s="84">
        <f>IF(ISERR(AF18/$AF$11),"",AF18/$AF$11)</f>
        <v>8.6888127954514671E-2</v>
      </c>
      <c r="AH18" s="392">
        <f>AH11-AH17</f>
        <v>11467053</v>
      </c>
      <c r="AI18" s="176">
        <f t="shared" si="25"/>
        <v>1</v>
      </c>
      <c r="AJ18" s="376">
        <f>AJ11-AJ17</f>
        <v>51577695</v>
      </c>
      <c r="AK18" s="104">
        <f t="shared" si="36"/>
        <v>1</v>
      </c>
      <c r="AL18" s="545">
        <f t="shared" si="26"/>
        <v>34211861</v>
      </c>
      <c r="AM18" s="318">
        <f>IF(ISERR(AL18/$AL$11),"",AL18/AL$11)</f>
        <v>0.11958208624408209</v>
      </c>
      <c r="AN18" s="537">
        <f t="shared" si="27"/>
        <v>160809234</v>
      </c>
      <c r="AO18" s="137">
        <f>IF(ISERR(AN18/$AN$11),"",AN18/$AN$11)</f>
        <v>0.12287433991719687</v>
      </c>
      <c r="AP18" s="525">
        <f t="shared" si="28"/>
        <v>147627336</v>
      </c>
      <c r="AQ18" s="305">
        <f>IF(ISERR(AP18/$AP$11),"",AP18/$AP$11)</f>
        <v>0.16256318334527653</v>
      </c>
      <c r="AR18" s="517">
        <f t="shared" si="29"/>
        <v>682937293</v>
      </c>
      <c r="AS18" s="304">
        <f>IF(ISERR(AR18/$AR$11),"",AR18/$AR$11)</f>
        <v>0.1656264051230385</v>
      </c>
      <c r="AT18" s="582">
        <f>AT11-AT17</f>
        <v>182824188</v>
      </c>
      <c r="AU18" s="138">
        <f t="shared" si="30"/>
        <v>0.17941021365013843</v>
      </c>
      <c r="AV18" s="597">
        <f>AV11-AV17</f>
        <v>756130091</v>
      </c>
      <c r="AW18" s="137">
        <f t="shared" si="31"/>
        <v>0.16304957952528146</v>
      </c>
      <c r="AX18" s="582">
        <f t="shared" si="32"/>
        <v>-35196852</v>
      </c>
      <c r="AY18" s="138">
        <f t="shared" si="33"/>
        <v>0.80748251976374152</v>
      </c>
      <c r="AZ18" s="597">
        <f t="shared" si="34"/>
        <v>-73192798</v>
      </c>
      <c r="BA18" s="137">
        <f t="shared" si="35"/>
        <v>0.90320078664876202</v>
      </c>
      <c r="BB18" s="13"/>
    </row>
    <row r="19" spans="1:54" ht="15.95" customHeight="1">
      <c r="A19" s="37" t="s">
        <v>15</v>
      </c>
      <c r="B19" s="702">
        <f>[5]本部!$I$19</f>
        <v>5756800</v>
      </c>
      <c r="C19" s="258" t="str">
        <f t="shared" ref="C19:C69" si="38">IF(ISERR(B19/$B$11),"",B19/$B$11)</f>
        <v/>
      </c>
      <c r="D19" s="727">
        <f>[5]本部!$L$19</f>
        <v>28784000</v>
      </c>
      <c r="E19" s="118" t="str">
        <f t="shared" ref="E19:E69" si="39">IF(ISERR(D19/$D$11),"",D19/$D$11)</f>
        <v/>
      </c>
      <c r="F19" s="351">
        <f>[5]本社営業!$I$19</f>
        <v>10304391</v>
      </c>
      <c r="G19" s="7">
        <f t="shared" ref="G19:G69" si="40">IF(ISERR(F19/$F$11),"",F19/$F$11)</f>
        <v>1.7766098015402153E-2</v>
      </c>
      <c r="H19" s="361">
        <f>[5]本社営業!$L$19</f>
        <v>51263429</v>
      </c>
      <c r="I19" s="120">
        <f t="shared" si="19"/>
        <v>1.9476082803213276E-2</v>
      </c>
      <c r="J19" s="744">
        <f>[5]東大阪!$I$19</f>
        <v>3933930</v>
      </c>
      <c r="K19" s="7">
        <f t="shared" si="20"/>
        <v>0.36948239047901887</v>
      </c>
      <c r="L19" s="361">
        <f>[5]東大阪!$L$19</f>
        <v>17153690</v>
      </c>
      <c r="M19" s="120">
        <f t="shared" si="37"/>
        <v>0.373501535882445</v>
      </c>
      <c r="N19" s="402">
        <f>[5]南港工場!$I$19</f>
        <v>7126207</v>
      </c>
      <c r="O19" s="7">
        <f t="shared" ref="O19:O69" si="41">IF(ISERR(N19/$N$11),"",N19/$N$11)</f>
        <v>0.22711251367623161</v>
      </c>
      <c r="P19" s="361">
        <f>[5]南港工場!$L$19</f>
        <v>35559448</v>
      </c>
      <c r="Q19" s="203">
        <f t="shared" ref="Q19:Q69" si="42">IF(ISERR(P19/$P$11),"",P19/$P$11)</f>
        <v>0.26035242967755973</v>
      </c>
      <c r="R19" s="436">
        <f>[5]南港事務!$I$19</f>
        <v>2815979</v>
      </c>
      <c r="S19" s="7" t="str">
        <f t="shared" ref="S19:S69" si="43">IF(ISERR(R19/$R$11),"",R19/$R$11)</f>
        <v/>
      </c>
      <c r="T19" s="361">
        <f>[5]南港事務!$L$19</f>
        <v>13962076</v>
      </c>
      <c r="U19" s="203" t="str">
        <f t="shared" ref="U19:U69" si="44">IF(ISERR(T19/$T$11),"",T19/$T$11)</f>
        <v/>
      </c>
      <c r="V19" s="455">
        <f t="shared" si="21"/>
        <v>9942186</v>
      </c>
      <c r="W19" s="174">
        <f t="shared" ref="W19:W69" si="45">IF(ISERR(V19/$V$11),"",V19/$V$11)</f>
        <v>0.31685788160470757</v>
      </c>
      <c r="X19" s="425">
        <f t="shared" si="22"/>
        <v>49521524</v>
      </c>
      <c r="Y19" s="224">
        <f t="shared" ref="Y19:Y69" si="46">IF(ISERR(X19/$X$11),"",X19/$X$11)</f>
        <v>0.36257731263813731</v>
      </c>
      <c r="Z19" s="459">
        <f t="shared" si="23"/>
        <v>24180507</v>
      </c>
      <c r="AA19" s="188">
        <f t="shared" ref="AA19:AA69" si="47">IF(ISERR(Z19/$Z$11),"",Z19/$Z$11)</f>
        <v>3.8873687241564529E-2</v>
      </c>
      <c r="AB19" s="563">
        <f t="shared" si="24"/>
        <v>117938643</v>
      </c>
      <c r="AC19" s="119">
        <f t="shared" ref="AC19:AC69" si="48">IF(ISERR(AB19/$AB$11),"",AB19/$AB$11)</f>
        <v>4.190199379953069E-2</v>
      </c>
      <c r="AD19" s="351">
        <f>[5]東京事務!$I$19</f>
        <v>3771585</v>
      </c>
      <c r="AE19" s="7">
        <f t="shared" ref="AE19:AE69" si="49">IF(ISERR(AD19/$AD$11),"",AD19/$AD$11)</f>
        <v>1.3733424732558732E-2</v>
      </c>
      <c r="AF19" s="361">
        <f>[5]東京事務!$L$19</f>
        <v>20128799</v>
      </c>
      <c r="AG19" s="80">
        <f t="shared" ref="AG19:AG69" si="50">IF(ISERR(AF19/$AF$11),"",AF19/$AF$11)</f>
        <v>1.6011434784258663E-2</v>
      </c>
      <c r="AH19" s="387">
        <f>[5]東京工場!$I$19</f>
        <v>4519007</v>
      </c>
      <c r="AI19" s="174">
        <f t="shared" si="25"/>
        <v>0.39408617017816172</v>
      </c>
      <c r="AJ19" s="361">
        <f>[5]東京工場!$L$19</f>
        <v>22063453</v>
      </c>
      <c r="AK19" s="102">
        <f t="shared" si="36"/>
        <v>0.42777121001626767</v>
      </c>
      <c r="AL19" s="546">
        <f t="shared" si="26"/>
        <v>8290592</v>
      </c>
      <c r="AM19" s="313">
        <f t="shared" ref="AM19:AM67" si="51">IF(ISERR(AL19/$AL$11),"",AL19/AL$11)</f>
        <v>2.8978437845240193E-2</v>
      </c>
      <c r="AN19" s="477">
        <f t="shared" si="27"/>
        <v>42192252</v>
      </c>
      <c r="AO19" s="119">
        <f t="shared" ref="AO19:AO69" si="52">IF(ISERR(AN19/$AN$11),"",AN19/$AN$11)</f>
        <v>3.22391008598426E-2</v>
      </c>
      <c r="AP19" s="526">
        <f t="shared" si="28"/>
        <v>38227899</v>
      </c>
      <c r="AQ19" s="282">
        <f t="shared" ref="AQ19:AQ69" si="53">IF(ISERR(AP19/$AP$11),"",AP19/$AP$11)</f>
        <v>4.2095516470213298E-2</v>
      </c>
      <c r="AR19" s="486">
        <f t="shared" si="29"/>
        <v>188914895</v>
      </c>
      <c r="AS19" s="283">
        <f t="shared" ref="AS19:AS69" si="54">IF(ISERR(AR19/$AR$11),"",AR19/$AR$11)</f>
        <v>4.5815765596280422E-2</v>
      </c>
      <c r="AT19" s="583">
        <f>[5]全社合計!$G$19</f>
        <v>38487868</v>
      </c>
      <c r="AU19" s="120">
        <f t="shared" si="30"/>
        <v>3.7769163349536256E-2</v>
      </c>
      <c r="AV19" s="577">
        <f>[5]全社合計!$N$19</f>
        <v>185730398</v>
      </c>
      <c r="AW19" s="121">
        <f t="shared" si="31"/>
        <v>4.0050334802722694E-2</v>
      </c>
      <c r="AX19" s="583">
        <f t="shared" si="32"/>
        <v>-259969</v>
      </c>
      <c r="AY19" s="120">
        <f t="shared" si="33"/>
        <v>0.99324542996250142</v>
      </c>
      <c r="AZ19" s="577">
        <f t="shared" si="34"/>
        <v>3184497</v>
      </c>
      <c r="BA19" s="121">
        <f t="shared" si="35"/>
        <v>1.0171458039948851</v>
      </c>
      <c r="BB19" s="11"/>
    </row>
    <row r="20" spans="1:54" ht="15.95" customHeight="1">
      <c r="A20" s="37" t="s">
        <v>16</v>
      </c>
      <c r="B20" s="703">
        <f>[5]本部!$I$20</f>
        <v>56110</v>
      </c>
      <c r="C20" s="259" t="str">
        <f t="shared" si="38"/>
        <v/>
      </c>
      <c r="D20" s="728">
        <f>[5]本部!$L$20</f>
        <v>280550</v>
      </c>
      <c r="E20" s="122" t="str">
        <f t="shared" si="39"/>
        <v/>
      </c>
      <c r="F20" s="352">
        <f>[5]本社営業!$I$20</f>
        <v>259440</v>
      </c>
      <c r="G20" s="9">
        <f t="shared" si="40"/>
        <v>4.4730799414695489E-4</v>
      </c>
      <c r="H20" s="362">
        <f>[5]本社営業!$L$20</f>
        <v>988146</v>
      </c>
      <c r="I20" s="124">
        <f t="shared" si="19"/>
        <v>3.7541798691741797E-4</v>
      </c>
      <c r="J20" s="745">
        <f>[5]東大阪!$I$20</f>
        <v>163642</v>
      </c>
      <c r="K20" s="9">
        <f t="shared" si="20"/>
        <v>1.5369576312432505E-2</v>
      </c>
      <c r="L20" s="362">
        <f>[5]東大阪!$L$20</f>
        <v>818210</v>
      </c>
      <c r="M20" s="124">
        <f t="shared" si="37"/>
        <v>1.7815565728095548E-2</v>
      </c>
      <c r="N20" s="403">
        <f>[5]南港工場!$I$20</f>
        <v>241330</v>
      </c>
      <c r="O20" s="9">
        <f t="shared" si="41"/>
        <v>7.69119714393435E-3</v>
      </c>
      <c r="P20" s="362">
        <f>[5]南港工場!$L$20</f>
        <v>1206650</v>
      </c>
      <c r="Q20" s="204">
        <f t="shared" si="42"/>
        <v>8.8346213718060937E-3</v>
      </c>
      <c r="R20" s="437">
        <f>[5]南港事務!$I$20</f>
        <v>88532</v>
      </c>
      <c r="S20" s="9" t="str">
        <f t="shared" si="43"/>
        <v/>
      </c>
      <c r="T20" s="362">
        <f>[5]南港事務!$L$20</f>
        <v>442660</v>
      </c>
      <c r="U20" s="204" t="str">
        <f t="shared" si="44"/>
        <v/>
      </c>
      <c r="V20" s="456">
        <f t="shared" si="21"/>
        <v>329862</v>
      </c>
      <c r="W20" s="171">
        <f t="shared" si="45"/>
        <v>1.0512715668555392E-2</v>
      </c>
      <c r="X20" s="426">
        <f t="shared" si="22"/>
        <v>1649310</v>
      </c>
      <c r="Y20" s="225">
        <f t="shared" si="46"/>
        <v>1.207560549847388E-2</v>
      </c>
      <c r="Z20" s="460">
        <f t="shared" si="23"/>
        <v>752944</v>
      </c>
      <c r="AA20" s="189">
        <f t="shared" si="47"/>
        <v>1.2104671571366375E-3</v>
      </c>
      <c r="AB20" s="564">
        <f t="shared" si="24"/>
        <v>3455666</v>
      </c>
      <c r="AC20" s="123">
        <f t="shared" si="48"/>
        <v>1.2277510714215104E-3</v>
      </c>
      <c r="AD20" s="352">
        <f>[5]東京事務!$I$20</f>
        <v>86532</v>
      </c>
      <c r="AE20" s="9">
        <f t="shared" si="49"/>
        <v>3.1508787657119549E-4</v>
      </c>
      <c r="AF20" s="362">
        <f>[5]東京事務!$L$20</f>
        <v>517926</v>
      </c>
      <c r="AG20" s="81">
        <f t="shared" si="50"/>
        <v>4.1198376376414475E-4</v>
      </c>
      <c r="AH20" s="388">
        <f>[5]東京工場!$I$20</f>
        <v>121220</v>
      </c>
      <c r="AI20" s="171">
        <f t="shared" si="25"/>
        <v>1.0571155466012061E-2</v>
      </c>
      <c r="AJ20" s="362">
        <f>[5]東京工場!$L$20</f>
        <v>562366</v>
      </c>
      <c r="AK20" s="99">
        <f t="shared" si="36"/>
        <v>1.0903279024004465E-2</v>
      </c>
      <c r="AL20" s="547">
        <f t="shared" si="26"/>
        <v>207752</v>
      </c>
      <c r="AM20" s="314">
        <f t="shared" si="51"/>
        <v>7.2616387577923759E-4</v>
      </c>
      <c r="AN20" s="478">
        <f t="shared" si="27"/>
        <v>1080292</v>
      </c>
      <c r="AO20" s="123">
        <f t="shared" si="52"/>
        <v>8.2545114553451851E-4</v>
      </c>
      <c r="AP20" s="527">
        <f t="shared" si="28"/>
        <v>1016806</v>
      </c>
      <c r="AQ20" s="284">
        <f t="shared" si="53"/>
        <v>1.1196789475668466E-3</v>
      </c>
      <c r="AR20" s="487">
        <f t="shared" si="29"/>
        <v>4816508</v>
      </c>
      <c r="AS20" s="285">
        <f t="shared" si="54"/>
        <v>1.1681027137675376E-3</v>
      </c>
      <c r="AT20" s="584">
        <f>[5]全社合計!$G$20</f>
        <v>1046228</v>
      </c>
      <c r="AU20" s="124">
        <f t="shared" si="30"/>
        <v>1.0266912220977949E-3</v>
      </c>
      <c r="AV20" s="578">
        <f>[5]全社合計!$N$20</f>
        <v>5305540</v>
      </c>
      <c r="AW20" s="125">
        <f t="shared" si="31"/>
        <v>1.1440704138761246E-3</v>
      </c>
      <c r="AX20" s="584">
        <f t="shared" si="32"/>
        <v>-29422</v>
      </c>
      <c r="AY20" s="124">
        <f t="shared" si="33"/>
        <v>0.97187802276368063</v>
      </c>
      <c r="AZ20" s="578">
        <f t="shared" si="34"/>
        <v>-489032</v>
      </c>
      <c r="BA20" s="125">
        <f t="shared" si="35"/>
        <v>0.90782615907146114</v>
      </c>
      <c r="BB20" s="11"/>
    </row>
    <row r="21" spans="1:54" ht="15.95" customHeight="1">
      <c r="A21" s="37" t="s">
        <v>17</v>
      </c>
      <c r="B21" s="703">
        <f>[5]本部!$I$21</f>
        <v>0</v>
      </c>
      <c r="C21" s="259" t="str">
        <f t="shared" si="38"/>
        <v/>
      </c>
      <c r="D21" s="728">
        <f>[5]本部!$L$21</f>
        <v>0</v>
      </c>
      <c r="E21" s="122" t="str">
        <f t="shared" si="39"/>
        <v/>
      </c>
      <c r="F21" s="352">
        <f>[5]本社営業!$I$21</f>
        <v>0</v>
      </c>
      <c r="G21" s="9">
        <f t="shared" si="40"/>
        <v>0</v>
      </c>
      <c r="H21" s="362">
        <f>[5]本社営業!$L$21</f>
        <v>0</v>
      </c>
      <c r="I21" s="124">
        <f t="shared" si="19"/>
        <v>0</v>
      </c>
      <c r="J21" s="745">
        <f>[5]東大阪!$I$21</f>
        <v>0</v>
      </c>
      <c r="K21" s="9">
        <f t="shared" si="20"/>
        <v>0</v>
      </c>
      <c r="L21" s="362">
        <f>[5]東大阪!$L$21</f>
        <v>0</v>
      </c>
      <c r="M21" s="124">
        <f t="shared" si="37"/>
        <v>0</v>
      </c>
      <c r="N21" s="403">
        <f>[5]南港工場!$I$21</f>
        <v>0</v>
      </c>
      <c r="O21" s="9">
        <f t="shared" si="41"/>
        <v>0</v>
      </c>
      <c r="P21" s="362">
        <f>[5]南港工場!$L$21</f>
        <v>0</v>
      </c>
      <c r="Q21" s="204">
        <f t="shared" si="42"/>
        <v>0</v>
      </c>
      <c r="R21" s="437">
        <f>[5]南港事務!$I$21</f>
        <v>0</v>
      </c>
      <c r="S21" s="9" t="str">
        <f t="shared" si="43"/>
        <v/>
      </c>
      <c r="T21" s="362">
        <f>[5]南港事務!$L$21</f>
        <v>0</v>
      </c>
      <c r="U21" s="204" t="str">
        <f t="shared" si="44"/>
        <v/>
      </c>
      <c r="V21" s="456">
        <f t="shared" si="21"/>
        <v>0</v>
      </c>
      <c r="W21" s="171">
        <f t="shared" si="45"/>
        <v>0</v>
      </c>
      <c r="X21" s="426">
        <f t="shared" si="22"/>
        <v>0</v>
      </c>
      <c r="Y21" s="225">
        <f t="shared" si="46"/>
        <v>0</v>
      </c>
      <c r="Z21" s="460">
        <f t="shared" si="23"/>
        <v>0</v>
      </c>
      <c r="AA21" s="189">
        <f t="shared" si="47"/>
        <v>0</v>
      </c>
      <c r="AB21" s="564">
        <f t="shared" si="24"/>
        <v>0</v>
      </c>
      <c r="AC21" s="123">
        <f t="shared" si="48"/>
        <v>0</v>
      </c>
      <c r="AD21" s="352">
        <f>[5]東京事務!$I$21</f>
        <v>0</v>
      </c>
      <c r="AE21" s="9">
        <f t="shared" si="49"/>
        <v>0</v>
      </c>
      <c r="AF21" s="362">
        <f>[5]東京事務!$L$21</f>
        <v>0</v>
      </c>
      <c r="AG21" s="81">
        <f t="shared" si="50"/>
        <v>0</v>
      </c>
      <c r="AH21" s="388">
        <f>[5]東京工場!$I$21</f>
        <v>0</v>
      </c>
      <c r="AI21" s="171">
        <f t="shared" si="25"/>
        <v>0</v>
      </c>
      <c r="AJ21" s="362">
        <f>[5]東京工場!$L$21</f>
        <v>0</v>
      </c>
      <c r="AK21" s="99">
        <f t="shared" si="36"/>
        <v>0</v>
      </c>
      <c r="AL21" s="547">
        <f t="shared" si="26"/>
        <v>0</v>
      </c>
      <c r="AM21" s="314">
        <f t="shared" si="51"/>
        <v>0</v>
      </c>
      <c r="AN21" s="478">
        <f t="shared" si="27"/>
        <v>0</v>
      </c>
      <c r="AO21" s="123">
        <f t="shared" si="52"/>
        <v>0</v>
      </c>
      <c r="AP21" s="527">
        <f t="shared" si="28"/>
        <v>0</v>
      </c>
      <c r="AQ21" s="284">
        <f t="shared" si="53"/>
        <v>0</v>
      </c>
      <c r="AR21" s="487">
        <f t="shared" si="29"/>
        <v>0</v>
      </c>
      <c r="AS21" s="285">
        <f t="shared" si="54"/>
        <v>0</v>
      </c>
      <c r="AT21" s="584">
        <f>[5]全社合計!$G$21</f>
        <v>0</v>
      </c>
      <c r="AU21" s="124">
        <f t="shared" si="30"/>
        <v>0</v>
      </c>
      <c r="AV21" s="578">
        <f>[5]全社合計!$N$21</f>
        <v>2035207</v>
      </c>
      <c r="AW21" s="125">
        <f t="shared" si="31"/>
        <v>4.3886581098504321E-4</v>
      </c>
      <c r="AX21" s="584">
        <f t="shared" si="32"/>
        <v>0</v>
      </c>
      <c r="AY21" s="124" t="str">
        <f t="shared" si="33"/>
        <v/>
      </c>
      <c r="AZ21" s="578">
        <f t="shared" si="34"/>
        <v>-2035207</v>
      </c>
      <c r="BA21" s="125">
        <f t="shared" si="35"/>
        <v>0</v>
      </c>
      <c r="BB21" s="11"/>
    </row>
    <row r="22" spans="1:54" ht="15.95" customHeight="1">
      <c r="A22" s="37" t="s">
        <v>18</v>
      </c>
      <c r="B22" s="703">
        <f>[5]本部!$I$22</f>
        <v>361534</v>
      </c>
      <c r="C22" s="259" t="str">
        <f t="shared" si="38"/>
        <v/>
      </c>
      <c r="D22" s="728">
        <f>[5]本部!$L$22</f>
        <v>2101176</v>
      </c>
      <c r="E22" s="122" t="str">
        <f t="shared" si="39"/>
        <v/>
      </c>
      <c r="F22" s="352">
        <f>[5]本社営業!$I$22</f>
        <v>1177272</v>
      </c>
      <c r="G22" s="9">
        <f t="shared" si="40"/>
        <v>2.0297686435606457E-3</v>
      </c>
      <c r="H22" s="362">
        <f>[5]本社営業!$L$22</f>
        <v>7305505</v>
      </c>
      <c r="I22" s="124">
        <f t="shared" si="19"/>
        <v>2.7755189825340908E-3</v>
      </c>
      <c r="J22" s="745">
        <f>[5]東大阪!$I$22</f>
        <v>669138</v>
      </c>
      <c r="K22" s="9">
        <f t="shared" si="20"/>
        <v>6.2846748112027853E-2</v>
      </c>
      <c r="L22" s="362">
        <f>[5]東大阪!$L$22</f>
        <v>4618300</v>
      </c>
      <c r="M22" s="124">
        <f t="shared" si="37"/>
        <v>0.10055808069085402</v>
      </c>
      <c r="N22" s="403">
        <f>[5]南港工場!$I$22</f>
        <v>887604</v>
      </c>
      <c r="O22" s="9">
        <f t="shared" si="41"/>
        <v>2.8287976421268408E-2</v>
      </c>
      <c r="P22" s="362">
        <f>[5]南港工場!$L$22</f>
        <v>6353870</v>
      </c>
      <c r="Q22" s="204">
        <f t="shared" si="42"/>
        <v>4.6520561634009513E-2</v>
      </c>
      <c r="R22" s="437">
        <f>[5]南港事務!$I$22</f>
        <v>370086</v>
      </c>
      <c r="S22" s="9" t="str">
        <f t="shared" si="43"/>
        <v/>
      </c>
      <c r="T22" s="362">
        <f>[5]南港事務!$L$22</f>
        <v>2567153</v>
      </c>
      <c r="U22" s="204" t="str">
        <f t="shared" si="44"/>
        <v/>
      </c>
      <c r="V22" s="456">
        <f t="shared" si="21"/>
        <v>1257690</v>
      </c>
      <c r="W22" s="171">
        <f t="shared" si="45"/>
        <v>4.0082632643909967E-2</v>
      </c>
      <c r="X22" s="426">
        <f t="shared" si="22"/>
        <v>8921023</v>
      </c>
      <c r="Y22" s="225">
        <f t="shared" si="46"/>
        <v>6.5316256125781055E-2</v>
      </c>
      <c r="Z22" s="460">
        <f t="shared" si="23"/>
        <v>3104100</v>
      </c>
      <c r="AA22" s="189">
        <f t="shared" si="47"/>
        <v>4.9902929068666941E-3</v>
      </c>
      <c r="AB22" s="564">
        <f t="shared" si="24"/>
        <v>20844828</v>
      </c>
      <c r="AC22" s="123">
        <f t="shared" si="48"/>
        <v>7.4058835288471452E-3</v>
      </c>
      <c r="AD22" s="352">
        <f>[5]東京事務!$I$22</f>
        <v>458706</v>
      </c>
      <c r="AE22" s="9">
        <f t="shared" si="49"/>
        <v>1.6702803530539777E-3</v>
      </c>
      <c r="AF22" s="362">
        <f>[5]東京事務!$L$22</f>
        <v>3241645</v>
      </c>
      <c r="AG22" s="81">
        <f t="shared" si="50"/>
        <v>2.5785635551936396E-3</v>
      </c>
      <c r="AH22" s="388">
        <f>[5]東京工場!$I$22</f>
        <v>497412</v>
      </c>
      <c r="AI22" s="171">
        <f t="shared" si="25"/>
        <v>4.3377492019963632E-2</v>
      </c>
      <c r="AJ22" s="362">
        <f>[5]東京工場!$L$22</f>
        <v>3758727</v>
      </c>
      <c r="AK22" s="99">
        <f t="shared" si="36"/>
        <v>7.2875048022211925E-2</v>
      </c>
      <c r="AL22" s="547">
        <f t="shared" si="26"/>
        <v>956118</v>
      </c>
      <c r="AM22" s="314">
        <f t="shared" si="51"/>
        <v>3.3419574905767121E-3</v>
      </c>
      <c r="AN22" s="478">
        <f t="shared" si="27"/>
        <v>7000372</v>
      </c>
      <c r="AO22" s="123">
        <f t="shared" si="52"/>
        <v>5.3489844288097744E-3</v>
      </c>
      <c r="AP22" s="527">
        <f t="shared" si="28"/>
        <v>4421752</v>
      </c>
      <c r="AQ22" s="284">
        <f t="shared" si="53"/>
        <v>4.8691123240437199E-3</v>
      </c>
      <c r="AR22" s="487">
        <f t="shared" si="29"/>
        <v>29946376</v>
      </c>
      <c r="AS22" s="285">
        <f t="shared" si="54"/>
        <v>7.2626149636008195E-3</v>
      </c>
      <c r="AT22" s="584">
        <f>[5]全社合計!$G$22</f>
        <v>4280882</v>
      </c>
      <c r="AU22" s="124">
        <f t="shared" si="30"/>
        <v>4.2009427889871552E-3</v>
      </c>
      <c r="AV22" s="578">
        <f>[5]全社合計!$N$22</f>
        <v>28012074</v>
      </c>
      <c r="AW22" s="125">
        <f t="shared" si="31"/>
        <v>6.0404379374594539E-3</v>
      </c>
      <c r="AX22" s="584">
        <f t="shared" si="32"/>
        <v>140870</v>
      </c>
      <c r="AY22" s="124">
        <f t="shared" si="33"/>
        <v>1.0329067701468997</v>
      </c>
      <c r="AZ22" s="578">
        <f t="shared" si="34"/>
        <v>1934302</v>
      </c>
      <c r="BA22" s="125">
        <f t="shared" si="35"/>
        <v>1.0690524378880335</v>
      </c>
      <c r="BB22" s="11"/>
    </row>
    <row r="23" spans="1:54" ht="15.95" customHeight="1">
      <c r="A23" s="37" t="s">
        <v>19</v>
      </c>
      <c r="B23" s="703">
        <f>[5]本部!$I$23</f>
        <v>760041</v>
      </c>
      <c r="C23" s="259" t="str">
        <f t="shared" si="38"/>
        <v/>
      </c>
      <c r="D23" s="728">
        <f>[5]本部!$L$23</f>
        <v>2909818</v>
      </c>
      <c r="E23" s="122" t="str">
        <f t="shared" si="39"/>
        <v/>
      </c>
      <c r="F23" s="352">
        <f>[5]本社営業!$I$23</f>
        <v>428441</v>
      </c>
      <c r="G23" s="9">
        <f t="shared" si="40"/>
        <v>7.3868749738018622E-4</v>
      </c>
      <c r="H23" s="362">
        <f>[5]本社営業!$L$23</f>
        <v>1853545</v>
      </c>
      <c r="I23" s="124">
        <f t="shared" si="19"/>
        <v>7.0420173998664716E-4</v>
      </c>
      <c r="J23" s="745">
        <f>[5]東大阪!$I$23</f>
        <v>100790</v>
      </c>
      <c r="K23" s="9">
        <f t="shared" si="20"/>
        <v>9.4663936919010538E-3</v>
      </c>
      <c r="L23" s="362">
        <f>[5]東大阪!$L$23</f>
        <v>468871</v>
      </c>
      <c r="M23" s="124">
        <f t="shared" si="37"/>
        <v>1.0209117608557567E-2</v>
      </c>
      <c r="N23" s="403">
        <f>[5]南港工場!$I$23</f>
        <v>72777</v>
      </c>
      <c r="O23" s="9">
        <f t="shared" si="41"/>
        <v>2.31940601891232E-3</v>
      </c>
      <c r="P23" s="362">
        <f>[5]南港工場!$L$23</f>
        <v>452199</v>
      </c>
      <c r="Q23" s="204">
        <f t="shared" si="42"/>
        <v>3.3108249697172696E-3</v>
      </c>
      <c r="R23" s="437">
        <f>[5]南港事務!$I$23</f>
        <v>64603</v>
      </c>
      <c r="S23" s="9" t="str">
        <f t="shared" si="43"/>
        <v/>
      </c>
      <c r="T23" s="362">
        <f>[5]南港事務!$L$23</f>
        <v>356800</v>
      </c>
      <c r="U23" s="204" t="str">
        <f t="shared" si="44"/>
        <v/>
      </c>
      <c r="V23" s="456">
        <f t="shared" si="21"/>
        <v>137380</v>
      </c>
      <c r="W23" s="171">
        <f t="shared" si="45"/>
        <v>4.3783063176302201E-3</v>
      </c>
      <c r="X23" s="426">
        <f t="shared" si="22"/>
        <v>808999</v>
      </c>
      <c r="Y23" s="225">
        <f t="shared" si="46"/>
        <v>5.9231756144447496E-3</v>
      </c>
      <c r="Z23" s="460">
        <f t="shared" si="23"/>
        <v>666611</v>
      </c>
      <c r="AA23" s="189">
        <f t="shared" si="47"/>
        <v>1.0716742839919184E-3</v>
      </c>
      <c r="AB23" s="564">
        <f t="shared" si="24"/>
        <v>3131415</v>
      </c>
      <c r="AC23" s="123">
        <f t="shared" si="48"/>
        <v>1.1125491066889535E-3</v>
      </c>
      <c r="AD23" s="352">
        <f>[5]東京事務!$I$23</f>
        <v>68156</v>
      </c>
      <c r="AE23" s="9">
        <f t="shared" si="49"/>
        <v>2.4817558031232836E-4</v>
      </c>
      <c r="AF23" s="362">
        <f>[5]東京事務!$L$23</f>
        <v>358236</v>
      </c>
      <c r="AG23" s="81">
        <f t="shared" si="50"/>
        <v>2.8495849908251791E-4</v>
      </c>
      <c r="AH23" s="388">
        <f>[5]東京工場!$I$23</f>
        <v>84325</v>
      </c>
      <c r="AI23" s="171">
        <f t="shared" si="25"/>
        <v>7.3536766595567321E-3</v>
      </c>
      <c r="AJ23" s="362">
        <f>[5]東京工場!$L$23</f>
        <v>394220</v>
      </c>
      <c r="AK23" s="99">
        <f t="shared" si="36"/>
        <v>7.6432263985430132E-3</v>
      </c>
      <c r="AL23" s="547">
        <f t="shared" si="26"/>
        <v>152481</v>
      </c>
      <c r="AM23" s="314">
        <f t="shared" si="51"/>
        <v>5.3297293861283605E-4</v>
      </c>
      <c r="AN23" s="478">
        <f t="shared" si="27"/>
        <v>752456</v>
      </c>
      <c r="AO23" s="123">
        <f t="shared" si="52"/>
        <v>5.7495164933584776E-4</v>
      </c>
      <c r="AP23" s="527">
        <f t="shared" si="28"/>
        <v>1579133</v>
      </c>
      <c r="AQ23" s="284">
        <f t="shared" si="53"/>
        <v>1.7388980547991231E-3</v>
      </c>
      <c r="AR23" s="487">
        <f t="shared" si="29"/>
        <v>6793689</v>
      </c>
      <c r="AS23" s="285">
        <f t="shared" si="54"/>
        <v>1.6476099608663929E-3</v>
      </c>
      <c r="AT23" s="584">
        <f>[5]全社合計!$G$23</f>
        <v>1519209</v>
      </c>
      <c r="AU23" s="124">
        <f t="shared" si="30"/>
        <v>1.4908399936074824E-3</v>
      </c>
      <c r="AV23" s="578">
        <f>[5]全社合計!$N$23</f>
        <v>6529021</v>
      </c>
      <c r="AW23" s="125">
        <f t="shared" si="31"/>
        <v>1.4078981136087768E-3</v>
      </c>
      <c r="AX23" s="584">
        <f t="shared" si="32"/>
        <v>59924</v>
      </c>
      <c r="AY23" s="124">
        <f t="shared" si="33"/>
        <v>1.03944421077021</v>
      </c>
      <c r="AZ23" s="578">
        <f t="shared" si="34"/>
        <v>264668</v>
      </c>
      <c r="BA23" s="125">
        <f t="shared" si="35"/>
        <v>1.0405371647602297</v>
      </c>
      <c r="BB23" s="11"/>
    </row>
    <row r="24" spans="1:54" ht="15.95" customHeight="1">
      <c r="A24" s="37" t="s">
        <v>20</v>
      </c>
      <c r="B24" s="703">
        <f>[5]本部!$I$24</f>
        <v>45000</v>
      </c>
      <c r="C24" s="259" t="str">
        <f t="shared" si="38"/>
        <v/>
      </c>
      <c r="D24" s="728">
        <f>[5]本部!$L$24</f>
        <v>225000</v>
      </c>
      <c r="E24" s="122" t="str">
        <f t="shared" si="39"/>
        <v/>
      </c>
      <c r="F24" s="352">
        <f>[5]本社営業!$I$24</f>
        <v>181650</v>
      </c>
      <c r="G24" s="9">
        <f t="shared" si="40"/>
        <v>3.131880093154269E-4</v>
      </c>
      <c r="H24" s="362">
        <f>[5]本社営業!$L$24</f>
        <v>1580250</v>
      </c>
      <c r="I24" s="124">
        <f t="shared" si="19"/>
        <v>6.0037107251990061E-4</v>
      </c>
      <c r="J24" s="745">
        <f>[5]東大阪!$I$24</f>
        <v>96410</v>
      </c>
      <c r="K24" s="9">
        <f t="shared" si="20"/>
        <v>9.0550155356303261E-3</v>
      </c>
      <c r="L24" s="362">
        <f>[5]東大阪!$L$24</f>
        <v>482050</v>
      </c>
      <c r="M24" s="124">
        <f t="shared" si="37"/>
        <v>1.0496074918698695E-2</v>
      </c>
      <c r="N24" s="403">
        <f>[5]南港工場!$I$24</f>
        <v>28600</v>
      </c>
      <c r="O24" s="9">
        <f t="shared" si="41"/>
        <v>9.1148319030589825E-4</v>
      </c>
      <c r="P24" s="362">
        <f>[5]南港工場!$L$24</f>
        <v>143000</v>
      </c>
      <c r="Q24" s="204">
        <f t="shared" si="42"/>
        <v>1.0469903088453747E-3</v>
      </c>
      <c r="R24" s="437">
        <f>[5]南港事務!$I$24</f>
        <v>0</v>
      </c>
      <c r="S24" s="9" t="str">
        <f t="shared" si="43"/>
        <v/>
      </c>
      <c r="T24" s="362">
        <f>[5]南港事務!$L$24</f>
        <v>0</v>
      </c>
      <c r="U24" s="204" t="str">
        <f t="shared" si="44"/>
        <v/>
      </c>
      <c r="V24" s="456">
        <f t="shared" si="21"/>
        <v>28600</v>
      </c>
      <c r="W24" s="171">
        <f t="shared" si="45"/>
        <v>9.1148319030589825E-4</v>
      </c>
      <c r="X24" s="426">
        <f t="shared" si="22"/>
        <v>143000</v>
      </c>
      <c r="Y24" s="225">
        <f t="shared" si="46"/>
        <v>1.0469903088453747E-3</v>
      </c>
      <c r="Z24" s="460">
        <f t="shared" si="23"/>
        <v>306660</v>
      </c>
      <c r="AA24" s="189">
        <f t="shared" si="47"/>
        <v>4.9300061944516623E-4</v>
      </c>
      <c r="AB24" s="564">
        <f t="shared" si="24"/>
        <v>2205300</v>
      </c>
      <c r="AC24" s="123">
        <f t="shared" si="48"/>
        <v>7.8351305878688997E-4</v>
      </c>
      <c r="AD24" s="352">
        <f>[5]東京事務!$I$24</f>
        <v>383500</v>
      </c>
      <c r="AE24" s="9">
        <f t="shared" si="49"/>
        <v>1.3964336969566572E-3</v>
      </c>
      <c r="AF24" s="362">
        <f>[5]東京事務!$L$24</f>
        <v>957500</v>
      </c>
      <c r="AG24" s="81">
        <f t="shared" si="50"/>
        <v>7.6164250067416693E-4</v>
      </c>
      <c r="AH24" s="388">
        <f>[5]東京工場!$I$24</f>
        <v>0</v>
      </c>
      <c r="AI24" s="171">
        <f t="shared" si="25"/>
        <v>0</v>
      </c>
      <c r="AJ24" s="362">
        <f>[5]東京工場!$L$24</f>
        <v>0</v>
      </c>
      <c r="AK24" s="99">
        <f t="shared" si="36"/>
        <v>0</v>
      </c>
      <c r="AL24" s="547">
        <f t="shared" si="26"/>
        <v>383500</v>
      </c>
      <c r="AM24" s="314">
        <f t="shared" si="51"/>
        <v>1.3404628901831877E-3</v>
      </c>
      <c r="AN24" s="478">
        <f t="shared" si="27"/>
        <v>957500</v>
      </c>
      <c r="AO24" s="123">
        <f t="shared" si="52"/>
        <v>7.3162577511385956E-4</v>
      </c>
      <c r="AP24" s="527">
        <f t="shared" si="28"/>
        <v>735160</v>
      </c>
      <c r="AQ24" s="284">
        <f t="shared" si="53"/>
        <v>8.0953807815182339E-4</v>
      </c>
      <c r="AR24" s="487">
        <f t="shared" si="29"/>
        <v>3387800</v>
      </c>
      <c r="AS24" s="285">
        <f t="shared" si="54"/>
        <v>8.2161150229619962E-4</v>
      </c>
      <c r="AT24" s="584">
        <f>[5]全社合計!$G$24</f>
        <v>436560</v>
      </c>
      <c r="AU24" s="124">
        <f t="shared" si="30"/>
        <v>4.2840788042282693E-4</v>
      </c>
      <c r="AV24" s="578">
        <f>[5]全社合計!$N$24</f>
        <v>3058303</v>
      </c>
      <c r="AW24" s="125">
        <f t="shared" si="31"/>
        <v>6.594831023738571E-4</v>
      </c>
      <c r="AX24" s="584">
        <f t="shared" si="32"/>
        <v>298600</v>
      </c>
      <c r="AY24" s="124">
        <f t="shared" si="33"/>
        <v>1.6839838739234012</v>
      </c>
      <c r="AZ24" s="578">
        <f t="shared" si="34"/>
        <v>329497</v>
      </c>
      <c r="BA24" s="125">
        <f t="shared" si="35"/>
        <v>1.1077385072702084</v>
      </c>
      <c r="BB24" s="11"/>
    </row>
    <row r="25" spans="1:54" ht="15.95" customHeight="1">
      <c r="A25" s="37" t="s">
        <v>54</v>
      </c>
      <c r="B25" s="703">
        <f>[5]本部!$I$25</f>
        <v>129379</v>
      </c>
      <c r="C25" s="259" t="str">
        <f t="shared" si="38"/>
        <v/>
      </c>
      <c r="D25" s="728">
        <f>[5]本部!$L$25</f>
        <v>646895</v>
      </c>
      <c r="E25" s="122" t="str">
        <f t="shared" si="39"/>
        <v/>
      </c>
      <c r="F25" s="352">
        <f>[5]本社営業!$I$25</f>
        <v>86370</v>
      </c>
      <c r="G25" s="9">
        <f t="shared" si="40"/>
        <v>1.4891301053990324E-4</v>
      </c>
      <c r="H25" s="362">
        <f>[5]本社営業!$L$25</f>
        <v>442770</v>
      </c>
      <c r="I25" s="124">
        <f t="shared" si="19"/>
        <v>1.6821787677876059E-4</v>
      </c>
      <c r="J25" s="745">
        <f>[5]東大阪!$I$25</f>
        <v>10180</v>
      </c>
      <c r="K25" s="9">
        <f t="shared" si="20"/>
        <v>9.5612548649223858E-4</v>
      </c>
      <c r="L25" s="362">
        <f>[5]東大阪!$L$25</f>
        <v>50900</v>
      </c>
      <c r="M25" s="124">
        <f t="shared" si="37"/>
        <v>1.1082879646546282E-3</v>
      </c>
      <c r="N25" s="403">
        <f>[5]南港工場!$I$25</f>
        <v>0</v>
      </c>
      <c r="O25" s="9">
        <f t="shared" si="41"/>
        <v>0</v>
      </c>
      <c r="P25" s="362">
        <f>[5]南港工場!$L$25</f>
        <v>0</v>
      </c>
      <c r="Q25" s="204">
        <f t="shared" si="42"/>
        <v>0</v>
      </c>
      <c r="R25" s="437">
        <f>[5]南港事務!$I$25</f>
        <v>10180</v>
      </c>
      <c r="S25" s="9" t="str">
        <f t="shared" si="43"/>
        <v/>
      </c>
      <c r="T25" s="362">
        <f>[5]南港事務!$L$25</f>
        <v>74840</v>
      </c>
      <c r="U25" s="204" t="str">
        <f t="shared" si="44"/>
        <v/>
      </c>
      <c r="V25" s="456">
        <f t="shared" si="21"/>
        <v>10180</v>
      </c>
      <c r="W25" s="171">
        <f t="shared" si="45"/>
        <v>3.2443702368230922E-4</v>
      </c>
      <c r="X25" s="426">
        <f t="shared" si="22"/>
        <v>74840</v>
      </c>
      <c r="Y25" s="225">
        <f t="shared" si="46"/>
        <v>5.4794933366425057E-4</v>
      </c>
      <c r="Z25" s="460">
        <f t="shared" si="23"/>
        <v>106730</v>
      </c>
      <c r="AA25" s="189">
        <f t="shared" si="47"/>
        <v>1.7158402176150326E-4</v>
      </c>
      <c r="AB25" s="564">
        <f t="shared" si="24"/>
        <v>568510</v>
      </c>
      <c r="AC25" s="123">
        <f t="shared" si="48"/>
        <v>2.0198386117577417E-4</v>
      </c>
      <c r="AD25" s="352">
        <f>[5]東京事務!$I$25</f>
        <v>18542</v>
      </c>
      <c r="AE25" s="9">
        <f t="shared" si="49"/>
        <v>6.7516749958201669E-5</v>
      </c>
      <c r="AF25" s="362">
        <f>[5]東京事務!$L$25</f>
        <v>120250</v>
      </c>
      <c r="AG25" s="81">
        <f t="shared" si="50"/>
        <v>9.5652752695632979E-5</v>
      </c>
      <c r="AH25" s="388">
        <f>[5]東京工場!$I$25</f>
        <v>8300</v>
      </c>
      <c r="AI25" s="171">
        <f t="shared" si="25"/>
        <v>7.2381282270170028E-4</v>
      </c>
      <c r="AJ25" s="362">
        <f>[5]東京工場!$L$25</f>
        <v>41500</v>
      </c>
      <c r="AK25" s="99">
        <f t="shared" si="36"/>
        <v>8.0461137319145419E-4</v>
      </c>
      <c r="AL25" s="547">
        <f t="shared" si="26"/>
        <v>26842</v>
      </c>
      <c r="AM25" s="314">
        <f t="shared" si="51"/>
        <v>9.382191629282171E-5</v>
      </c>
      <c r="AN25" s="478">
        <f t="shared" si="27"/>
        <v>161750</v>
      </c>
      <c r="AO25" s="123">
        <f t="shared" si="52"/>
        <v>1.2359317924247182E-4</v>
      </c>
      <c r="AP25" s="527">
        <f t="shared" si="28"/>
        <v>262951</v>
      </c>
      <c r="AQ25" s="284">
        <f t="shared" si="53"/>
        <v>2.8955444690693195E-4</v>
      </c>
      <c r="AR25" s="487">
        <f t="shared" si="29"/>
        <v>1377155</v>
      </c>
      <c r="AS25" s="285">
        <f t="shared" si="54"/>
        <v>3.339885437288868E-4</v>
      </c>
      <c r="AT25" s="584">
        <f>[5]全社合計!$G$25</f>
        <v>246741</v>
      </c>
      <c r="AU25" s="124">
        <f t="shared" si="30"/>
        <v>2.4213347265761577E-4</v>
      </c>
      <c r="AV25" s="578">
        <f>[5]全社合計!$N$25</f>
        <v>1258785</v>
      </c>
      <c r="AW25" s="125">
        <f t="shared" si="31"/>
        <v>2.7144054628389525E-4</v>
      </c>
      <c r="AX25" s="584">
        <f t="shared" si="32"/>
        <v>16210</v>
      </c>
      <c r="AY25" s="124">
        <f t="shared" si="33"/>
        <v>1.0656964185117188</v>
      </c>
      <c r="AZ25" s="578">
        <f t="shared" si="34"/>
        <v>118370</v>
      </c>
      <c r="BA25" s="125">
        <f t="shared" si="35"/>
        <v>1.0940351211684283</v>
      </c>
      <c r="BB25" s="11"/>
    </row>
    <row r="26" spans="1:54" ht="15.95" customHeight="1">
      <c r="A26" s="37" t="s">
        <v>55</v>
      </c>
      <c r="B26" s="703">
        <f>[5]本部!$I$26</f>
        <v>348701</v>
      </c>
      <c r="C26" s="259" t="str">
        <f t="shared" si="38"/>
        <v/>
      </c>
      <c r="D26" s="728">
        <f>[5]本部!$L$26</f>
        <v>1703505</v>
      </c>
      <c r="E26" s="122" t="str">
        <f t="shared" si="39"/>
        <v/>
      </c>
      <c r="F26" s="352">
        <f>[5]本社営業!$I$26</f>
        <v>680</v>
      </c>
      <c r="G26" s="9">
        <f t="shared" si="40"/>
        <v>1.1724076318992034E-6</v>
      </c>
      <c r="H26" s="362">
        <f>[5]本社営業!$L$26</f>
        <v>3400</v>
      </c>
      <c r="I26" s="124">
        <f t="shared" si="19"/>
        <v>1.2917333628018744E-6</v>
      </c>
      <c r="J26" s="745">
        <f>[5]東大阪!$I$26</f>
        <v>5520</v>
      </c>
      <c r="K26" s="9">
        <f t="shared" si="20"/>
        <v>5.1844918324530026E-4</v>
      </c>
      <c r="L26" s="362">
        <f>[5]東大阪!$L$26</f>
        <v>82653</v>
      </c>
      <c r="M26" s="124">
        <f t="shared" si="37"/>
        <v>1.7996723996581334E-3</v>
      </c>
      <c r="N26" s="403">
        <f>[5]南港工場!$I$26</f>
        <v>0</v>
      </c>
      <c r="O26" s="9">
        <f t="shared" si="41"/>
        <v>0</v>
      </c>
      <c r="P26" s="362">
        <f>[5]南港工場!$L$26</f>
        <v>78417</v>
      </c>
      <c r="Q26" s="204">
        <f t="shared" si="42"/>
        <v>5.741387346064877E-4</v>
      </c>
      <c r="R26" s="437">
        <f>[5]南港事務!$I$26</f>
        <v>5520</v>
      </c>
      <c r="S26" s="9" t="str">
        <f t="shared" si="43"/>
        <v/>
      </c>
      <c r="T26" s="362">
        <f>[5]南港事務!$L$26</f>
        <v>27600</v>
      </c>
      <c r="U26" s="204" t="str">
        <f t="shared" si="44"/>
        <v/>
      </c>
      <c r="V26" s="456">
        <f>N26+R26</f>
        <v>5520</v>
      </c>
      <c r="W26" s="171">
        <f t="shared" si="45"/>
        <v>1.7592262973736218E-4</v>
      </c>
      <c r="X26" s="426">
        <f t="shared" si="22"/>
        <v>106017</v>
      </c>
      <c r="Y26" s="225">
        <f t="shared" si="46"/>
        <v>7.7621518582419633E-4</v>
      </c>
      <c r="Z26" s="460">
        <f t="shared" si="23"/>
        <v>11720</v>
      </c>
      <c r="AA26" s="189">
        <f t="shared" si="47"/>
        <v>1.8841607186778024E-5</v>
      </c>
      <c r="AB26" s="564">
        <f t="shared" si="24"/>
        <v>192070</v>
      </c>
      <c r="AC26" s="123">
        <f t="shared" si="48"/>
        <v>6.8239855439712483E-5</v>
      </c>
      <c r="AD26" s="352">
        <f>[5]東京事務!$I$26</f>
        <v>5520</v>
      </c>
      <c r="AE26" s="9">
        <f t="shared" si="49"/>
        <v>2.0099906146546929E-5</v>
      </c>
      <c r="AF26" s="362">
        <f>[5]東京事務!$L$26</f>
        <v>32550</v>
      </c>
      <c r="AG26" s="81">
        <f t="shared" si="50"/>
        <v>2.5891867777487346E-5</v>
      </c>
      <c r="AH26" s="388">
        <f>[5]東京工場!$I$26</f>
        <v>25000</v>
      </c>
      <c r="AI26" s="171">
        <f t="shared" si="25"/>
        <v>2.1801591045231936E-3</v>
      </c>
      <c r="AJ26" s="362">
        <f>[5]東京工場!$L$26</f>
        <v>113000</v>
      </c>
      <c r="AK26" s="99">
        <f t="shared" si="36"/>
        <v>2.1908695221839595E-3</v>
      </c>
      <c r="AL26" s="547">
        <f t="shared" si="26"/>
        <v>30520</v>
      </c>
      <c r="AM26" s="314">
        <f t="shared" si="51"/>
        <v>1.0667777681457859E-4</v>
      </c>
      <c r="AN26" s="478">
        <f t="shared" si="27"/>
        <v>145550</v>
      </c>
      <c r="AO26" s="123">
        <f t="shared" si="52"/>
        <v>1.1121475881756893E-4</v>
      </c>
      <c r="AP26" s="527">
        <f t="shared" si="28"/>
        <v>390941</v>
      </c>
      <c r="AQ26" s="284">
        <f t="shared" si="53"/>
        <v>4.3049353312306436E-4</v>
      </c>
      <c r="AR26" s="487">
        <f t="shared" si="29"/>
        <v>2041125</v>
      </c>
      <c r="AS26" s="285">
        <f t="shared" si="54"/>
        <v>4.9501498837721536E-4</v>
      </c>
      <c r="AT26" s="584">
        <f>[5]全社合計!$G$26</f>
        <v>390281</v>
      </c>
      <c r="AU26" s="124">
        <f t="shared" si="30"/>
        <v>3.8299307306968418E-4</v>
      </c>
      <c r="AV26" s="578">
        <f>[5]全社合計!$N$26</f>
        <v>2066935</v>
      </c>
      <c r="AW26" s="125">
        <f t="shared" si="31"/>
        <v>4.4570753983667031E-4</v>
      </c>
      <c r="AX26" s="584">
        <f t="shared" si="32"/>
        <v>660</v>
      </c>
      <c r="AY26" s="124">
        <f t="shared" si="33"/>
        <v>1.0016910892408291</v>
      </c>
      <c r="AZ26" s="578">
        <f t="shared" si="34"/>
        <v>-25810</v>
      </c>
      <c r="BA26" s="125">
        <f t="shared" si="35"/>
        <v>0.98751291163002219</v>
      </c>
      <c r="BB26" s="11"/>
    </row>
    <row r="27" spans="1:54" ht="15.95" customHeight="1">
      <c r="A27" s="37" t="s">
        <v>21</v>
      </c>
      <c r="B27" s="703">
        <f>[5]本部!$I$27</f>
        <v>0</v>
      </c>
      <c r="C27" s="259" t="str">
        <f t="shared" si="38"/>
        <v/>
      </c>
      <c r="D27" s="728">
        <f>[5]本部!$L$27</f>
        <v>0</v>
      </c>
      <c r="E27" s="122" t="str">
        <f t="shared" si="39"/>
        <v/>
      </c>
      <c r="F27" s="352">
        <f>[5]本社営業!$I$27</f>
        <v>0</v>
      </c>
      <c r="G27" s="9">
        <f t="shared" si="40"/>
        <v>0</v>
      </c>
      <c r="H27" s="362">
        <f>[5]本社営業!$L$27</f>
        <v>0</v>
      </c>
      <c r="I27" s="124">
        <f t="shared" si="19"/>
        <v>0</v>
      </c>
      <c r="J27" s="745">
        <f>[5]東大阪!$I$27</f>
        <v>58300</v>
      </c>
      <c r="K27" s="9">
        <f t="shared" si="20"/>
        <v>5.4756498882610524E-3</v>
      </c>
      <c r="L27" s="362">
        <f>[5]東大阪!$L$27</f>
        <v>428720</v>
      </c>
      <c r="M27" s="124">
        <f t="shared" si="37"/>
        <v>9.3348765463012236E-3</v>
      </c>
      <c r="N27" s="403">
        <f>[5]南港工場!$I$27</f>
        <v>3628900</v>
      </c>
      <c r="O27" s="9">
        <f t="shared" si="41"/>
        <v>0.11565319403150609</v>
      </c>
      <c r="P27" s="362">
        <f>[5]南港工場!$L$27</f>
        <v>32554850</v>
      </c>
      <c r="Q27" s="204">
        <f t="shared" si="42"/>
        <v>0.23835393325814577</v>
      </c>
      <c r="R27" s="437">
        <f>[5]南港事務!$I$27</f>
        <v>0</v>
      </c>
      <c r="S27" s="9" t="str">
        <f t="shared" si="43"/>
        <v/>
      </c>
      <c r="T27" s="362">
        <f>[5]南港事務!$L$27</f>
        <v>0</v>
      </c>
      <c r="U27" s="204" t="str">
        <f t="shared" si="44"/>
        <v/>
      </c>
      <c r="V27" s="456">
        <f>N27+R27</f>
        <v>3628900</v>
      </c>
      <c r="W27" s="171">
        <f t="shared" si="45"/>
        <v>0.11565319403150609</v>
      </c>
      <c r="X27" s="426">
        <f t="shared" si="22"/>
        <v>32554850</v>
      </c>
      <c r="Y27" s="225">
        <f t="shared" si="46"/>
        <v>0.23835393325814577</v>
      </c>
      <c r="Z27" s="460">
        <f t="shared" si="23"/>
        <v>3687200</v>
      </c>
      <c r="AA27" s="189">
        <f t="shared" si="47"/>
        <v>5.9277110937788332E-3</v>
      </c>
      <c r="AB27" s="564">
        <f t="shared" si="24"/>
        <v>32983570</v>
      </c>
      <c r="AC27" s="123">
        <f t="shared" si="48"/>
        <v>1.171861325915363E-2</v>
      </c>
      <c r="AD27" s="352">
        <f>[5]東京事務!$I$27</f>
        <v>0</v>
      </c>
      <c r="AE27" s="9">
        <f t="shared" si="49"/>
        <v>0</v>
      </c>
      <c r="AF27" s="362">
        <f>[5]東京事務!$L$27</f>
        <v>0</v>
      </c>
      <c r="AG27" s="81">
        <f t="shared" si="50"/>
        <v>0</v>
      </c>
      <c r="AH27" s="388">
        <f>[5]東京工場!$I$27</f>
        <v>376800</v>
      </c>
      <c r="AI27" s="171">
        <f t="shared" si="25"/>
        <v>3.2859358023373572E-2</v>
      </c>
      <c r="AJ27" s="362">
        <f>[5]東京工場!$L$27</f>
        <v>1041360</v>
      </c>
      <c r="AK27" s="99">
        <f t="shared" si="36"/>
        <v>2.0190122881606088E-2</v>
      </c>
      <c r="AL27" s="547">
        <f t="shared" si="26"/>
        <v>376800</v>
      </c>
      <c r="AM27" s="314">
        <f t="shared" si="51"/>
        <v>1.3170441121799872E-3</v>
      </c>
      <c r="AN27" s="478">
        <f t="shared" si="27"/>
        <v>1041360</v>
      </c>
      <c r="AO27" s="123">
        <f t="shared" si="52"/>
        <v>7.9570320331338775E-4</v>
      </c>
      <c r="AP27" s="527">
        <f t="shared" si="28"/>
        <v>4064000</v>
      </c>
      <c r="AQ27" s="284">
        <f t="shared" si="53"/>
        <v>4.4751656096754591E-3</v>
      </c>
      <c r="AR27" s="487">
        <f t="shared" si="29"/>
        <v>34024930</v>
      </c>
      <c r="AS27" s="285">
        <f t="shared" si="54"/>
        <v>8.2517485839846E-3</v>
      </c>
      <c r="AT27" s="584">
        <f>[5]全社合計!$G$27</f>
        <v>1151000</v>
      </c>
      <c r="AU27" s="124">
        <f t="shared" si="30"/>
        <v>1.1295067582157638E-3</v>
      </c>
      <c r="AV27" s="578">
        <f>[5]全社合計!$N$27</f>
        <v>10172365</v>
      </c>
      <c r="AW27" s="125">
        <f t="shared" si="31"/>
        <v>2.1935376673531829E-3</v>
      </c>
      <c r="AX27" s="584">
        <f t="shared" si="32"/>
        <v>2913000</v>
      </c>
      <c r="AY27" s="124">
        <f t="shared" si="33"/>
        <v>3.5308427454387488</v>
      </c>
      <c r="AZ27" s="578">
        <f t="shared" si="34"/>
        <v>23852565</v>
      </c>
      <c r="BA27" s="125">
        <f t="shared" si="35"/>
        <v>3.3448396710106252</v>
      </c>
      <c r="BB27" s="11"/>
    </row>
    <row r="28" spans="1:54" ht="15.95" customHeight="1">
      <c r="A28" s="37" t="s">
        <v>22</v>
      </c>
      <c r="B28" s="703">
        <f>[5]本部!$I$28</f>
        <v>31329</v>
      </c>
      <c r="C28" s="259" t="str">
        <f t="shared" si="38"/>
        <v/>
      </c>
      <c r="D28" s="728">
        <f>[5]本部!$L$28</f>
        <v>1212181</v>
      </c>
      <c r="E28" s="122" t="str">
        <f t="shared" si="39"/>
        <v/>
      </c>
      <c r="F28" s="352">
        <f>[5]本社営業!$I$28</f>
        <v>103788</v>
      </c>
      <c r="G28" s="9">
        <f t="shared" si="40"/>
        <v>1.7894388720522724E-4</v>
      </c>
      <c r="H28" s="362">
        <f>[5]本社営業!$L$28</f>
        <v>533234</v>
      </c>
      <c r="I28" s="124">
        <f t="shared" si="19"/>
        <v>2.0258710234714552E-4</v>
      </c>
      <c r="J28" s="745">
        <f>[5]東大阪!$I$28</f>
        <v>5579</v>
      </c>
      <c r="K28" s="9">
        <f t="shared" si="20"/>
        <v>5.2399057850100188E-4</v>
      </c>
      <c r="L28" s="362">
        <f>[5]東大阪!$L$28</f>
        <v>107128</v>
      </c>
      <c r="M28" s="124">
        <f t="shared" si="37"/>
        <v>2.3325868973972695E-3</v>
      </c>
      <c r="N28" s="403">
        <f>[5]南港工場!$I$28</f>
        <v>0</v>
      </c>
      <c r="O28" s="9">
        <f t="shared" si="41"/>
        <v>0</v>
      </c>
      <c r="P28" s="362">
        <f>[5]南港工場!$L$28</f>
        <v>0</v>
      </c>
      <c r="Q28" s="204">
        <f t="shared" si="42"/>
        <v>0</v>
      </c>
      <c r="R28" s="437">
        <f>[5]南港事務!$I$28</f>
        <v>29251</v>
      </c>
      <c r="S28" s="9" t="str">
        <f t="shared" si="43"/>
        <v/>
      </c>
      <c r="T28" s="362">
        <f>[5]南港事務!$L$28</f>
        <v>106975</v>
      </c>
      <c r="U28" s="204" t="str">
        <f t="shared" si="44"/>
        <v/>
      </c>
      <c r="V28" s="456">
        <f>N28+R28</f>
        <v>29251</v>
      </c>
      <c r="W28" s="171">
        <f t="shared" si="45"/>
        <v>9.322305873999241E-4</v>
      </c>
      <c r="X28" s="426">
        <f t="shared" si="22"/>
        <v>106975</v>
      </c>
      <c r="Y28" s="225">
        <f t="shared" si="46"/>
        <v>7.8322928873240526E-4</v>
      </c>
      <c r="Z28" s="460">
        <f t="shared" si="23"/>
        <v>138618</v>
      </c>
      <c r="AA28" s="189">
        <f t="shared" si="47"/>
        <v>2.2284862670791773E-4</v>
      </c>
      <c r="AB28" s="564">
        <f t="shared" si="24"/>
        <v>747337</v>
      </c>
      <c r="AC28" s="123">
        <f t="shared" si="48"/>
        <v>2.6551865905528405E-4</v>
      </c>
      <c r="AD28" s="352">
        <f>[5]東京事務!$I$28</f>
        <v>15005</v>
      </c>
      <c r="AE28" s="9">
        <f t="shared" si="49"/>
        <v>5.4637516617560992E-5</v>
      </c>
      <c r="AF28" s="362">
        <f>[5]東京事務!$L$28</f>
        <v>83858</v>
      </c>
      <c r="AG28" s="81">
        <f t="shared" si="50"/>
        <v>6.6704769526406576E-5</v>
      </c>
      <c r="AH28" s="388">
        <f>[5]東京工場!$I$28</f>
        <v>32400</v>
      </c>
      <c r="AI28" s="171">
        <f t="shared" si="25"/>
        <v>2.8254861994620587E-3</v>
      </c>
      <c r="AJ28" s="362">
        <f>[5]東京工場!$L$28</f>
        <v>113196</v>
      </c>
      <c r="AK28" s="99">
        <f t="shared" si="36"/>
        <v>2.1946696144525264E-3</v>
      </c>
      <c r="AL28" s="547">
        <f t="shared" si="26"/>
        <v>47405</v>
      </c>
      <c r="AM28" s="314">
        <f t="shared" si="51"/>
        <v>1.6569659272264409E-4</v>
      </c>
      <c r="AN28" s="478">
        <f t="shared" si="27"/>
        <v>197054</v>
      </c>
      <c r="AO28" s="123">
        <f t="shared" si="52"/>
        <v>1.5056896656844541E-4</v>
      </c>
      <c r="AP28" s="527">
        <f t="shared" si="28"/>
        <v>217352</v>
      </c>
      <c r="AQ28" s="284">
        <f t="shared" si="53"/>
        <v>2.3934207568754437E-4</v>
      </c>
      <c r="AR28" s="487">
        <f t="shared" si="29"/>
        <v>2156572</v>
      </c>
      <c r="AS28" s="285">
        <f t="shared" si="54"/>
        <v>5.2301327136487384E-4</v>
      </c>
      <c r="AT28" s="584">
        <f>[5]全社合計!$G$28</f>
        <v>126691</v>
      </c>
      <c r="AU28" s="124">
        <f t="shared" si="30"/>
        <v>1.2432523084718794E-4</v>
      </c>
      <c r="AV28" s="578">
        <f>[5]全社合計!$N$28</f>
        <v>1575113</v>
      </c>
      <c r="AW28" s="125">
        <f t="shared" si="31"/>
        <v>3.3965254843270698E-4</v>
      </c>
      <c r="AX28" s="584">
        <f t="shared" si="32"/>
        <v>90661</v>
      </c>
      <c r="AY28" s="124">
        <f t="shared" si="33"/>
        <v>1.7156072649201601</v>
      </c>
      <c r="AZ28" s="578">
        <f t="shared" si="34"/>
        <v>581459</v>
      </c>
      <c r="BA28" s="125">
        <f t="shared" si="35"/>
        <v>1.3691538321377577</v>
      </c>
      <c r="BB28" s="11"/>
    </row>
    <row r="29" spans="1:54" ht="15.95" customHeight="1">
      <c r="A29" s="37" t="s">
        <v>23</v>
      </c>
      <c r="B29" s="703">
        <f>[5]本部!$I$29</f>
        <v>0</v>
      </c>
      <c r="C29" s="259" t="str">
        <f t="shared" si="38"/>
        <v/>
      </c>
      <c r="D29" s="728">
        <f>[5]本部!$L$29</f>
        <v>0</v>
      </c>
      <c r="E29" s="122" t="str">
        <f t="shared" si="39"/>
        <v/>
      </c>
      <c r="F29" s="352">
        <f>[5]本社営業!$I$29</f>
        <v>15250</v>
      </c>
      <c r="G29" s="9">
        <f t="shared" si="40"/>
        <v>2.6292965274210076E-5</v>
      </c>
      <c r="H29" s="362">
        <f>[5]本社営業!$L$29</f>
        <v>106295</v>
      </c>
      <c r="I29" s="124">
        <f t="shared" si="19"/>
        <v>4.038376405853684E-5</v>
      </c>
      <c r="J29" s="745">
        <f>[5]東大阪!$I$29</f>
        <v>1533925</v>
      </c>
      <c r="K29" s="9">
        <f t="shared" si="20"/>
        <v>0.14406923250172957</v>
      </c>
      <c r="L29" s="362">
        <f>[5]東大阪!$L$29</f>
        <v>2912177</v>
      </c>
      <c r="M29" s="124">
        <f t="shared" si="37"/>
        <v>6.3409247937996488E-2</v>
      </c>
      <c r="N29" s="403">
        <f>[5]南港工場!$I$29</f>
        <v>3732645</v>
      </c>
      <c r="O29" s="9">
        <f t="shared" si="41"/>
        <v>0.11895955149927831</v>
      </c>
      <c r="P29" s="362">
        <f>[5]南港工場!$L$29</f>
        <v>15042087</v>
      </c>
      <c r="Q29" s="204">
        <f t="shared" si="42"/>
        <v>0.1101323028937692</v>
      </c>
      <c r="R29" s="437">
        <f>[5]南港事務!$I$29</f>
        <v>0</v>
      </c>
      <c r="S29" s="9" t="str">
        <f t="shared" si="43"/>
        <v/>
      </c>
      <c r="T29" s="362">
        <f>[5]南港事務!$L$29</f>
        <v>18979</v>
      </c>
      <c r="U29" s="204" t="str">
        <f t="shared" si="44"/>
        <v/>
      </c>
      <c r="V29" s="456">
        <f t="shared" si="21"/>
        <v>3732645</v>
      </c>
      <c r="W29" s="171">
        <f t="shared" si="45"/>
        <v>0.11895955149927831</v>
      </c>
      <c r="X29" s="426">
        <f t="shared" si="22"/>
        <v>15061066</v>
      </c>
      <c r="Y29" s="225">
        <f t="shared" si="46"/>
        <v>0.11027125974042358</v>
      </c>
      <c r="Z29" s="460">
        <f t="shared" si="23"/>
        <v>5281820</v>
      </c>
      <c r="AA29" s="189">
        <f t="shared" si="47"/>
        <v>8.4912950231457243E-3</v>
      </c>
      <c r="AB29" s="564">
        <f t="shared" si="24"/>
        <v>18079538</v>
      </c>
      <c r="AC29" s="123">
        <f t="shared" si="48"/>
        <v>6.4234136488612939E-3</v>
      </c>
      <c r="AD29" s="352">
        <f>[5]東京事務!$I$29</f>
        <v>11643</v>
      </c>
      <c r="AE29" s="9">
        <f t="shared" si="49"/>
        <v>4.2395508562363388E-5</v>
      </c>
      <c r="AF29" s="362">
        <f>[5]東京事務!$L$29</f>
        <v>27443</v>
      </c>
      <c r="AG29" s="81">
        <f t="shared" si="50"/>
        <v>2.1829509290862833E-5</v>
      </c>
      <c r="AH29" s="388">
        <f>[5]東京工場!$I$29</f>
        <v>586943</v>
      </c>
      <c r="AI29" s="171">
        <f t="shared" si="25"/>
        <v>5.1185165011446272E-2</v>
      </c>
      <c r="AJ29" s="362">
        <f>[5]東京工場!$L$29</f>
        <v>3335264</v>
      </c>
      <c r="AK29" s="99">
        <f t="shared" si="36"/>
        <v>6.4664851734843903E-2</v>
      </c>
      <c r="AL29" s="547">
        <f t="shared" si="26"/>
        <v>598586</v>
      </c>
      <c r="AM29" s="314">
        <f t="shared" si="51"/>
        <v>2.0922615895259283E-3</v>
      </c>
      <c r="AN29" s="478">
        <f t="shared" si="27"/>
        <v>3362707</v>
      </c>
      <c r="AO29" s="123">
        <f t="shared" si="52"/>
        <v>2.569444506899009E-3</v>
      </c>
      <c r="AP29" s="527">
        <f t="shared" si="28"/>
        <v>5880406</v>
      </c>
      <c r="AQ29" s="284">
        <f t="shared" si="53"/>
        <v>6.4753422003270729E-3</v>
      </c>
      <c r="AR29" s="487">
        <f t="shared" si="29"/>
        <v>21442245</v>
      </c>
      <c r="AS29" s="285">
        <f t="shared" si="54"/>
        <v>5.2001874747780782E-3</v>
      </c>
      <c r="AT29" s="584">
        <f>[5]全社合計!$G$29</f>
        <v>10373898</v>
      </c>
      <c r="AU29" s="124">
        <f t="shared" si="30"/>
        <v>1.0180180625578622E-2</v>
      </c>
      <c r="AV29" s="578">
        <f>[5]全社合計!$N$29</f>
        <v>28201687</v>
      </c>
      <c r="AW29" s="125">
        <f t="shared" si="31"/>
        <v>6.0813255046790566E-3</v>
      </c>
      <c r="AX29" s="584">
        <f t="shared" si="32"/>
        <v>-4493492</v>
      </c>
      <c r="AY29" s="124">
        <f t="shared" si="33"/>
        <v>0.56684632912334398</v>
      </c>
      <c r="AZ29" s="578">
        <f t="shared" si="34"/>
        <v>-6759442</v>
      </c>
      <c r="BA29" s="125">
        <f t="shared" si="35"/>
        <v>0.76031781361164674</v>
      </c>
      <c r="BB29" s="11"/>
    </row>
    <row r="30" spans="1:54" ht="15.95" customHeight="1">
      <c r="A30" s="37" t="s">
        <v>24</v>
      </c>
      <c r="B30" s="703">
        <f>[5]本部!$I$30</f>
        <v>18554</v>
      </c>
      <c r="C30" s="259" t="str">
        <f t="shared" si="38"/>
        <v/>
      </c>
      <c r="D30" s="728">
        <f>[5]本部!$L$30</f>
        <v>96939</v>
      </c>
      <c r="E30" s="122" t="str">
        <f t="shared" si="39"/>
        <v/>
      </c>
      <c r="F30" s="352">
        <f>[5]本社営業!$I$30</f>
        <v>37107</v>
      </c>
      <c r="G30" s="9">
        <f t="shared" si="40"/>
        <v>6.3977249995417272E-5</v>
      </c>
      <c r="H30" s="362">
        <f>[5]本社営業!$L$30</f>
        <v>193878</v>
      </c>
      <c r="I30" s="124">
        <f t="shared" si="19"/>
        <v>7.3658435562735827E-5</v>
      </c>
      <c r="J30" s="745">
        <f>[5]東大阪!$I$30</f>
        <v>336384</v>
      </c>
      <c r="K30" s="9">
        <f t="shared" si="20"/>
        <v>3.1593842401591868E-2</v>
      </c>
      <c r="L30" s="362">
        <f>[5]東大阪!$L$30</f>
        <v>2158558</v>
      </c>
      <c r="M30" s="124">
        <f t="shared" si="37"/>
        <v>4.7000075685834287E-2</v>
      </c>
      <c r="N30" s="403">
        <f>[5]南港工場!$I$30</f>
        <v>555482</v>
      </c>
      <c r="O30" s="9">
        <f t="shared" si="41"/>
        <v>1.770323445865388E-2</v>
      </c>
      <c r="P30" s="362">
        <f>[5]南港工場!$L$30</f>
        <v>2868628</v>
      </c>
      <c r="Q30" s="204">
        <f t="shared" si="42"/>
        <v>2.1002977032744681E-2</v>
      </c>
      <c r="R30" s="437">
        <f>[5]南港事務!$I$30</f>
        <v>23589</v>
      </c>
      <c r="S30" s="9" t="str">
        <f t="shared" si="43"/>
        <v/>
      </c>
      <c r="T30" s="362">
        <f>[5]南港事務!$L$30</f>
        <v>116795</v>
      </c>
      <c r="U30" s="204" t="str">
        <f t="shared" si="44"/>
        <v/>
      </c>
      <c r="V30" s="456">
        <f t="shared" si="21"/>
        <v>579071</v>
      </c>
      <c r="W30" s="171">
        <f t="shared" si="45"/>
        <v>1.8455016870406533E-2</v>
      </c>
      <c r="X30" s="426">
        <f t="shared" si="22"/>
        <v>2985423</v>
      </c>
      <c r="Y30" s="225">
        <f t="shared" si="46"/>
        <v>2.1858104537091503E-2</v>
      </c>
      <c r="Z30" s="460">
        <f t="shared" si="23"/>
        <v>952562</v>
      </c>
      <c r="AA30" s="189">
        <f t="shared" si="47"/>
        <v>1.5313821693730073E-3</v>
      </c>
      <c r="AB30" s="564">
        <f t="shared" si="24"/>
        <v>5337859</v>
      </c>
      <c r="AC30" s="123">
        <f t="shared" si="48"/>
        <v>1.896468613097143E-3</v>
      </c>
      <c r="AD30" s="352">
        <f>[5]東京事務!$I$30</f>
        <v>50012</v>
      </c>
      <c r="AE30" s="9">
        <f t="shared" si="49"/>
        <v>1.8210806271759151E-4</v>
      </c>
      <c r="AF30" s="362">
        <f>[5]東京事務!$L$30</f>
        <v>267263</v>
      </c>
      <c r="AG30" s="81">
        <f t="shared" si="50"/>
        <v>2.1259410930305993E-4</v>
      </c>
      <c r="AH30" s="388">
        <f>[5]東京工場!$I$30</f>
        <v>297052</v>
      </c>
      <c r="AI30" s="171">
        <f t="shared" si="25"/>
        <v>2.5904824892672946E-2</v>
      </c>
      <c r="AJ30" s="362">
        <f>[5]東京工場!$L$30</f>
        <v>1351735</v>
      </c>
      <c r="AK30" s="99">
        <f t="shared" si="36"/>
        <v>2.6207743482914464E-2</v>
      </c>
      <c r="AL30" s="547">
        <f t="shared" si="26"/>
        <v>347064</v>
      </c>
      <c r="AM30" s="314">
        <f t="shared" si="51"/>
        <v>1.2131066819257832E-3</v>
      </c>
      <c r="AN30" s="478">
        <f t="shared" si="27"/>
        <v>1618998</v>
      </c>
      <c r="AO30" s="123">
        <f t="shared" si="52"/>
        <v>1.2370764142640087E-3</v>
      </c>
      <c r="AP30" s="527">
        <f t="shared" si="28"/>
        <v>1318180</v>
      </c>
      <c r="AQ30" s="284">
        <f t="shared" si="53"/>
        <v>1.4515437508272628E-3</v>
      </c>
      <c r="AR30" s="487">
        <f t="shared" si="29"/>
        <v>7053796</v>
      </c>
      <c r="AS30" s="285">
        <f t="shared" si="54"/>
        <v>1.7106912829715224E-3</v>
      </c>
      <c r="AT30" s="584">
        <f>[5]全社合計!$G$30</f>
        <v>1439866</v>
      </c>
      <c r="AU30" s="124">
        <f t="shared" si="30"/>
        <v>1.4129786081017368E-3</v>
      </c>
      <c r="AV30" s="578">
        <f>[5]全社合計!$N$30</f>
        <v>7477114</v>
      </c>
      <c r="AW30" s="125">
        <f t="shared" si="31"/>
        <v>1.6123419875411298E-3</v>
      </c>
      <c r="AX30" s="584">
        <f t="shared" si="32"/>
        <v>-121686</v>
      </c>
      <c r="AY30" s="124">
        <f t="shared" si="33"/>
        <v>0.91548796901933926</v>
      </c>
      <c r="AZ30" s="578">
        <f t="shared" si="34"/>
        <v>-423318</v>
      </c>
      <c r="BA30" s="125">
        <f t="shared" si="35"/>
        <v>0.94338484072865547</v>
      </c>
      <c r="BB30" s="11"/>
    </row>
    <row r="31" spans="1:54" ht="15.95" customHeight="1">
      <c r="A31" s="37" t="s">
        <v>25</v>
      </c>
      <c r="B31" s="703">
        <f>[5]本部!$I$31</f>
        <v>239683</v>
      </c>
      <c r="C31" s="259" t="str">
        <f t="shared" si="38"/>
        <v/>
      </c>
      <c r="D31" s="728">
        <f>[5]本部!$L$31</f>
        <v>821475</v>
      </c>
      <c r="E31" s="122" t="str">
        <f t="shared" si="39"/>
        <v/>
      </c>
      <c r="F31" s="352">
        <f>[5]本社営業!$I$31</f>
        <v>804434</v>
      </c>
      <c r="G31" s="9">
        <f t="shared" si="40"/>
        <v>1.3869478837635349E-3</v>
      </c>
      <c r="H31" s="362">
        <f>[5]本社営業!$L$31</f>
        <v>4281592</v>
      </c>
      <c r="I31" s="124">
        <f t="shared" si="19"/>
        <v>1.6266691859722364E-3</v>
      </c>
      <c r="J31" s="745">
        <f>[5]東大阪!$I$31</f>
        <v>113546</v>
      </c>
      <c r="K31" s="9">
        <f t="shared" si="20"/>
        <v>1.0664462130574433E-2</v>
      </c>
      <c r="L31" s="362">
        <f>[5]東大阪!$L$31</f>
        <v>571112</v>
      </c>
      <c r="M31" s="124">
        <f t="shared" si="37"/>
        <v>1.2435295797049785E-2</v>
      </c>
      <c r="N31" s="403">
        <f>[5]南港工場!$I$31</f>
        <v>265719</v>
      </c>
      <c r="O31" s="9">
        <f t="shared" si="41"/>
        <v>8.4684755889822723E-3</v>
      </c>
      <c r="P31" s="362">
        <f>[5]南港工場!$L$31</f>
        <v>1328595</v>
      </c>
      <c r="Q31" s="204">
        <f t="shared" si="42"/>
        <v>9.7274551704924512E-3</v>
      </c>
      <c r="R31" s="437">
        <f>[5]南港事務!$I$31</f>
        <v>133879</v>
      </c>
      <c r="S31" s="9" t="str">
        <f t="shared" si="43"/>
        <v/>
      </c>
      <c r="T31" s="362">
        <f>[5]南港事務!$L$31</f>
        <v>664898</v>
      </c>
      <c r="U31" s="204" t="str">
        <f t="shared" si="44"/>
        <v/>
      </c>
      <c r="V31" s="456">
        <f t="shared" si="21"/>
        <v>399598</v>
      </c>
      <c r="W31" s="171">
        <f t="shared" si="45"/>
        <v>1.2735204890904068E-2</v>
      </c>
      <c r="X31" s="426">
        <f t="shared" si="22"/>
        <v>1993493</v>
      </c>
      <c r="Y31" s="225">
        <f t="shared" si="46"/>
        <v>1.4595579382874773E-2</v>
      </c>
      <c r="Z31" s="460">
        <f t="shared" si="23"/>
        <v>1317578</v>
      </c>
      <c r="AA31" s="189">
        <f t="shared" si="47"/>
        <v>2.11819855920995E-3</v>
      </c>
      <c r="AB31" s="564">
        <f t="shared" si="24"/>
        <v>6846197</v>
      </c>
      <c r="AC31" s="123">
        <f t="shared" si="48"/>
        <v>2.4323605643348429E-3</v>
      </c>
      <c r="AD31" s="352">
        <f>[5]東京事務!$I$31</f>
        <v>317898</v>
      </c>
      <c r="AE31" s="9">
        <f t="shared" si="49"/>
        <v>1.1575579645244521E-3</v>
      </c>
      <c r="AF31" s="362">
        <f>[5]東京事務!$L$31</f>
        <v>1326009</v>
      </c>
      <c r="AG31" s="81">
        <f t="shared" si="50"/>
        <v>1.054772648226059E-3</v>
      </c>
      <c r="AH31" s="388">
        <f>[5]東京工場!$I$31</f>
        <v>118246</v>
      </c>
      <c r="AI31" s="171">
        <f t="shared" si="25"/>
        <v>1.0311803738937982E-2</v>
      </c>
      <c r="AJ31" s="362">
        <f>[5]東京工場!$L$31</f>
        <v>730493</v>
      </c>
      <c r="AK31" s="99">
        <f t="shared" si="36"/>
        <v>1.4162963273174577E-2</v>
      </c>
      <c r="AL31" s="547">
        <f t="shared" si="26"/>
        <v>436144</v>
      </c>
      <c r="AM31" s="314">
        <f t="shared" si="51"/>
        <v>1.5244715691683343E-3</v>
      </c>
      <c r="AN31" s="478">
        <f t="shared" si="27"/>
        <v>2056502</v>
      </c>
      <c r="AO31" s="123">
        <f t="shared" si="52"/>
        <v>1.5713732321391146E-3</v>
      </c>
      <c r="AP31" s="527">
        <f t="shared" si="28"/>
        <v>1993405</v>
      </c>
      <c r="AQ31" s="284">
        <f t="shared" si="53"/>
        <v>2.1950830467901347E-3</v>
      </c>
      <c r="AR31" s="487">
        <f t="shared" si="29"/>
        <v>9724174</v>
      </c>
      <c r="AS31" s="285">
        <f t="shared" si="54"/>
        <v>2.3583131261378015E-3</v>
      </c>
      <c r="AT31" s="584">
        <f>[5]全社合計!$G$31</f>
        <v>1851713</v>
      </c>
      <c r="AU31" s="124">
        <f t="shared" si="30"/>
        <v>1.8171349676594148E-3</v>
      </c>
      <c r="AV31" s="578">
        <f>[5]全社合計!$N$31</f>
        <v>8279410</v>
      </c>
      <c r="AW31" s="125">
        <f t="shared" si="31"/>
        <v>1.7853466424435826E-3</v>
      </c>
      <c r="AX31" s="584">
        <f t="shared" si="32"/>
        <v>141692</v>
      </c>
      <c r="AY31" s="124">
        <f t="shared" si="33"/>
        <v>1.0765194174259185</v>
      </c>
      <c r="AZ31" s="578">
        <f t="shared" si="34"/>
        <v>1444764</v>
      </c>
      <c r="BA31" s="125">
        <f t="shared" si="35"/>
        <v>1.1745008400357031</v>
      </c>
      <c r="BB31" s="11"/>
    </row>
    <row r="32" spans="1:54" ht="15.95" customHeight="1">
      <c r="A32" s="37" t="s">
        <v>26</v>
      </c>
      <c r="B32" s="703">
        <f>[5]本部!$I$32</f>
        <v>473910</v>
      </c>
      <c r="C32" s="259" t="str">
        <f t="shared" si="38"/>
        <v/>
      </c>
      <c r="D32" s="728">
        <f>[5]本部!$L$32</f>
        <v>3096160</v>
      </c>
      <c r="E32" s="122" t="str">
        <f t="shared" si="39"/>
        <v/>
      </c>
      <c r="F32" s="352">
        <f>[5]本社営業!$I$32</f>
        <v>1636608</v>
      </c>
      <c r="G32" s="9">
        <f t="shared" si="40"/>
        <v>2.8217231023930757E-3</v>
      </c>
      <c r="H32" s="362">
        <f>[5]本社営業!$L$32</f>
        <v>6454630</v>
      </c>
      <c r="I32" s="124">
        <f t="shared" si="19"/>
        <v>2.452253210453489E-3</v>
      </c>
      <c r="J32" s="745">
        <f>[5]東大阪!$I$32</f>
        <v>163700</v>
      </c>
      <c r="K32" s="9">
        <f t="shared" si="20"/>
        <v>1.537502378573472E-2</v>
      </c>
      <c r="L32" s="362">
        <f>[5]東大阪!$L$32</f>
        <v>739618</v>
      </c>
      <c r="M32" s="124">
        <f t="shared" si="37"/>
        <v>1.6104316853475971E-2</v>
      </c>
      <c r="N32" s="403">
        <f>[5]南港工場!$I$32</f>
        <v>302992</v>
      </c>
      <c r="O32" s="9">
        <f t="shared" si="41"/>
        <v>9.6563676502505139E-3</v>
      </c>
      <c r="P32" s="362">
        <f>[5]南港工場!$L$32</f>
        <v>920292</v>
      </c>
      <c r="Q32" s="204">
        <f t="shared" si="42"/>
        <v>6.7380196175379544E-3</v>
      </c>
      <c r="R32" s="437">
        <f>[5]南港事務!$I$32</f>
        <v>25200</v>
      </c>
      <c r="S32" s="9" t="str">
        <f t="shared" si="43"/>
        <v/>
      </c>
      <c r="T32" s="362">
        <f>[5]南港事務!$L$32</f>
        <v>229884</v>
      </c>
      <c r="U32" s="204" t="str">
        <f t="shared" si="44"/>
        <v/>
      </c>
      <c r="V32" s="456">
        <f t="shared" si="21"/>
        <v>328192</v>
      </c>
      <c r="W32" s="171">
        <f t="shared" si="45"/>
        <v>1.0459492699051515E-2</v>
      </c>
      <c r="X32" s="426">
        <f t="shared" si="22"/>
        <v>1150176</v>
      </c>
      <c r="Y32" s="225">
        <f t="shared" si="46"/>
        <v>8.4211407375282352E-3</v>
      </c>
      <c r="Z32" s="460">
        <f t="shared" si="23"/>
        <v>2128500</v>
      </c>
      <c r="AA32" s="189">
        <f t="shared" si="47"/>
        <v>3.42187379667722E-3</v>
      </c>
      <c r="AB32" s="564">
        <f t="shared" si="24"/>
        <v>8344424</v>
      </c>
      <c r="AC32" s="123">
        <f t="shared" si="48"/>
        <v>2.9646602149615633E-3</v>
      </c>
      <c r="AD32" s="352">
        <f>[5]東京事務!$I$32</f>
        <v>84700</v>
      </c>
      <c r="AE32" s="9">
        <f t="shared" si="49"/>
        <v>3.0841703815444294E-4</v>
      </c>
      <c r="AF32" s="362">
        <f>[5]東京事務!$L$32</f>
        <v>412000</v>
      </c>
      <c r="AG32" s="81">
        <f t="shared" si="50"/>
        <v>3.2772502378877993E-4</v>
      </c>
      <c r="AH32" s="388">
        <f>[5]東京工場!$I$32</f>
        <v>42500</v>
      </c>
      <c r="AI32" s="171">
        <f t="shared" si="25"/>
        <v>3.706270477689429E-3</v>
      </c>
      <c r="AJ32" s="362">
        <f>[5]東京工場!$L$32</f>
        <v>288826</v>
      </c>
      <c r="AK32" s="99">
        <f t="shared" si="36"/>
        <v>5.5998237222504802E-3</v>
      </c>
      <c r="AL32" s="547">
        <f t="shared" si="26"/>
        <v>127200</v>
      </c>
      <c r="AM32" s="314">
        <f t="shared" si="51"/>
        <v>4.4460724806076005E-4</v>
      </c>
      <c r="AN32" s="478">
        <f t="shared" si="27"/>
        <v>700826</v>
      </c>
      <c r="AO32" s="123">
        <f t="shared" si="52"/>
        <v>5.3550116498166653E-4</v>
      </c>
      <c r="AP32" s="527">
        <f t="shared" si="28"/>
        <v>2729610</v>
      </c>
      <c r="AQ32" s="284">
        <f t="shared" si="53"/>
        <v>3.005771850350942E-3</v>
      </c>
      <c r="AR32" s="487">
        <f t="shared" si="29"/>
        <v>12141410</v>
      </c>
      <c r="AS32" s="285">
        <f t="shared" si="54"/>
        <v>2.9445428036171265E-3</v>
      </c>
      <c r="AT32" s="584">
        <f>[5]全社合計!$G$32</f>
        <v>1861873</v>
      </c>
      <c r="AU32" s="124">
        <f t="shared" si="30"/>
        <v>1.8271052445173403E-3</v>
      </c>
      <c r="AV32" s="578">
        <f>[5]全社合計!$N$32</f>
        <v>12267834</v>
      </c>
      <c r="AW32" s="125">
        <f t="shared" si="31"/>
        <v>2.6453981916531766E-3</v>
      </c>
      <c r="AX32" s="584">
        <f t="shared" si="32"/>
        <v>867737</v>
      </c>
      <c r="AY32" s="124">
        <f t="shared" si="33"/>
        <v>1.466055955481389</v>
      </c>
      <c r="AZ32" s="578">
        <f t="shared" si="34"/>
        <v>-126424</v>
      </c>
      <c r="BA32" s="125">
        <f t="shared" si="35"/>
        <v>0.98969467633813757</v>
      </c>
      <c r="BB32" s="11"/>
    </row>
    <row r="33" spans="1:54" ht="15.95" customHeight="1">
      <c r="A33" s="37" t="s">
        <v>27</v>
      </c>
      <c r="B33" s="703">
        <f>[5]本部!$I$33</f>
        <v>164917</v>
      </c>
      <c r="C33" s="259" t="str">
        <f t="shared" si="38"/>
        <v/>
      </c>
      <c r="D33" s="728">
        <f>[5]本部!$L$33</f>
        <v>1224732</v>
      </c>
      <c r="E33" s="122" t="str">
        <f t="shared" si="39"/>
        <v/>
      </c>
      <c r="F33" s="352">
        <f>[5]本社営業!$I$33</f>
        <v>69250</v>
      </c>
      <c r="G33" s="9">
        <f t="shared" si="40"/>
        <v>1.1939592427797034E-4</v>
      </c>
      <c r="H33" s="362">
        <f>[5]本社営業!$L$33</f>
        <v>289250</v>
      </c>
      <c r="I33" s="124">
        <f t="shared" si="19"/>
        <v>1.09892316232483E-4</v>
      </c>
      <c r="J33" s="745">
        <f>[5]東大阪!$I$33</f>
        <v>440000</v>
      </c>
      <c r="K33" s="9">
        <f t="shared" si="20"/>
        <v>4.1325659534045676E-2</v>
      </c>
      <c r="L33" s="362">
        <f>[5]東大阪!$L$33</f>
        <v>3439000</v>
      </c>
      <c r="M33" s="124">
        <f t="shared" si="37"/>
        <v>7.4880202562814677E-2</v>
      </c>
      <c r="N33" s="403">
        <f>[5]南港工場!$I$33</f>
        <v>525000</v>
      </c>
      <c r="O33" s="9">
        <f t="shared" si="41"/>
        <v>1.6731771850020859E-2</v>
      </c>
      <c r="P33" s="362">
        <f>[5]南港工場!$L$33</f>
        <v>2625000</v>
      </c>
      <c r="Q33" s="204">
        <f t="shared" si="42"/>
        <v>1.9219227697336423E-2</v>
      </c>
      <c r="R33" s="437">
        <f>[5]南港事務!$I$33</f>
        <v>20000</v>
      </c>
      <c r="S33" s="9" t="str">
        <f t="shared" si="43"/>
        <v/>
      </c>
      <c r="T33" s="362">
        <f>[5]南港事務!$L$33</f>
        <v>100000</v>
      </c>
      <c r="U33" s="204" t="str">
        <f t="shared" si="44"/>
        <v/>
      </c>
      <c r="V33" s="456">
        <f t="shared" si="21"/>
        <v>545000</v>
      </c>
      <c r="W33" s="171">
        <f t="shared" si="45"/>
        <v>1.7369172682402605E-2</v>
      </c>
      <c r="X33" s="426">
        <f t="shared" si="22"/>
        <v>2725000</v>
      </c>
      <c r="Y33" s="225">
        <f t="shared" si="46"/>
        <v>1.9951388752473046E-2</v>
      </c>
      <c r="Z33" s="460">
        <f t="shared" si="23"/>
        <v>1054250</v>
      </c>
      <c r="AA33" s="189">
        <f t="shared" si="47"/>
        <v>1.6948604416946015E-3</v>
      </c>
      <c r="AB33" s="564">
        <f t="shared" si="24"/>
        <v>6453250</v>
      </c>
      <c r="AC33" s="123">
        <f t="shared" si="48"/>
        <v>2.2927518462868986E-3</v>
      </c>
      <c r="AD33" s="352">
        <f>[5]東京事務!$I$33</f>
        <v>55000</v>
      </c>
      <c r="AE33" s="9">
        <f t="shared" si="49"/>
        <v>2.0027080399639152E-4</v>
      </c>
      <c r="AF33" s="362">
        <f>[5]東京事務!$L$33</f>
        <v>1035449</v>
      </c>
      <c r="AG33" s="81">
        <f t="shared" si="50"/>
        <v>8.2364696154628252E-4</v>
      </c>
      <c r="AH33" s="388">
        <f>[5]東京工場!$I$33</f>
        <v>325000</v>
      </c>
      <c r="AI33" s="171">
        <f t="shared" si="25"/>
        <v>2.8342068358801514E-2</v>
      </c>
      <c r="AJ33" s="362">
        <f>[5]東京工場!$L$33</f>
        <v>1625000</v>
      </c>
      <c r="AK33" s="99">
        <f t="shared" si="36"/>
        <v>3.1505867022556942E-2</v>
      </c>
      <c r="AL33" s="547">
        <f t="shared" si="26"/>
        <v>380000</v>
      </c>
      <c r="AM33" s="314">
        <f t="shared" si="51"/>
        <v>1.3282292001815159E-3</v>
      </c>
      <c r="AN33" s="478">
        <f t="shared" si="27"/>
        <v>2660449</v>
      </c>
      <c r="AO33" s="123">
        <f t="shared" si="52"/>
        <v>2.0328491506797831E-3</v>
      </c>
      <c r="AP33" s="527">
        <f t="shared" si="28"/>
        <v>1599167</v>
      </c>
      <c r="AQ33" s="284">
        <f t="shared" si="53"/>
        <v>1.76095894747241E-3</v>
      </c>
      <c r="AR33" s="487">
        <f t="shared" si="29"/>
        <v>10338431</v>
      </c>
      <c r="AS33" s="285">
        <f t="shared" si="54"/>
        <v>2.5072831410636993E-3</v>
      </c>
      <c r="AT33" s="584">
        <f>[5]全社合計!$G$33</f>
        <v>1587467</v>
      </c>
      <c r="AU33" s="124">
        <f t="shared" si="30"/>
        <v>1.5578233752775881E-3</v>
      </c>
      <c r="AV33" s="578">
        <f>[5]全社合計!$N$33</f>
        <v>10237858</v>
      </c>
      <c r="AW33" s="125">
        <f t="shared" si="31"/>
        <v>2.2076603775044563E-3</v>
      </c>
      <c r="AX33" s="584">
        <f t="shared" si="32"/>
        <v>11700</v>
      </c>
      <c r="AY33" s="124">
        <f t="shared" si="33"/>
        <v>1.0073702319481286</v>
      </c>
      <c r="AZ33" s="578">
        <f t="shared" si="34"/>
        <v>100573</v>
      </c>
      <c r="BA33" s="125">
        <f t="shared" si="35"/>
        <v>1.0098236369365545</v>
      </c>
      <c r="BB33" s="11"/>
    </row>
    <row r="34" spans="1:54" ht="15.95" customHeight="1">
      <c r="A34" s="37" t="s">
        <v>28</v>
      </c>
      <c r="B34" s="703">
        <f>[5]本部!$I$34</f>
        <v>25000</v>
      </c>
      <c r="C34" s="259" t="str">
        <f t="shared" si="38"/>
        <v/>
      </c>
      <c r="D34" s="728">
        <f>[5]本部!$L$34</f>
        <v>603700</v>
      </c>
      <c r="E34" s="122" t="str">
        <f t="shared" si="39"/>
        <v/>
      </c>
      <c r="F34" s="352">
        <f>[5]本社営業!$I$34</f>
        <v>389201</v>
      </c>
      <c r="G34" s="9">
        <f t="shared" si="40"/>
        <v>6.710326805041204E-4</v>
      </c>
      <c r="H34" s="362">
        <f>[5]本社営業!$L$34</f>
        <v>2271581</v>
      </c>
      <c r="I34" s="124">
        <f t="shared" si="19"/>
        <v>8.6302263647260148E-4</v>
      </c>
      <c r="J34" s="745">
        <f>[5]東大阪!$I$34</f>
        <v>0</v>
      </c>
      <c r="K34" s="9">
        <f t="shared" si="20"/>
        <v>0</v>
      </c>
      <c r="L34" s="362">
        <f>[5]東大阪!$L$34</f>
        <v>0</v>
      </c>
      <c r="M34" s="124">
        <f t="shared" si="37"/>
        <v>0</v>
      </c>
      <c r="N34" s="403">
        <f>[5]南港工場!$I$34</f>
        <v>0</v>
      </c>
      <c r="O34" s="9">
        <f t="shared" si="41"/>
        <v>0</v>
      </c>
      <c r="P34" s="362">
        <f>[5]南港工場!$L$34</f>
        <v>0</v>
      </c>
      <c r="Q34" s="204">
        <f t="shared" si="42"/>
        <v>0</v>
      </c>
      <c r="R34" s="437">
        <f>[5]南港事務!$I$34</f>
        <v>1667</v>
      </c>
      <c r="S34" s="9" t="str">
        <f t="shared" si="43"/>
        <v/>
      </c>
      <c r="T34" s="362">
        <f>[5]南港事務!$L$34</f>
        <v>77967</v>
      </c>
      <c r="U34" s="204" t="str">
        <f t="shared" si="44"/>
        <v/>
      </c>
      <c r="V34" s="456">
        <f t="shared" si="21"/>
        <v>1667</v>
      </c>
      <c r="W34" s="171">
        <f t="shared" si="45"/>
        <v>5.3127359379018611E-5</v>
      </c>
      <c r="X34" s="426">
        <f t="shared" si="22"/>
        <v>77967</v>
      </c>
      <c r="Y34" s="225">
        <f t="shared" si="46"/>
        <v>5.7084400985837284E-4</v>
      </c>
      <c r="Z34" s="460">
        <f t="shared" si="23"/>
        <v>390868</v>
      </c>
      <c r="AA34" s="189">
        <f t="shared" si="47"/>
        <v>6.2837724555303348E-4</v>
      </c>
      <c r="AB34" s="564">
        <f t="shared" si="24"/>
        <v>2349548</v>
      </c>
      <c r="AC34" s="123">
        <f t="shared" si="48"/>
        <v>8.3476240885440515E-4</v>
      </c>
      <c r="AD34" s="352">
        <f>[5]東京事務!$I$34</f>
        <v>318582</v>
      </c>
      <c r="AE34" s="9">
        <f t="shared" si="49"/>
        <v>1.1600486050686982E-3</v>
      </c>
      <c r="AF34" s="362">
        <f>[5]東京事務!$L$34</f>
        <v>2158705</v>
      </c>
      <c r="AG34" s="81">
        <f t="shared" si="50"/>
        <v>1.7171399210630053E-3</v>
      </c>
      <c r="AH34" s="388">
        <f>[5]東京工場!$I$34</f>
        <v>0</v>
      </c>
      <c r="AI34" s="171">
        <f t="shared" si="25"/>
        <v>0</v>
      </c>
      <c r="AJ34" s="362">
        <f>[5]東京工場!$L$34</f>
        <v>0</v>
      </c>
      <c r="AK34" s="99">
        <f t="shared" si="36"/>
        <v>0</v>
      </c>
      <c r="AL34" s="547">
        <f t="shared" si="26"/>
        <v>318582</v>
      </c>
      <c r="AM34" s="314">
        <f t="shared" si="51"/>
        <v>1.113552408032178E-3</v>
      </c>
      <c r="AN34" s="478">
        <f t="shared" si="27"/>
        <v>2158705</v>
      </c>
      <c r="AO34" s="123">
        <f t="shared" si="52"/>
        <v>1.6494665471197536E-3</v>
      </c>
      <c r="AP34" s="527">
        <f t="shared" si="28"/>
        <v>734450</v>
      </c>
      <c r="AQ34" s="284">
        <f t="shared" si="53"/>
        <v>8.087562455772984E-4</v>
      </c>
      <c r="AR34" s="487">
        <f t="shared" si="29"/>
        <v>5111953</v>
      </c>
      <c r="AS34" s="285">
        <f t="shared" si="54"/>
        <v>1.2397542310636886E-3</v>
      </c>
      <c r="AT34" s="584">
        <f>[5]全社合計!$G$34</f>
        <v>1575286</v>
      </c>
      <c r="AU34" s="124">
        <f t="shared" si="30"/>
        <v>1.5458698376391638E-3</v>
      </c>
      <c r="AV34" s="578">
        <f>[5]全社合計!$N$34</f>
        <v>5205292</v>
      </c>
      <c r="AW34" s="125">
        <f t="shared" si="31"/>
        <v>1.1224532418540017E-3</v>
      </c>
      <c r="AX34" s="584">
        <f t="shared" si="32"/>
        <v>-840836</v>
      </c>
      <c r="AY34" s="124">
        <f t="shared" si="33"/>
        <v>0.46623279836169434</v>
      </c>
      <c r="AZ34" s="578">
        <f t="shared" si="34"/>
        <v>-93339</v>
      </c>
      <c r="BA34" s="125">
        <f t="shared" si="35"/>
        <v>0.98206844111723224</v>
      </c>
      <c r="BB34" s="11"/>
    </row>
    <row r="35" spans="1:54" ht="15.95" customHeight="1">
      <c r="A35" s="37" t="s">
        <v>29</v>
      </c>
      <c r="B35" s="703">
        <f>[5]本部!$I$35</f>
        <v>230090</v>
      </c>
      <c r="C35" s="259" t="str">
        <f t="shared" si="38"/>
        <v/>
      </c>
      <c r="D35" s="728">
        <f>[5]本部!$L$35</f>
        <v>5875148</v>
      </c>
      <c r="E35" s="122" t="str">
        <f t="shared" si="39"/>
        <v/>
      </c>
      <c r="F35" s="352">
        <f>[5]本社営業!$I$35</f>
        <v>0</v>
      </c>
      <c r="G35" s="9">
        <f t="shared" si="40"/>
        <v>0</v>
      </c>
      <c r="H35" s="362">
        <f>[5]本社営業!$L$35</f>
        <v>662205</v>
      </c>
      <c r="I35" s="124">
        <f t="shared" si="19"/>
        <v>2.5158596809241626E-4</v>
      </c>
      <c r="J35" s="745">
        <f>[5]東大阪!$I$35</f>
        <v>56858</v>
      </c>
      <c r="K35" s="9">
        <f t="shared" si="20"/>
        <v>5.3402144313335655E-3</v>
      </c>
      <c r="L35" s="362">
        <f>[5]東大阪!$L$35</f>
        <v>60158</v>
      </c>
      <c r="M35" s="124">
        <f t="shared" si="37"/>
        <v>1.3098700860057588E-3</v>
      </c>
      <c r="N35" s="403">
        <f>[5]南港工場!$I$35</f>
        <v>55439</v>
      </c>
      <c r="O35" s="9">
        <f t="shared" si="41"/>
        <v>1.7668432373205837E-3</v>
      </c>
      <c r="P35" s="362">
        <f>[5]南港工場!$L$35</f>
        <v>55439</v>
      </c>
      <c r="Q35" s="204">
        <f t="shared" si="42"/>
        <v>4.0590276735719388E-4</v>
      </c>
      <c r="R35" s="437">
        <f>[5]南港事務!$I$35</f>
        <v>0</v>
      </c>
      <c r="S35" s="9" t="str">
        <f t="shared" si="43"/>
        <v/>
      </c>
      <c r="T35" s="362">
        <f>[5]南港事務!$L$35</f>
        <v>42516</v>
      </c>
      <c r="U35" s="204" t="str">
        <f t="shared" si="44"/>
        <v/>
      </c>
      <c r="V35" s="456">
        <f t="shared" si="21"/>
        <v>55439</v>
      </c>
      <c r="W35" s="171">
        <f t="shared" si="45"/>
        <v>1.7668432373205837E-3</v>
      </c>
      <c r="X35" s="426">
        <f t="shared" si="22"/>
        <v>97955</v>
      </c>
      <c r="Y35" s="225">
        <f t="shared" si="46"/>
        <v>7.1718836155908162E-4</v>
      </c>
      <c r="Z35" s="460">
        <f t="shared" si="23"/>
        <v>112297</v>
      </c>
      <c r="AA35" s="189">
        <f t="shared" si="47"/>
        <v>1.8053378517522283E-4</v>
      </c>
      <c r="AB35" s="564">
        <f t="shared" si="24"/>
        <v>820318</v>
      </c>
      <c r="AC35" s="123">
        <f t="shared" si="48"/>
        <v>2.914478145186342E-4</v>
      </c>
      <c r="AD35" s="352">
        <f>[5]東京事務!$I$35</f>
        <v>38500</v>
      </c>
      <c r="AE35" s="9">
        <f t="shared" si="49"/>
        <v>1.4018956279747405E-4</v>
      </c>
      <c r="AF35" s="362">
        <f>[5]東京事務!$L$35</f>
        <v>214852</v>
      </c>
      <c r="AG35" s="81">
        <f t="shared" si="50"/>
        <v>1.7090382721132754E-4</v>
      </c>
      <c r="AH35" s="388">
        <f>[5]東京工場!$I$35</f>
        <v>41853</v>
      </c>
      <c r="AI35" s="171">
        <f t="shared" si="25"/>
        <v>3.6498479600643686E-3</v>
      </c>
      <c r="AJ35" s="362">
        <f>[5]東京工場!$L$35</f>
        <v>41853</v>
      </c>
      <c r="AK35" s="99">
        <f t="shared" si="36"/>
        <v>8.1145541692004654E-4</v>
      </c>
      <c r="AL35" s="547">
        <f t="shared" si="26"/>
        <v>80353</v>
      </c>
      <c r="AM35" s="314">
        <f t="shared" si="51"/>
        <v>2.8086105505838247E-4</v>
      </c>
      <c r="AN35" s="478">
        <f t="shared" si="27"/>
        <v>256705</v>
      </c>
      <c r="AO35" s="123">
        <f t="shared" si="52"/>
        <v>1.9614829723300608E-4</v>
      </c>
      <c r="AP35" s="527">
        <f t="shared" si="28"/>
        <v>422740</v>
      </c>
      <c r="AQ35" s="284">
        <f t="shared" si="53"/>
        <v>4.6550972190802247E-4</v>
      </c>
      <c r="AR35" s="487">
        <f t="shared" si="29"/>
        <v>6952171</v>
      </c>
      <c r="AS35" s="285">
        <f t="shared" si="54"/>
        <v>1.6860451205886039E-3</v>
      </c>
      <c r="AT35" s="584">
        <f>[5]全社合計!$G$35</f>
        <v>365435</v>
      </c>
      <c r="AU35" s="124">
        <f t="shared" si="30"/>
        <v>3.5861103578503704E-4</v>
      </c>
      <c r="AV35" s="578">
        <f>[5]全社合計!$N$35</f>
        <v>6796170</v>
      </c>
      <c r="AW35" s="125">
        <f t="shared" si="31"/>
        <v>1.465505306655402E-3</v>
      </c>
      <c r="AX35" s="584">
        <f t="shared" si="32"/>
        <v>57305</v>
      </c>
      <c r="AY35" s="124">
        <f t="shared" si="33"/>
        <v>1.1568131131391355</v>
      </c>
      <c r="AZ35" s="578">
        <f t="shared" si="34"/>
        <v>156001</v>
      </c>
      <c r="BA35" s="125">
        <f t="shared" si="35"/>
        <v>1.0229542521743864</v>
      </c>
      <c r="BB35" s="11"/>
    </row>
    <row r="36" spans="1:54" ht="15.95" customHeight="1">
      <c r="A36" s="37" t="s">
        <v>30</v>
      </c>
      <c r="B36" s="703">
        <f>[5]本部!$I$36</f>
        <v>56524</v>
      </c>
      <c r="C36" s="259" t="str">
        <f t="shared" si="38"/>
        <v/>
      </c>
      <c r="D36" s="728">
        <f>[5]本部!$L$36</f>
        <v>312178</v>
      </c>
      <c r="E36" s="122" t="str">
        <f t="shared" si="39"/>
        <v/>
      </c>
      <c r="F36" s="352">
        <f>[5]本社営業!$I$36</f>
        <v>172370</v>
      </c>
      <c r="G36" s="9">
        <f t="shared" si="40"/>
        <v>2.9718809339774368E-4</v>
      </c>
      <c r="H36" s="362">
        <f>[5]本社営業!$L$36</f>
        <v>404819</v>
      </c>
      <c r="I36" s="124">
        <f t="shared" si="19"/>
        <v>1.537994729988506E-4</v>
      </c>
      <c r="J36" s="745">
        <f>[5]東大阪!$I$36</f>
        <v>24564</v>
      </c>
      <c r="K36" s="9">
        <f t="shared" si="20"/>
        <v>2.3070988654415861E-3</v>
      </c>
      <c r="L36" s="362">
        <f>[5]東大阪!$L$36</f>
        <v>124522</v>
      </c>
      <c r="M36" s="124">
        <f t="shared" si="37"/>
        <v>2.7113209024503659E-3</v>
      </c>
      <c r="N36" s="403">
        <f>[5]南港工場!$I$36</f>
        <v>9896</v>
      </c>
      <c r="O36" s="9">
        <f t="shared" si="41"/>
        <v>3.1538593186248844E-4</v>
      </c>
      <c r="P36" s="362">
        <f>[5]南港工場!$L$36</f>
        <v>49456</v>
      </c>
      <c r="Q36" s="204">
        <f t="shared" si="42"/>
        <v>3.6209757142836955E-4</v>
      </c>
      <c r="R36" s="437">
        <f>[5]南港事務!$I$36</f>
        <v>30060</v>
      </c>
      <c r="S36" s="9" t="str">
        <f t="shared" si="43"/>
        <v/>
      </c>
      <c r="T36" s="362">
        <f>[5]南港事務!$L$36</f>
        <v>162049</v>
      </c>
      <c r="U36" s="204" t="str">
        <f t="shared" si="44"/>
        <v/>
      </c>
      <c r="V36" s="456">
        <f t="shared" si="21"/>
        <v>39956</v>
      </c>
      <c r="W36" s="171">
        <f t="shared" si="45"/>
        <v>1.2733993829322542E-3</v>
      </c>
      <c r="X36" s="426">
        <f t="shared" si="22"/>
        <v>211505</v>
      </c>
      <c r="Y36" s="225">
        <f t="shared" si="46"/>
        <v>1.5485572396667199E-3</v>
      </c>
      <c r="Z36" s="460">
        <f t="shared" si="23"/>
        <v>236890</v>
      </c>
      <c r="AA36" s="189">
        <f t="shared" si="47"/>
        <v>3.8083518143991859E-4</v>
      </c>
      <c r="AB36" s="564">
        <f t="shared" si="24"/>
        <v>740846</v>
      </c>
      <c r="AC36" s="123">
        <f t="shared" si="48"/>
        <v>2.6321249514806705E-4</v>
      </c>
      <c r="AD36" s="352">
        <f>[5]東京事務!$I$36</f>
        <v>47553</v>
      </c>
      <c r="AE36" s="9">
        <f t="shared" si="49"/>
        <v>1.7315413713528009E-4</v>
      </c>
      <c r="AF36" s="362">
        <f>[5]東京事務!$L$36</f>
        <v>154414</v>
      </c>
      <c r="AG36" s="81">
        <f t="shared" si="50"/>
        <v>1.2282847529932199E-4</v>
      </c>
      <c r="AH36" s="388">
        <f>[5]東京工場!$I$36</f>
        <v>3004</v>
      </c>
      <c r="AI36" s="171">
        <f t="shared" si="25"/>
        <v>2.6196791799950692E-4</v>
      </c>
      <c r="AJ36" s="362">
        <f>[5]東京工場!$L$36</f>
        <v>15018</v>
      </c>
      <c r="AK36" s="99">
        <f t="shared" si="36"/>
        <v>2.9117237596600624E-4</v>
      </c>
      <c r="AL36" s="547">
        <f t="shared" si="26"/>
        <v>50557</v>
      </c>
      <c r="AM36" s="314">
        <f t="shared" si="51"/>
        <v>1.7671390440414972E-4</v>
      </c>
      <c r="AN36" s="478">
        <f t="shared" si="27"/>
        <v>169432</v>
      </c>
      <c r="AO36" s="123">
        <f t="shared" si="52"/>
        <v>1.2946299564395972E-4</v>
      </c>
      <c r="AP36" s="527">
        <f t="shared" si="28"/>
        <v>343971</v>
      </c>
      <c r="AQ36" s="284">
        <f t="shared" si="53"/>
        <v>3.7877145421399538E-4</v>
      </c>
      <c r="AR36" s="487">
        <f t="shared" si="29"/>
        <v>1222456</v>
      </c>
      <c r="AS36" s="285">
        <f t="shared" si="54"/>
        <v>2.9647083967501123E-4</v>
      </c>
      <c r="AT36" s="584">
        <f>[5]全社合計!$G$36</f>
        <v>278574</v>
      </c>
      <c r="AU36" s="124">
        <f t="shared" si="30"/>
        <v>2.7337203793501144E-4</v>
      </c>
      <c r="AV36" s="578">
        <f>[5]全社合計!$N$36</f>
        <v>1275523</v>
      </c>
      <c r="AW36" s="125">
        <f t="shared" si="31"/>
        <v>2.7504987739580063E-4</v>
      </c>
      <c r="AX36" s="584">
        <f t="shared" si="32"/>
        <v>65397</v>
      </c>
      <c r="AY36" s="124">
        <f t="shared" si="33"/>
        <v>1.234756294557281</v>
      </c>
      <c r="AZ36" s="578">
        <f t="shared" si="34"/>
        <v>-53067</v>
      </c>
      <c r="BA36" s="125">
        <f t="shared" si="35"/>
        <v>0.9583958893724378</v>
      </c>
      <c r="BB36" s="11"/>
    </row>
    <row r="37" spans="1:54" ht="15.95" customHeight="1">
      <c r="A37" s="37" t="s">
        <v>31</v>
      </c>
      <c r="B37" s="703">
        <f>[5]本部!$I$37</f>
        <v>0</v>
      </c>
      <c r="C37" s="259" t="str">
        <f t="shared" si="38"/>
        <v/>
      </c>
      <c r="D37" s="728">
        <f>[5]本部!$L$37</f>
        <v>0</v>
      </c>
      <c r="E37" s="122" t="str">
        <f t="shared" si="39"/>
        <v/>
      </c>
      <c r="F37" s="352">
        <f>[5]本社営業!$I$37</f>
        <v>620678</v>
      </c>
      <c r="G37" s="9">
        <f t="shared" si="40"/>
        <v>1.0701288590469614E-3</v>
      </c>
      <c r="H37" s="362">
        <f>[5]本社営業!$L$37</f>
        <v>720678</v>
      </c>
      <c r="I37" s="124">
        <f t="shared" si="19"/>
        <v>2.7380112248156743E-4</v>
      </c>
      <c r="J37" s="745">
        <f>[5]東大阪!$I$37</f>
        <v>23382</v>
      </c>
      <c r="K37" s="9">
        <f t="shared" si="20"/>
        <v>2.1960831164205817E-3</v>
      </c>
      <c r="L37" s="362">
        <f>[5]東大阪!$L$37</f>
        <v>108042</v>
      </c>
      <c r="M37" s="124">
        <f t="shared" si="37"/>
        <v>2.3524881783342898E-3</v>
      </c>
      <c r="N37" s="403">
        <f>[5]南港工場!$I$37</f>
        <v>4599</v>
      </c>
      <c r="O37" s="9">
        <f t="shared" si="41"/>
        <v>1.4657032140618273E-4</v>
      </c>
      <c r="P37" s="362">
        <f>[5]南港工場!$L$37</f>
        <v>23095</v>
      </c>
      <c r="Q37" s="204">
        <f t="shared" si="42"/>
        <v>1.6909259568380369E-4</v>
      </c>
      <c r="R37" s="437">
        <f>[5]南港事務!$I$37</f>
        <v>0</v>
      </c>
      <c r="S37" s="9" t="str">
        <f t="shared" si="43"/>
        <v/>
      </c>
      <c r="T37" s="362">
        <f>[5]南港事務!$L$37</f>
        <v>0</v>
      </c>
      <c r="U37" s="204" t="str">
        <f t="shared" si="44"/>
        <v/>
      </c>
      <c r="V37" s="456">
        <f t="shared" si="21"/>
        <v>4599</v>
      </c>
      <c r="W37" s="171">
        <f t="shared" si="45"/>
        <v>1.4657032140618273E-4</v>
      </c>
      <c r="X37" s="426">
        <f t="shared" si="22"/>
        <v>23095</v>
      </c>
      <c r="Y37" s="225">
        <f t="shared" si="46"/>
        <v>1.6909259568380369E-4</v>
      </c>
      <c r="Z37" s="460">
        <f t="shared" si="23"/>
        <v>648659</v>
      </c>
      <c r="AA37" s="189">
        <f t="shared" si="47"/>
        <v>1.0428138290245943E-3</v>
      </c>
      <c r="AB37" s="564">
        <f t="shared" si="24"/>
        <v>851815</v>
      </c>
      <c r="AC37" s="123">
        <f t="shared" si="48"/>
        <v>3.0263826970051906E-4</v>
      </c>
      <c r="AD37" s="352">
        <f>[5]東京事務!$I$37</f>
        <v>0</v>
      </c>
      <c r="AE37" s="9">
        <f t="shared" si="49"/>
        <v>0</v>
      </c>
      <c r="AF37" s="362">
        <f>[5]東京事務!$L$37</f>
        <v>0</v>
      </c>
      <c r="AG37" s="81">
        <f t="shared" si="50"/>
        <v>0</v>
      </c>
      <c r="AH37" s="388">
        <f>[5]東京工場!$I$37</f>
        <v>60995</v>
      </c>
      <c r="AI37" s="171">
        <f t="shared" si="25"/>
        <v>5.319152183215688E-3</v>
      </c>
      <c r="AJ37" s="362">
        <f>[5]東京工場!$L$37</f>
        <v>184276</v>
      </c>
      <c r="AK37" s="99">
        <f t="shared" si="36"/>
        <v>3.5727847085838169E-3</v>
      </c>
      <c r="AL37" s="547">
        <f t="shared" si="26"/>
        <v>60995</v>
      </c>
      <c r="AM37" s="314">
        <f t="shared" si="51"/>
        <v>2.1319826332913568E-4</v>
      </c>
      <c r="AN37" s="478">
        <f t="shared" si="27"/>
        <v>184276</v>
      </c>
      <c r="AO37" s="123">
        <f t="shared" si="52"/>
        <v>1.408052964332967E-4</v>
      </c>
      <c r="AP37" s="527">
        <f t="shared" si="28"/>
        <v>709654</v>
      </c>
      <c r="AQ37" s="284">
        <f t="shared" si="53"/>
        <v>7.8145156879149314E-4</v>
      </c>
      <c r="AR37" s="487">
        <f t="shared" si="29"/>
        <v>1036091</v>
      </c>
      <c r="AS37" s="285">
        <f t="shared" si="54"/>
        <v>2.5127347630485026E-4</v>
      </c>
      <c r="AT37" s="584">
        <f>[5]全社合計!$G$37</f>
        <v>183478</v>
      </c>
      <c r="AU37" s="124">
        <f t="shared" si="30"/>
        <v>1.8005181666716933E-4</v>
      </c>
      <c r="AV37" s="578">
        <f>[5]全社合計!$N$37</f>
        <v>2441095</v>
      </c>
      <c r="AW37" s="125">
        <f t="shared" si="31"/>
        <v>5.26390257534754E-4</v>
      </c>
      <c r="AX37" s="584">
        <f t="shared" si="32"/>
        <v>526176</v>
      </c>
      <c r="AY37" s="124">
        <f t="shared" si="33"/>
        <v>3.8677879636795693</v>
      </c>
      <c r="AZ37" s="578">
        <f t="shared" si="34"/>
        <v>-1405004</v>
      </c>
      <c r="BA37" s="125">
        <f t="shared" si="35"/>
        <v>0.42443698422224452</v>
      </c>
      <c r="BB37" s="11"/>
    </row>
    <row r="38" spans="1:54" ht="15.95" customHeight="1">
      <c r="A38" s="37" t="s">
        <v>32</v>
      </c>
      <c r="B38" s="703">
        <f>[5]本部!$I$38</f>
        <v>0</v>
      </c>
      <c r="C38" s="259" t="str">
        <f t="shared" si="38"/>
        <v/>
      </c>
      <c r="D38" s="728">
        <f>[5]本部!$L$38</f>
        <v>33096</v>
      </c>
      <c r="E38" s="122" t="str">
        <f t="shared" si="39"/>
        <v/>
      </c>
      <c r="F38" s="352">
        <f>[5]本社営業!$I$38</f>
        <v>171493</v>
      </c>
      <c r="G38" s="9">
        <f t="shared" si="40"/>
        <v>2.9567603237836776E-4</v>
      </c>
      <c r="H38" s="362">
        <f>[5]本社営業!$L$38</f>
        <v>809436</v>
      </c>
      <c r="I38" s="124">
        <f>IF(ISERR(H38/$H$11),"",H38/$H$11)</f>
        <v>3.0752220183908767E-4</v>
      </c>
      <c r="J38" s="745">
        <f>[5]東大阪!$I$38</f>
        <v>0</v>
      </c>
      <c r="K38" s="9">
        <f t="shared" si="20"/>
        <v>0</v>
      </c>
      <c r="L38" s="362">
        <f>[5]東大阪!$L$38</f>
        <v>0</v>
      </c>
      <c r="M38" s="124">
        <f t="shared" si="37"/>
        <v>0</v>
      </c>
      <c r="N38" s="403">
        <f>[5]南港工場!$I$38</f>
        <v>0</v>
      </c>
      <c r="O38" s="9">
        <f t="shared" si="41"/>
        <v>0</v>
      </c>
      <c r="P38" s="362">
        <f>[5]南港工場!$L$38</f>
        <v>0</v>
      </c>
      <c r="Q38" s="204">
        <f t="shared" si="42"/>
        <v>0</v>
      </c>
      <c r="R38" s="437">
        <f>[5]南港事務!$I$38</f>
        <v>7187</v>
      </c>
      <c r="S38" s="9" t="str">
        <f t="shared" si="43"/>
        <v/>
      </c>
      <c r="T38" s="362">
        <f>[5]南港事務!$L$38</f>
        <v>38681</v>
      </c>
      <c r="U38" s="204" t="str">
        <f t="shared" si="44"/>
        <v/>
      </c>
      <c r="V38" s="456">
        <f t="shared" si="21"/>
        <v>7187</v>
      </c>
      <c r="W38" s="171">
        <f t="shared" si="45"/>
        <v>2.2904998911638078E-4</v>
      </c>
      <c r="X38" s="426">
        <f t="shared" si="22"/>
        <v>38681</v>
      </c>
      <c r="Y38" s="225">
        <f t="shared" si="46"/>
        <v>2.8320721773739815E-4</v>
      </c>
      <c r="Z38" s="460">
        <f t="shared" si="23"/>
        <v>178680</v>
      </c>
      <c r="AA38" s="189">
        <f t="shared" si="47"/>
        <v>2.8725412731514478E-4</v>
      </c>
      <c r="AB38" s="564">
        <f t="shared" si="24"/>
        <v>848117</v>
      </c>
      <c r="AC38" s="123">
        <f t="shared" si="48"/>
        <v>3.0132442065894014E-4</v>
      </c>
      <c r="AD38" s="352">
        <f>[5]東京事務!$I$38</f>
        <v>25327</v>
      </c>
      <c r="AE38" s="9">
        <f t="shared" si="49"/>
        <v>9.2222884596665597E-5</v>
      </c>
      <c r="AF38" s="362">
        <f>[5]東京事務!$L$38</f>
        <v>222853</v>
      </c>
      <c r="AG38" s="81">
        <f t="shared" si="50"/>
        <v>1.7726821535534219E-4</v>
      </c>
      <c r="AH38" s="388">
        <f>[5]東京工場!$I$38</f>
        <v>22990</v>
      </c>
      <c r="AI38" s="171">
        <f t="shared" si="25"/>
        <v>2.0048743125195287E-3</v>
      </c>
      <c r="AJ38" s="362">
        <f>[5]東京工場!$L$38</f>
        <v>29830</v>
      </c>
      <c r="AK38" s="99">
        <f t="shared" si="36"/>
        <v>5.783507774048453E-4</v>
      </c>
      <c r="AL38" s="547">
        <f t="shared" si="26"/>
        <v>48317</v>
      </c>
      <c r="AM38" s="314">
        <f t="shared" si="51"/>
        <v>1.6888434280307974E-4</v>
      </c>
      <c r="AN38" s="478">
        <f t="shared" si="27"/>
        <v>252683</v>
      </c>
      <c r="AO38" s="123">
        <f t="shared" si="52"/>
        <v>1.9307508692751474E-4</v>
      </c>
      <c r="AP38" s="527">
        <f t="shared" si="28"/>
        <v>226997</v>
      </c>
      <c r="AQ38" s="284">
        <f t="shared" si="53"/>
        <v>2.4996288580204234E-4</v>
      </c>
      <c r="AR38" s="487">
        <f t="shared" si="29"/>
        <v>1133896</v>
      </c>
      <c r="AS38" s="285">
        <f t="shared" si="54"/>
        <v>2.7499320975490037E-4</v>
      </c>
      <c r="AT38" s="584">
        <f>[5]全社合計!$G$38</f>
        <v>225250</v>
      </c>
      <c r="AU38" s="124">
        <f t="shared" si="30"/>
        <v>2.210437856543013E-4</v>
      </c>
      <c r="AV38" s="578">
        <f>[5]全社合計!$N$38</f>
        <v>1421498</v>
      </c>
      <c r="AW38" s="125">
        <f t="shared" si="31"/>
        <v>3.0652747980112929E-4</v>
      </c>
      <c r="AX38" s="584">
        <f t="shared" si="32"/>
        <v>1747</v>
      </c>
      <c r="AY38" s="124">
        <f t="shared" si="33"/>
        <v>1.0077558268590454</v>
      </c>
      <c r="AZ38" s="578">
        <f t="shared" si="34"/>
        <v>-287602</v>
      </c>
      <c r="BA38" s="125">
        <f t="shared" si="35"/>
        <v>0.79767681699165249</v>
      </c>
      <c r="BB38" s="11"/>
    </row>
    <row r="39" spans="1:54" ht="15.95" customHeight="1">
      <c r="A39" s="37" t="s">
        <v>56</v>
      </c>
      <c r="B39" s="703">
        <f>[5]本部!$I$39</f>
        <v>4445</v>
      </c>
      <c r="C39" s="259" t="str">
        <f t="shared" si="38"/>
        <v/>
      </c>
      <c r="D39" s="728">
        <f>[5]本部!$L$39</f>
        <v>44405</v>
      </c>
      <c r="E39" s="122" t="str">
        <f t="shared" si="39"/>
        <v/>
      </c>
      <c r="F39" s="352">
        <f>[5]本社営業!$I$39</f>
        <v>810</v>
      </c>
      <c r="G39" s="9">
        <f t="shared" si="40"/>
        <v>1.396544385056404E-6</v>
      </c>
      <c r="H39" s="362">
        <f>[5]本社営業!$L$39</f>
        <v>72014</v>
      </c>
      <c r="I39" s="124">
        <f t="shared" si="19"/>
        <v>2.735967246729829E-5</v>
      </c>
      <c r="J39" s="745">
        <f>[5]東大阪!$I$39</f>
        <v>0</v>
      </c>
      <c r="K39" s="9">
        <f t="shared" si="20"/>
        <v>0</v>
      </c>
      <c r="L39" s="362">
        <f>[5]東大阪!$L$39</f>
        <v>0</v>
      </c>
      <c r="M39" s="124">
        <f t="shared" si="37"/>
        <v>0</v>
      </c>
      <c r="N39" s="403">
        <f>[5]南港工場!$I$39</f>
        <v>0</v>
      </c>
      <c r="O39" s="9">
        <f t="shared" si="41"/>
        <v>0</v>
      </c>
      <c r="P39" s="362">
        <f>[5]南港工場!$L$39</f>
        <v>0</v>
      </c>
      <c r="Q39" s="204">
        <f t="shared" si="42"/>
        <v>0</v>
      </c>
      <c r="R39" s="437">
        <f>[5]南港事務!$I$39</f>
        <v>0</v>
      </c>
      <c r="S39" s="9" t="str">
        <f t="shared" si="43"/>
        <v/>
      </c>
      <c r="T39" s="362">
        <f>[5]南港事務!$L$39</f>
        <v>0</v>
      </c>
      <c r="U39" s="204" t="str">
        <f t="shared" si="44"/>
        <v/>
      </c>
      <c r="V39" s="456">
        <f t="shared" si="21"/>
        <v>0</v>
      </c>
      <c r="W39" s="171">
        <f t="shared" si="45"/>
        <v>0</v>
      </c>
      <c r="X39" s="426">
        <f t="shared" si="22"/>
        <v>0</v>
      </c>
      <c r="Y39" s="225">
        <f t="shared" si="46"/>
        <v>0</v>
      </c>
      <c r="Z39" s="460">
        <f t="shared" si="23"/>
        <v>810</v>
      </c>
      <c r="AA39" s="189">
        <f t="shared" si="47"/>
        <v>1.3021929881646926E-6</v>
      </c>
      <c r="AB39" s="564">
        <f t="shared" si="24"/>
        <v>72014</v>
      </c>
      <c r="AC39" s="123">
        <f t="shared" si="48"/>
        <v>2.5585593531709559E-5</v>
      </c>
      <c r="AD39" s="352">
        <f>[5]東京事務!$I$39</f>
        <v>0</v>
      </c>
      <c r="AE39" s="9">
        <f t="shared" si="49"/>
        <v>0</v>
      </c>
      <c r="AF39" s="362">
        <f>[5]東京事務!$L$39</f>
        <v>71204</v>
      </c>
      <c r="AG39" s="81">
        <f t="shared" si="50"/>
        <v>5.663915678120458E-5</v>
      </c>
      <c r="AH39" s="388">
        <f>[5]東京工場!$I$39</f>
        <v>0</v>
      </c>
      <c r="AI39" s="171">
        <f t="shared" si="25"/>
        <v>0</v>
      </c>
      <c r="AJ39" s="362">
        <f>[5]東京工場!$L$39</f>
        <v>0</v>
      </c>
      <c r="AK39" s="99">
        <f t="shared" si="36"/>
        <v>0</v>
      </c>
      <c r="AL39" s="547">
        <f t="shared" si="26"/>
        <v>0</v>
      </c>
      <c r="AM39" s="314">
        <f t="shared" si="51"/>
        <v>0</v>
      </c>
      <c r="AN39" s="478">
        <f t="shared" si="27"/>
        <v>71204</v>
      </c>
      <c r="AO39" s="123">
        <f t="shared" si="52"/>
        <v>5.4406978267579378E-5</v>
      </c>
      <c r="AP39" s="527">
        <f t="shared" si="28"/>
        <v>5255</v>
      </c>
      <c r="AQ39" s="284">
        <f t="shared" si="53"/>
        <v>5.7866622241251315E-6</v>
      </c>
      <c r="AR39" s="487">
        <f t="shared" si="29"/>
        <v>187623</v>
      </c>
      <c r="AS39" s="285">
        <f t="shared" si="54"/>
        <v>4.5502454364283562E-5</v>
      </c>
      <c r="AT39" s="584">
        <f>[5]全社合計!$G$39</f>
        <v>4445</v>
      </c>
      <c r="AU39" s="124">
        <f t="shared" si="30"/>
        <v>4.3619961253423717E-6</v>
      </c>
      <c r="AV39" s="578">
        <f>[5]全社合計!$N$39</f>
        <v>164465</v>
      </c>
      <c r="AW39" s="125">
        <f t="shared" si="31"/>
        <v>3.5464729437180164E-5</v>
      </c>
      <c r="AX39" s="584">
        <f t="shared" si="32"/>
        <v>810</v>
      </c>
      <c r="AY39" s="124">
        <f t="shared" si="33"/>
        <v>1.1822272215973004</v>
      </c>
      <c r="AZ39" s="578">
        <f t="shared" si="34"/>
        <v>23158</v>
      </c>
      <c r="BA39" s="125">
        <f t="shared" si="35"/>
        <v>1.1408080746663425</v>
      </c>
      <c r="BB39" s="11"/>
    </row>
    <row r="40" spans="1:54" ht="15.95" customHeight="1">
      <c r="A40" s="37" t="s">
        <v>33</v>
      </c>
      <c r="B40" s="703">
        <f>[5]本部!$I$40</f>
        <v>0</v>
      </c>
      <c r="C40" s="259" t="str">
        <f t="shared" si="38"/>
        <v/>
      </c>
      <c r="D40" s="728">
        <f>[5]本部!$L$40</f>
        <v>0</v>
      </c>
      <c r="E40" s="122" t="str">
        <f t="shared" si="39"/>
        <v/>
      </c>
      <c r="F40" s="352">
        <f>[5]本社営業!$I$40</f>
        <v>25279</v>
      </c>
      <c r="G40" s="9">
        <f t="shared" si="40"/>
        <v>4.3584253715852887E-5</v>
      </c>
      <c r="H40" s="362">
        <f>[5]本社営業!$L$40</f>
        <v>118279</v>
      </c>
      <c r="I40" s="124">
        <f t="shared" si="19"/>
        <v>4.4936744240836153E-5</v>
      </c>
      <c r="J40" s="745">
        <f>[5]東大阪!$I$40</f>
        <v>0</v>
      </c>
      <c r="K40" s="9">
        <f t="shared" si="20"/>
        <v>0</v>
      </c>
      <c r="L40" s="362">
        <f>[5]東大阪!$L$40</f>
        <v>0</v>
      </c>
      <c r="M40" s="124">
        <f t="shared" si="37"/>
        <v>0</v>
      </c>
      <c r="N40" s="403">
        <f>[5]南港工場!$I$40</f>
        <v>0</v>
      </c>
      <c r="O40" s="9">
        <f t="shared" si="41"/>
        <v>0</v>
      </c>
      <c r="P40" s="362">
        <f>[5]南港工場!$L$40</f>
        <v>0</v>
      </c>
      <c r="Q40" s="204">
        <f t="shared" si="42"/>
        <v>0</v>
      </c>
      <c r="R40" s="437">
        <f>[5]南港事務!$I$40</f>
        <v>0</v>
      </c>
      <c r="S40" s="9" t="str">
        <f t="shared" si="43"/>
        <v/>
      </c>
      <c r="T40" s="362">
        <f>[5]南港事務!$L$40</f>
        <v>9600</v>
      </c>
      <c r="U40" s="204" t="str">
        <f t="shared" si="44"/>
        <v/>
      </c>
      <c r="V40" s="456">
        <f t="shared" si="21"/>
        <v>0</v>
      </c>
      <c r="W40" s="171">
        <f t="shared" si="45"/>
        <v>0</v>
      </c>
      <c r="X40" s="426">
        <f t="shared" si="22"/>
        <v>9600</v>
      </c>
      <c r="Y40" s="225">
        <f t="shared" si="46"/>
        <v>7.0287461293116064E-5</v>
      </c>
      <c r="Z40" s="460">
        <f t="shared" si="23"/>
        <v>25279</v>
      </c>
      <c r="AA40" s="189">
        <f t="shared" si="47"/>
        <v>4.0639674750389218E-5</v>
      </c>
      <c r="AB40" s="564">
        <f t="shared" si="24"/>
        <v>127879</v>
      </c>
      <c r="AC40" s="123">
        <f t="shared" si="48"/>
        <v>4.5433667276383572E-5</v>
      </c>
      <c r="AD40" s="352">
        <f>[5]東京事務!$I$40</f>
        <v>4419</v>
      </c>
      <c r="AE40" s="9">
        <f t="shared" si="49"/>
        <v>1.609084877927371E-5</v>
      </c>
      <c r="AF40" s="362">
        <f>[5]東京事務!$L$40</f>
        <v>4419</v>
      </c>
      <c r="AG40" s="81">
        <f t="shared" si="50"/>
        <v>3.5150895148607247E-6</v>
      </c>
      <c r="AH40" s="388">
        <f>[5]東京工場!$I$40</f>
        <v>0</v>
      </c>
      <c r="AI40" s="171">
        <f t="shared" si="25"/>
        <v>0</v>
      </c>
      <c r="AJ40" s="362">
        <f>[5]東京工場!$L$40</f>
        <v>0</v>
      </c>
      <c r="AK40" s="99">
        <f t="shared" si="36"/>
        <v>0</v>
      </c>
      <c r="AL40" s="547">
        <f t="shared" si="26"/>
        <v>4419</v>
      </c>
      <c r="AM40" s="314">
        <f t="shared" si="51"/>
        <v>1.5445907462110838E-5</v>
      </c>
      <c r="AN40" s="478">
        <f t="shared" si="27"/>
        <v>4419</v>
      </c>
      <c r="AO40" s="123">
        <f t="shared" si="52"/>
        <v>3.3765580159040682E-6</v>
      </c>
      <c r="AP40" s="527">
        <f t="shared" si="28"/>
        <v>29698</v>
      </c>
      <c r="AQ40" s="284">
        <f t="shared" si="53"/>
        <v>3.2702625067948267E-5</v>
      </c>
      <c r="AR40" s="487">
        <f t="shared" si="29"/>
        <v>132298</v>
      </c>
      <c r="AS40" s="285">
        <f t="shared" si="54"/>
        <v>3.2084998680790666E-5</v>
      </c>
      <c r="AT40" s="584">
        <f>[5]全社合計!$G$40</f>
        <v>44843</v>
      </c>
      <c r="AU40" s="124">
        <f t="shared" si="30"/>
        <v>4.4005622553144652E-5</v>
      </c>
      <c r="AV40" s="578">
        <f>[5]全社合計!$N$40</f>
        <v>157578</v>
      </c>
      <c r="AW40" s="125">
        <f t="shared" si="31"/>
        <v>3.397963782720929E-5</v>
      </c>
      <c r="AX40" s="584">
        <f t="shared" si="32"/>
        <v>-15145</v>
      </c>
      <c r="AY40" s="124">
        <f t="shared" si="33"/>
        <v>0.66226612849274136</v>
      </c>
      <c r="AZ40" s="578">
        <f t="shared" si="34"/>
        <v>-25280</v>
      </c>
      <c r="BA40" s="125">
        <f t="shared" si="35"/>
        <v>0.83957151378999606</v>
      </c>
      <c r="BB40" s="11"/>
    </row>
    <row r="41" spans="1:54" ht="15.95" customHeight="1">
      <c r="A41" s="37" t="s">
        <v>34</v>
      </c>
      <c r="B41" s="703">
        <f>[5]本部!$I$41</f>
        <v>0</v>
      </c>
      <c r="C41" s="259" t="str">
        <f t="shared" si="38"/>
        <v/>
      </c>
      <c r="D41" s="728">
        <f>[5]本部!$L$41</f>
        <v>437300</v>
      </c>
      <c r="E41" s="122" t="str">
        <f t="shared" si="39"/>
        <v/>
      </c>
      <c r="F41" s="352">
        <f>[5]本社営業!$I$41</f>
        <v>40000</v>
      </c>
      <c r="G41" s="9">
        <f t="shared" si="40"/>
        <v>6.8965154817600201E-5</v>
      </c>
      <c r="H41" s="362">
        <f>[5]本社営業!$L$41</f>
        <v>142000</v>
      </c>
      <c r="I41" s="124">
        <f t="shared" si="19"/>
        <v>5.3948863975842996E-5</v>
      </c>
      <c r="J41" s="745">
        <f>[5]東大阪!$I$41</f>
        <v>0</v>
      </c>
      <c r="K41" s="9">
        <f t="shared" si="20"/>
        <v>0</v>
      </c>
      <c r="L41" s="362">
        <f>[5]東大阪!$L$41</f>
        <v>10000</v>
      </c>
      <c r="M41" s="124">
        <f t="shared" si="37"/>
        <v>2.177383034684928E-4</v>
      </c>
      <c r="N41" s="403">
        <f>[5]南港工場!$I$41</f>
        <v>0</v>
      </c>
      <c r="O41" s="9">
        <f t="shared" si="41"/>
        <v>0</v>
      </c>
      <c r="P41" s="362">
        <f>[5]南港工場!$L$41</f>
        <v>0</v>
      </c>
      <c r="Q41" s="204">
        <f t="shared" si="42"/>
        <v>0</v>
      </c>
      <c r="R41" s="437">
        <f>[5]南港事務!$I$41</f>
        <v>455958</v>
      </c>
      <c r="S41" s="9" t="str">
        <f t="shared" si="43"/>
        <v/>
      </c>
      <c r="T41" s="362">
        <f>[5]南港事務!$L$41</f>
        <v>851916</v>
      </c>
      <c r="U41" s="204" t="str">
        <f t="shared" si="44"/>
        <v/>
      </c>
      <c r="V41" s="456">
        <f t="shared" si="21"/>
        <v>455958</v>
      </c>
      <c r="W41" s="171">
        <f t="shared" si="45"/>
        <v>1.453140043655583E-2</v>
      </c>
      <c r="X41" s="426">
        <f t="shared" si="22"/>
        <v>851916</v>
      </c>
      <c r="Y41" s="225">
        <f t="shared" si="46"/>
        <v>6.2373971744777356E-3</v>
      </c>
      <c r="Z41" s="460">
        <f t="shared" si="23"/>
        <v>495958</v>
      </c>
      <c r="AA41" s="189">
        <f t="shared" si="47"/>
        <v>7.9732472842491931E-4</v>
      </c>
      <c r="AB41" s="564">
        <f t="shared" si="24"/>
        <v>1003916</v>
      </c>
      <c r="AC41" s="123">
        <f t="shared" si="48"/>
        <v>3.5667768372788254E-4</v>
      </c>
      <c r="AD41" s="352">
        <f>[5]東京事務!$I$41</f>
        <v>90000</v>
      </c>
      <c r="AE41" s="9">
        <f t="shared" si="49"/>
        <v>3.2771586108500431E-4</v>
      </c>
      <c r="AF41" s="362">
        <f>[5]東京事務!$L$41</f>
        <v>238000</v>
      </c>
      <c r="AG41" s="81">
        <f t="shared" si="50"/>
        <v>1.8931688267410102E-4</v>
      </c>
      <c r="AH41" s="388">
        <f>[5]東京工場!$I$41</f>
        <v>0</v>
      </c>
      <c r="AI41" s="171">
        <f t="shared" si="25"/>
        <v>0</v>
      </c>
      <c r="AJ41" s="362">
        <f>[5]東京工場!$L$41</f>
        <v>0</v>
      </c>
      <c r="AK41" s="99">
        <f t="shared" si="36"/>
        <v>0</v>
      </c>
      <c r="AL41" s="547">
        <f t="shared" si="26"/>
        <v>90000</v>
      </c>
      <c r="AM41" s="314">
        <f t="shared" si="51"/>
        <v>3.1458060004299057E-4</v>
      </c>
      <c r="AN41" s="478">
        <f t="shared" si="27"/>
        <v>238000</v>
      </c>
      <c r="AO41" s="123">
        <f t="shared" si="52"/>
        <v>1.8185580624240059E-4</v>
      </c>
      <c r="AP41" s="527">
        <f t="shared" si="28"/>
        <v>585958</v>
      </c>
      <c r="AQ41" s="284">
        <f t="shared" si="53"/>
        <v>6.4524091789227667E-4</v>
      </c>
      <c r="AR41" s="487">
        <f t="shared" si="29"/>
        <v>1679216</v>
      </c>
      <c r="AS41" s="285">
        <f t="shared" si="54"/>
        <v>4.072445777318068E-4</v>
      </c>
      <c r="AT41" s="584">
        <f>[5]全社合計!$G$41</f>
        <v>635958</v>
      </c>
      <c r="AU41" s="124">
        <f t="shared" si="30"/>
        <v>6.2408241437131252E-4</v>
      </c>
      <c r="AV41" s="578">
        <f>[5]全社合計!$N$41</f>
        <v>1802535</v>
      </c>
      <c r="AW41" s="125">
        <f t="shared" si="31"/>
        <v>3.8869313273977773E-4</v>
      </c>
      <c r="AX41" s="584">
        <f t="shared" si="32"/>
        <v>-50000</v>
      </c>
      <c r="AY41" s="124">
        <f t="shared" si="33"/>
        <v>0.92137845580997491</v>
      </c>
      <c r="AZ41" s="578">
        <f t="shared" si="34"/>
        <v>-123319</v>
      </c>
      <c r="BA41" s="125">
        <f t="shared" si="35"/>
        <v>0.9315857944505932</v>
      </c>
      <c r="BB41" s="11"/>
    </row>
    <row r="42" spans="1:54" ht="15.95" customHeight="1">
      <c r="A42" s="37" t="s">
        <v>35</v>
      </c>
      <c r="B42" s="703">
        <f>[5]本部!$I$42</f>
        <v>0</v>
      </c>
      <c r="C42" s="259" t="str">
        <f t="shared" si="38"/>
        <v/>
      </c>
      <c r="D42" s="728">
        <f>[5]本部!$L$42</f>
        <v>0</v>
      </c>
      <c r="E42" s="122" t="str">
        <f t="shared" si="39"/>
        <v/>
      </c>
      <c r="F42" s="352">
        <f>[5]本社営業!$I$42</f>
        <v>535603</v>
      </c>
      <c r="G42" s="9">
        <f t="shared" si="40"/>
        <v>9.2344859539427804E-4</v>
      </c>
      <c r="H42" s="362">
        <f>[5]本社営業!$L$42</f>
        <v>1055603</v>
      </c>
      <c r="I42" s="124">
        <f t="shared" si="19"/>
        <v>4.0104635675698442E-4</v>
      </c>
      <c r="J42" s="745">
        <f>[5]東大阪!$I$42</f>
        <v>0</v>
      </c>
      <c r="K42" s="9">
        <f t="shared" si="20"/>
        <v>0</v>
      </c>
      <c r="L42" s="362">
        <f>[5]東大阪!$L$42</f>
        <v>0</v>
      </c>
      <c r="M42" s="124">
        <f t="shared" si="37"/>
        <v>0</v>
      </c>
      <c r="N42" s="403">
        <f>[5]南港工場!$I$42</f>
        <v>0</v>
      </c>
      <c r="O42" s="9">
        <f t="shared" si="41"/>
        <v>0</v>
      </c>
      <c r="P42" s="362">
        <f>[5]南港工場!$L$42</f>
        <v>0</v>
      </c>
      <c r="Q42" s="204">
        <f t="shared" si="42"/>
        <v>0</v>
      </c>
      <c r="R42" s="437">
        <f>[5]南港事務!$I$42</f>
        <v>0</v>
      </c>
      <c r="S42" s="9" t="str">
        <f t="shared" si="43"/>
        <v/>
      </c>
      <c r="T42" s="362">
        <f>[5]南港事務!$L$42</f>
        <v>0</v>
      </c>
      <c r="U42" s="204" t="str">
        <f t="shared" si="44"/>
        <v/>
      </c>
      <c r="V42" s="456">
        <f t="shared" si="21"/>
        <v>0</v>
      </c>
      <c r="W42" s="171">
        <f t="shared" si="45"/>
        <v>0</v>
      </c>
      <c r="X42" s="426">
        <f t="shared" si="22"/>
        <v>0</v>
      </c>
      <c r="Y42" s="225">
        <f t="shared" si="46"/>
        <v>0</v>
      </c>
      <c r="Z42" s="460">
        <f t="shared" si="23"/>
        <v>535603</v>
      </c>
      <c r="AA42" s="189">
        <f t="shared" si="47"/>
        <v>8.6105984079009126E-4</v>
      </c>
      <c r="AB42" s="564">
        <f t="shared" si="24"/>
        <v>1055603</v>
      </c>
      <c r="AC42" s="123">
        <f t="shared" si="48"/>
        <v>3.7504137096749528E-4</v>
      </c>
      <c r="AD42" s="352">
        <f>[5]東京事務!$I$42</f>
        <v>0</v>
      </c>
      <c r="AE42" s="9">
        <f t="shared" si="49"/>
        <v>0</v>
      </c>
      <c r="AF42" s="362">
        <f>[5]東京事務!$L$42</f>
        <v>0</v>
      </c>
      <c r="AG42" s="81">
        <f t="shared" si="50"/>
        <v>0</v>
      </c>
      <c r="AH42" s="388">
        <f>[5]東京工場!$I$42</f>
        <v>0</v>
      </c>
      <c r="AI42" s="171">
        <f t="shared" si="25"/>
        <v>0</v>
      </c>
      <c r="AJ42" s="362">
        <f>[5]東京工場!$L$42</f>
        <v>0</v>
      </c>
      <c r="AK42" s="99">
        <f t="shared" si="36"/>
        <v>0</v>
      </c>
      <c r="AL42" s="547">
        <f t="shared" si="26"/>
        <v>0</v>
      </c>
      <c r="AM42" s="314">
        <f t="shared" si="51"/>
        <v>0</v>
      </c>
      <c r="AN42" s="478">
        <f t="shared" si="27"/>
        <v>0</v>
      </c>
      <c r="AO42" s="123">
        <f t="shared" si="52"/>
        <v>0</v>
      </c>
      <c r="AP42" s="527">
        <f t="shared" si="28"/>
        <v>535603</v>
      </c>
      <c r="AQ42" s="284">
        <f t="shared" si="53"/>
        <v>5.8979136959621181E-4</v>
      </c>
      <c r="AR42" s="487">
        <f t="shared" si="29"/>
        <v>1055603</v>
      </c>
      <c r="AS42" s="285">
        <f t="shared" si="54"/>
        <v>2.5600553948237063E-4</v>
      </c>
      <c r="AT42" s="584">
        <f>[5]全社合計!$G$42</f>
        <v>0</v>
      </c>
      <c r="AU42" s="124">
        <f t="shared" si="30"/>
        <v>0</v>
      </c>
      <c r="AV42" s="578">
        <f>[5]全社合計!$N$42</f>
        <v>2015576</v>
      </c>
      <c r="AW42" s="125">
        <f t="shared" si="31"/>
        <v>4.3463264220395734E-4</v>
      </c>
      <c r="AX42" s="584">
        <f t="shared" si="32"/>
        <v>535603</v>
      </c>
      <c r="AY42" s="124" t="str">
        <f t="shared" si="33"/>
        <v/>
      </c>
      <c r="AZ42" s="578">
        <f t="shared" si="34"/>
        <v>-959973</v>
      </c>
      <c r="BA42" s="125">
        <f t="shared" si="35"/>
        <v>0.52372274724446011</v>
      </c>
      <c r="BB42" s="11"/>
    </row>
    <row r="43" spans="1:54" ht="15.95" customHeight="1">
      <c r="A43" s="37" t="s">
        <v>36</v>
      </c>
      <c r="B43" s="703">
        <f>[5]本部!$I$43</f>
        <v>0</v>
      </c>
      <c r="C43" s="259" t="str">
        <f t="shared" si="38"/>
        <v/>
      </c>
      <c r="D43" s="728">
        <f>[5]本部!$L$43</f>
        <v>0</v>
      </c>
      <c r="E43" s="122" t="str">
        <f t="shared" si="39"/>
        <v/>
      </c>
      <c r="F43" s="352">
        <f>[5]本社営業!$I$43</f>
        <v>15736677</v>
      </c>
      <c r="G43" s="9">
        <f t="shared" si="40"/>
        <v>2.7132059140489207E-2</v>
      </c>
      <c r="H43" s="362">
        <f>[5]本社営業!$L$43</f>
        <v>68239759</v>
      </c>
      <c r="I43" s="124">
        <f t="shared" si="19"/>
        <v>2.5925756873488082E-2</v>
      </c>
      <c r="J43" s="745">
        <f>[5]東大阪!$I$43</f>
        <v>-480833</v>
      </c>
      <c r="K43" s="9">
        <f t="shared" si="20"/>
        <v>-4.5160774660758601E-2</v>
      </c>
      <c r="L43" s="362">
        <f>[5]東大阪!$L$43</f>
        <v>-2429343</v>
      </c>
      <c r="M43" s="124">
        <f t="shared" si="37"/>
        <v>-5.2896102336305865E-2</v>
      </c>
      <c r="N43" s="403">
        <f>[5]南港工場!$I$43</f>
        <v>2452027</v>
      </c>
      <c r="O43" s="9">
        <f t="shared" si="41"/>
        <v>7.8146202541125892E-2</v>
      </c>
      <c r="P43" s="362">
        <f>[5]南港工場!$L$43</f>
        <v>9305889</v>
      </c>
      <c r="Q43" s="204">
        <f t="shared" si="42"/>
        <v>6.8134095092243177E-2</v>
      </c>
      <c r="R43" s="437">
        <f>[5]南港事務!$I$43</f>
        <v>0</v>
      </c>
      <c r="S43" s="9" t="str">
        <f t="shared" si="43"/>
        <v/>
      </c>
      <c r="T43" s="362">
        <f>[5]南港事務!$L$43</f>
        <v>0</v>
      </c>
      <c r="U43" s="204" t="str">
        <f t="shared" si="44"/>
        <v/>
      </c>
      <c r="V43" s="456">
        <f t="shared" si="21"/>
        <v>2452027</v>
      </c>
      <c r="W43" s="171">
        <f t="shared" si="45"/>
        <v>7.8146202541125892E-2</v>
      </c>
      <c r="X43" s="426">
        <f t="shared" si="22"/>
        <v>9305889</v>
      </c>
      <c r="Y43" s="225">
        <f t="shared" si="46"/>
        <v>6.8134095092243177E-2</v>
      </c>
      <c r="Z43" s="460">
        <f t="shared" si="23"/>
        <v>17707871</v>
      </c>
      <c r="AA43" s="189">
        <f t="shared" si="47"/>
        <v>2.8467982038919634E-2</v>
      </c>
      <c r="AB43" s="564">
        <f t="shared" si="24"/>
        <v>75116305</v>
      </c>
      <c r="AC43" s="123">
        <f t="shared" si="48"/>
        <v>2.668780025181107E-2</v>
      </c>
      <c r="AD43" s="352">
        <f>[5]東京事務!$I$43</f>
        <v>7367261</v>
      </c>
      <c r="AE43" s="9">
        <f t="shared" si="49"/>
        <v>2.6826314249477443E-2</v>
      </c>
      <c r="AF43" s="362">
        <f>[5]東京事務!$L$43</f>
        <v>30553922</v>
      </c>
      <c r="AG43" s="81">
        <f t="shared" si="50"/>
        <v>2.4304089355074093E-2</v>
      </c>
      <c r="AH43" s="388">
        <f>[5]東京工場!$I$43</f>
        <v>0</v>
      </c>
      <c r="AI43" s="171">
        <f t="shared" si="25"/>
        <v>0</v>
      </c>
      <c r="AJ43" s="362">
        <f>[5]東京工場!$L$43</f>
        <v>0</v>
      </c>
      <c r="AK43" s="99">
        <f t="shared" si="36"/>
        <v>0</v>
      </c>
      <c r="AL43" s="547">
        <f t="shared" si="26"/>
        <v>7367261</v>
      </c>
      <c r="AM43" s="314">
        <f t="shared" si="51"/>
        <v>2.5751082067259144E-2</v>
      </c>
      <c r="AN43" s="478">
        <f t="shared" si="27"/>
        <v>30553922</v>
      </c>
      <c r="AO43" s="123">
        <f t="shared" si="52"/>
        <v>2.33462526015858E-2</v>
      </c>
      <c r="AP43" s="527">
        <f t="shared" si="28"/>
        <v>25075132</v>
      </c>
      <c r="AQ43" s="284">
        <f t="shared" si="53"/>
        <v>2.7612049307202905E-2</v>
      </c>
      <c r="AR43" s="487">
        <f t="shared" si="29"/>
        <v>105670227</v>
      </c>
      <c r="AS43" s="285">
        <f t="shared" si="54"/>
        <v>2.5627213517164658E-2</v>
      </c>
      <c r="AT43" s="584">
        <f>[5]全社合計!$G$43</f>
        <v>24441607</v>
      </c>
      <c r="AU43" s="124">
        <f t="shared" si="30"/>
        <v>2.3985195732540154E-2</v>
      </c>
      <c r="AV43" s="578">
        <f>[5]全社合計!$N$43</f>
        <v>101781203</v>
      </c>
      <c r="AW43" s="125">
        <f t="shared" si="31"/>
        <v>2.1947787226374669E-2</v>
      </c>
      <c r="AX43" s="584">
        <f t="shared" si="32"/>
        <v>633525</v>
      </c>
      <c r="AY43" s="124">
        <f t="shared" si="33"/>
        <v>1.0259199405341883</v>
      </c>
      <c r="AZ43" s="578">
        <f>AR43-AV43</f>
        <v>3889024</v>
      </c>
      <c r="BA43" s="125">
        <f t="shared" si="35"/>
        <v>1.0382096485929726</v>
      </c>
      <c r="BB43" s="11"/>
    </row>
    <row r="44" spans="1:54" ht="15.95" customHeight="1">
      <c r="A44" s="37" t="s">
        <v>37</v>
      </c>
      <c r="B44" s="703">
        <f>[5]本部!$I$44</f>
        <v>-165000</v>
      </c>
      <c r="C44" s="259" t="str">
        <f t="shared" si="38"/>
        <v/>
      </c>
      <c r="D44" s="728">
        <f>[5]本部!$L$44</f>
        <v>-825000</v>
      </c>
      <c r="E44" s="122" t="str">
        <f t="shared" si="39"/>
        <v/>
      </c>
      <c r="F44" s="352">
        <f>[5]本社営業!$I$44</f>
        <v>475000</v>
      </c>
      <c r="G44" s="9">
        <f t="shared" si="40"/>
        <v>8.1896121345900242E-4</v>
      </c>
      <c r="H44" s="362">
        <f>[5]本社営業!$L$44</f>
        <v>2375000</v>
      </c>
      <c r="I44" s="124">
        <f t="shared" si="19"/>
        <v>9.0231374607483881E-4</v>
      </c>
      <c r="J44" s="745">
        <f>[5]東大阪!$I$44</f>
        <v>375000</v>
      </c>
      <c r="K44" s="9">
        <f t="shared" si="20"/>
        <v>3.5220732557425291E-2</v>
      </c>
      <c r="L44" s="362">
        <f>[5]東大阪!$L$44</f>
        <v>1875000</v>
      </c>
      <c r="M44" s="124">
        <f t="shared" si="37"/>
        <v>4.0825931900342401E-2</v>
      </c>
      <c r="N44" s="403">
        <f>[5]南港工場!$I$44</f>
        <v>360000</v>
      </c>
      <c r="O44" s="9">
        <f t="shared" si="41"/>
        <v>1.1473214982871446E-2</v>
      </c>
      <c r="P44" s="362">
        <f>[5]南港工場!$L$44</f>
        <v>1800000</v>
      </c>
      <c r="Q44" s="204">
        <f t="shared" si="42"/>
        <v>1.317889899245926E-2</v>
      </c>
      <c r="R44" s="437">
        <f>[5]南港事務!$I$44</f>
        <v>80000</v>
      </c>
      <c r="S44" s="9" t="str">
        <f t="shared" si="43"/>
        <v/>
      </c>
      <c r="T44" s="362">
        <f>[5]南港事務!$L$44</f>
        <v>400000</v>
      </c>
      <c r="U44" s="204" t="str">
        <f t="shared" si="44"/>
        <v/>
      </c>
      <c r="V44" s="456">
        <f t="shared" si="21"/>
        <v>440000</v>
      </c>
      <c r="W44" s="171">
        <f t="shared" si="45"/>
        <v>1.4022818312398435E-2</v>
      </c>
      <c r="X44" s="426">
        <f t="shared" si="22"/>
        <v>2200000</v>
      </c>
      <c r="Y44" s="225">
        <f t="shared" si="46"/>
        <v>1.6107543213005764E-2</v>
      </c>
      <c r="Z44" s="460">
        <f t="shared" si="23"/>
        <v>1290000</v>
      </c>
      <c r="AA44" s="189">
        <f t="shared" si="47"/>
        <v>2.0738629070771032E-3</v>
      </c>
      <c r="AB44" s="564">
        <f t="shared" si="24"/>
        <v>6450000</v>
      </c>
      <c r="AC44" s="123">
        <f t="shared" si="48"/>
        <v>2.2915971655445701E-3</v>
      </c>
      <c r="AD44" s="352">
        <f>[5]東京事務!$I$44</f>
        <v>55000</v>
      </c>
      <c r="AE44" s="9">
        <f t="shared" si="49"/>
        <v>2.0027080399639152E-4</v>
      </c>
      <c r="AF44" s="362">
        <f>[5]東京事務!$L$44</f>
        <v>275000</v>
      </c>
      <c r="AG44" s="81">
        <f t="shared" si="50"/>
        <v>2.1874849888814195E-4</v>
      </c>
      <c r="AH44" s="388">
        <f>[5]東京工場!$I$44</f>
        <v>275000</v>
      </c>
      <c r="AI44" s="171">
        <f t="shared" si="25"/>
        <v>2.3981750149755128E-2</v>
      </c>
      <c r="AJ44" s="362">
        <f>[5]東京工場!$L$44</f>
        <v>1375000</v>
      </c>
      <c r="AK44" s="99">
        <f t="shared" si="36"/>
        <v>2.6658810557548179E-2</v>
      </c>
      <c r="AL44" s="547">
        <f t="shared" si="26"/>
        <v>330000</v>
      </c>
      <c r="AM44" s="314">
        <f t="shared" si="51"/>
        <v>1.1534622001576321E-3</v>
      </c>
      <c r="AN44" s="478">
        <f t="shared" si="27"/>
        <v>1650000</v>
      </c>
      <c r="AO44" s="123">
        <f t="shared" si="52"/>
        <v>1.2607650432771469E-3</v>
      </c>
      <c r="AP44" s="527">
        <f t="shared" si="28"/>
        <v>1455000</v>
      </c>
      <c r="AQ44" s="284">
        <f t="shared" si="53"/>
        <v>1.6022061914561497E-3</v>
      </c>
      <c r="AR44" s="487">
        <f t="shared" si="29"/>
        <v>7275000</v>
      </c>
      <c r="AS44" s="285">
        <f t="shared" si="54"/>
        <v>1.7643378237218407E-3</v>
      </c>
      <c r="AT44" s="584">
        <f>[5]全社合計!$G$44</f>
        <v>1280000</v>
      </c>
      <c r="AU44" s="124">
        <f t="shared" si="30"/>
        <v>1.2560978718646201E-3</v>
      </c>
      <c r="AV44" s="578">
        <f>[5]全社合計!$N$44</f>
        <v>6400000</v>
      </c>
      <c r="AW44" s="125">
        <f t="shared" si="31"/>
        <v>1.380076419894525E-3</v>
      </c>
      <c r="AX44" s="584">
        <f t="shared" si="32"/>
        <v>175000</v>
      </c>
      <c r="AY44" s="124">
        <f t="shared" si="33"/>
        <v>1.13671875</v>
      </c>
      <c r="AZ44" s="578">
        <f t="shared" si="34"/>
        <v>875000</v>
      </c>
      <c r="BA44" s="125">
        <f t="shared" si="35"/>
        <v>1.13671875</v>
      </c>
      <c r="BB44" s="14"/>
    </row>
    <row r="45" spans="1:54" ht="15.95" customHeight="1">
      <c r="A45" s="37" t="s">
        <v>57</v>
      </c>
      <c r="B45" s="703">
        <f>[5]本部!$I$45</f>
        <v>0</v>
      </c>
      <c r="C45" s="259" t="str">
        <f t="shared" si="38"/>
        <v/>
      </c>
      <c r="D45" s="728">
        <f>[5]本部!$L$45</f>
        <v>0</v>
      </c>
      <c r="E45" s="122" t="str">
        <f t="shared" si="39"/>
        <v/>
      </c>
      <c r="F45" s="352">
        <f>[5]本社営業!$I$45</f>
        <v>0</v>
      </c>
      <c r="G45" s="9">
        <f t="shared" si="40"/>
        <v>0</v>
      </c>
      <c r="H45" s="362">
        <f>[5]本社営業!$L$45</f>
        <v>0</v>
      </c>
      <c r="I45" s="124">
        <f t="shared" si="19"/>
        <v>0</v>
      </c>
      <c r="J45" s="745">
        <f>[5]東大阪!$I$45</f>
        <v>0</v>
      </c>
      <c r="K45" s="9">
        <f t="shared" si="20"/>
        <v>0</v>
      </c>
      <c r="L45" s="362">
        <f>[5]東大阪!$L$45</f>
        <v>0</v>
      </c>
      <c r="M45" s="124">
        <f t="shared" si="37"/>
        <v>0</v>
      </c>
      <c r="N45" s="403">
        <f>[5]南港工場!$I$45</f>
        <v>0</v>
      </c>
      <c r="O45" s="9">
        <f t="shared" si="41"/>
        <v>0</v>
      </c>
      <c r="P45" s="362">
        <f>[5]南港工場!$L$45</f>
        <v>0</v>
      </c>
      <c r="Q45" s="204">
        <f t="shared" si="42"/>
        <v>0</v>
      </c>
      <c r="R45" s="437">
        <f>[5]南港事務!$I$45</f>
        <v>0</v>
      </c>
      <c r="S45" s="9" t="str">
        <f t="shared" si="43"/>
        <v/>
      </c>
      <c r="T45" s="362">
        <f>[5]南港事務!$L$45</f>
        <v>0</v>
      </c>
      <c r="U45" s="204" t="str">
        <f t="shared" si="44"/>
        <v/>
      </c>
      <c r="V45" s="456">
        <f t="shared" si="21"/>
        <v>0</v>
      </c>
      <c r="W45" s="171">
        <f t="shared" si="45"/>
        <v>0</v>
      </c>
      <c r="X45" s="426">
        <f t="shared" si="22"/>
        <v>0</v>
      </c>
      <c r="Y45" s="225">
        <f t="shared" si="46"/>
        <v>0</v>
      </c>
      <c r="Z45" s="460">
        <f t="shared" si="23"/>
        <v>0</v>
      </c>
      <c r="AA45" s="189">
        <f t="shared" si="47"/>
        <v>0</v>
      </c>
      <c r="AB45" s="564">
        <f t="shared" si="24"/>
        <v>0</v>
      </c>
      <c r="AC45" s="123">
        <f t="shared" si="48"/>
        <v>0</v>
      </c>
      <c r="AD45" s="352">
        <f>[5]東京事務!$I$45</f>
        <v>0</v>
      </c>
      <c r="AE45" s="9">
        <f t="shared" si="49"/>
        <v>0</v>
      </c>
      <c r="AF45" s="362">
        <f>[5]東京事務!$L$45</f>
        <v>0</v>
      </c>
      <c r="AG45" s="81">
        <f t="shared" si="50"/>
        <v>0</v>
      </c>
      <c r="AH45" s="388">
        <f>[5]東京工場!$I$45</f>
        <v>0</v>
      </c>
      <c r="AI45" s="171">
        <f t="shared" si="25"/>
        <v>0</v>
      </c>
      <c r="AJ45" s="362">
        <f>[5]東京工場!$L$45</f>
        <v>0</v>
      </c>
      <c r="AK45" s="99">
        <f t="shared" si="36"/>
        <v>0</v>
      </c>
      <c r="AL45" s="547">
        <f t="shared" si="26"/>
        <v>0</v>
      </c>
      <c r="AM45" s="314">
        <f t="shared" si="51"/>
        <v>0</v>
      </c>
      <c r="AN45" s="478">
        <f t="shared" si="27"/>
        <v>0</v>
      </c>
      <c r="AO45" s="123">
        <f t="shared" si="52"/>
        <v>0</v>
      </c>
      <c r="AP45" s="527">
        <f t="shared" si="28"/>
        <v>0</v>
      </c>
      <c r="AQ45" s="284">
        <f t="shared" si="53"/>
        <v>0</v>
      </c>
      <c r="AR45" s="487">
        <f t="shared" si="29"/>
        <v>0</v>
      </c>
      <c r="AS45" s="285">
        <f t="shared" si="54"/>
        <v>0</v>
      </c>
      <c r="AT45" s="584">
        <f>[5]全社合計!$G$45</f>
        <v>0</v>
      </c>
      <c r="AU45" s="124">
        <f t="shared" si="30"/>
        <v>0</v>
      </c>
      <c r="AV45" s="578">
        <f>[5]全社合計!$N$45</f>
        <v>0</v>
      </c>
      <c r="AW45" s="125">
        <f t="shared" si="31"/>
        <v>0</v>
      </c>
      <c r="AX45" s="584">
        <f t="shared" si="32"/>
        <v>0</v>
      </c>
      <c r="AY45" s="124" t="str">
        <f t="shared" si="33"/>
        <v/>
      </c>
      <c r="AZ45" s="578">
        <f t="shared" si="34"/>
        <v>0</v>
      </c>
      <c r="BA45" s="125" t="str">
        <f t="shared" si="35"/>
        <v/>
      </c>
      <c r="BB45" s="11"/>
    </row>
    <row r="46" spans="1:54" ht="15.95" customHeight="1">
      <c r="A46" s="36" t="s">
        <v>38</v>
      </c>
      <c r="B46" s="704">
        <f>[5]本部!$I$46</f>
        <v>10000</v>
      </c>
      <c r="C46" s="260" t="str">
        <f t="shared" si="38"/>
        <v/>
      </c>
      <c r="D46" s="729">
        <f>[5]本部!$L$46</f>
        <v>70000</v>
      </c>
      <c r="E46" s="126" t="str">
        <f t="shared" si="39"/>
        <v/>
      </c>
      <c r="F46" s="353">
        <f>[5]本社営業!$I$46</f>
        <v>7955</v>
      </c>
      <c r="G46" s="12">
        <f t="shared" si="40"/>
        <v>1.371544516435024E-5</v>
      </c>
      <c r="H46" s="362">
        <f>[5]本社営業!$L$46</f>
        <v>24055</v>
      </c>
      <c r="I46" s="128">
        <f t="shared" si="19"/>
        <v>9.1390135418232618E-6</v>
      </c>
      <c r="J46" s="746">
        <f>[5]東大阪!$I$46</f>
        <v>0</v>
      </c>
      <c r="K46" s="12">
        <f t="shared" si="20"/>
        <v>0</v>
      </c>
      <c r="L46" s="362">
        <f>[5]東大阪!$L$46</f>
        <v>0</v>
      </c>
      <c r="M46" s="128">
        <f t="shared" si="37"/>
        <v>0</v>
      </c>
      <c r="N46" s="403">
        <f>[5]南港工場!$I$46</f>
        <v>0</v>
      </c>
      <c r="O46" s="12">
        <f t="shared" si="41"/>
        <v>0</v>
      </c>
      <c r="P46" s="362">
        <f>[5]南港工場!$L$46</f>
        <v>0</v>
      </c>
      <c r="Q46" s="205">
        <f t="shared" si="42"/>
        <v>0</v>
      </c>
      <c r="R46" s="438">
        <f>[5]南港事務!$I$46</f>
        <v>0</v>
      </c>
      <c r="S46" s="12" t="str">
        <f t="shared" si="43"/>
        <v/>
      </c>
      <c r="T46" s="362">
        <f>[5]南港事務!$L$46</f>
        <v>0</v>
      </c>
      <c r="U46" s="205" t="str">
        <f t="shared" si="44"/>
        <v/>
      </c>
      <c r="V46" s="457">
        <f t="shared" si="21"/>
        <v>0</v>
      </c>
      <c r="W46" s="172">
        <f t="shared" si="45"/>
        <v>0</v>
      </c>
      <c r="X46" s="427">
        <f t="shared" si="22"/>
        <v>0</v>
      </c>
      <c r="Y46" s="226">
        <f t="shared" si="46"/>
        <v>0</v>
      </c>
      <c r="Z46" s="461">
        <f t="shared" si="23"/>
        <v>7955</v>
      </c>
      <c r="AA46" s="190">
        <f t="shared" si="47"/>
        <v>1.2788821260308803E-5</v>
      </c>
      <c r="AB46" s="565">
        <f t="shared" si="24"/>
        <v>24055</v>
      </c>
      <c r="AC46" s="127">
        <f t="shared" si="48"/>
        <v>8.5464139251433532E-6</v>
      </c>
      <c r="AD46" s="353">
        <f>[5]東京事務!$I$46</f>
        <v>0</v>
      </c>
      <c r="AE46" s="12">
        <f t="shared" si="49"/>
        <v>0</v>
      </c>
      <c r="AF46" s="362">
        <f>[5]東京事務!$L$46</f>
        <v>0</v>
      </c>
      <c r="AG46" s="82">
        <f t="shared" si="50"/>
        <v>0</v>
      </c>
      <c r="AH46" s="389">
        <f>[5]東京工場!$I$46</f>
        <v>0</v>
      </c>
      <c r="AI46" s="172">
        <f t="shared" si="25"/>
        <v>0</v>
      </c>
      <c r="AJ46" s="362">
        <f>[5]東京工場!$L$46</f>
        <v>0</v>
      </c>
      <c r="AK46" s="100">
        <f t="shared" si="36"/>
        <v>0</v>
      </c>
      <c r="AL46" s="548">
        <f t="shared" si="26"/>
        <v>0</v>
      </c>
      <c r="AM46" s="315">
        <f t="shared" si="51"/>
        <v>0</v>
      </c>
      <c r="AN46" s="479">
        <f t="shared" si="27"/>
        <v>0</v>
      </c>
      <c r="AO46" s="127">
        <f t="shared" si="52"/>
        <v>0</v>
      </c>
      <c r="AP46" s="528">
        <f t="shared" si="28"/>
        <v>17955</v>
      </c>
      <c r="AQ46" s="286">
        <f t="shared" si="53"/>
        <v>1.9771554754360939E-5</v>
      </c>
      <c r="AR46" s="488">
        <f t="shared" si="29"/>
        <v>94055</v>
      </c>
      <c r="AS46" s="287">
        <f t="shared" si="54"/>
        <v>2.2810280963595563E-5</v>
      </c>
      <c r="AT46" s="585">
        <f>[5]全社合計!$G$46</f>
        <v>10213</v>
      </c>
      <c r="AU46" s="128">
        <f t="shared" si="30"/>
        <v>1.0022287160432316E-5</v>
      </c>
      <c r="AV46" s="579">
        <f>[5]全社合計!$N$46</f>
        <v>76313</v>
      </c>
      <c r="AW46" s="129">
        <f t="shared" si="31"/>
        <v>1.6455901848657952E-5</v>
      </c>
      <c r="AX46" s="585">
        <f t="shared" si="32"/>
        <v>7742</v>
      </c>
      <c r="AY46" s="128">
        <f t="shared" si="33"/>
        <v>1.7580534612748457</v>
      </c>
      <c r="AZ46" s="579">
        <f t="shared" si="34"/>
        <v>17742</v>
      </c>
      <c r="BA46" s="129">
        <f t="shared" si="35"/>
        <v>1.2324898772162016</v>
      </c>
      <c r="BB46" s="11"/>
    </row>
    <row r="47" spans="1:54" ht="19.899999999999999" customHeight="1">
      <c r="A47" s="62" t="s">
        <v>39</v>
      </c>
      <c r="B47" s="708">
        <f>SUM(B19:B46)</f>
        <v>8547017</v>
      </c>
      <c r="C47" s="141" t="str">
        <f t="shared" si="38"/>
        <v/>
      </c>
      <c r="D47" s="401">
        <f>SUM(D19:D46)</f>
        <v>49653258</v>
      </c>
      <c r="E47" s="139" t="str">
        <f t="shared" si="39"/>
        <v/>
      </c>
      <c r="F47" s="466">
        <f>SUM(F19:F46)</f>
        <v>33279747</v>
      </c>
      <c r="G47" s="64">
        <f t="shared" si="40"/>
        <v>5.7378572603639148E-2</v>
      </c>
      <c r="H47" s="359">
        <f>SUM(H19:H46)</f>
        <v>152191353</v>
      </c>
      <c r="I47" s="141">
        <f t="shared" si="19"/>
        <v>5.782077888236975E-2</v>
      </c>
      <c r="J47" s="747">
        <f>SUM(J19:J46)</f>
        <v>7630015</v>
      </c>
      <c r="K47" s="64">
        <f t="shared" si="20"/>
        <v>0.71662591393104891</v>
      </c>
      <c r="L47" s="359">
        <f>SUM(L19:L46)</f>
        <v>33779366</v>
      </c>
      <c r="M47" s="141">
        <f t="shared" si="37"/>
        <v>0.73550618450812877</v>
      </c>
      <c r="N47" s="405">
        <f>SUM(N19:N46)</f>
        <v>20249217</v>
      </c>
      <c r="O47" s="64">
        <f t="shared" si="41"/>
        <v>0.64534338854393114</v>
      </c>
      <c r="P47" s="359">
        <f>SUM(P19:P46)</f>
        <v>110366915</v>
      </c>
      <c r="Q47" s="177">
        <f t="shared" si="42"/>
        <v>0.80806356938574275</v>
      </c>
      <c r="R47" s="442">
        <f>SUM(R19:R46)</f>
        <v>4161691</v>
      </c>
      <c r="S47" s="64" t="str">
        <f t="shared" si="43"/>
        <v/>
      </c>
      <c r="T47" s="359">
        <f>SUM(T19:T46)</f>
        <v>20251389</v>
      </c>
      <c r="U47" s="209" t="str">
        <f t="shared" si="44"/>
        <v/>
      </c>
      <c r="V47" s="458">
        <f t="shared" si="21"/>
        <v>24410908</v>
      </c>
      <c r="W47" s="177">
        <f t="shared" si="45"/>
        <v>0.77797665391971238</v>
      </c>
      <c r="X47" s="428">
        <f t="shared" si="22"/>
        <v>130618304</v>
      </c>
      <c r="Y47" s="230">
        <f t="shared" si="46"/>
        <v>0.95633635276796525</v>
      </c>
      <c r="Z47" s="458">
        <f t="shared" si="23"/>
        <v>65320670</v>
      </c>
      <c r="AA47" s="194">
        <f t="shared" si="47"/>
        <v>0.10501249192125901</v>
      </c>
      <c r="AB47" s="428">
        <f t="shared" si="24"/>
        <v>316589023</v>
      </c>
      <c r="AC47" s="140">
        <f t="shared" si="48"/>
        <v>0.11247976864330615</v>
      </c>
      <c r="AD47" s="466">
        <f>SUM(AD19:AD46)</f>
        <v>13273441</v>
      </c>
      <c r="AE47" s="64">
        <f t="shared" si="49"/>
        <v>4.8332412743066669E-2</v>
      </c>
      <c r="AF47" s="359">
        <f>SUM(AF19:AF46)</f>
        <v>62402297</v>
      </c>
      <c r="AG47" s="141">
        <f t="shared" si="50"/>
        <v>4.9637850166989107E-2</v>
      </c>
      <c r="AH47" s="560">
        <f>SUM(AH19:AH46)</f>
        <v>7438047</v>
      </c>
      <c r="AI47" s="177">
        <f t="shared" si="25"/>
        <v>0.64864503547685703</v>
      </c>
      <c r="AJ47" s="359">
        <f>SUM(AJ19:AJ46)</f>
        <v>37065117</v>
      </c>
      <c r="AK47" s="105">
        <f t="shared" si="36"/>
        <v>0.71862685992462438</v>
      </c>
      <c r="AL47" s="549">
        <f t="shared" si="26"/>
        <v>20711488</v>
      </c>
      <c r="AM47" s="319">
        <f t="shared" si="51"/>
        <v>7.2393692475813329E-2</v>
      </c>
      <c r="AN47" s="480">
        <f t="shared" si="27"/>
        <v>99467414</v>
      </c>
      <c r="AO47" s="140">
        <f t="shared" si="52"/>
        <v>7.6003053646288427E-2</v>
      </c>
      <c r="AP47" s="529">
        <f t="shared" si="28"/>
        <v>94579175</v>
      </c>
      <c r="AQ47" s="141">
        <f t="shared" si="53"/>
        <v>0.10414799984042246</v>
      </c>
      <c r="AR47" s="428">
        <f t="shared" si="29"/>
        <v>465709695</v>
      </c>
      <c r="AS47" s="140">
        <f t="shared" si="54"/>
        <v>0.11294422402233158</v>
      </c>
      <c r="AT47" s="529">
        <f>SUM(AT19:AT46)</f>
        <v>93845366</v>
      </c>
      <c r="AU47" s="141">
        <f t="shared" si="30"/>
        <v>9.2092941028872166E-2</v>
      </c>
      <c r="AV47" s="410">
        <f>SUM(AV19:AV46)</f>
        <v>441744892</v>
      </c>
      <c r="AW47" s="140">
        <f t="shared" si="31"/>
        <v>9.5256517040320871E-2</v>
      </c>
      <c r="AX47" s="529">
        <f t="shared" si="32"/>
        <v>733809</v>
      </c>
      <c r="AY47" s="141">
        <f t="shared" si="33"/>
        <v>1.0078193418735242</v>
      </c>
      <c r="AZ47" s="410">
        <f t="shared" si="34"/>
        <v>23964803</v>
      </c>
      <c r="BA47" s="140">
        <f t="shared" si="35"/>
        <v>1.054250322831124</v>
      </c>
      <c r="BB47" s="14"/>
    </row>
    <row r="48" spans="1:54" ht="19.899999999999999" customHeight="1">
      <c r="A48" s="55" t="s">
        <v>40</v>
      </c>
      <c r="B48" s="709">
        <f>+B18-B47</f>
        <v>-8547017</v>
      </c>
      <c r="C48" s="138" t="str">
        <f t="shared" si="38"/>
        <v/>
      </c>
      <c r="D48" s="376">
        <f>D18-D47</f>
        <v>-49653258</v>
      </c>
      <c r="E48" s="136" t="str">
        <f t="shared" si="39"/>
        <v/>
      </c>
      <c r="F48" s="375">
        <f>F18-F47</f>
        <v>40724135</v>
      </c>
      <c r="G48" s="56">
        <f t="shared" si="40"/>
        <v>7.0213656877196273E-2</v>
      </c>
      <c r="H48" s="376">
        <f>H18-H47</f>
        <v>198972068</v>
      </c>
      <c r="I48" s="138">
        <f t="shared" si="19"/>
        <v>7.5593781912142125E-2</v>
      </c>
      <c r="J48" s="374">
        <f>J18-J47</f>
        <v>2405343</v>
      </c>
      <c r="K48" s="56">
        <f t="shared" si="20"/>
        <v>0.22591451336500007</v>
      </c>
      <c r="L48" s="376">
        <f>L18-L47</f>
        <v>9498970</v>
      </c>
      <c r="M48" s="138">
        <f t="shared" si="37"/>
        <v>0.2068289612498109</v>
      </c>
      <c r="N48" s="412">
        <f>N18-N47</f>
        <v>9127018</v>
      </c>
      <c r="O48" s="56">
        <f t="shared" si="41"/>
        <v>0.29087844351815939</v>
      </c>
      <c r="P48" s="376">
        <f>P18-P47</f>
        <v>17319387</v>
      </c>
      <c r="Q48" s="176">
        <f t="shared" si="42"/>
        <v>0.12680580660239557</v>
      </c>
      <c r="R48" s="443">
        <f>R18-R47</f>
        <v>-4161691</v>
      </c>
      <c r="S48" s="56" t="str">
        <f t="shared" si="43"/>
        <v/>
      </c>
      <c r="T48" s="376">
        <f>T18-T47</f>
        <v>-20251389</v>
      </c>
      <c r="U48" s="208" t="str">
        <f t="shared" si="44"/>
        <v/>
      </c>
      <c r="V48" s="490">
        <f t="shared" si="21"/>
        <v>4965327</v>
      </c>
      <c r="W48" s="176">
        <f t="shared" si="45"/>
        <v>0.15824517814237812</v>
      </c>
      <c r="X48" s="424">
        <f t="shared" si="22"/>
        <v>-2932002</v>
      </c>
      <c r="Y48" s="229">
        <f t="shared" si="46"/>
        <v>-2.1466976779826966E-2</v>
      </c>
      <c r="Z48" s="490">
        <f t="shared" si="23"/>
        <v>48094805</v>
      </c>
      <c r="AA48" s="193">
        <f t="shared" si="47"/>
        <v>7.731940473845457E-2</v>
      </c>
      <c r="AB48" s="424">
        <f t="shared" si="24"/>
        <v>205539036</v>
      </c>
      <c r="AC48" s="137">
        <f t="shared" si="48"/>
        <v>7.3025220512614467E-2</v>
      </c>
      <c r="AD48" s="375">
        <f>AD18-AD47</f>
        <v>9471367</v>
      </c>
      <c r="AE48" s="56">
        <f t="shared" si="49"/>
        <v>3.4487968800634379E-2</v>
      </c>
      <c r="AF48" s="376">
        <f>AF18-AF47</f>
        <v>46829242</v>
      </c>
      <c r="AG48" s="138">
        <f t="shared" si="50"/>
        <v>3.7250277787525564E-2</v>
      </c>
      <c r="AH48" s="398">
        <f>AH18-AH47</f>
        <v>4029006</v>
      </c>
      <c r="AI48" s="176">
        <f t="shared" si="25"/>
        <v>0.35135496452314297</v>
      </c>
      <c r="AJ48" s="376">
        <f>AJ18-AJ47</f>
        <v>14512578</v>
      </c>
      <c r="AK48" s="104">
        <f t="shared" si="36"/>
        <v>0.28137314007537562</v>
      </c>
      <c r="AL48" s="545">
        <f t="shared" si="26"/>
        <v>13500373</v>
      </c>
      <c r="AM48" s="318">
        <f t="shared" si="51"/>
        <v>4.7188393768268763E-2</v>
      </c>
      <c r="AN48" s="537">
        <f t="shared" si="27"/>
        <v>61341820</v>
      </c>
      <c r="AO48" s="137">
        <f t="shared" si="52"/>
        <v>4.687128627090846E-2</v>
      </c>
      <c r="AP48" s="525">
        <f t="shared" si="28"/>
        <v>53048161</v>
      </c>
      <c r="AQ48" s="305">
        <f t="shared" si="53"/>
        <v>5.8415183504854057E-2</v>
      </c>
      <c r="AR48" s="517">
        <f t="shared" si="29"/>
        <v>217227598</v>
      </c>
      <c r="AS48" s="304">
        <f t="shared" si="54"/>
        <v>5.2682181100706924E-2</v>
      </c>
      <c r="AT48" s="582">
        <f>AT18-AT47</f>
        <v>88978822</v>
      </c>
      <c r="AU48" s="138">
        <f t="shared" si="30"/>
        <v>8.7317272621266276E-2</v>
      </c>
      <c r="AV48" s="597">
        <f>AV18-AV47</f>
        <v>314385199</v>
      </c>
      <c r="AW48" s="137">
        <f t="shared" si="31"/>
        <v>6.7793062484960587E-2</v>
      </c>
      <c r="AX48" s="582">
        <f t="shared" si="32"/>
        <v>-35930661</v>
      </c>
      <c r="AY48" s="138">
        <f t="shared" si="33"/>
        <v>0.59618861890529407</v>
      </c>
      <c r="AZ48" s="597">
        <f t="shared" si="34"/>
        <v>-97157601</v>
      </c>
      <c r="BA48" s="137">
        <f t="shared" si="35"/>
        <v>0.69096000285942216</v>
      </c>
      <c r="BB48" s="11"/>
    </row>
    <row r="49" spans="1:54" ht="15.95" customHeight="1">
      <c r="A49" s="37" t="s">
        <v>41</v>
      </c>
      <c r="B49" s="710">
        <f>[5]本部!$I$49</f>
        <v>942347</v>
      </c>
      <c r="C49" s="258" t="str">
        <f t="shared" si="38"/>
        <v/>
      </c>
      <c r="D49" s="727">
        <f>[5]本部!$L$49</f>
        <v>8053498</v>
      </c>
      <c r="E49" s="118" t="str">
        <f t="shared" si="39"/>
        <v/>
      </c>
      <c r="F49" s="351">
        <f>[5]本社営業!$I$49</f>
        <v>0</v>
      </c>
      <c r="G49" s="7">
        <f t="shared" si="40"/>
        <v>0</v>
      </c>
      <c r="H49" s="364">
        <f>[5]本社営業!$L$49</f>
        <v>0</v>
      </c>
      <c r="I49" s="120">
        <f t="shared" si="19"/>
        <v>0</v>
      </c>
      <c r="J49" s="744">
        <f>[5]東大阪!$I$49</f>
        <v>0</v>
      </c>
      <c r="K49" s="7">
        <f t="shared" si="20"/>
        <v>0</v>
      </c>
      <c r="L49" s="364">
        <f>[5]東大阪!$L$49</f>
        <v>0</v>
      </c>
      <c r="M49" s="120">
        <f t="shared" si="37"/>
        <v>0</v>
      </c>
      <c r="N49" s="402">
        <f>[5]南港工場!$I$49</f>
        <v>0</v>
      </c>
      <c r="O49" s="7">
        <f t="shared" si="41"/>
        <v>0</v>
      </c>
      <c r="P49" s="364">
        <f>[5]南港工場!$L$49</f>
        <v>0</v>
      </c>
      <c r="Q49" s="174">
        <f t="shared" si="42"/>
        <v>0</v>
      </c>
      <c r="R49" s="444">
        <f>[5]南港事務!$I$49</f>
        <v>0</v>
      </c>
      <c r="S49" s="7" t="str">
        <f t="shared" si="43"/>
        <v/>
      </c>
      <c r="T49" s="364">
        <f>[5]南港事務!$L$49</f>
        <v>0</v>
      </c>
      <c r="U49" s="203" t="str">
        <f t="shared" si="44"/>
        <v/>
      </c>
      <c r="V49" s="455">
        <f t="shared" si="21"/>
        <v>0</v>
      </c>
      <c r="W49" s="174">
        <f t="shared" si="45"/>
        <v>0</v>
      </c>
      <c r="X49" s="429">
        <f t="shared" si="22"/>
        <v>0</v>
      </c>
      <c r="Y49" s="224">
        <f t="shared" si="46"/>
        <v>0</v>
      </c>
      <c r="Z49" s="459">
        <f t="shared" si="23"/>
        <v>0</v>
      </c>
      <c r="AA49" s="188">
        <f t="shared" si="47"/>
        <v>0</v>
      </c>
      <c r="AB49" s="563">
        <f t="shared" si="24"/>
        <v>0</v>
      </c>
      <c r="AC49" s="119">
        <f t="shared" si="48"/>
        <v>0</v>
      </c>
      <c r="AD49" s="351">
        <f>[5]東京事務!$I$49</f>
        <v>0</v>
      </c>
      <c r="AE49" s="7">
        <f t="shared" si="49"/>
        <v>0</v>
      </c>
      <c r="AF49" s="364">
        <f>[5]東京事務!$L$49</f>
        <v>2936</v>
      </c>
      <c r="AG49" s="80">
        <f t="shared" si="50"/>
        <v>2.3354385190384902E-6</v>
      </c>
      <c r="AH49" s="387">
        <f>[5]東京工場!$I$49</f>
        <v>0</v>
      </c>
      <c r="AI49" s="174">
        <f t="shared" si="25"/>
        <v>0</v>
      </c>
      <c r="AJ49" s="364">
        <f>[5]東京工場!$L$49</f>
        <v>0</v>
      </c>
      <c r="AK49" s="102">
        <f t="shared" si="36"/>
        <v>0</v>
      </c>
      <c r="AL49" s="546">
        <f t="shared" si="26"/>
        <v>0</v>
      </c>
      <c r="AM49" s="313">
        <f t="shared" si="51"/>
        <v>0</v>
      </c>
      <c r="AN49" s="477">
        <f t="shared" si="27"/>
        <v>2936</v>
      </c>
      <c r="AO49" s="119">
        <f t="shared" si="52"/>
        <v>2.243397677007093E-6</v>
      </c>
      <c r="AP49" s="526">
        <f t="shared" si="28"/>
        <v>942347</v>
      </c>
      <c r="AQ49" s="282">
        <f t="shared" si="53"/>
        <v>1.0376867339519783E-3</v>
      </c>
      <c r="AR49" s="486">
        <f t="shared" si="29"/>
        <v>8056434</v>
      </c>
      <c r="AS49" s="283">
        <f t="shared" si="54"/>
        <v>1.9538517155352087E-3</v>
      </c>
      <c r="AT49" s="586">
        <f>[5]全社合計!$G$49</f>
        <v>707662</v>
      </c>
      <c r="AU49" s="120">
        <f t="shared" si="30"/>
        <v>6.9444744703082864E-4</v>
      </c>
      <c r="AV49" s="577">
        <f>[5]全社合計!$N$49</f>
        <v>6132523</v>
      </c>
      <c r="AW49" s="121">
        <f t="shared" si="31"/>
        <v>1.32239849793138E-3</v>
      </c>
      <c r="AX49" s="586">
        <f t="shared" si="32"/>
        <v>234685</v>
      </c>
      <c r="AY49" s="120">
        <f t="shared" si="33"/>
        <v>1.3316343112955056</v>
      </c>
      <c r="AZ49" s="577">
        <f t="shared" si="34"/>
        <v>1923911</v>
      </c>
      <c r="BA49" s="121">
        <f t="shared" si="35"/>
        <v>1.3137225901965635</v>
      </c>
      <c r="BB49" s="11"/>
    </row>
    <row r="50" spans="1:54" ht="15.95" customHeight="1">
      <c r="A50" s="37" t="s">
        <v>42</v>
      </c>
      <c r="B50" s="703">
        <f>[5]本部!$I$50</f>
        <v>0</v>
      </c>
      <c r="C50" s="259" t="str">
        <f t="shared" si="38"/>
        <v/>
      </c>
      <c r="D50" s="728">
        <f>[5]本部!$L$50</f>
        <v>0</v>
      </c>
      <c r="E50" s="122" t="str">
        <f t="shared" si="39"/>
        <v/>
      </c>
      <c r="F50" s="352">
        <f>[5]本社営業!$I$50</f>
        <v>0</v>
      </c>
      <c r="G50" s="9">
        <f t="shared" si="40"/>
        <v>0</v>
      </c>
      <c r="H50" s="362">
        <f>[5]本社営業!$L$50</f>
        <v>0</v>
      </c>
      <c r="I50" s="124">
        <f t="shared" si="19"/>
        <v>0</v>
      </c>
      <c r="J50" s="745">
        <f>[5]東大阪!$I$50</f>
        <v>0</v>
      </c>
      <c r="K50" s="9">
        <f t="shared" si="20"/>
        <v>0</v>
      </c>
      <c r="L50" s="362">
        <f>[5]東大阪!$L$50</f>
        <v>0</v>
      </c>
      <c r="M50" s="124">
        <f t="shared" si="37"/>
        <v>0</v>
      </c>
      <c r="N50" s="403">
        <f>[5]南港工場!$I$50</f>
        <v>0</v>
      </c>
      <c r="O50" s="9">
        <f t="shared" si="41"/>
        <v>0</v>
      </c>
      <c r="P50" s="362">
        <f>[5]南港工場!$L$50</f>
        <v>0</v>
      </c>
      <c r="Q50" s="171">
        <f t="shared" si="42"/>
        <v>0</v>
      </c>
      <c r="R50" s="445">
        <f>[5]南港事務!$I$50</f>
        <v>0</v>
      </c>
      <c r="S50" s="9" t="str">
        <f t="shared" si="43"/>
        <v/>
      </c>
      <c r="T50" s="362">
        <f>[5]南港事務!$L$50</f>
        <v>0</v>
      </c>
      <c r="U50" s="204" t="str">
        <f t="shared" si="44"/>
        <v/>
      </c>
      <c r="V50" s="456">
        <f t="shared" si="21"/>
        <v>0</v>
      </c>
      <c r="W50" s="171">
        <f t="shared" si="45"/>
        <v>0</v>
      </c>
      <c r="X50" s="426">
        <f t="shared" si="22"/>
        <v>0</v>
      </c>
      <c r="Y50" s="225">
        <f t="shared" si="46"/>
        <v>0</v>
      </c>
      <c r="Z50" s="460">
        <f t="shared" si="23"/>
        <v>0</v>
      </c>
      <c r="AA50" s="189">
        <f t="shared" si="47"/>
        <v>0</v>
      </c>
      <c r="AB50" s="564">
        <f t="shared" si="24"/>
        <v>0</v>
      </c>
      <c r="AC50" s="123">
        <f t="shared" si="48"/>
        <v>0</v>
      </c>
      <c r="AD50" s="352">
        <f>[5]東京事務!$I$50</f>
        <v>0</v>
      </c>
      <c r="AE50" s="9">
        <f t="shared" si="49"/>
        <v>0</v>
      </c>
      <c r="AF50" s="362">
        <f>[5]東京事務!$L$50</f>
        <v>0</v>
      </c>
      <c r="AG50" s="81">
        <f t="shared" si="50"/>
        <v>0</v>
      </c>
      <c r="AH50" s="388">
        <f>[5]東京工場!$I$50</f>
        <v>0</v>
      </c>
      <c r="AI50" s="171">
        <f t="shared" si="25"/>
        <v>0</v>
      </c>
      <c r="AJ50" s="362">
        <f>[5]東京工場!$L$50</f>
        <v>0</v>
      </c>
      <c r="AK50" s="99">
        <f t="shared" si="36"/>
        <v>0</v>
      </c>
      <c r="AL50" s="547">
        <f t="shared" si="26"/>
        <v>0</v>
      </c>
      <c r="AM50" s="314">
        <f t="shared" si="51"/>
        <v>0</v>
      </c>
      <c r="AN50" s="478">
        <f t="shared" si="27"/>
        <v>0</v>
      </c>
      <c r="AO50" s="123">
        <f t="shared" si="52"/>
        <v>0</v>
      </c>
      <c r="AP50" s="527">
        <f t="shared" si="28"/>
        <v>0</v>
      </c>
      <c r="AQ50" s="284">
        <f t="shared" si="53"/>
        <v>0</v>
      </c>
      <c r="AR50" s="487">
        <f t="shared" si="29"/>
        <v>0</v>
      </c>
      <c r="AS50" s="285">
        <f t="shared" si="54"/>
        <v>0</v>
      </c>
      <c r="AT50" s="584">
        <f>[5]全社合計!$G$50</f>
        <v>0</v>
      </c>
      <c r="AU50" s="124">
        <f t="shared" si="30"/>
        <v>0</v>
      </c>
      <c r="AV50" s="578">
        <f>[5]全社合計!$N$50</f>
        <v>1065084</v>
      </c>
      <c r="AW50" s="125">
        <f t="shared" si="31"/>
        <v>2.2967145525108439E-4</v>
      </c>
      <c r="AX50" s="584">
        <f t="shared" si="32"/>
        <v>0</v>
      </c>
      <c r="AY50" s="124" t="str">
        <f t="shared" si="33"/>
        <v/>
      </c>
      <c r="AZ50" s="578">
        <f t="shared" si="34"/>
        <v>-1065084</v>
      </c>
      <c r="BA50" s="125">
        <f t="shared" si="35"/>
        <v>0</v>
      </c>
      <c r="BB50" s="11"/>
    </row>
    <row r="51" spans="1:54" ht="15.95" customHeight="1">
      <c r="A51" s="37" t="s">
        <v>43</v>
      </c>
      <c r="B51" s="703">
        <f>[5]本部!$I$51</f>
        <v>1063000</v>
      </c>
      <c r="C51" s="259" t="str">
        <f t="shared" si="38"/>
        <v/>
      </c>
      <c r="D51" s="728">
        <f>[5]本部!$L$51</f>
        <v>5315000</v>
      </c>
      <c r="E51" s="122" t="str">
        <f t="shared" si="39"/>
        <v/>
      </c>
      <c r="F51" s="352">
        <f>[5]本社営業!$I$51</f>
        <v>0</v>
      </c>
      <c r="G51" s="9">
        <f t="shared" si="40"/>
        <v>0</v>
      </c>
      <c r="H51" s="362">
        <f>[5]本社営業!$L$51</f>
        <v>0</v>
      </c>
      <c r="I51" s="124">
        <f t="shared" si="19"/>
        <v>0</v>
      </c>
      <c r="J51" s="745">
        <f>[5]東大阪!$I$51</f>
        <v>850000</v>
      </c>
      <c r="K51" s="9">
        <f t="shared" si="20"/>
        <v>7.9833660463497325E-2</v>
      </c>
      <c r="L51" s="362">
        <f>[5]東大阪!$L$51</f>
        <v>4250000</v>
      </c>
      <c r="M51" s="124">
        <f t="shared" si="37"/>
        <v>9.2538778974109434E-2</v>
      </c>
      <c r="N51" s="403">
        <f>[5]南港工場!$I$51</f>
        <v>100000</v>
      </c>
      <c r="O51" s="9">
        <f t="shared" si="41"/>
        <v>3.1870041619087349E-3</v>
      </c>
      <c r="P51" s="362">
        <f>[5]南港工場!$L$51</f>
        <v>500000</v>
      </c>
      <c r="Q51" s="171">
        <f t="shared" si="42"/>
        <v>3.6608052756831279E-3</v>
      </c>
      <c r="R51" s="445">
        <f>[5]南港事務!$I$51</f>
        <v>0</v>
      </c>
      <c r="S51" s="9" t="str">
        <f t="shared" si="43"/>
        <v/>
      </c>
      <c r="T51" s="362">
        <f>[5]南港事務!$L$51</f>
        <v>0</v>
      </c>
      <c r="U51" s="204" t="str">
        <f t="shared" si="44"/>
        <v/>
      </c>
      <c r="V51" s="456">
        <f t="shared" si="21"/>
        <v>100000</v>
      </c>
      <c r="W51" s="171">
        <f t="shared" si="45"/>
        <v>3.1870041619087349E-3</v>
      </c>
      <c r="X51" s="426">
        <f t="shared" si="22"/>
        <v>500000</v>
      </c>
      <c r="Y51" s="225">
        <f t="shared" si="46"/>
        <v>3.6608052756831279E-3</v>
      </c>
      <c r="Z51" s="460">
        <f t="shared" si="23"/>
        <v>950000</v>
      </c>
      <c r="AA51" s="189">
        <f t="shared" si="47"/>
        <v>1.5272633811808124E-3</v>
      </c>
      <c r="AB51" s="564">
        <f t="shared" si="24"/>
        <v>4750000</v>
      </c>
      <c r="AC51" s="123">
        <f t="shared" si="48"/>
        <v>1.6876103157111174E-3</v>
      </c>
      <c r="AD51" s="352">
        <f>[5]東京事務!$I$51</f>
        <v>0</v>
      </c>
      <c r="AE51" s="9">
        <f t="shared" si="49"/>
        <v>0</v>
      </c>
      <c r="AF51" s="362">
        <f>[5]東京事務!$L$51</f>
        <v>0</v>
      </c>
      <c r="AG51" s="81">
        <f t="shared" si="50"/>
        <v>0</v>
      </c>
      <c r="AH51" s="388">
        <f>[5]東京工場!$I$51</f>
        <v>0</v>
      </c>
      <c r="AI51" s="171">
        <f t="shared" si="25"/>
        <v>0</v>
      </c>
      <c r="AJ51" s="362">
        <f>[5]東京工場!$L$51</f>
        <v>0</v>
      </c>
      <c r="AK51" s="99">
        <f t="shared" si="36"/>
        <v>0</v>
      </c>
      <c r="AL51" s="547">
        <f t="shared" si="26"/>
        <v>0</v>
      </c>
      <c r="AM51" s="314">
        <f t="shared" si="51"/>
        <v>0</v>
      </c>
      <c r="AN51" s="478">
        <f t="shared" si="27"/>
        <v>0</v>
      </c>
      <c r="AO51" s="123">
        <f t="shared" si="52"/>
        <v>0</v>
      </c>
      <c r="AP51" s="527">
        <f t="shared" si="28"/>
        <v>2013000</v>
      </c>
      <c r="AQ51" s="284">
        <f t="shared" si="53"/>
        <v>2.2166605246743843E-3</v>
      </c>
      <c r="AR51" s="487">
        <f t="shared" si="29"/>
        <v>10065000</v>
      </c>
      <c r="AS51" s="285">
        <f t="shared" si="54"/>
        <v>2.4409704736440313E-3</v>
      </c>
      <c r="AT51" s="584">
        <f>[5]全社合計!$G$51</f>
        <v>2013000</v>
      </c>
      <c r="AU51" s="124">
        <f t="shared" si="30"/>
        <v>1.9754101687995936E-3</v>
      </c>
      <c r="AV51" s="578">
        <f>[5]全社合計!$N$51</f>
        <v>9859000</v>
      </c>
      <c r="AW51" s="125">
        <f t="shared" si="31"/>
        <v>2.1259645974593937E-3</v>
      </c>
      <c r="AX51" s="584">
        <f t="shared" si="32"/>
        <v>0</v>
      </c>
      <c r="AY51" s="124">
        <f t="shared" si="33"/>
        <v>1</v>
      </c>
      <c r="AZ51" s="578">
        <f t="shared" si="34"/>
        <v>206000</v>
      </c>
      <c r="BA51" s="125">
        <f t="shared" si="35"/>
        <v>1.0208946140582209</v>
      </c>
      <c r="BB51" s="11"/>
    </row>
    <row r="52" spans="1:54" ht="15.95" customHeight="1">
      <c r="A52" s="37" t="s">
        <v>44</v>
      </c>
      <c r="B52" s="703">
        <f>[5]本部!$I$52</f>
        <v>0</v>
      </c>
      <c r="C52" s="259" t="str">
        <f t="shared" si="38"/>
        <v/>
      </c>
      <c r="D52" s="728">
        <f>[5]本部!$L$52</f>
        <v>0</v>
      </c>
      <c r="E52" s="122" t="str">
        <f t="shared" si="39"/>
        <v/>
      </c>
      <c r="F52" s="352">
        <f>[5]本社営業!$I$52</f>
        <v>0</v>
      </c>
      <c r="G52" s="9">
        <f t="shared" si="40"/>
        <v>0</v>
      </c>
      <c r="H52" s="362">
        <f>[5]本社営業!$L$52</f>
        <v>0</v>
      </c>
      <c r="I52" s="124">
        <f t="shared" si="19"/>
        <v>0</v>
      </c>
      <c r="J52" s="745">
        <f>[5]東大阪!$I$52</f>
        <v>0</v>
      </c>
      <c r="K52" s="9">
        <f t="shared" si="20"/>
        <v>0</v>
      </c>
      <c r="L52" s="362">
        <f>[5]東大阪!$L$52</f>
        <v>0</v>
      </c>
      <c r="M52" s="124">
        <f t="shared" si="37"/>
        <v>0</v>
      </c>
      <c r="N52" s="403">
        <f>[5]南港工場!$I$52</f>
        <v>0</v>
      </c>
      <c r="O52" s="9">
        <f t="shared" si="41"/>
        <v>0</v>
      </c>
      <c r="P52" s="362">
        <f>[5]南港工場!$L$52</f>
        <v>0</v>
      </c>
      <c r="Q52" s="171">
        <f t="shared" si="42"/>
        <v>0</v>
      </c>
      <c r="R52" s="445">
        <f>[5]南港事務!$I$52</f>
        <v>0</v>
      </c>
      <c r="S52" s="9" t="str">
        <f t="shared" si="43"/>
        <v/>
      </c>
      <c r="T52" s="362">
        <f>[5]南港事務!$L$52</f>
        <v>0</v>
      </c>
      <c r="U52" s="204" t="str">
        <f t="shared" si="44"/>
        <v/>
      </c>
      <c r="V52" s="456">
        <f t="shared" si="21"/>
        <v>0</v>
      </c>
      <c r="W52" s="171">
        <f t="shared" si="45"/>
        <v>0</v>
      </c>
      <c r="X52" s="426">
        <f t="shared" si="22"/>
        <v>0</v>
      </c>
      <c r="Y52" s="225">
        <f t="shared" si="46"/>
        <v>0</v>
      </c>
      <c r="Z52" s="460">
        <f t="shared" si="23"/>
        <v>0</v>
      </c>
      <c r="AA52" s="189">
        <f t="shared" si="47"/>
        <v>0</v>
      </c>
      <c r="AB52" s="564">
        <f t="shared" si="24"/>
        <v>0</v>
      </c>
      <c r="AC52" s="123">
        <f t="shared" si="48"/>
        <v>0</v>
      </c>
      <c r="AD52" s="352">
        <f>[5]東京事務!$I$52</f>
        <v>0</v>
      </c>
      <c r="AE52" s="9">
        <f t="shared" si="49"/>
        <v>0</v>
      </c>
      <c r="AF52" s="362">
        <f>[5]東京事務!$L$52</f>
        <v>0</v>
      </c>
      <c r="AG52" s="81">
        <f t="shared" si="50"/>
        <v>0</v>
      </c>
      <c r="AH52" s="388">
        <f>[5]東京工場!$I$52</f>
        <v>0</v>
      </c>
      <c r="AI52" s="171">
        <f t="shared" si="25"/>
        <v>0</v>
      </c>
      <c r="AJ52" s="362">
        <f>[5]東京工場!$L$52</f>
        <v>0</v>
      </c>
      <c r="AK52" s="99">
        <f t="shared" si="36"/>
        <v>0</v>
      </c>
      <c r="AL52" s="547">
        <f t="shared" si="26"/>
        <v>0</v>
      </c>
      <c r="AM52" s="314">
        <f t="shared" si="51"/>
        <v>0</v>
      </c>
      <c r="AN52" s="478">
        <f t="shared" si="27"/>
        <v>0</v>
      </c>
      <c r="AO52" s="123">
        <f t="shared" si="52"/>
        <v>0</v>
      </c>
      <c r="AP52" s="527">
        <f t="shared" si="28"/>
        <v>0</v>
      </c>
      <c r="AQ52" s="284">
        <f t="shared" si="53"/>
        <v>0</v>
      </c>
      <c r="AR52" s="487">
        <f t="shared" si="29"/>
        <v>0</v>
      </c>
      <c r="AS52" s="285">
        <f t="shared" si="54"/>
        <v>0</v>
      </c>
      <c r="AT52" s="584">
        <f>[5]全社合計!$G$52</f>
        <v>0</v>
      </c>
      <c r="AU52" s="124">
        <f t="shared" si="30"/>
        <v>0</v>
      </c>
      <c r="AV52" s="578">
        <f>[5]全社合計!$N$52</f>
        <v>0</v>
      </c>
      <c r="AW52" s="125">
        <f t="shared" si="31"/>
        <v>0</v>
      </c>
      <c r="AX52" s="584">
        <f t="shared" si="32"/>
        <v>0</v>
      </c>
      <c r="AY52" s="124" t="str">
        <f t="shared" si="33"/>
        <v/>
      </c>
      <c r="AZ52" s="578">
        <f t="shared" si="34"/>
        <v>0</v>
      </c>
      <c r="BA52" s="125" t="str">
        <f t="shared" si="35"/>
        <v/>
      </c>
      <c r="BB52" s="11"/>
    </row>
    <row r="53" spans="1:54" ht="15.95" customHeight="1">
      <c r="A53" s="35" t="s">
        <v>45</v>
      </c>
      <c r="B53" s="704">
        <f>[5]本部!$I$53</f>
        <v>0</v>
      </c>
      <c r="C53" s="260" t="str">
        <f t="shared" si="38"/>
        <v/>
      </c>
      <c r="D53" s="729">
        <f>[5]本部!$L$53</f>
        <v>1260812</v>
      </c>
      <c r="E53" s="126" t="str">
        <f t="shared" si="39"/>
        <v/>
      </c>
      <c r="F53" s="353">
        <f>[5]本社営業!$I$53</f>
        <v>7908292</v>
      </c>
      <c r="G53" s="12">
        <f t="shared" si="40"/>
        <v>1.3634914553069729E-2</v>
      </c>
      <c r="H53" s="363">
        <f>[5]本社営業!$L$53</f>
        <v>65987222</v>
      </c>
      <c r="I53" s="128">
        <f t="shared" si="19"/>
        <v>2.506996946353348E-2</v>
      </c>
      <c r="J53" s="746">
        <f>[5]東大阪!$I$53</f>
        <v>50000</v>
      </c>
      <c r="K53" s="12">
        <f t="shared" si="20"/>
        <v>4.6960976743233721E-3</v>
      </c>
      <c r="L53" s="363">
        <f>[5]東大阪!$L$53</f>
        <v>250000</v>
      </c>
      <c r="M53" s="128">
        <f t="shared" si="37"/>
        <v>5.4434575867123199E-3</v>
      </c>
      <c r="N53" s="404">
        <f>[5]南港工場!$I$53</f>
        <v>24</v>
      </c>
      <c r="O53" s="12">
        <f t="shared" si="41"/>
        <v>7.6488099885809644E-7</v>
      </c>
      <c r="P53" s="363">
        <f>[5]南港工場!$L$53</f>
        <v>92</v>
      </c>
      <c r="Q53" s="172">
        <f t="shared" si="42"/>
        <v>6.7358817072569555E-7</v>
      </c>
      <c r="R53" s="446">
        <f>[5]南港事務!$I$53</f>
        <v>0</v>
      </c>
      <c r="S53" s="12" t="str">
        <f t="shared" si="43"/>
        <v/>
      </c>
      <c r="T53" s="363">
        <f>[5]南港事務!$L$53</f>
        <v>0</v>
      </c>
      <c r="U53" s="205" t="str">
        <f t="shared" si="44"/>
        <v/>
      </c>
      <c r="V53" s="457">
        <f t="shared" si="21"/>
        <v>24</v>
      </c>
      <c r="W53" s="172">
        <f t="shared" si="45"/>
        <v>7.6488099885809644E-7</v>
      </c>
      <c r="X53" s="427">
        <f t="shared" si="22"/>
        <v>92</v>
      </c>
      <c r="Y53" s="226">
        <f t="shared" si="46"/>
        <v>6.7358817072569555E-7</v>
      </c>
      <c r="Z53" s="461">
        <f t="shared" si="23"/>
        <v>7958316</v>
      </c>
      <c r="AA53" s="190">
        <f t="shared" si="47"/>
        <v>1.2794152213331956E-2</v>
      </c>
      <c r="AB53" s="565">
        <f t="shared" si="24"/>
        <v>66237314</v>
      </c>
      <c r="AC53" s="127">
        <f t="shared" si="48"/>
        <v>2.3533215661346613E-2</v>
      </c>
      <c r="AD53" s="353">
        <f>[5]東京事務!$I$53</f>
        <v>13</v>
      </c>
      <c r="AE53" s="12">
        <f t="shared" si="49"/>
        <v>4.7336735490056173E-8</v>
      </c>
      <c r="AF53" s="363">
        <f>[5]東京事務!$L$53</f>
        <v>307143</v>
      </c>
      <c r="AG53" s="82">
        <f t="shared" si="50"/>
        <v>2.4431661888727483E-4</v>
      </c>
      <c r="AH53" s="389">
        <f>[5]東京工場!$I$53</f>
        <v>0</v>
      </c>
      <c r="AI53" s="172">
        <f t="shared" si="25"/>
        <v>0</v>
      </c>
      <c r="AJ53" s="363">
        <f>[5]東京工場!$L$53</f>
        <v>249066</v>
      </c>
      <c r="AK53" s="100">
        <f t="shared" si="36"/>
        <v>4.828947862055487E-3</v>
      </c>
      <c r="AL53" s="548">
        <f t="shared" si="26"/>
        <v>13</v>
      </c>
      <c r="AM53" s="315">
        <f t="shared" si="51"/>
        <v>4.5439420006209753E-8</v>
      </c>
      <c r="AN53" s="479">
        <f t="shared" si="27"/>
        <v>556209</v>
      </c>
      <c r="AO53" s="127">
        <f t="shared" si="52"/>
        <v>4.2499931148856884E-4</v>
      </c>
      <c r="AP53" s="528">
        <f t="shared" si="28"/>
        <v>7958329</v>
      </c>
      <c r="AQ53" s="286">
        <f t="shared" si="53"/>
        <v>8.7634941563196067E-3</v>
      </c>
      <c r="AR53" s="488">
        <f t="shared" si="29"/>
        <v>68054335</v>
      </c>
      <c r="AS53" s="287">
        <f t="shared" si="54"/>
        <v>1.6504582447936369E-2</v>
      </c>
      <c r="AT53" s="585">
        <f>[5]全社合計!$G$53</f>
        <v>8031944</v>
      </c>
      <c r="AU53" s="128">
        <f t="shared" si="30"/>
        <v>7.8819591916685968E-3</v>
      </c>
      <c r="AV53" s="579">
        <f>[5]全社合計!$N$53</f>
        <v>41970086</v>
      </c>
      <c r="AW53" s="129">
        <f t="shared" si="31"/>
        <v>9.0503009421164567E-3</v>
      </c>
      <c r="AX53" s="585">
        <f t="shared" si="32"/>
        <v>-73615</v>
      </c>
      <c r="AY53" s="128">
        <f t="shared" si="33"/>
        <v>0.9908347219552327</v>
      </c>
      <c r="AZ53" s="579">
        <f t="shared" si="34"/>
        <v>26084249</v>
      </c>
      <c r="BA53" s="129">
        <f t="shared" si="35"/>
        <v>1.6214962008893667</v>
      </c>
      <c r="BB53" s="11"/>
    </row>
    <row r="54" spans="1:54" ht="15.95" customHeight="1">
      <c r="A54" s="62" t="s">
        <v>46</v>
      </c>
      <c r="B54" s="708">
        <f>SUM(B49:B53)</f>
        <v>2005347</v>
      </c>
      <c r="C54" s="141" t="str">
        <f t="shared" si="38"/>
        <v/>
      </c>
      <c r="D54" s="730">
        <f>SUM(D49:D53)</f>
        <v>14629310</v>
      </c>
      <c r="E54" s="139" t="str">
        <f t="shared" si="39"/>
        <v/>
      </c>
      <c r="F54" s="466">
        <f>SUM(F49:F53)</f>
        <v>7908292</v>
      </c>
      <c r="G54" s="64">
        <f t="shared" si="40"/>
        <v>1.3634914553069729E-2</v>
      </c>
      <c r="H54" s="401">
        <f>SUM(H49:H53)</f>
        <v>65987222</v>
      </c>
      <c r="I54" s="141">
        <f t="shared" si="19"/>
        <v>2.506996946353348E-2</v>
      </c>
      <c r="J54" s="747">
        <f>SUM(J49:J53)</f>
        <v>900000</v>
      </c>
      <c r="K54" s="64">
        <f t="shared" si="20"/>
        <v>8.4529758137820696E-2</v>
      </c>
      <c r="L54" s="401">
        <f>SUM(L49:L53)</f>
        <v>4500000</v>
      </c>
      <c r="M54" s="141">
        <f t="shared" si="37"/>
        <v>9.798223656082175E-2</v>
      </c>
      <c r="N54" s="405">
        <f>SUM(N49:N53)</f>
        <v>100024</v>
      </c>
      <c r="O54" s="64">
        <f t="shared" si="41"/>
        <v>3.1877690429075933E-3</v>
      </c>
      <c r="P54" s="401">
        <f>SUM(P49:P53)</f>
        <v>500092</v>
      </c>
      <c r="Q54" s="177">
        <f t="shared" si="42"/>
        <v>3.6614788638538536E-3</v>
      </c>
      <c r="R54" s="442">
        <f>SUM(R49:R53)</f>
        <v>0</v>
      </c>
      <c r="S54" s="64" t="str">
        <f t="shared" si="43"/>
        <v/>
      </c>
      <c r="T54" s="401">
        <f>SUM(T49:T53)</f>
        <v>0</v>
      </c>
      <c r="U54" s="209" t="str">
        <f t="shared" si="44"/>
        <v/>
      </c>
      <c r="V54" s="458">
        <f t="shared" si="21"/>
        <v>100024</v>
      </c>
      <c r="W54" s="177">
        <f t="shared" si="45"/>
        <v>3.1877690429075933E-3</v>
      </c>
      <c r="X54" s="428">
        <f t="shared" si="22"/>
        <v>500092</v>
      </c>
      <c r="Y54" s="230">
        <f t="shared" si="46"/>
        <v>3.6614788638538536E-3</v>
      </c>
      <c r="Z54" s="458">
        <f t="shared" si="23"/>
        <v>8908316</v>
      </c>
      <c r="AA54" s="194">
        <f t="shared" si="47"/>
        <v>1.4321415594512768E-2</v>
      </c>
      <c r="AB54" s="428">
        <f t="shared" si="24"/>
        <v>70987314</v>
      </c>
      <c r="AC54" s="140">
        <f t="shared" si="48"/>
        <v>2.5220825977057732E-2</v>
      </c>
      <c r="AD54" s="466">
        <f>SUM(AD49:AD53)</f>
        <v>13</v>
      </c>
      <c r="AE54" s="64">
        <f t="shared" si="49"/>
        <v>4.7336735490056173E-8</v>
      </c>
      <c r="AF54" s="401">
        <f>SUM(AF49:AF53)</f>
        <v>310079</v>
      </c>
      <c r="AG54" s="85">
        <f t="shared" si="50"/>
        <v>2.4665205740631335E-4</v>
      </c>
      <c r="AH54" s="390">
        <f>SUM(AH49:AH53)</f>
        <v>0</v>
      </c>
      <c r="AI54" s="177">
        <f t="shared" si="25"/>
        <v>0</v>
      </c>
      <c r="AJ54" s="401">
        <f>SUM(AJ49:AJ53)</f>
        <v>249066</v>
      </c>
      <c r="AK54" s="105">
        <f t="shared" si="36"/>
        <v>4.828947862055487E-3</v>
      </c>
      <c r="AL54" s="549">
        <f t="shared" si="26"/>
        <v>13</v>
      </c>
      <c r="AM54" s="319">
        <f t="shared" si="51"/>
        <v>4.5439420006209753E-8</v>
      </c>
      <c r="AN54" s="480">
        <f t="shared" si="27"/>
        <v>559145</v>
      </c>
      <c r="AO54" s="140">
        <f t="shared" si="52"/>
        <v>4.2724270916557597E-4</v>
      </c>
      <c r="AP54" s="529">
        <f t="shared" si="28"/>
        <v>10913676</v>
      </c>
      <c r="AQ54" s="141">
        <f t="shared" si="53"/>
        <v>1.201784141494597E-2</v>
      </c>
      <c r="AR54" s="428">
        <f t="shared" si="29"/>
        <v>86175769</v>
      </c>
      <c r="AS54" s="140">
        <f t="shared" si="54"/>
        <v>2.089940463711561E-2</v>
      </c>
      <c r="AT54" s="529">
        <f>SUM(AT49:AT53)</f>
        <v>10752606</v>
      </c>
      <c r="AU54" s="141">
        <f t="shared" si="30"/>
        <v>1.0551816807499019E-2</v>
      </c>
      <c r="AV54" s="410">
        <f>SUM(AV49:AV53)</f>
        <v>59026693</v>
      </c>
      <c r="AW54" s="140">
        <f t="shared" si="31"/>
        <v>1.2728335492758315E-2</v>
      </c>
      <c r="AX54" s="529">
        <f t="shared" si="32"/>
        <v>161070</v>
      </c>
      <c r="AY54" s="141">
        <f t="shared" si="33"/>
        <v>1.0149796244742901</v>
      </c>
      <c r="AZ54" s="410">
        <f t="shared" si="34"/>
        <v>27149076</v>
      </c>
      <c r="BA54" s="140">
        <f t="shared" si="35"/>
        <v>1.4599457401416678</v>
      </c>
      <c r="BB54" s="11"/>
    </row>
    <row r="55" spans="1:54" ht="15.95" customHeight="1">
      <c r="A55" s="37" t="s">
        <v>47</v>
      </c>
      <c r="B55" s="710">
        <f>[5]本部!$I$55</f>
        <v>601804</v>
      </c>
      <c r="C55" s="258" t="str">
        <f t="shared" si="38"/>
        <v/>
      </c>
      <c r="D55" s="727">
        <f>[5]本部!$L$55</f>
        <v>3117376</v>
      </c>
      <c r="E55" s="118" t="str">
        <f t="shared" si="39"/>
        <v/>
      </c>
      <c r="F55" s="351">
        <f>[5]本社営業!$I$55</f>
        <v>308353</v>
      </c>
      <c r="G55" s="7">
        <f t="shared" si="40"/>
        <v>5.3164030958678687E-4</v>
      </c>
      <c r="H55" s="361">
        <f>[5]本社営業!$L$55</f>
        <v>1189902</v>
      </c>
      <c r="I55" s="120">
        <f t="shared" si="19"/>
        <v>4.5206944466608118E-4</v>
      </c>
      <c r="J55" s="744">
        <f>[5]東大阪!$I$55</f>
        <v>0</v>
      </c>
      <c r="K55" s="7">
        <f t="shared" si="20"/>
        <v>0</v>
      </c>
      <c r="L55" s="361">
        <f>[5]東大阪!$L$55</f>
        <v>0</v>
      </c>
      <c r="M55" s="120">
        <f t="shared" si="37"/>
        <v>0</v>
      </c>
      <c r="N55" s="402">
        <f>[5]南港工場!$I$55</f>
        <v>0</v>
      </c>
      <c r="O55" s="7">
        <f t="shared" si="41"/>
        <v>0</v>
      </c>
      <c r="P55" s="361">
        <f>[5]南港工場!$L$55</f>
        <v>0</v>
      </c>
      <c r="Q55" s="174">
        <f t="shared" si="42"/>
        <v>0</v>
      </c>
      <c r="R55" s="444">
        <f>[5]南港事務!$I$55</f>
        <v>0</v>
      </c>
      <c r="S55" s="7" t="str">
        <f t="shared" si="43"/>
        <v/>
      </c>
      <c r="T55" s="361">
        <f>[5]南港事務!$L$55</f>
        <v>0</v>
      </c>
      <c r="U55" s="203" t="str">
        <f t="shared" si="44"/>
        <v/>
      </c>
      <c r="V55" s="455">
        <f t="shared" si="21"/>
        <v>0</v>
      </c>
      <c r="W55" s="174">
        <f t="shared" si="45"/>
        <v>0</v>
      </c>
      <c r="X55" s="425">
        <f t="shared" si="22"/>
        <v>0</v>
      </c>
      <c r="Y55" s="224">
        <f t="shared" si="46"/>
        <v>0</v>
      </c>
      <c r="Z55" s="459">
        <f t="shared" si="23"/>
        <v>308353</v>
      </c>
      <c r="AA55" s="188">
        <f t="shared" si="47"/>
        <v>4.9572236355499685E-4</v>
      </c>
      <c r="AB55" s="563">
        <f t="shared" si="24"/>
        <v>1189902</v>
      </c>
      <c r="AC55" s="119">
        <f t="shared" si="48"/>
        <v>4.2275597681795581E-4</v>
      </c>
      <c r="AD55" s="351">
        <f>[5]東京事務!$I$55</f>
        <v>0</v>
      </c>
      <c r="AE55" s="7">
        <f t="shared" si="49"/>
        <v>0</v>
      </c>
      <c r="AF55" s="361">
        <f>[5]東京事務!$L$55</f>
        <v>0</v>
      </c>
      <c r="AG55" s="80">
        <f t="shared" si="50"/>
        <v>0</v>
      </c>
      <c r="AH55" s="387">
        <f>[5]東京工場!$I$55</f>
        <v>0</v>
      </c>
      <c r="AI55" s="174">
        <f t="shared" si="25"/>
        <v>0</v>
      </c>
      <c r="AJ55" s="361">
        <f>[5]東京工場!$L$55</f>
        <v>0</v>
      </c>
      <c r="AK55" s="102">
        <f t="shared" si="36"/>
        <v>0</v>
      </c>
      <c r="AL55" s="546">
        <f t="shared" si="26"/>
        <v>0</v>
      </c>
      <c r="AM55" s="313">
        <f t="shared" si="51"/>
        <v>0</v>
      </c>
      <c r="AN55" s="477">
        <f t="shared" si="27"/>
        <v>0</v>
      </c>
      <c r="AO55" s="119">
        <f t="shared" si="52"/>
        <v>0</v>
      </c>
      <c r="AP55" s="526">
        <f t="shared" si="28"/>
        <v>910157</v>
      </c>
      <c r="AQ55" s="282">
        <f t="shared" si="53"/>
        <v>1.0022399866647111E-3</v>
      </c>
      <c r="AR55" s="486">
        <f t="shared" si="29"/>
        <v>4307278</v>
      </c>
      <c r="AS55" s="283">
        <f t="shared" si="54"/>
        <v>1.0446039165202697E-3</v>
      </c>
      <c r="AT55" s="583">
        <f>[5]全社合計!$G$55</f>
        <v>972136</v>
      </c>
      <c r="AU55" s="120">
        <f t="shared" si="30"/>
        <v>9.539827818460814E-4</v>
      </c>
      <c r="AV55" s="577">
        <f>[5]全社合計!$N$55</f>
        <v>4116929</v>
      </c>
      <c r="AW55" s="121">
        <f t="shared" si="31"/>
        <v>8.8776197426249169E-4</v>
      </c>
      <c r="AX55" s="583">
        <f t="shared" si="32"/>
        <v>-61979</v>
      </c>
      <c r="AY55" s="120">
        <f t="shared" si="33"/>
        <v>0.93624451722804214</v>
      </c>
      <c r="AZ55" s="577">
        <f t="shared" si="34"/>
        <v>190349</v>
      </c>
      <c r="BA55" s="121">
        <f t="shared" si="35"/>
        <v>1.0462356771272956</v>
      </c>
      <c r="BB55" s="11"/>
    </row>
    <row r="56" spans="1:54" ht="15.95" customHeight="1">
      <c r="A56" s="37" t="s">
        <v>97</v>
      </c>
      <c r="B56" s="711">
        <f>[5]本部!$I$56</f>
        <v>0</v>
      </c>
      <c r="C56" s="336" t="str">
        <f>IF(ISERR(B56/$B$11),"",B56/$B$11)</f>
        <v/>
      </c>
      <c r="D56" s="731">
        <f>[5]本部!$L$56</f>
        <v>0</v>
      </c>
      <c r="E56" s="337" t="str">
        <f>IF(ISERR(D56/$D$11),"",D56/$D$11)</f>
        <v/>
      </c>
      <c r="F56" s="365">
        <f>[5]本社営業!$I$56</f>
        <v>0</v>
      </c>
      <c r="G56" s="338">
        <f>IF(ISERR(F56/$F$11),"",F56/$F$11)</f>
        <v>0</v>
      </c>
      <c r="H56" s="366">
        <f>[5]本社営業!$L$56</f>
        <v>0</v>
      </c>
      <c r="I56" s="339">
        <f>IF(ISERR(H56/$H$11),"",H56/$H$11)</f>
        <v>0</v>
      </c>
      <c r="J56" s="751">
        <f>[5]東大阪!$I$56</f>
        <v>0</v>
      </c>
      <c r="K56" s="338">
        <f>IF(ISERR(J56/$J$11),"",J56/$J$11)</f>
        <v>0</v>
      </c>
      <c r="L56" s="366">
        <f>[5]東大阪!$L$56</f>
        <v>0</v>
      </c>
      <c r="M56" s="339">
        <f t="shared" si="37"/>
        <v>0</v>
      </c>
      <c r="N56" s="413">
        <f>[5]南港工場!$I$56</f>
        <v>0</v>
      </c>
      <c r="O56" s="338">
        <f>IF(ISERR(N56/$N$11),"",N56/$N$11)</f>
        <v>0</v>
      </c>
      <c r="P56" s="366">
        <f>[5]南港工場!$L$56</f>
        <v>0</v>
      </c>
      <c r="Q56" s="340">
        <f>IF(ISERR(P56/$P$11),"",P56/$P$11)</f>
        <v>0</v>
      </c>
      <c r="R56" s="447">
        <f>[5]南港事務!$I$56</f>
        <v>0</v>
      </c>
      <c r="S56" s="338" t="str">
        <f>IF(ISERR(R56/$R$11),"",R56/$R$11)</f>
        <v/>
      </c>
      <c r="T56" s="366">
        <f>[5]南港事務!$L$56</f>
        <v>0</v>
      </c>
      <c r="U56" s="341" t="str">
        <f>IF(ISERR(T56/$T$11),"",T56/$T$11)</f>
        <v/>
      </c>
      <c r="V56" s="491">
        <f>N56+R56</f>
        <v>0</v>
      </c>
      <c r="W56" s="340">
        <f>IF(ISERR(V56/$V$11),"",V56/$V$11)</f>
        <v>0</v>
      </c>
      <c r="X56" s="430">
        <f>P56+T56</f>
        <v>0</v>
      </c>
      <c r="Y56" s="342">
        <f>IF(ISERR(X56/$X$11),"",X56/$X$11)</f>
        <v>0</v>
      </c>
      <c r="Z56" s="570">
        <f>F56+J56+N56+R56</f>
        <v>0</v>
      </c>
      <c r="AA56" s="343">
        <f>IF(ISERR(Z56/$Z$11),"",Z56/$Z$11)</f>
        <v>0</v>
      </c>
      <c r="AB56" s="566">
        <f>H56+L56+P56+T56</f>
        <v>0</v>
      </c>
      <c r="AC56" s="344">
        <f>IF(ISERR(AB56/$AB$11),"",AB56/$AB$11)</f>
        <v>0</v>
      </c>
      <c r="AD56" s="365">
        <f>[5]東京事務!$I$56</f>
        <v>0</v>
      </c>
      <c r="AE56" s="338">
        <f>IF(ISERR(AD56/$AD$11),"",AD56/$AD$11)</f>
        <v>0</v>
      </c>
      <c r="AF56" s="366">
        <f>[5]東京事務!$L$56</f>
        <v>0</v>
      </c>
      <c r="AG56" s="345">
        <f>IF(ISERR(AF56/$AF$11),"",AF56/$AF$11)</f>
        <v>0</v>
      </c>
      <c r="AH56" s="393">
        <f>[5]東京工場!$I$56</f>
        <v>0</v>
      </c>
      <c r="AI56" s="340">
        <f>IF(ISERR(AH56/$AH$11),"",AH56/$AH$11)</f>
        <v>0</v>
      </c>
      <c r="AJ56" s="366">
        <f>[5]東京工場!$L$56</f>
        <v>0</v>
      </c>
      <c r="AK56" s="346">
        <f>IF(ISERR(AJ56/$AJ$11),"",AJ56/$AJ$11)</f>
        <v>0</v>
      </c>
      <c r="AL56" s="550">
        <f>AD56+AH56</f>
        <v>0</v>
      </c>
      <c r="AM56" s="347">
        <f>IF(ISERR(AL56/$AL$11),"",AL56/AL$11)</f>
        <v>0</v>
      </c>
      <c r="AN56" s="538">
        <f>AF56+AJ56</f>
        <v>0</v>
      </c>
      <c r="AO56" s="344">
        <f>IF(ISERR(AN56/$AN$11),"",AN56/$AN$11)</f>
        <v>0</v>
      </c>
      <c r="AP56" s="530">
        <f>B56+Z56+AL56</f>
        <v>0</v>
      </c>
      <c r="AQ56" s="348">
        <f>IF(ISERR(AP56/$AP$11),"",AP56/$AP$11)</f>
        <v>0</v>
      </c>
      <c r="AR56" s="518">
        <f>D56+AB56+AN56</f>
        <v>0</v>
      </c>
      <c r="AS56" s="349">
        <f>IF(ISERR(AR56/$AR$11),"",AR56/$AR$11)</f>
        <v>0</v>
      </c>
      <c r="AT56" s="587">
        <f>[5]全社合計!$G$56</f>
        <v>0</v>
      </c>
      <c r="AU56" s="339">
        <f>IF(ISERR(AT56/$AT$11),"",AT56/$AT$11)</f>
        <v>0</v>
      </c>
      <c r="AV56" s="598">
        <f>[5]全社合計!$N$56</f>
        <v>0</v>
      </c>
      <c r="AW56" s="350">
        <f>IF(ISERR(AV56/$AV$11),"",AV56/$AV$11)</f>
        <v>0</v>
      </c>
      <c r="AX56" s="587">
        <f>AP56-AT56</f>
        <v>0</v>
      </c>
      <c r="AY56" s="339" t="str">
        <f>IF(ISERROR(AP56/AT56),"",AP56/AT56)</f>
        <v/>
      </c>
      <c r="AZ56" s="598">
        <f>AR56-AV56</f>
        <v>0</v>
      </c>
      <c r="BA56" s="350" t="str">
        <f>IF(ISERROR(AR56/AV56),"",AR56/AV56)</f>
        <v/>
      </c>
      <c r="BB56" s="11"/>
    </row>
    <row r="57" spans="1:54" ht="15.95" customHeight="1">
      <c r="A57" s="37" t="s">
        <v>58</v>
      </c>
      <c r="B57" s="703">
        <f>[5]本部!$I$57</f>
        <v>0</v>
      </c>
      <c r="C57" s="259" t="str">
        <f>IF(ISERR(B57/$B$11),"",B57/$B$11)</f>
        <v/>
      </c>
      <c r="D57" s="728">
        <f>[5]本部!$L$57</f>
        <v>0</v>
      </c>
      <c r="E57" s="122" t="str">
        <f t="shared" si="39"/>
        <v/>
      </c>
      <c r="F57" s="352">
        <f>[5]本社営業!$I$57</f>
        <v>0</v>
      </c>
      <c r="G57" s="9">
        <f t="shared" si="40"/>
        <v>0</v>
      </c>
      <c r="H57" s="362">
        <f>[5]本社営業!$L$57</f>
        <v>0</v>
      </c>
      <c r="I57" s="124">
        <f t="shared" si="19"/>
        <v>0</v>
      </c>
      <c r="J57" s="745">
        <f>[5]東大阪!$I$57</f>
        <v>0</v>
      </c>
      <c r="K57" s="9">
        <f t="shared" si="20"/>
        <v>0</v>
      </c>
      <c r="L57" s="362">
        <f>[5]東大阪!$L$57</f>
        <v>0</v>
      </c>
      <c r="M57" s="124">
        <f t="shared" si="37"/>
        <v>0</v>
      </c>
      <c r="N57" s="403">
        <f>[5]南港工場!$I$57</f>
        <v>0</v>
      </c>
      <c r="O57" s="9">
        <f t="shared" si="41"/>
        <v>0</v>
      </c>
      <c r="P57" s="362">
        <f>[5]南港工場!$L$57</f>
        <v>0</v>
      </c>
      <c r="Q57" s="171">
        <f t="shared" si="42"/>
        <v>0</v>
      </c>
      <c r="R57" s="445">
        <f>[5]南港事務!$I$57</f>
        <v>0</v>
      </c>
      <c r="S57" s="9" t="str">
        <f t="shared" si="43"/>
        <v/>
      </c>
      <c r="T57" s="362">
        <f>[5]南港事務!$L$57</f>
        <v>0</v>
      </c>
      <c r="U57" s="204" t="str">
        <f t="shared" si="44"/>
        <v/>
      </c>
      <c r="V57" s="456">
        <f t="shared" si="21"/>
        <v>0</v>
      </c>
      <c r="W57" s="171">
        <f t="shared" si="45"/>
        <v>0</v>
      </c>
      <c r="X57" s="426">
        <f t="shared" si="22"/>
        <v>0</v>
      </c>
      <c r="Y57" s="225">
        <f t="shared" si="46"/>
        <v>0</v>
      </c>
      <c r="Z57" s="460">
        <f t="shared" si="23"/>
        <v>0</v>
      </c>
      <c r="AA57" s="189">
        <f t="shared" si="47"/>
        <v>0</v>
      </c>
      <c r="AB57" s="564">
        <f t="shared" si="24"/>
        <v>0</v>
      </c>
      <c r="AC57" s="123">
        <f t="shared" si="48"/>
        <v>0</v>
      </c>
      <c r="AD57" s="352">
        <f>[5]東京事務!$I$57</f>
        <v>0</v>
      </c>
      <c r="AE57" s="9">
        <f t="shared" si="49"/>
        <v>0</v>
      </c>
      <c r="AF57" s="362">
        <f>[5]東京事務!$L$57</f>
        <v>0</v>
      </c>
      <c r="AG57" s="81">
        <f t="shared" si="50"/>
        <v>0</v>
      </c>
      <c r="AH57" s="388">
        <f>[5]東京工場!$I$57</f>
        <v>0</v>
      </c>
      <c r="AI57" s="171">
        <f t="shared" si="25"/>
        <v>0</v>
      </c>
      <c r="AJ57" s="362">
        <f>[5]東京工場!$L$57</f>
        <v>0</v>
      </c>
      <c r="AK57" s="99">
        <f t="shared" si="36"/>
        <v>0</v>
      </c>
      <c r="AL57" s="547">
        <f t="shared" si="26"/>
        <v>0</v>
      </c>
      <c r="AM57" s="314">
        <f t="shared" si="51"/>
        <v>0</v>
      </c>
      <c r="AN57" s="478">
        <f t="shared" si="27"/>
        <v>0</v>
      </c>
      <c r="AO57" s="123">
        <f t="shared" si="52"/>
        <v>0</v>
      </c>
      <c r="AP57" s="527">
        <f>B57+Z57+AL57</f>
        <v>0</v>
      </c>
      <c r="AQ57" s="284">
        <f t="shared" si="53"/>
        <v>0</v>
      </c>
      <c r="AR57" s="487">
        <f t="shared" si="29"/>
        <v>0</v>
      </c>
      <c r="AS57" s="285">
        <f t="shared" si="54"/>
        <v>0</v>
      </c>
      <c r="AT57" s="584">
        <f>[5]全社合計!$G$57</f>
        <v>0</v>
      </c>
      <c r="AU57" s="124">
        <f t="shared" si="30"/>
        <v>0</v>
      </c>
      <c r="AV57" s="578">
        <f>[5]全社合計!$N$57</f>
        <v>0</v>
      </c>
      <c r="AW57" s="125">
        <f t="shared" si="31"/>
        <v>0</v>
      </c>
      <c r="AX57" s="584">
        <f t="shared" si="32"/>
        <v>0</v>
      </c>
      <c r="AY57" s="124" t="str">
        <f t="shared" si="33"/>
        <v/>
      </c>
      <c r="AZ57" s="578">
        <f t="shared" si="34"/>
        <v>0</v>
      </c>
      <c r="BA57" s="125" t="str">
        <f t="shared" si="35"/>
        <v/>
      </c>
      <c r="BB57" s="11"/>
    </row>
    <row r="58" spans="1:54" ht="15.95" customHeight="1">
      <c r="A58" s="37" t="s">
        <v>98</v>
      </c>
      <c r="B58" s="703">
        <f>[5]本部!$I$58</f>
        <v>0</v>
      </c>
      <c r="C58" s="259" t="str">
        <f t="shared" si="38"/>
        <v/>
      </c>
      <c r="D58" s="728">
        <f>[5]本部!$L$58</f>
        <v>0</v>
      </c>
      <c r="E58" s="122" t="str">
        <f t="shared" si="39"/>
        <v/>
      </c>
      <c r="F58" s="352">
        <f>[5]本社営業!$I$58</f>
        <v>0</v>
      </c>
      <c r="G58" s="9">
        <f t="shared" si="40"/>
        <v>0</v>
      </c>
      <c r="H58" s="362">
        <f>[5]本社営業!$L$58</f>
        <v>0</v>
      </c>
      <c r="I58" s="124">
        <f t="shared" si="19"/>
        <v>0</v>
      </c>
      <c r="J58" s="745">
        <f>[5]東大阪!$I$58</f>
        <v>0</v>
      </c>
      <c r="K58" s="9">
        <f t="shared" si="20"/>
        <v>0</v>
      </c>
      <c r="L58" s="362">
        <f>[5]東大阪!$L$58</f>
        <v>0</v>
      </c>
      <c r="M58" s="124">
        <f t="shared" si="37"/>
        <v>0</v>
      </c>
      <c r="N58" s="403">
        <f>[5]南港工場!$I$58</f>
        <v>0</v>
      </c>
      <c r="O58" s="9">
        <f t="shared" si="41"/>
        <v>0</v>
      </c>
      <c r="P58" s="362">
        <f>[5]南港工場!$L$58</f>
        <v>0</v>
      </c>
      <c r="Q58" s="171">
        <f t="shared" si="42"/>
        <v>0</v>
      </c>
      <c r="R58" s="445">
        <f>[5]南港事務!$I$58</f>
        <v>0</v>
      </c>
      <c r="S58" s="9" t="str">
        <f t="shared" si="43"/>
        <v/>
      </c>
      <c r="T58" s="362">
        <f>[5]南港事務!$L$58</f>
        <v>0</v>
      </c>
      <c r="U58" s="204" t="str">
        <f t="shared" si="44"/>
        <v/>
      </c>
      <c r="V58" s="456">
        <f t="shared" si="21"/>
        <v>0</v>
      </c>
      <c r="W58" s="171">
        <f t="shared" si="45"/>
        <v>0</v>
      </c>
      <c r="X58" s="426">
        <f t="shared" si="22"/>
        <v>0</v>
      </c>
      <c r="Y58" s="225">
        <f t="shared" si="46"/>
        <v>0</v>
      </c>
      <c r="Z58" s="460">
        <f>F58+J58+N58+R58</f>
        <v>0</v>
      </c>
      <c r="AA58" s="189">
        <f>IF(ISERR(Z58/$Z$11),"",Z58/$Z$11)</f>
        <v>0</v>
      </c>
      <c r="AB58" s="564">
        <f>H58+L58+P58+T58</f>
        <v>0</v>
      </c>
      <c r="AC58" s="123">
        <f>IF(ISERR(AB58/$AB$11),"",AB58/$AB$11)</f>
        <v>0</v>
      </c>
      <c r="AD58" s="352">
        <f>[5]東京事務!$I$58</f>
        <v>0</v>
      </c>
      <c r="AE58" s="9">
        <f>IF(ISERR(AD58/$AD$11),"",AD58/$AD$11)</f>
        <v>0</v>
      </c>
      <c r="AF58" s="362">
        <f>[5]東京事務!$L$58</f>
        <v>0</v>
      </c>
      <c r="AG58" s="81">
        <f>IF(ISERR(AF58/$AF$11),"",AF58/$AF$11)</f>
        <v>0</v>
      </c>
      <c r="AH58" s="388">
        <f>[5]東京工場!$I$58</f>
        <v>0</v>
      </c>
      <c r="AI58" s="171">
        <f>IF(ISERR(AH58/$AH$11),"",AH58/$AH$11)</f>
        <v>0</v>
      </c>
      <c r="AJ58" s="362">
        <f>[5]東京工場!$L$58</f>
        <v>0</v>
      </c>
      <c r="AK58" s="99">
        <f>IF(ISERR(AJ58/$AJ$11),"",AJ58/$AJ$11)</f>
        <v>0</v>
      </c>
      <c r="AL58" s="547">
        <f>AD58+AH58</f>
        <v>0</v>
      </c>
      <c r="AM58" s="314">
        <f>IF(ISERR(AL58/$AL$11),"",AL58/AL$11)</f>
        <v>0</v>
      </c>
      <c r="AN58" s="478">
        <f>AF58+AJ58</f>
        <v>0</v>
      </c>
      <c r="AO58" s="123">
        <f>IF(ISERR(AN58/$AN$11),"",AN58/$AN$11)</f>
        <v>0</v>
      </c>
      <c r="AP58" s="527">
        <f>B58+Z58+AL58</f>
        <v>0</v>
      </c>
      <c r="AQ58" s="284">
        <f>IF(ISERR(AP58/$AP$11),"",AP58/$AP$11)</f>
        <v>0</v>
      </c>
      <c r="AR58" s="487">
        <f>D58+AB58+AN58</f>
        <v>0</v>
      </c>
      <c r="AS58" s="285">
        <f>IF(ISERR(AR58/$AR$11),"",AR58/$AR$11)</f>
        <v>0</v>
      </c>
      <c r="AT58" s="584">
        <f>[5]全社合計!$G$58</f>
        <v>0</v>
      </c>
      <c r="AU58" s="124">
        <f>IF(ISERR(AT58/$AT$11),"",AT58/$AT$11)</f>
        <v>0</v>
      </c>
      <c r="AV58" s="578">
        <f>[5]全社合計!$N$58</f>
        <v>402213</v>
      </c>
      <c r="AW58" s="125">
        <f>IF(ISERR(AV58/$AV$11),"",AV58/$AV$11)</f>
        <v>8.6731980792974459E-5</v>
      </c>
      <c r="AX58" s="584">
        <f t="shared" si="32"/>
        <v>0</v>
      </c>
      <c r="AY58" s="124" t="str">
        <f>IF(ISERROR(AP58/AT58),"",AP58/AT58)</f>
        <v/>
      </c>
      <c r="AZ58" s="578">
        <f>AR58-AV58</f>
        <v>-402213</v>
      </c>
      <c r="BA58" s="125">
        <f>IF(ISERROR(AR58/AV58),"",AR58/AV58)</f>
        <v>0</v>
      </c>
      <c r="BB58" s="11"/>
    </row>
    <row r="59" spans="1:54" ht="15.95" customHeight="1">
      <c r="A59" s="37" t="s">
        <v>95</v>
      </c>
      <c r="B59" s="703">
        <f>[5]本部!$I$59</f>
        <v>0</v>
      </c>
      <c r="C59" s="259" t="str">
        <f t="shared" si="38"/>
        <v/>
      </c>
      <c r="D59" s="728">
        <f>[5]本部!$L$59</f>
        <v>0</v>
      </c>
      <c r="E59" s="122" t="str">
        <f t="shared" si="39"/>
        <v/>
      </c>
      <c r="F59" s="352">
        <f>[5]本社営業!$I$59</f>
        <v>0</v>
      </c>
      <c r="G59" s="9">
        <f t="shared" si="40"/>
        <v>0</v>
      </c>
      <c r="H59" s="362">
        <f>[5]本社営業!$L$59</f>
        <v>0</v>
      </c>
      <c r="I59" s="124">
        <f t="shared" si="19"/>
        <v>0</v>
      </c>
      <c r="J59" s="745">
        <f>[5]東大阪!$I$59</f>
        <v>0</v>
      </c>
      <c r="K59" s="9">
        <f t="shared" si="20"/>
        <v>0</v>
      </c>
      <c r="L59" s="362">
        <f>[5]東大阪!$L$59</f>
        <v>0</v>
      </c>
      <c r="M59" s="124">
        <f t="shared" si="37"/>
        <v>0</v>
      </c>
      <c r="N59" s="403">
        <f>[5]南港工場!$I$59</f>
        <v>0</v>
      </c>
      <c r="O59" s="9">
        <f t="shared" si="41"/>
        <v>0</v>
      </c>
      <c r="P59" s="362">
        <f>[5]南港工場!$L$59</f>
        <v>0</v>
      </c>
      <c r="Q59" s="171">
        <f t="shared" si="42"/>
        <v>0</v>
      </c>
      <c r="R59" s="445">
        <f>[5]南港事務!$I$59</f>
        <v>0</v>
      </c>
      <c r="S59" s="9" t="str">
        <f t="shared" si="43"/>
        <v/>
      </c>
      <c r="T59" s="362">
        <f>[5]南港事務!$L$59</f>
        <v>0</v>
      </c>
      <c r="U59" s="204" t="str">
        <f t="shared" si="44"/>
        <v/>
      </c>
      <c r="V59" s="456">
        <f t="shared" si="21"/>
        <v>0</v>
      </c>
      <c r="W59" s="171">
        <f t="shared" si="45"/>
        <v>0</v>
      </c>
      <c r="X59" s="426">
        <f t="shared" si="22"/>
        <v>0</v>
      </c>
      <c r="Y59" s="225">
        <f t="shared" si="46"/>
        <v>0</v>
      </c>
      <c r="Z59" s="460">
        <f>F59+J59+N59+R59</f>
        <v>0</v>
      </c>
      <c r="AA59" s="189">
        <f>IF(ISERR(Z59/$Z$11),"",Z59/$Z$11)</f>
        <v>0</v>
      </c>
      <c r="AB59" s="564">
        <f>H59+L59+P59+T59</f>
        <v>0</v>
      </c>
      <c r="AC59" s="123">
        <f>IF(ISERR(AB59/$AB$11),"",AB59/$AB$11)</f>
        <v>0</v>
      </c>
      <c r="AD59" s="352">
        <f>[5]東京事務!$I$59</f>
        <v>0</v>
      </c>
      <c r="AE59" s="9">
        <f>IF(ISERR(AD59/$AD$11),"",AD59/$AD$11)</f>
        <v>0</v>
      </c>
      <c r="AF59" s="362">
        <f>[5]東京事務!$L$59</f>
        <v>0</v>
      </c>
      <c r="AG59" s="81">
        <f>IF(ISERR(AF59/$AF$11),"",AF59/$AF$11)</f>
        <v>0</v>
      </c>
      <c r="AH59" s="388">
        <f>[5]東京工場!$I$59</f>
        <v>0</v>
      </c>
      <c r="AI59" s="171">
        <f>IF(ISERR(AH59/$AH$11),"",AH59/$AH$11)</f>
        <v>0</v>
      </c>
      <c r="AJ59" s="362">
        <f>[5]東京工場!$L$59</f>
        <v>0</v>
      </c>
      <c r="AK59" s="99">
        <f>IF(ISERR(AJ59/$AJ$11),"",AJ59/$AJ$11)</f>
        <v>0</v>
      </c>
      <c r="AL59" s="547">
        <f>AD59+AH59</f>
        <v>0</v>
      </c>
      <c r="AM59" s="314">
        <f>IF(ISERR(AL59/$AL$11),"",AL59/AL$11)</f>
        <v>0</v>
      </c>
      <c r="AN59" s="478">
        <f>AF59+AJ59</f>
        <v>0</v>
      </c>
      <c r="AO59" s="123">
        <f>IF(ISERR(AN59/$AN$11),"",AN59/$AN$11)</f>
        <v>0</v>
      </c>
      <c r="AP59" s="527">
        <f>B59+Z59+AL59</f>
        <v>0</v>
      </c>
      <c r="AQ59" s="284">
        <f>IF(ISERR(AP59/$AP$11),"",AP59/$AP$11)</f>
        <v>0</v>
      </c>
      <c r="AR59" s="487">
        <f>D59+AB59+AN59</f>
        <v>0</v>
      </c>
      <c r="AS59" s="285">
        <f>IF(ISERR(AR59/$AR$11),"",AR59/$AR$11)</f>
        <v>0</v>
      </c>
      <c r="AT59" s="584">
        <f>[5]全社合計!$G$59</f>
        <v>0</v>
      </c>
      <c r="AU59" s="124">
        <f>IF(ISERR(AT59/$AT$11),"",AT59/$AT$11)</f>
        <v>0</v>
      </c>
      <c r="AV59" s="578">
        <f>[5]全社合計!$N$59</f>
        <v>0</v>
      </c>
      <c r="AW59" s="125">
        <f>IF(ISERR(AV59/$AV$11),"",AV59/$AV$11)</f>
        <v>0</v>
      </c>
      <c r="AX59" s="584">
        <f t="shared" si="32"/>
        <v>0</v>
      </c>
      <c r="AY59" s="124" t="str">
        <f>IF(ISERROR(AP59/AT59),"",AP59/AT59)</f>
        <v/>
      </c>
      <c r="AZ59" s="578">
        <f>AR59-AV59</f>
        <v>0</v>
      </c>
      <c r="BA59" s="125" t="str">
        <f>IF(ISERROR(AR59/AV59),"",AR59/AV59)</f>
        <v/>
      </c>
      <c r="BB59" s="11"/>
    </row>
    <row r="60" spans="1:54" ht="15.95" customHeight="1">
      <c r="A60" s="37" t="s">
        <v>93</v>
      </c>
      <c r="B60" s="703">
        <f>[5]本部!$I$60</f>
        <v>500000</v>
      </c>
      <c r="C60" s="259" t="str">
        <f>IF(ISERR(B60/$B$11),"",B60/$B$11)</f>
        <v/>
      </c>
      <c r="D60" s="728">
        <f>[5]本部!$L$60</f>
        <v>2500000</v>
      </c>
      <c r="E60" s="122" t="str">
        <f t="shared" si="39"/>
        <v/>
      </c>
      <c r="F60" s="352">
        <f>[5]本社営業!$I$60</f>
        <v>0</v>
      </c>
      <c r="G60" s="9">
        <f t="shared" si="40"/>
        <v>0</v>
      </c>
      <c r="H60" s="362">
        <f>[5]本社営業!$L$60</f>
        <v>0</v>
      </c>
      <c r="I60" s="124">
        <f t="shared" si="19"/>
        <v>0</v>
      </c>
      <c r="J60" s="745">
        <f>[5]東大阪!$I$60</f>
        <v>0</v>
      </c>
      <c r="K60" s="9">
        <f t="shared" si="20"/>
        <v>0</v>
      </c>
      <c r="L60" s="362">
        <f>[5]東大阪!$L$60</f>
        <v>0</v>
      </c>
      <c r="M60" s="124">
        <f t="shared" si="37"/>
        <v>0</v>
      </c>
      <c r="N60" s="403">
        <f>[5]南港工場!$I$60</f>
        <v>0</v>
      </c>
      <c r="O60" s="9">
        <f t="shared" si="41"/>
        <v>0</v>
      </c>
      <c r="P60" s="362">
        <f>[5]南港工場!$L$60</f>
        <v>0</v>
      </c>
      <c r="Q60" s="171">
        <f t="shared" si="42"/>
        <v>0</v>
      </c>
      <c r="R60" s="445">
        <f>[5]南港事務!$I$60</f>
        <v>0</v>
      </c>
      <c r="S60" s="9" t="str">
        <f t="shared" si="43"/>
        <v/>
      </c>
      <c r="T60" s="362">
        <f>[5]南港事務!$L$60</f>
        <v>0</v>
      </c>
      <c r="U60" s="204" t="str">
        <f t="shared" si="44"/>
        <v/>
      </c>
      <c r="V60" s="456">
        <f t="shared" si="21"/>
        <v>0</v>
      </c>
      <c r="W60" s="171">
        <f t="shared" si="45"/>
        <v>0</v>
      </c>
      <c r="X60" s="426">
        <f t="shared" si="22"/>
        <v>0</v>
      </c>
      <c r="Y60" s="225">
        <f t="shared" si="46"/>
        <v>0</v>
      </c>
      <c r="Z60" s="460">
        <f t="shared" si="23"/>
        <v>0</v>
      </c>
      <c r="AA60" s="189">
        <f t="shared" si="47"/>
        <v>0</v>
      </c>
      <c r="AB60" s="564">
        <f t="shared" si="24"/>
        <v>0</v>
      </c>
      <c r="AC60" s="123">
        <f t="shared" si="48"/>
        <v>0</v>
      </c>
      <c r="AD60" s="352">
        <f>[5]東京事務!$I$60</f>
        <v>0</v>
      </c>
      <c r="AE60" s="9">
        <f t="shared" si="49"/>
        <v>0</v>
      </c>
      <c r="AF60" s="362">
        <f>[5]東京事務!$L$60</f>
        <v>0</v>
      </c>
      <c r="AG60" s="81">
        <f t="shared" si="50"/>
        <v>0</v>
      </c>
      <c r="AH60" s="388">
        <f>[5]東京工場!$I$60</f>
        <v>0</v>
      </c>
      <c r="AI60" s="171">
        <f t="shared" si="25"/>
        <v>0</v>
      </c>
      <c r="AJ60" s="362">
        <f>[5]東京工場!$L$60</f>
        <v>0</v>
      </c>
      <c r="AK60" s="99">
        <f t="shared" si="36"/>
        <v>0</v>
      </c>
      <c r="AL60" s="547">
        <f t="shared" si="26"/>
        <v>0</v>
      </c>
      <c r="AM60" s="314">
        <f t="shared" si="51"/>
        <v>0</v>
      </c>
      <c r="AN60" s="478">
        <f t="shared" si="27"/>
        <v>0</v>
      </c>
      <c r="AO60" s="123">
        <f t="shared" si="52"/>
        <v>0</v>
      </c>
      <c r="AP60" s="527">
        <f>B60+Z60+AL60</f>
        <v>500000</v>
      </c>
      <c r="AQ60" s="284">
        <f t="shared" si="53"/>
        <v>5.5058632008802395E-4</v>
      </c>
      <c r="AR60" s="487">
        <f t="shared" si="29"/>
        <v>2500000</v>
      </c>
      <c r="AS60" s="285">
        <f t="shared" si="54"/>
        <v>6.0630165763637142E-4</v>
      </c>
      <c r="AT60" s="584">
        <f>[5]全社合計!$G$60</f>
        <v>500000</v>
      </c>
      <c r="AU60" s="124">
        <f t="shared" si="30"/>
        <v>4.9066323119711724E-4</v>
      </c>
      <c r="AV60" s="578">
        <f>[5]全社合計!$N$60</f>
        <v>2500000</v>
      </c>
      <c r="AW60" s="125">
        <f t="shared" si="31"/>
        <v>5.3909235152129885E-4</v>
      </c>
      <c r="AX60" s="584">
        <f t="shared" si="32"/>
        <v>0</v>
      </c>
      <c r="AY60" s="124">
        <f t="shared" si="33"/>
        <v>1</v>
      </c>
      <c r="AZ60" s="578">
        <f t="shared" si="34"/>
        <v>0</v>
      </c>
      <c r="BA60" s="125">
        <f t="shared" si="35"/>
        <v>1</v>
      </c>
      <c r="BB60" s="11"/>
    </row>
    <row r="61" spans="1:54" ht="15.95" customHeight="1">
      <c r="A61" s="35" t="s">
        <v>48</v>
      </c>
      <c r="B61" s="704">
        <f>[5]本部!$I$61</f>
        <v>0</v>
      </c>
      <c r="C61" s="260" t="str">
        <f t="shared" si="38"/>
        <v/>
      </c>
      <c r="D61" s="729">
        <f>[5]本部!$L$61</f>
        <v>7001</v>
      </c>
      <c r="E61" s="126" t="str">
        <f t="shared" si="39"/>
        <v/>
      </c>
      <c r="F61" s="353">
        <f>[5]本社営業!$I$61</f>
        <v>7</v>
      </c>
      <c r="G61" s="12">
        <f t="shared" si="40"/>
        <v>1.2068902093080034E-8</v>
      </c>
      <c r="H61" s="363">
        <f>[5]本社営業!$L$61</f>
        <v>195037</v>
      </c>
      <c r="I61" s="128">
        <f t="shared" si="19"/>
        <v>7.4098764670820351E-5</v>
      </c>
      <c r="J61" s="746">
        <f>[5]東大阪!$I$61</f>
        <v>0</v>
      </c>
      <c r="K61" s="12">
        <f t="shared" si="20"/>
        <v>0</v>
      </c>
      <c r="L61" s="363">
        <f>[5]東大阪!$L$61</f>
        <v>0</v>
      </c>
      <c r="M61" s="128">
        <f t="shared" si="37"/>
        <v>0</v>
      </c>
      <c r="N61" s="404">
        <f>[5]南港工場!$I$61</f>
        <v>2</v>
      </c>
      <c r="O61" s="12">
        <f t="shared" si="41"/>
        <v>6.3740083238174703E-8</v>
      </c>
      <c r="P61" s="363">
        <f>[5]南港工場!$L$61</f>
        <v>4</v>
      </c>
      <c r="Q61" s="172">
        <f t="shared" si="42"/>
        <v>2.9286442205465024E-8</v>
      </c>
      <c r="R61" s="446">
        <f>[5]南港事務!$I$61</f>
        <v>0</v>
      </c>
      <c r="S61" s="12" t="str">
        <f t="shared" si="43"/>
        <v/>
      </c>
      <c r="T61" s="363">
        <f>[5]南港事務!$L$61</f>
        <v>0</v>
      </c>
      <c r="U61" s="205" t="str">
        <f t="shared" si="44"/>
        <v/>
      </c>
      <c r="V61" s="457">
        <f t="shared" si="21"/>
        <v>2</v>
      </c>
      <c r="W61" s="172">
        <f t="shared" si="45"/>
        <v>6.3740083238174703E-8</v>
      </c>
      <c r="X61" s="427">
        <f t="shared" si="22"/>
        <v>4</v>
      </c>
      <c r="Y61" s="226">
        <f t="shared" si="46"/>
        <v>2.9286442205465024E-8</v>
      </c>
      <c r="Z61" s="461">
        <f t="shared" si="23"/>
        <v>9</v>
      </c>
      <c r="AA61" s="190">
        <f t="shared" si="47"/>
        <v>1.4468810979607696E-8</v>
      </c>
      <c r="AB61" s="565">
        <f t="shared" si="24"/>
        <v>195041</v>
      </c>
      <c r="AC61" s="127">
        <f t="shared" si="48"/>
        <v>6.9295411281392006E-5</v>
      </c>
      <c r="AD61" s="353">
        <f>[5]東京事務!$I$61</f>
        <v>36</v>
      </c>
      <c r="AE61" s="12">
        <f t="shared" si="49"/>
        <v>1.3108634443400173E-7</v>
      </c>
      <c r="AF61" s="363">
        <f>[5]東京事務!$L$61</f>
        <v>149</v>
      </c>
      <c r="AG61" s="82">
        <f t="shared" si="50"/>
        <v>1.1852191394302964E-7</v>
      </c>
      <c r="AH61" s="389">
        <f>[5]東京工場!$I$61</f>
        <v>0</v>
      </c>
      <c r="AI61" s="172">
        <f t="shared" si="25"/>
        <v>0</v>
      </c>
      <c r="AJ61" s="363">
        <f>[5]東京工場!$L$61</f>
        <v>0</v>
      </c>
      <c r="AK61" s="100">
        <f t="shared" si="36"/>
        <v>0</v>
      </c>
      <c r="AL61" s="548">
        <f t="shared" si="26"/>
        <v>36</v>
      </c>
      <c r="AM61" s="315">
        <f t="shared" si="51"/>
        <v>1.2583224001719623E-7</v>
      </c>
      <c r="AN61" s="479">
        <f t="shared" si="27"/>
        <v>149</v>
      </c>
      <c r="AO61" s="127">
        <f t="shared" si="52"/>
        <v>1.1385090390805751E-7</v>
      </c>
      <c r="AP61" s="528">
        <f t="shared" si="28"/>
        <v>45</v>
      </c>
      <c r="AQ61" s="286">
        <f t="shared" si="53"/>
        <v>4.9552768807922153E-8</v>
      </c>
      <c r="AR61" s="488">
        <f t="shared" si="29"/>
        <v>202191</v>
      </c>
      <c r="AS61" s="287">
        <f t="shared" si="54"/>
        <v>4.9035495383662226E-5</v>
      </c>
      <c r="AT61" s="585">
        <f>[5]全社合計!$G$61</f>
        <v>87</v>
      </c>
      <c r="AU61" s="128">
        <f t="shared" si="30"/>
        <v>8.5375402228298392E-8</v>
      </c>
      <c r="AV61" s="579">
        <f>[5]全社合計!$N$61</f>
        <v>1499302</v>
      </c>
      <c r="AW61" s="129">
        <f t="shared" si="31"/>
        <v>3.2330489632823451E-4</v>
      </c>
      <c r="AX61" s="585">
        <f t="shared" si="32"/>
        <v>-42</v>
      </c>
      <c r="AY61" s="128">
        <f>IF(ISERROR(AP61/AT61),"",AP61/AT61)</f>
        <v>0.51724137931034486</v>
      </c>
      <c r="AZ61" s="579">
        <f t="shared" si="34"/>
        <v>-1297111</v>
      </c>
      <c r="BA61" s="129">
        <f t="shared" si="35"/>
        <v>0.1348567533425554</v>
      </c>
      <c r="BB61" s="14"/>
    </row>
    <row r="62" spans="1:54" ht="15.95" customHeight="1">
      <c r="A62" s="62" t="s">
        <v>49</v>
      </c>
      <c r="B62" s="708">
        <f>SUM(B55:B61)</f>
        <v>1101804</v>
      </c>
      <c r="C62" s="141" t="str">
        <f t="shared" si="38"/>
        <v/>
      </c>
      <c r="D62" s="401">
        <f>SUM(D55:D61)</f>
        <v>5624377</v>
      </c>
      <c r="E62" s="139" t="str">
        <f t="shared" si="39"/>
        <v/>
      </c>
      <c r="F62" s="466">
        <f>SUM(F55:F61)</f>
        <v>308360</v>
      </c>
      <c r="G62" s="64">
        <f t="shared" si="40"/>
        <v>5.3165237848887997E-4</v>
      </c>
      <c r="H62" s="401">
        <f>SUM(H55:H61)</f>
        <v>1384939</v>
      </c>
      <c r="I62" s="141">
        <f t="shared" si="19"/>
        <v>5.2616820933690158E-4</v>
      </c>
      <c r="J62" s="747">
        <f>SUM(J55:J61)</f>
        <v>0</v>
      </c>
      <c r="K62" s="64">
        <f t="shared" si="20"/>
        <v>0</v>
      </c>
      <c r="L62" s="401">
        <f>SUM(L55:L61)</f>
        <v>0</v>
      </c>
      <c r="M62" s="141">
        <f t="shared" si="37"/>
        <v>0</v>
      </c>
      <c r="N62" s="405">
        <f>SUM(N55:N61)</f>
        <v>2</v>
      </c>
      <c r="O62" s="64">
        <f t="shared" si="41"/>
        <v>6.3740083238174703E-8</v>
      </c>
      <c r="P62" s="401">
        <f>SUM(P55:P61)</f>
        <v>4</v>
      </c>
      <c r="Q62" s="177">
        <f t="shared" si="42"/>
        <v>2.9286442205465024E-8</v>
      </c>
      <c r="R62" s="442">
        <f>SUM(R55:R61)</f>
        <v>0</v>
      </c>
      <c r="S62" s="64" t="str">
        <f t="shared" si="43"/>
        <v/>
      </c>
      <c r="T62" s="401">
        <f>SUM(T55:T61)</f>
        <v>0</v>
      </c>
      <c r="U62" s="209" t="str">
        <f t="shared" si="44"/>
        <v/>
      </c>
      <c r="V62" s="458">
        <f t="shared" si="21"/>
        <v>2</v>
      </c>
      <c r="W62" s="177">
        <f t="shared" si="45"/>
        <v>6.3740083238174703E-8</v>
      </c>
      <c r="X62" s="428">
        <f t="shared" si="22"/>
        <v>4</v>
      </c>
      <c r="Y62" s="230">
        <f t="shared" si="46"/>
        <v>2.9286442205465024E-8</v>
      </c>
      <c r="Z62" s="458">
        <f t="shared" si="23"/>
        <v>308362</v>
      </c>
      <c r="AA62" s="194">
        <f t="shared" si="47"/>
        <v>4.9573683236597648E-4</v>
      </c>
      <c r="AB62" s="428">
        <f t="shared" si="24"/>
        <v>1384943</v>
      </c>
      <c r="AC62" s="140">
        <f t="shared" si="48"/>
        <v>4.9205138809934777E-4</v>
      </c>
      <c r="AD62" s="466">
        <f>SUM(AD55:AD61)</f>
        <v>36</v>
      </c>
      <c r="AE62" s="64">
        <f t="shared" si="49"/>
        <v>1.3108634443400173E-7</v>
      </c>
      <c r="AF62" s="401">
        <f>SUM(AF55:AF61)</f>
        <v>149</v>
      </c>
      <c r="AG62" s="85">
        <f t="shared" si="50"/>
        <v>1.1852191394302964E-7</v>
      </c>
      <c r="AH62" s="390">
        <f>SUM(AH55:AH61)</f>
        <v>0</v>
      </c>
      <c r="AI62" s="177">
        <f t="shared" si="25"/>
        <v>0</v>
      </c>
      <c r="AJ62" s="401">
        <f>SUM(AJ55:AJ61)</f>
        <v>0</v>
      </c>
      <c r="AK62" s="105">
        <f t="shared" si="36"/>
        <v>0</v>
      </c>
      <c r="AL62" s="549">
        <f t="shared" si="26"/>
        <v>36</v>
      </c>
      <c r="AM62" s="319">
        <f t="shared" si="51"/>
        <v>1.2583224001719623E-7</v>
      </c>
      <c r="AN62" s="480">
        <f t="shared" si="27"/>
        <v>149</v>
      </c>
      <c r="AO62" s="140">
        <f t="shared" si="52"/>
        <v>1.1385090390805751E-7</v>
      </c>
      <c r="AP62" s="529">
        <f t="shared" si="28"/>
        <v>1410202</v>
      </c>
      <c r="AQ62" s="141">
        <f t="shared" si="53"/>
        <v>1.5528758595215431E-3</v>
      </c>
      <c r="AR62" s="428">
        <f t="shared" si="29"/>
        <v>7009469</v>
      </c>
      <c r="AS62" s="140">
        <f t="shared" si="54"/>
        <v>1.6999410695403034E-3</v>
      </c>
      <c r="AT62" s="529">
        <f>SUM(AT55:AT61)</f>
        <v>1472223</v>
      </c>
      <c r="AU62" s="141">
        <f t="shared" si="30"/>
        <v>1.444731388445427E-3</v>
      </c>
      <c r="AV62" s="410">
        <f>SUM(AV55:AV61)</f>
        <v>8518444</v>
      </c>
      <c r="AW62" s="140">
        <f t="shared" si="31"/>
        <v>1.8368912029049994E-3</v>
      </c>
      <c r="AX62" s="529">
        <f t="shared" si="32"/>
        <v>-62021</v>
      </c>
      <c r="AY62" s="141">
        <f t="shared" si="33"/>
        <v>0.95787255055789777</v>
      </c>
      <c r="AZ62" s="410">
        <f t="shared" si="34"/>
        <v>-1508975</v>
      </c>
      <c r="BA62" s="140">
        <f t="shared" si="35"/>
        <v>0.82285790691351612</v>
      </c>
      <c r="BB62" s="11"/>
    </row>
    <row r="63" spans="1:54" ht="15.95" customHeight="1">
      <c r="A63" s="38" t="s">
        <v>59</v>
      </c>
      <c r="B63" s="712">
        <f>[5]本部!$I$63</f>
        <v>-7643474</v>
      </c>
      <c r="C63" s="221" t="str">
        <f t="shared" si="38"/>
        <v/>
      </c>
      <c r="D63" s="732">
        <f>[5]本部!$L$63</f>
        <v>-40648325</v>
      </c>
      <c r="E63" s="142" t="str">
        <f t="shared" si="39"/>
        <v/>
      </c>
      <c r="F63" s="365">
        <f>[5]本社営業!$I$63</f>
        <v>3714727</v>
      </c>
      <c r="G63" s="15">
        <f t="shared" si="40"/>
        <v>6.4046680665029885E-3</v>
      </c>
      <c r="H63" s="367">
        <f>[5]本社営業!$L$63</f>
        <v>19932711</v>
      </c>
      <c r="I63" s="144">
        <f t="shared" si="19"/>
        <v>7.5728670028787984E-3</v>
      </c>
      <c r="J63" s="751">
        <f>[5]東大阪!$I$63</f>
        <v>512113</v>
      </c>
      <c r="K63" s="15">
        <f t="shared" si="20"/>
        <v>4.80986533658153E-2</v>
      </c>
      <c r="L63" s="367">
        <f>[5]東大阪!$L$63</f>
        <v>2475546</v>
      </c>
      <c r="M63" s="144">
        <f t="shared" si="37"/>
        <v>5.3902118619821346E-2</v>
      </c>
      <c r="N63" s="413">
        <f>[5]南港工場!$I$63</f>
        <v>1154165</v>
      </c>
      <c r="O63" s="15">
        <f t="shared" si="41"/>
        <v>3.6783286585293951E-2</v>
      </c>
      <c r="P63" s="367">
        <f>[5]南港工場!$L$63</f>
        <v>6002653</v>
      </c>
      <c r="Q63" s="178">
        <f t="shared" si="42"/>
        <v>4.3949087540990313E-2</v>
      </c>
      <c r="R63" s="447">
        <f>[5]南港事務!$I$63</f>
        <v>221661</v>
      </c>
      <c r="S63" s="15" t="str">
        <f t="shared" si="43"/>
        <v/>
      </c>
      <c r="T63" s="367">
        <f>[5]南港事務!$L$63</f>
        <v>1178610</v>
      </c>
      <c r="U63" s="210" t="str">
        <f t="shared" si="44"/>
        <v/>
      </c>
      <c r="V63" s="491">
        <f t="shared" si="21"/>
        <v>1375826</v>
      </c>
      <c r="W63" s="178">
        <f t="shared" si="45"/>
        <v>4.3847631880622476E-2</v>
      </c>
      <c r="X63" s="431">
        <f t="shared" si="22"/>
        <v>7181263</v>
      </c>
      <c r="Y63" s="231">
        <f t="shared" si="46"/>
        <v>5.2578410952936097E-2</v>
      </c>
      <c r="Z63" s="570">
        <f t="shared" si="23"/>
        <v>5602666</v>
      </c>
      <c r="AA63" s="195">
        <f t="shared" si="47"/>
        <v>9.0071017039860812E-3</v>
      </c>
      <c r="AB63" s="567">
        <f t="shared" si="24"/>
        <v>29589520</v>
      </c>
      <c r="AC63" s="143">
        <f t="shared" si="48"/>
        <v>1.0512753513461141E-2</v>
      </c>
      <c r="AD63" s="365">
        <f>[5]東京事務!$I$63</f>
        <v>1459904</v>
      </c>
      <c r="AE63" s="15">
        <f t="shared" si="49"/>
        <v>5.3159299606826901E-3</v>
      </c>
      <c r="AF63" s="367">
        <f>[5]東京事務!$L$63</f>
        <v>8012337</v>
      </c>
      <c r="AG63" s="86">
        <f t="shared" si="50"/>
        <v>6.3734061503124316E-3</v>
      </c>
      <c r="AH63" s="393">
        <f>[5]東京工場!$I$63</f>
        <v>580904</v>
      </c>
      <c r="AI63" s="178">
        <f t="shared" si="25"/>
        <v>5.0658525778157645E-2</v>
      </c>
      <c r="AJ63" s="367">
        <f>[5]東京工場!$L$63</f>
        <v>3046468</v>
      </c>
      <c r="AK63" s="106">
        <f t="shared" si="36"/>
        <v>5.9065609659369231E-2</v>
      </c>
      <c r="AL63" s="551">
        <f t="shared" si="26"/>
        <v>2040808</v>
      </c>
      <c r="AM63" s="320">
        <f t="shared" si="51"/>
        <v>7.133317835694839E-3</v>
      </c>
      <c r="AN63" s="538">
        <f t="shared" si="27"/>
        <v>11058805</v>
      </c>
      <c r="AO63" s="143">
        <f t="shared" si="52"/>
        <v>8.4500331905566842E-3</v>
      </c>
      <c r="AP63" s="531">
        <f t="shared" si="28"/>
        <v>0</v>
      </c>
      <c r="AQ63" s="288">
        <f t="shared" si="53"/>
        <v>0</v>
      </c>
      <c r="AR63" s="518">
        <f t="shared" si="29"/>
        <v>0</v>
      </c>
      <c r="AS63" s="289">
        <f t="shared" si="54"/>
        <v>0</v>
      </c>
      <c r="AT63" s="588">
        <f>[5]全社合計!$G$63</f>
        <v>0</v>
      </c>
      <c r="AU63" s="144">
        <f t="shared" si="30"/>
        <v>0</v>
      </c>
      <c r="AV63" s="598">
        <f>[5]全社合計!$N$63</f>
        <v>0</v>
      </c>
      <c r="AW63" s="145">
        <f t="shared" si="31"/>
        <v>0</v>
      </c>
      <c r="AX63" s="588">
        <f t="shared" si="32"/>
        <v>0</v>
      </c>
      <c r="AY63" s="144" t="str">
        <f t="shared" si="33"/>
        <v/>
      </c>
      <c r="AZ63" s="598">
        <f t="shared" si="34"/>
        <v>0</v>
      </c>
      <c r="BA63" s="145" t="str">
        <f t="shared" si="35"/>
        <v/>
      </c>
      <c r="BB63" s="11"/>
    </row>
    <row r="64" spans="1:54" ht="19.899999999999999" customHeight="1">
      <c r="A64" s="57" t="s">
        <v>50</v>
      </c>
      <c r="B64" s="713">
        <f>+B48+B54-B62-B63</f>
        <v>0</v>
      </c>
      <c r="C64" s="146" t="str">
        <f t="shared" si="38"/>
        <v/>
      </c>
      <c r="D64" s="376">
        <f>D48+D54-D62-D63</f>
        <v>0</v>
      </c>
      <c r="E64" s="136" t="str">
        <f t="shared" si="39"/>
        <v/>
      </c>
      <c r="F64" s="375">
        <f>F48+F54-F62-F63</f>
        <v>44609340</v>
      </c>
      <c r="G64" s="56">
        <f t="shared" si="40"/>
        <v>7.6912250985274128E-2</v>
      </c>
      <c r="H64" s="376">
        <f>H48+H54-H62-H63</f>
        <v>243641640</v>
      </c>
      <c r="I64" s="146">
        <f t="shared" si="19"/>
        <v>9.2564716163459917E-2</v>
      </c>
      <c r="J64" s="374">
        <f>J48+J54-J62-J63</f>
        <v>2793230</v>
      </c>
      <c r="K64" s="56">
        <f t="shared" si="20"/>
        <v>0.26234561813700547</v>
      </c>
      <c r="L64" s="376">
        <f>L48+L54-L62-L63</f>
        <v>11523424</v>
      </c>
      <c r="M64" s="146">
        <f t="shared" si="37"/>
        <v>0.25090907919081129</v>
      </c>
      <c r="N64" s="412">
        <f>N48+N54-N62-N63</f>
        <v>8072875</v>
      </c>
      <c r="O64" s="56">
        <f t="shared" si="41"/>
        <v>0.2572828622356898</v>
      </c>
      <c r="P64" s="376">
        <f>P48+P54-P62-P63</f>
        <v>11816822</v>
      </c>
      <c r="Q64" s="176">
        <f t="shared" si="42"/>
        <v>8.6518168638816909E-2</v>
      </c>
      <c r="R64" s="443">
        <f>R48+R54-R62-R63</f>
        <v>-4383352</v>
      </c>
      <c r="S64" s="56" t="str">
        <f t="shared" si="43"/>
        <v/>
      </c>
      <c r="T64" s="376">
        <f>T48+T54-T62-T63</f>
        <v>-21429999</v>
      </c>
      <c r="U64" s="211" t="str">
        <f t="shared" si="44"/>
        <v/>
      </c>
      <c r="V64" s="490">
        <f t="shared" si="21"/>
        <v>3689523</v>
      </c>
      <c r="W64" s="176">
        <f t="shared" si="45"/>
        <v>0.11758525156458002</v>
      </c>
      <c r="X64" s="424">
        <f t="shared" si="22"/>
        <v>-9613177</v>
      </c>
      <c r="Y64" s="232">
        <f t="shared" si="46"/>
        <v>-7.0383938155351405E-2</v>
      </c>
      <c r="Z64" s="490">
        <f t="shared" si="23"/>
        <v>51092093</v>
      </c>
      <c r="AA64" s="193">
        <f t="shared" si="47"/>
        <v>8.2137981796615286E-2</v>
      </c>
      <c r="AB64" s="424">
        <f t="shared" si="24"/>
        <v>245551887</v>
      </c>
      <c r="AC64" s="185">
        <f t="shared" si="48"/>
        <v>8.7241241588111709E-2</v>
      </c>
      <c r="AD64" s="375">
        <f>AD48+AD54-AD62-AD63</f>
        <v>8011440</v>
      </c>
      <c r="AE64" s="56">
        <f t="shared" si="49"/>
        <v>2.9171955090342743E-2</v>
      </c>
      <c r="AF64" s="376">
        <f>AF48+AF54-AF62-AF63</f>
        <v>39126835</v>
      </c>
      <c r="AG64" s="87">
        <f t="shared" si="50"/>
        <v>3.1123405172705502E-2</v>
      </c>
      <c r="AH64" s="392">
        <f>AH48+AH54-AH62-AH63</f>
        <v>3448102</v>
      </c>
      <c r="AI64" s="176">
        <f t="shared" si="25"/>
        <v>0.30069643874498531</v>
      </c>
      <c r="AJ64" s="376">
        <f>AJ48+AJ54-AJ62-AJ63</f>
        <v>11715176</v>
      </c>
      <c r="AK64" s="104">
        <f t="shared" si="36"/>
        <v>0.22713647827806185</v>
      </c>
      <c r="AL64" s="545">
        <f t="shared" si="26"/>
        <v>11459542</v>
      </c>
      <c r="AM64" s="321">
        <f t="shared" si="51"/>
        <v>4.0054995539753918E-2</v>
      </c>
      <c r="AN64" s="537">
        <f t="shared" si="27"/>
        <v>50842011</v>
      </c>
      <c r="AO64" s="137">
        <f t="shared" si="52"/>
        <v>3.8848381938613445E-2</v>
      </c>
      <c r="AP64" s="525">
        <f t="shared" si="28"/>
        <v>62551635</v>
      </c>
      <c r="AQ64" s="303">
        <f t="shared" si="53"/>
        <v>6.8880149060278478E-2</v>
      </c>
      <c r="AR64" s="517">
        <f t="shared" si="29"/>
        <v>296393898</v>
      </c>
      <c r="AS64" s="304">
        <f t="shared" si="54"/>
        <v>7.188164466828223E-2</v>
      </c>
      <c r="AT64" s="582">
        <f>AT48+AT54-AT62-AT63</f>
        <v>98259205</v>
      </c>
      <c r="AU64" s="146">
        <f t="shared" si="30"/>
        <v>9.642435804031986E-2</v>
      </c>
      <c r="AV64" s="597">
        <f>AV48+AV54-AV62-AV63</f>
        <v>364893448</v>
      </c>
      <c r="AW64" s="137">
        <f t="shared" si="31"/>
        <v>7.8684506774813909E-2</v>
      </c>
      <c r="AX64" s="582">
        <f t="shared" si="32"/>
        <v>-35707570</v>
      </c>
      <c r="AY64" s="146">
        <f t="shared" si="33"/>
        <v>0.63659821998356292</v>
      </c>
      <c r="AZ64" s="597">
        <f t="shared" si="34"/>
        <v>-68499550</v>
      </c>
      <c r="BA64" s="137">
        <f t="shared" si="35"/>
        <v>0.81227519875884424</v>
      </c>
      <c r="BB64" s="11"/>
    </row>
    <row r="65" spans="1:54" ht="15.95" customHeight="1">
      <c r="A65" s="39" t="s">
        <v>51</v>
      </c>
      <c r="B65" s="714">
        <f>[5]本部!$I$65</f>
        <v>0</v>
      </c>
      <c r="C65" s="261" t="str">
        <f t="shared" si="38"/>
        <v/>
      </c>
      <c r="D65" s="733">
        <f>[5]本部!$L$65</f>
        <v>0</v>
      </c>
      <c r="E65" s="142" t="str">
        <f t="shared" si="39"/>
        <v/>
      </c>
      <c r="F65" s="368">
        <f>[5]本社営業!$I$65</f>
        <v>0</v>
      </c>
      <c r="G65" s="15">
        <f t="shared" si="40"/>
        <v>0</v>
      </c>
      <c r="H65" s="370">
        <f>[5]本社営業!$L$65</f>
        <v>0</v>
      </c>
      <c r="I65" s="144">
        <f t="shared" si="19"/>
        <v>0</v>
      </c>
      <c r="J65" s="752">
        <f>[5]東大阪!$I$65</f>
        <v>0</v>
      </c>
      <c r="K65" s="15">
        <f t="shared" si="20"/>
        <v>0</v>
      </c>
      <c r="L65" s="370">
        <f>[5]東大阪!$L$65</f>
        <v>0</v>
      </c>
      <c r="M65" s="144">
        <f t="shared" si="37"/>
        <v>0</v>
      </c>
      <c r="N65" s="414">
        <f>[5]南港工場!$I$65</f>
        <v>0</v>
      </c>
      <c r="O65" s="15">
        <f t="shared" si="41"/>
        <v>0</v>
      </c>
      <c r="P65" s="370">
        <f>[5]南港工場!$L$65</f>
        <v>0</v>
      </c>
      <c r="Q65" s="178">
        <f t="shared" si="42"/>
        <v>0</v>
      </c>
      <c r="R65" s="448">
        <f>[5]南港事務!$I$65</f>
        <v>0</v>
      </c>
      <c r="S65" s="15" t="str">
        <f t="shared" si="43"/>
        <v/>
      </c>
      <c r="T65" s="370">
        <f>[5]南港事務!$L$65</f>
        <v>0</v>
      </c>
      <c r="U65" s="210" t="str">
        <f t="shared" si="44"/>
        <v/>
      </c>
      <c r="V65" s="492">
        <f t="shared" si="21"/>
        <v>0</v>
      </c>
      <c r="W65" s="178">
        <f t="shared" si="45"/>
        <v>0</v>
      </c>
      <c r="X65" s="432">
        <f t="shared" si="22"/>
        <v>0</v>
      </c>
      <c r="Y65" s="231">
        <f t="shared" si="46"/>
        <v>0</v>
      </c>
      <c r="Z65" s="571">
        <f t="shared" si="23"/>
        <v>0</v>
      </c>
      <c r="AA65" s="195">
        <f t="shared" si="47"/>
        <v>0</v>
      </c>
      <c r="AB65" s="568">
        <f t="shared" si="24"/>
        <v>0</v>
      </c>
      <c r="AC65" s="143">
        <f t="shared" si="48"/>
        <v>0</v>
      </c>
      <c r="AD65" s="368">
        <f>[5]東京事務!$I$65</f>
        <v>0</v>
      </c>
      <c r="AE65" s="15">
        <f t="shared" si="49"/>
        <v>0</v>
      </c>
      <c r="AF65" s="370">
        <f>[5]東京事務!$L$65</f>
        <v>0</v>
      </c>
      <c r="AG65" s="86">
        <f t="shared" si="50"/>
        <v>0</v>
      </c>
      <c r="AH65" s="394">
        <f>[5]東京工場!$I$65</f>
        <v>0</v>
      </c>
      <c r="AI65" s="178">
        <f t="shared" si="25"/>
        <v>0</v>
      </c>
      <c r="AJ65" s="370">
        <f>[5]東京工場!$L$65</f>
        <v>0</v>
      </c>
      <c r="AK65" s="106">
        <f t="shared" si="36"/>
        <v>0</v>
      </c>
      <c r="AL65" s="552">
        <f t="shared" si="26"/>
        <v>0</v>
      </c>
      <c r="AM65" s="320">
        <f t="shared" si="51"/>
        <v>0</v>
      </c>
      <c r="AN65" s="539">
        <f t="shared" si="27"/>
        <v>0</v>
      </c>
      <c r="AO65" s="143">
        <f t="shared" si="52"/>
        <v>0</v>
      </c>
      <c r="AP65" s="532">
        <f t="shared" si="28"/>
        <v>0</v>
      </c>
      <c r="AQ65" s="288">
        <f t="shared" si="53"/>
        <v>0</v>
      </c>
      <c r="AR65" s="519">
        <f t="shared" si="29"/>
        <v>0</v>
      </c>
      <c r="AS65" s="289">
        <f t="shared" si="54"/>
        <v>0</v>
      </c>
      <c r="AT65" s="589">
        <f>[5]全社合計!$G$65</f>
        <v>0</v>
      </c>
      <c r="AU65" s="144">
        <f t="shared" si="30"/>
        <v>0</v>
      </c>
      <c r="AV65" s="599">
        <f>[5]全社合計!$N$65</f>
        <v>0</v>
      </c>
      <c r="AW65" s="145">
        <f t="shared" si="31"/>
        <v>0</v>
      </c>
      <c r="AX65" s="589">
        <f t="shared" si="32"/>
        <v>0</v>
      </c>
      <c r="AY65" s="144" t="str">
        <f t="shared" si="33"/>
        <v/>
      </c>
      <c r="AZ65" s="599">
        <f t="shared" si="34"/>
        <v>0</v>
      </c>
      <c r="BA65" s="145" t="str">
        <f t="shared" si="35"/>
        <v/>
      </c>
      <c r="BB65" s="11"/>
    </row>
    <row r="66" spans="1:54" ht="15.95" customHeight="1">
      <c r="A66" s="40" t="s">
        <v>52</v>
      </c>
      <c r="B66" s="715">
        <f>[5]本部!$I$66</f>
        <v>0</v>
      </c>
      <c r="C66" s="262" t="str">
        <f t="shared" si="38"/>
        <v/>
      </c>
      <c r="D66" s="734">
        <f>[5]本部!$L$66</f>
        <v>0</v>
      </c>
      <c r="E66" s="147" t="str">
        <f t="shared" si="39"/>
        <v/>
      </c>
      <c r="F66" s="369">
        <f>[5]本社営業!$I$66</f>
        <v>0</v>
      </c>
      <c r="G66" s="16">
        <f t="shared" si="40"/>
        <v>0</v>
      </c>
      <c r="H66" s="371">
        <f>[5]本社営業!$L$66</f>
        <v>0</v>
      </c>
      <c r="I66" s="149">
        <f t="shared" si="19"/>
        <v>0</v>
      </c>
      <c r="J66" s="753">
        <f>[5]東大阪!$I$66</f>
        <v>0</v>
      </c>
      <c r="K66" s="16">
        <f>IF(ISERR(J66/$J$11),"",J66/$J$11)</f>
        <v>0</v>
      </c>
      <c r="L66" s="371">
        <f>[5]東大阪!$L$66</f>
        <v>0</v>
      </c>
      <c r="M66" s="149">
        <f t="shared" si="37"/>
        <v>0</v>
      </c>
      <c r="N66" s="415">
        <f>[5]南港工場!$I$66</f>
        <v>0</v>
      </c>
      <c r="O66" s="16">
        <f t="shared" si="41"/>
        <v>0</v>
      </c>
      <c r="P66" s="371">
        <f>[5]南港工場!$L$66</f>
        <v>0</v>
      </c>
      <c r="Q66" s="179">
        <f t="shared" si="42"/>
        <v>0</v>
      </c>
      <c r="R66" s="449">
        <f>[5]南港事務!$I$66</f>
        <v>0</v>
      </c>
      <c r="S66" s="16" t="str">
        <f t="shared" si="43"/>
        <v/>
      </c>
      <c r="T66" s="371">
        <f>[5]南港事務!$L$66</f>
        <v>0</v>
      </c>
      <c r="U66" s="212" t="str">
        <f t="shared" si="44"/>
        <v/>
      </c>
      <c r="V66" s="493">
        <f t="shared" si="21"/>
        <v>0</v>
      </c>
      <c r="W66" s="179">
        <f t="shared" si="45"/>
        <v>0</v>
      </c>
      <c r="X66" s="433">
        <f t="shared" si="22"/>
        <v>0</v>
      </c>
      <c r="Y66" s="233">
        <f t="shared" si="46"/>
        <v>0</v>
      </c>
      <c r="Z66" s="572">
        <f t="shared" si="23"/>
        <v>0</v>
      </c>
      <c r="AA66" s="196">
        <f t="shared" si="47"/>
        <v>0</v>
      </c>
      <c r="AB66" s="569">
        <f t="shared" si="24"/>
        <v>0</v>
      </c>
      <c r="AC66" s="148">
        <f t="shared" si="48"/>
        <v>0</v>
      </c>
      <c r="AD66" s="369">
        <f>[5]東京事務!$I$66</f>
        <v>0</v>
      </c>
      <c r="AE66" s="16">
        <f t="shared" si="49"/>
        <v>0</v>
      </c>
      <c r="AF66" s="371">
        <f>[5]東京事務!$L$66</f>
        <v>0</v>
      </c>
      <c r="AG66" s="88">
        <f t="shared" si="50"/>
        <v>0</v>
      </c>
      <c r="AH66" s="395">
        <f>[5]東京工場!$I$66</f>
        <v>0</v>
      </c>
      <c r="AI66" s="179">
        <f t="shared" si="25"/>
        <v>0</v>
      </c>
      <c r="AJ66" s="371">
        <f>[5]東京工場!$L$66</f>
        <v>0</v>
      </c>
      <c r="AK66" s="107">
        <f t="shared" si="36"/>
        <v>0</v>
      </c>
      <c r="AL66" s="553">
        <f t="shared" si="26"/>
        <v>0</v>
      </c>
      <c r="AM66" s="322">
        <f t="shared" si="51"/>
        <v>0</v>
      </c>
      <c r="AN66" s="540">
        <f t="shared" si="27"/>
        <v>0</v>
      </c>
      <c r="AO66" s="148">
        <f t="shared" si="52"/>
        <v>0</v>
      </c>
      <c r="AP66" s="533">
        <f t="shared" si="28"/>
        <v>0</v>
      </c>
      <c r="AQ66" s="290">
        <f t="shared" si="53"/>
        <v>0</v>
      </c>
      <c r="AR66" s="520">
        <f t="shared" si="29"/>
        <v>0</v>
      </c>
      <c r="AS66" s="291">
        <f t="shared" si="54"/>
        <v>0</v>
      </c>
      <c r="AT66" s="590">
        <f>[5]全社合計!$G$66</f>
        <v>0</v>
      </c>
      <c r="AU66" s="149">
        <f t="shared" si="30"/>
        <v>0</v>
      </c>
      <c r="AV66" s="600">
        <f>[5]全社合計!$N$66</f>
        <v>0</v>
      </c>
      <c r="AW66" s="150">
        <f t="shared" si="31"/>
        <v>0</v>
      </c>
      <c r="AX66" s="590">
        <f t="shared" si="32"/>
        <v>0</v>
      </c>
      <c r="AY66" s="149" t="str">
        <f t="shared" si="33"/>
        <v/>
      </c>
      <c r="AZ66" s="600">
        <f t="shared" si="34"/>
        <v>0</v>
      </c>
      <c r="BA66" s="150" t="str">
        <f t="shared" si="35"/>
        <v/>
      </c>
      <c r="BB66" s="11"/>
    </row>
    <row r="67" spans="1:54" ht="18" customHeight="1">
      <c r="A67" s="68" t="s">
        <v>60</v>
      </c>
      <c r="B67" s="716">
        <f>+B64+B65-B66</f>
        <v>0</v>
      </c>
      <c r="C67" s="152" t="str">
        <f t="shared" si="38"/>
        <v/>
      </c>
      <c r="D67" s="377">
        <f>D64+D65-D66</f>
        <v>0</v>
      </c>
      <c r="E67" s="218" t="str">
        <f t="shared" si="39"/>
        <v/>
      </c>
      <c r="F67" s="372">
        <f>F64+F65-F66</f>
        <v>44609340</v>
      </c>
      <c r="G67" s="69">
        <f t="shared" si="40"/>
        <v>7.6912250985274128E-2</v>
      </c>
      <c r="H67" s="377">
        <f>H64+H65-H66</f>
        <v>243641640</v>
      </c>
      <c r="I67" s="152">
        <f t="shared" si="19"/>
        <v>9.2564716163459917E-2</v>
      </c>
      <c r="J67" s="754">
        <f>J64+J65-J66</f>
        <v>2793230</v>
      </c>
      <c r="K67" s="69">
        <f>IF(ISERR(J67/$J$11),"",J67/$J$11)</f>
        <v>0.26234561813700547</v>
      </c>
      <c r="L67" s="377">
        <f>L64+L65-L66</f>
        <v>11523424</v>
      </c>
      <c r="M67" s="152">
        <f t="shared" si="37"/>
        <v>0.25090907919081129</v>
      </c>
      <c r="N67" s="416">
        <f>N64+N65-N66</f>
        <v>8072875</v>
      </c>
      <c r="O67" s="69">
        <f t="shared" si="41"/>
        <v>0.2572828622356898</v>
      </c>
      <c r="P67" s="377">
        <f>P64+P65-P66</f>
        <v>11816822</v>
      </c>
      <c r="Q67" s="180">
        <f t="shared" si="42"/>
        <v>8.6518168638816909E-2</v>
      </c>
      <c r="R67" s="450">
        <f>R64+R65-R66</f>
        <v>-4383352</v>
      </c>
      <c r="S67" s="69" t="str">
        <f t="shared" si="43"/>
        <v/>
      </c>
      <c r="T67" s="377">
        <f>T64+T65-T66</f>
        <v>-21429999</v>
      </c>
      <c r="U67" s="213" t="str">
        <f t="shared" si="44"/>
        <v/>
      </c>
      <c r="V67" s="494">
        <f t="shared" si="21"/>
        <v>3689523</v>
      </c>
      <c r="W67" s="180">
        <f t="shared" si="45"/>
        <v>0.11758525156458002</v>
      </c>
      <c r="X67" s="434">
        <f t="shared" si="22"/>
        <v>-9613177</v>
      </c>
      <c r="Y67" s="234">
        <f t="shared" si="46"/>
        <v>-7.0383938155351405E-2</v>
      </c>
      <c r="Z67" s="494">
        <f t="shared" si="23"/>
        <v>51092093</v>
      </c>
      <c r="AA67" s="197">
        <f t="shared" si="47"/>
        <v>8.2137981796615286E-2</v>
      </c>
      <c r="AB67" s="434">
        <f t="shared" si="24"/>
        <v>245551887</v>
      </c>
      <c r="AC67" s="186">
        <f t="shared" si="48"/>
        <v>8.7241241588111709E-2</v>
      </c>
      <c r="AD67" s="372">
        <f>AD64+AD65-AD66</f>
        <v>8011440</v>
      </c>
      <c r="AE67" s="69">
        <f t="shared" si="49"/>
        <v>2.9171955090342743E-2</v>
      </c>
      <c r="AF67" s="377">
        <f>AF64+AF65-AF66</f>
        <v>39126835</v>
      </c>
      <c r="AG67" s="89">
        <f t="shared" si="50"/>
        <v>3.1123405172705502E-2</v>
      </c>
      <c r="AH67" s="396">
        <f>AH64+AH65-AH66</f>
        <v>3448102</v>
      </c>
      <c r="AI67" s="180">
        <f t="shared" si="25"/>
        <v>0.30069643874498531</v>
      </c>
      <c r="AJ67" s="377">
        <f>AJ64+AJ65-AJ66</f>
        <v>11715176</v>
      </c>
      <c r="AK67" s="108">
        <f t="shared" si="36"/>
        <v>0.22713647827806185</v>
      </c>
      <c r="AL67" s="554">
        <f t="shared" si="26"/>
        <v>11459542</v>
      </c>
      <c r="AM67" s="323">
        <f t="shared" si="51"/>
        <v>4.0054995539753918E-2</v>
      </c>
      <c r="AN67" s="541">
        <f t="shared" si="27"/>
        <v>50842011</v>
      </c>
      <c r="AO67" s="151">
        <f t="shared" si="52"/>
        <v>3.8848381938613445E-2</v>
      </c>
      <c r="AP67" s="534">
        <f t="shared" si="28"/>
        <v>62551635</v>
      </c>
      <c r="AQ67" s="152">
        <f t="shared" si="53"/>
        <v>6.8880149060278478E-2</v>
      </c>
      <c r="AR67" s="521">
        <f t="shared" si="29"/>
        <v>296393898</v>
      </c>
      <c r="AS67" s="151">
        <f t="shared" si="54"/>
        <v>7.188164466828223E-2</v>
      </c>
      <c r="AT67" s="534">
        <f>AT64+AT65-AT66</f>
        <v>98259205</v>
      </c>
      <c r="AU67" s="152">
        <f t="shared" si="30"/>
        <v>9.642435804031986E-2</v>
      </c>
      <c r="AV67" s="601">
        <f>AV64+AV65-AV66</f>
        <v>364893448</v>
      </c>
      <c r="AW67" s="151">
        <f t="shared" si="31"/>
        <v>7.8684506774813909E-2</v>
      </c>
      <c r="AX67" s="534">
        <f t="shared" si="32"/>
        <v>-35707570</v>
      </c>
      <c r="AY67" s="152">
        <f t="shared" si="33"/>
        <v>0.63659821998356292</v>
      </c>
      <c r="AZ67" s="601">
        <f t="shared" si="34"/>
        <v>-68499550</v>
      </c>
      <c r="BA67" s="151">
        <f t="shared" si="35"/>
        <v>0.81227519875884424</v>
      </c>
      <c r="BB67" s="11"/>
    </row>
    <row r="68" spans="1:54" ht="18" customHeight="1">
      <c r="A68" s="70" t="s">
        <v>61</v>
      </c>
      <c r="B68" s="717"/>
      <c r="C68" s="155" t="str">
        <f t="shared" si="38"/>
        <v/>
      </c>
      <c r="D68" s="378"/>
      <c r="E68" s="153" t="str">
        <f t="shared" si="39"/>
        <v/>
      </c>
      <c r="F68" s="373"/>
      <c r="G68" s="71">
        <f t="shared" si="40"/>
        <v>0</v>
      </c>
      <c r="H68" s="378"/>
      <c r="I68" s="155">
        <f t="shared" si="19"/>
        <v>0</v>
      </c>
      <c r="J68" s="755"/>
      <c r="K68" s="71">
        <f t="shared" si="20"/>
        <v>0</v>
      </c>
      <c r="L68" s="378"/>
      <c r="M68" s="155">
        <f t="shared" si="37"/>
        <v>0</v>
      </c>
      <c r="N68" s="417"/>
      <c r="O68" s="71">
        <f t="shared" si="41"/>
        <v>0</v>
      </c>
      <c r="P68" s="378"/>
      <c r="Q68" s="181">
        <f t="shared" si="42"/>
        <v>0</v>
      </c>
      <c r="R68" s="451"/>
      <c r="S68" s="71" t="str">
        <f t="shared" si="43"/>
        <v/>
      </c>
      <c r="T68" s="378"/>
      <c r="U68" s="214" t="str">
        <f t="shared" si="44"/>
        <v/>
      </c>
      <c r="V68" s="495">
        <f t="shared" si="21"/>
        <v>0</v>
      </c>
      <c r="W68" s="181">
        <f t="shared" si="45"/>
        <v>0</v>
      </c>
      <c r="X68" s="435">
        <f t="shared" si="22"/>
        <v>0</v>
      </c>
      <c r="Y68" s="235">
        <f t="shared" si="46"/>
        <v>0</v>
      </c>
      <c r="Z68" s="495">
        <f t="shared" si="23"/>
        <v>0</v>
      </c>
      <c r="AA68" s="198">
        <f t="shared" si="47"/>
        <v>0</v>
      </c>
      <c r="AB68" s="435">
        <f t="shared" si="24"/>
        <v>0</v>
      </c>
      <c r="AC68" s="154">
        <f t="shared" si="48"/>
        <v>0</v>
      </c>
      <c r="AD68" s="373"/>
      <c r="AE68" s="71">
        <f t="shared" si="49"/>
        <v>0</v>
      </c>
      <c r="AF68" s="378"/>
      <c r="AG68" s="90">
        <f t="shared" si="50"/>
        <v>0</v>
      </c>
      <c r="AH68" s="561"/>
      <c r="AI68" s="181">
        <f t="shared" si="25"/>
        <v>0</v>
      </c>
      <c r="AJ68" s="378"/>
      <c r="AK68" s="109">
        <f t="shared" si="36"/>
        <v>0</v>
      </c>
      <c r="AL68" s="555">
        <f t="shared" si="26"/>
        <v>0</v>
      </c>
      <c r="AM68" s="324"/>
      <c r="AN68" s="542">
        <f t="shared" si="27"/>
        <v>0</v>
      </c>
      <c r="AO68" s="154">
        <f t="shared" si="52"/>
        <v>0</v>
      </c>
      <c r="AP68" s="535">
        <f t="shared" si="28"/>
        <v>0</v>
      </c>
      <c r="AQ68" s="293">
        <f t="shared" si="53"/>
        <v>0</v>
      </c>
      <c r="AR68" s="522">
        <f t="shared" si="29"/>
        <v>0</v>
      </c>
      <c r="AS68" s="292">
        <f t="shared" si="54"/>
        <v>0</v>
      </c>
      <c r="AT68" s="591"/>
      <c r="AU68" s="155">
        <f t="shared" si="30"/>
        <v>0</v>
      </c>
      <c r="AV68" s="602"/>
      <c r="AW68" s="154">
        <f t="shared" si="31"/>
        <v>0</v>
      </c>
      <c r="AX68" s="591">
        <f t="shared" si="32"/>
        <v>0</v>
      </c>
      <c r="AY68" s="155" t="str">
        <f t="shared" si="33"/>
        <v/>
      </c>
      <c r="AZ68" s="602">
        <f t="shared" si="34"/>
        <v>0</v>
      </c>
      <c r="BA68" s="154" t="str">
        <f t="shared" si="35"/>
        <v/>
      </c>
      <c r="BB68" s="11"/>
    </row>
    <row r="69" spans="1:54" ht="18" customHeight="1">
      <c r="A69" s="58" t="s">
        <v>62</v>
      </c>
      <c r="B69" s="718">
        <f>+B67-B68</f>
        <v>0</v>
      </c>
      <c r="C69" s="157" t="str">
        <f t="shared" si="38"/>
        <v/>
      </c>
      <c r="D69" s="376">
        <f>D67-D68</f>
        <v>0</v>
      </c>
      <c r="E69" s="219" t="str">
        <f t="shared" si="39"/>
        <v/>
      </c>
      <c r="F69" s="374">
        <f>F67-F68</f>
        <v>44609340</v>
      </c>
      <c r="G69" s="59">
        <f t="shared" si="40"/>
        <v>7.6912250985274128E-2</v>
      </c>
      <c r="H69" s="376">
        <f>H67-H68</f>
        <v>243641640</v>
      </c>
      <c r="I69" s="157">
        <f t="shared" si="19"/>
        <v>9.2564716163459917E-2</v>
      </c>
      <c r="J69" s="374">
        <f>J67-J68</f>
        <v>2793230</v>
      </c>
      <c r="K69" s="59">
        <f t="shared" si="20"/>
        <v>0.26234561813700547</v>
      </c>
      <c r="L69" s="376">
        <f>L67-L68</f>
        <v>11523424</v>
      </c>
      <c r="M69" s="157">
        <f t="shared" si="37"/>
        <v>0.25090907919081129</v>
      </c>
      <c r="N69" s="418">
        <f>N67-N68</f>
        <v>8072875</v>
      </c>
      <c r="O69" s="59">
        <f t="shared" si="41"/>
        <v>0.2572828622356898</v>
      </c>
      <c r="P69" s="376">
        <f>P67-P68</f>
        <v>11816822</v>
      </c>
      <c r="Q69" s="182">
        <f t="shared" si="42"/>
        <v>8.6518168638816909E-2</v>
      </c>
      <c r="R69" s="443">
        <f>R67-R68</f>
        <v>-4383352</v>
      </c>
      <c r="S69" s="59" t="str">
        <f t="shared" si="43"/>
        <v/>
      </c>
      <c r="T69" s="376">
        <f>T67-T68</f>
        <v>-21429999</v>
      </c>
      <c r="U69" s="215" t="str">
        <f t="shared" si="44"/>
        <v/>
      </c>
      <c r="V69" s="496">
        <f t="shared" si="21"/>
        <v>3689523</v>
      </c>
      <c r="W69" s="182">
        <f t="shared" si="45"/>
        <v>0.11758525156458002</v>
      </c>
      <c r="X69" s="424">
        <f t="shared" si="22"/>
        <v>-9613177</v>
      </c>
      <c r="Y69" s="236">
        <f t="shared" si="46"/>
        <v>-7.0383938155351405E-2</v>
      </c>
      <c r="Z69" s="490">
        <f t="shared" si="23"/>
        <v>51092093</v>
      </c>
      <c r="AA69" s="199">
        <f t="shared" si="47"/>
        <v>8.2137981796615286E-2</v>
      </c>
      <c r="AB69" s="424">
        <f t="shared" si="24"/>
        <v>245551887</v>
      </c>
      <c r="AC69" s="187">
        <f t="shared" si="48"/>
        <v>8.7241241588111709E-2</v>
      </c>
      <c r="AD69" s="374">
        <f>AD67-AD68</f>
        <v>8011440</v>
      </c>
      <c r="AE69" s="59">
        <f t="shared" si="49"/>
        <v>2.9171955090342743E-2</v>
      </c>
      <c r="AF69" s="376">
        <f>AF67-AF68</f>
        <v>39126835</v>
      </c>
      <c r="AG69" s="91">
        <f t="shared" si="50"/>
        <v>3.1123405172705502E-2</v>
      </c>
      <c r="AH69" s="398">
        <f>+AH67-AH68</f>
        <v>3448102</v>
      </c>
      <c r="AI69" s="182">
        <f t="shared" si="25"/>
        <v>0.30069643874498531</v>
      </c>
      <c r="AJ69" s="376">
        <f>AJ67-AJ68</f>
        <v>11715176</v>
      </c>
      <c r="AK69" s="110">
        <f t="shared" si="36"/>
        <v>0.22713647827806185</v>
      </c>
      <c r="AL69" s="545">
        <f t="shared" si="26"/>
        <v>11459542</v>
      </c>
      <c r="AM69" s="325"/>
      <c r="AN69" s="543">
        <f t="shared" si="27"/>
        <v>50842011</v>
      </c>
      <c r="AO69" s="156">
        <f t="shared" si="52"/>
        <v>3.8848381938613445E-2</v>
      </c>
      <c r="AP69" s="525">
        <f t="shared" si="28"/>
        <v>62551635</v>
      </c>
      <c r="AQ69" s="152">
        <f t="shared" si="53"/>
        <v>6.8880149060278478E-2</v>
      </c>
      <c r="AR69" s="523">
        <f t="shared" si="29"/>
        <v>296393898</v>
      </c>
      <c r="AS69" s="151">
        <f t="shared" si="54"/>
        <v>7.188164466828223E-2</v>
      </c>
      <c r="AT69" s="582">
        <f>AT67-AT68</f>
        <v>98259205</v>
      </c>
      <c r="AU69" s="157">
        <f t="shared" si="30"/>
        <v>9.642435804031986E-2</v>
      </c>
      <c r="AV69" s="603">
        <f>AV67-AV68</f>
        <v>364893448</v>
      </c>
      <c r="AW69" s="156">
        <f t="shared" si="31"/>
        <v>7.8684506774813909E-2</v>
      </c>
      <c r="AX69" s="582">
        <f t="shared" si="32"/>
        <v>-35707570</v>
      </c>
      <c r="AY69" s="157">
        <f t="shared" si="33"/>
        <v>0.63659821998356292</v>
      </c>
      <c r="AZ69" s="603">
        <f t="shared" si="34"/>
        <v>-68499550</v>
      </c>
      <c r="BA69" s="156">
        <f t="shared" si="35"/>
        <v>0.81227519875884424</v>
      </c>
      <c r="BB69" s="11"/>
    </row>
    <row r="70" spans="1:54" ht="15.95" customHeight="1" thickBot="1">
      <c r="A70" s="41" t="s">
        <v>84</v>
      </c>
      <c r="B70" s="263">
        <f>[5]本部!$I$68</f>
        <v>6</v>
      </c>
      <c r="C70" s="264"/>
      <c r="D70" s="248">
        <f>[5]本部!$L$68</f>
        <v>6</v>
      </c>
      <c r="E70" s="46"/>
      <c r="F70" s="28">
        <f>[5]本社営業!$I$68</f>
        <v>19</v>
      </c>
      <c r="G70" s="19"/>
      <c r="H70" s="249">
        <f>[5]本社営業!$L$68</f>
        <v>19</v>
      </c>
      <c r="I70" s="20"/>
      <c r="J70" s="756">
        <f>[5]東大阪!$I$68</f>
        <v>15</v>
      </c>
      <c r="K70" s="19"/>
      <c r="L70" s="249">
        <f>J70</f>
        <v>15</v>
      </c>
      <c r="M70" s="20"/>
      <c r="N70" s="237">
        <f>[5]南港工場!$I$68</f>
        <v>17</v>
      </c>
      <c r="O70" s="19"/>
      <c r="P70" s="249">
        <f>N70</f>
        <v>17</v>
      </c>
      <c r="Q70" s="246"/>
      <c r="R70" s="247">
        <f>[5]南港事務!$I$68</f>
        <v>6</v>
      </c>
      <c r="S70" s="19"/>
      <c r="T70" s="249">
        <f>R70</f>
        <v>6</v>
      </c>
      <c r="U70" s="73"/>
      <c r="V70" s="18">
        <f t="shared" si="21"/>
        <v>23</v>
      </c>
      <c r="W70" s="19"/>
      <c r="X70" s="250">
        <f t="shared" si="22"/>
        <v>23</v>
      </c>
      <c r="Y70" s="238"/>
      <c r="Z70" s="53">
        <f t="shared" si="23"/>
        <v>57</v>
      </c>
      <c r="AA70" s="75"/>
      <c r="AB70" s="251">
        <f t="shared" si="24"/>
        <v>57</v>
      </c>
      <c r="AC70" s="333"/>
      <c r="AD70" s="28">
        <f>[5]東京事務!$I$68</f>
        <v>8</v>
      </c>
      <c r="AE70" s="19"/>
      <c r="AF70" s="249">
        <f>AD70</f>
        <v>8</v>
      </c>
      <c r="AG70" s="32"/>
      <c r="AH70" s="31">
        <f>[5]東京工場!$I$68</f>
        <v>11</v>
      </c>
      <c r="AI70" s="19"/>
      <c r="AJ70" s="249">
        <f>AH70</f>
        <v>11</v>
      </c>
      <c r="AK70" s="45"/>
      <c r="AL70" s="48">
        <f t="shared" si="26"/>
        <v>19</v>
      </c>
      <c r="AM70" s="326"/>
      <c r="AN70" s="252">
        <f t="shared" si="27"/>
        <v>19</v>
      </c>
      <c r="AO70" s="54"/>
      <c r="AP70" s="294">
        <f t="shared" si="28"/>
        <v>82</v>
      </c>
      <c r="AQ70" s="295"/>
      <c r="AR70" s="296">
        <f t="shared" si="29"/>
        <v>82</v>
      </c>
      <c r="AS70" s="297"/>
      <c r="AT70" s="17">
        <f>[5]全社合計!$G$68</f>
        <v>81</v>
      </c>
      <c r="AU70" s="20"/>
      <c r="AV70" s="257">
        <f>[5]全社合計!$N$68</f>
        <v>81</v>
      </c>
      <c r="AW70" s="34"/>
      <c r="AX70" s="17">
        <f t="shared" si="32"/>
        <v>1</v>
      </c>
      <c r="AY70" s="311"/>
      <c r="AZ70" s="257">
        <f t="shared" si="34"/>
        <v>1</v>
      </c>
      <c r="BA70" s="34"/>
      <c r="BB70" s="11"/>
    </row>
    <row r="71" spans="1:54" ht="16.149999999999999" customHeight="1" thickTop="1">
      <c r="A71" s="42" t="s">
        <v>63</v>
      </c>
      <c r="B71" s="705">
        <f>[5]本部!$I$71</f>
        <v>850000</v>
      </c>
      <c r="C71" s="265" t="str">
        <f t="shared" ref="C71:C79" si="55">IF(ISERR(B71/$B$11),"",B71/$B$11)</f>
        <v/>
      </c>
      <c r="D71" s="725">
        <f>[5]本部!$L$71</f>
        <v>4250000</v>
      </c>
      <c r="E71" s="158" t="str">
        <f t="shared" ref="E71:E76" si="56">IF(ISERR(D72/$D$11),"",D72/$D$11)</f>
        <v/>
      </c>
      <c r="F71" s="379">
        <f>[5]本社営業!$I$71</f>
        <v>2050000</v>
      </c>
      <c r="G71" s="307">
        <f t="shared" ref="G71:G78" si="57">IF(ISERR(F71/$F$11),"",F71/$F$11)</f>
        <v>3.5344641844020103E-3</v>
      </c>
      <c r="H71" s="360">
        <f>[5]本社営業!$L$71</f>
        <v>10250000</v>
      </c>
      <c r="I71" s="160">
        <f t="shared" si="19"/>
        <v>3.8941961672703568E-3</v>
      </c>
      <c r="J71" s="757">
        <f>[5]東大阪!$I$71</f>
        <v>750000</v>
      </c>
      <c r="K71" s="308">
        <f t="shared" si="20"/>
        <v>7.0441465114850582E-2</v>
      </c>
      <c r="L71" s="360">
        <f>[5]東大阪!$L$71</f>
        <v>1953000</v>
      </c>
      <c r="M71" s="160">
        <f t="shared" si="37"/>
        <v>4.2524290667396644E-2</v>
      </c>
      <c r="N71" s="419">
        <f>[5]南港工場!$I$71</f>
        <v>1550000</v>
      </c>
      <c r="O71" s="79">
        <f t="shared" ref="O71:O78" si="58">IF(ISERR(N71/$N$11),"",N71/$N$11)</f>
        <v>4.9398564509585394E-2</v>
      </c>
      <c r="P71" s="360">
        <f>[5]南港工場!$L$71</f>
        <v>7750000</v>
      </c>
      <c r="Q71" s="169">
        <f t="shared" ref="Q71:Q79" si="59">IF(ISERR(P71/$P$11),"",P71/$P$11)</f>
        <v>5.6742481773088486E-2</v>
      </c>
      <c r="R71" s="452">
        <f>[5]南港事務!$I$71</f>
        <v>520000</v>
      </c>
      <c r="S71" s="21" t="str">
        <f t="shared" ref="S71:S78" si="60">IF(ISERR(R71/$R$11),"",R71/$R$11)</f>
        <v/>
      </c>
      <c r="T71" s="360">
        <f>[5]南港事務!$L$71</f>
        <v>2600000</v>
      </c>
      <c r="U71" s="216" t="str">
        <f t="shared" ref="U71:U79" si="61">IF(ISERR(T71/$T$11),"",T71/$T$11)</f>
        <v/>
      </c>
      <c r="V71" s="497">
        <f t="shared" si="21"/>
        <v>2070000</v>
      </c>
      <c r="W71" s="21">
        <f t="shared" ref="W71:W78" si="62">IF(ISERR(V71/$V$11),"",V71/$V$11)</f>
        <v>6.5970986151510813E-2</v>
      </c>
      <c r="X71" s="421">
        <f t="shared" si="22"/>
        <v>10350000</v>
      </c>
      <c r="Y71" s="239">
        <f t="shared" ref="Y71:Y79" si="63">IF(ISERR(X71/$X$11),"",X71/$X$11)</f>
        <v>7.5778669206640753E-2</v>
      </c>
      <c r="Z71" s="500">
        <f t="shared" si="23"/>
        <v>4870000</v>
      </c>
      <c r="AA71" s="200">
        <f t="shared" ref="AA71:AA78" si="64">IF(ISERR(Z71/$Z$11),"",Z71/$Z$11)</f>
        <v>7.8292343856321642E-3</v>
      </c>
      <c r="AB71" s="502">
        <f t="shared" si="24"/>
        <v>22553000</v>
      </c>
      <c r="AC71" s="334">
        <f t="shared" ref="AC71:AC79" si="65">IF(ISERR(AB71/$AB$11),"",AB71/$AB$11)</f>
        <v>8.0127737789963856E-3</v>
      </c>
      <c r="AD71" s="379">
        <f>[5]東京事務!$I$71</f>
        <v>750000</v>
      </c>
      <c r="AE71" s="22">
        <f t="shared" ref="AE71:AE79" si="66">IF(ISERR(AD71/$AD$11),"",AD71/$AD$11)</f>
        <v>2.7309655090417026E-3</v>
      </c>
      <c r="AF71" s="360">
        <f>[5]東京事務!$L$71</f>
        <v>3750000</v>
      </c>
      <c r="AG71" s="92">
        <f t="shared" ref="AG71:AG79" si="67">IF(ISERR(AF71/$AF$11),"",AF71/$AF$11)</f>
        <v>2.9829340757473902E-3</v>
      </c>
      <c r="AH71" s="399">
        <f>[5]東京工場!$I$71</f>
        <v>920000</v>
      </c>
      <c r="AI71" s="183">
        <f t="shared" si="25"/>
        <v>8.0229855046453524E-2</v>
      </c>
      <c r="AJ71" s="360">
        <f>[5]東京工場!$L$71</f>
        <v>4600000</v>
      </c>
      <c r="AK71" s="111">
        <f t="shared" si="36"/>
        <v>8.9185838956161181E-2</v>
      </c>
      <c r="AL71" s="506">
        <f t="shared" si="26"/>
        <v>1670000</v>
      </c>
      <c r="AM71" s="327">
        <f t="shared" ref="AM71:AM79" si="68">IF(ISERR(AL71/$AL$11),"",AL71/AL$11)</f>
        <v>5.8372178007977142E-3</v>
      </c>
      <c r="AN71" s="508">
        <f t="shared" si="27"/>
        <v>8350000</v>
      </c>
      <c r="AO71" s="159">
        <f t="shared" ref="AO71:AO78" si="69">IF(ISERR(AN71/$AN$11),"",AN71/$AN$11)</f>
        <v>6.3802352190085922E-3</v>
      </c>
      <c r="AP71" s="511">
        <f t="shared" si="28"/>
        <v>7390000</v>
      </c>
      <c r="AQ71" s="298">
        <f t="shared" ref="AQ71:AQ79" si="70">IF(ISERR(AP71/$AP$11),"",AP71/$AP$11)</f>
        <v>8.1376658109009944E-3</v>
      </c>
      <c r="AR71" s="513">
        <f t="shared" si="29"/>
        <v>35153000</v>
      </c>
      <c r="AS71" s="310">
        <f t="shared" ref="AS71:AS78" si="71">IF(ISERR(AR71/$AR$11),"",AR71/$AR$11)</f>
        <v>8.5253288683565451E-3</v>
      </c>
      <c r="AT71" s="592">
        <f>[5]全社合計!$G$71</f>
        <v>7095000</v>
      </c>
      <c r="AU71" s="160">
        <f t="shared" si="30"/>
        <v>6.9625112506870928E-3</v>
      </c>
      <c r="AV71" s="594">
        <f>[5]全社合計!$N$71</f>
        <v>33457000</v>
      </c>
      <c r="AW71" s="306">
        <f t="shared" si="31"/>
        <v>7.2145651219392374E-3</v>
      </c>
      <c r="AX71" s="592">
        <f t="shared" si="32"/>
        <v>295000</v>
      </c>
      <c r="AY71" s="160">
        <f t="shared" si="33"/>
        <v>1.0415785764622973</v>
      </c>
      <c r="AZ71" s="594">
        <f t="shared" si="34"/>
        <v>1696000</v>
      </c>
      <c r="BA71" s="306">
        <f t="shared" si="35"/>
        <v>1.050691932928834</v>
      </c>
      <c r="BB71" s="11"/>
    </row>
    <row r="72" spans="1:54" ht="16.149999999999999" customHeight="1">
      <c r="A72" s="43" t="s">
        <v>64</v>
      </c>
      <c r="B72" s="706">
        <f>[5]本部!$I$72</f>
        <v>115000</v>
      </c>
      <c r="C72" s="266" t="str">
        <f t="shared" si="55"/>
        <v/>
      </c>
      <c r="D72" s="723">
        <f>[5]本部!$L$72</f>
        <v>575000</v>
      </c>
      <c r="E72" s="161" t="str">
        <f t="shared" si="56"/>
        <v/>
      </c>
      <c r="F72" s="352">
        <f>[5]本社営業!$I$72</f>
        <v>55000</v>
      </c>
      <c r="G72" s="10">
        <f t="shared" si="57"/>
        <v>9.4827087874200272E-5</v>
      </c>
      <c r="H72" s="356">
        <f>[5]本社営業!$L$72</f>
        <v>275000</v>
      </c>
      <c r="I72" s="163">
        <f t="shared" si="19"/>
        <v>1.0447843375603396E-4</v>
      </c>
      <c r="J72" s="745">
        <f>[5]東大阪!$I$72</f>
        <v>440000</v>
      </c>
      <c r="K72" s="77">
        <f t="shared" si="20"/>
        <v>4.1325659534045676E-2</v>
      </c>
      <c r="L72" s="356">
        <f>[5]東大阪!$L$72</f>
        <v>2200000</v>
      </c>
      <c r="M72" s="163">
        <f t="shared" si="37"/>
        <v>4.7902426763068412E-2</v>
      </c>
      <c r="N72" s="403">
        <f>[5]南港工場!$I$72</f>
        <v>525000</v>
      </c>
      <c r="O72" s="77">
        <f t="shared" si="58"/>
        <v>1.6731771850020859E-2</v>
      </c>
      <c r="P72" s="356">
        <f>[5]南港工場!$L$72</f>
        <v>2625000</v>
      </c>
      <c r="Q72" s="170">
        <f t="shared" si="59"/>
        <v>1.9219227697336423E-2</v>
      </c>
      <c r="R72" s="445">
        <f>[5]南港事務!$I$72</f>
        <v>20000</v>
      </c>
      <c r="S72" s="10" t="str">
        <f t="shared" si="60"/>
        <v/>
      </c>
      <c r="T72" s="356">
        <f>[5]南港事務!$L$72</f>
        <v>100000</v>
      </c>
      <c r="U72" s="217" t="str">
        <f t="shared" si="61"/>
        <v/>
      </c>
      <c r="V72" s="456">
        <f t="shared" si="21"/>
        <v>545000</v>
      </c>
      <c r="W72" s="170">
        <f t="shared" si="62"/>
        <v>1.7369172682402605E-2</v>
      </c>
      <c r="X72" s="408">
        <f t="shared" si="22"/>
        <v>2725000</v>
      </c>
      <c r="Y72" s="240">
        <f t="shared" si="63"/>
        <v>1.9951388752473046E-2</v>
      </c>
      <c r="Z72" s="460">
        <f t="shared" si="23"/>
        <v>1040000</v>
      </c>
      <c r="AA72" s="201">
        <f t="shared" si="64"/>
        <v>1.6719514909768894E-3</v>
      </c>
      <c r="AB72" s="464">
        <f t="shared" si="24"/>
        <v>5200000</v>
      </c>
      <c r="AC72" s="162">
        <f t="shared" si="65"/>
        <v>1.8474891877258549E-3</v>
      </c>
      <c r="AD72" s="352">
        <f>[5]東京事務!$I$72</f>
        <v>55000</v>
      </c>
      <c r="AE72" s="10">
        <f t="shared" si="66"/>
        <v>2.0027080399639152E-4</v>
      </c>
      <c r="AF72" s="356">
        <f>[5]東京事務!$L$72</f>
        <v>275000</v>
      </c>
      <c r="AG72" s="93">
        <f t="shared" si="67"/>
        <v>2.1874849888814195E-4</v>
      </c>
      <c r="AH72" s="388">
        <f>[5]東京工場!$I$72</f>
        <v>325000</v>
      </c>
      <c r="AI72" s="170">
        <f t="shared" si="25"/>
        <v>2.8342068358801514E-2</v>
      </c>
      <c r="AJ72" s="356">
        <f>[5]東京工場!$L$72</f>
        <v>1625000</v>
      </c>
      <c r="AK72" s="98">
        <f t="shared" si="36"/>
        <v>3.1505867022556942E-2</v>
      </c>
      <c r="AL72" s="474">
        <f t="shared" si="26"/>
        <v>380000</v>
      </c>
      <c r="AM72" s="328">
        <f t="shared" si="68"/>
        <v>1.3282292001815159E-3</v>
      </c>
      <c r="AN72" s="478">
        <f t="shared" si="27"/>
        <v>1900000</v>
      </c>
      <c r="AO72" s="162">
        <f t="shared" si="69"/>
        <v>1.4517900498342905E-3</v>
      </c>
      <c r="AP72" s="483">
        <f t="shared" si="28"/>
        <v>1535000</v>
      </c>
      <c r="AQ72" s="299">
        <f t="shared" si="70"/>
        <v>1.6903000026702334E-3</v>
      </c>
      <c r="AR72" s="487">
        <f t="shared" si="29"/>
        <v>7675000</v>
      </c>
      <c r="AS72" s="300">
        <f t="shared" si="71"/>
        <v>1.8613460889436602E-3</v>
      </c>
      <c r="AT72" s="575">
        <f>[5]全社合計!$G$72</f>
        <v>1495000</v>
      </c>
      <c r="AU72" s="163">
        <f t="shared" si="30"/>
        <v>1.4670830612793803E-3</v>
      </c>
      <c r="AV72" s="578">
        <f>[5]全社合計!$N$72</f>
        <v>7475000</v>
      </c>
      <c r="AW72" s="164">
        <f t="shared" si="31"/>
        <v>1.6118861310486835E-3</v>
      </c>
      <c r="AX72" s="575">
        <f t="shared" si="32"/>
        <v>40000</v>
      </c>
      <c r="AY72" s="163">
        <f t="shared" si="33"/>
        <v>1.0267558528428093</v>
      </c>
      <c r="AZ72" s="578">
        <f t="shared" si="34"/>
        <v>200000</v>
      </c>
      <c r="BA72" s="164">
        <f t="shared" si="35"/>
        <v>1.0267558528428093</v>
      </c>
      <c r="BB72" s="11"/>
    </row>
    <row r="73" spans="1:54" ht="16.149999999999999" customHeight="1">
      <c r="A73" s="43" t="s">
        <v>65</v>
      </c>
      <c r="B73" s="706">
        <f>[5]本部!$I$70</f>
        <v>0</v>
      </c>
      <c r="C73" s="266" t="str">
        <f t="shared" si="55"/>
        <v/>
      </c>
      <c r="D73" s="723">
        <f>[5]本部!$L$70</f>
        <v>6542720</v>
      </c>
      <c r="E73" s="161" t="str">
        <f t="shared" si="56"/>
        <v/>
      </c>
      <c r="F73" s="352">
        <f>[5]本社営業!$I$70</f>
        <v>0</v>
      </c>
      <c r="G73" s="10">
        <f t="shared" si="57"/>
        <v>0</v>
      </c>
      <c r="H73" s="356">
        <f>[5]本社営業!$L$70</f>
        <v>2665396</v>
      </c>
      <c r="I73" s="163">
        <f t="shared" si="19"/>
        <v>1.0126414524349015E-3</v>
      </c>
      <c r="J73" s="745">
        <f>[5]東大阪!$I$70</f>
        <v>0</v>
      </c>
      <c r="K73" s="77">
        <f t="shared" si="20"/>
        <v>0</v>
      </c>
      <c r="L73" s="356">
        <f>[5]東大阪!$L$70</f>
        <v>1954492</v>
      </c>
      <c r="M73" s="163">
        <f t="shared" si="37"/>
        <v>4.2556777222274141E-2</v>
      </c>
      <c r="N73" s="403">
        <f>[5]南港工場!$I$70</f>
        <v>0</v>
      </c>
      <c r="O73" s="77">
        <f t="shared" si="58"/>
        <v>0</v>
      </c>
      <c r="P73" s="356">
        <f>[5]南港工場!$L$70</f>
        <v>2840318</v>
      </c>
      <c r="Q73" s="170">
        <f t="shared" si="59"/>
        <v>2.07957022380355E-2</v>
      </c>
      <c r="R73" s="445">
        <f>[5]南港事務!$I$70</f>
        <v>0</v>
      </c>
      <c r="S73" s="10" t="str">
        <f t="shared" si="60"/>
        <v/>
      </c>
      <c r="T73" s="356">
        <f>[5]南港事務!$L$70</f>
        <v>1097612</v>
      </c>
      <c r="U73" s="217" t="str">
        <f t="shared" si="61"/>
        <v/>
      </c>
      <c r="V73" s="456">
        <f t="shared" si="21"/>
        <v>0</v>
      </c>
      <c r="W73" s="170">
        <f t="shared" si="62"/>
        <v>0</v>
      </c>
      <c r="X73" s="408">
        <f t="shared" si="22"/>
        <v>3937930</v>
      </c>
      <c r="Y73" s="240">
        <f t="shared" si="63"/>
        <v>2.8831989838541721E-2</v>
      </c>
      <c r="Z73" s="460">
        <f t="shared" si="23"/>
        <v>0</v>
      </c>
      <c r="AA73" s="201">
        <f t="shared" si="64"/>
        <v>0</v>
      </c>
      <c r="AB73" s="464">
        <f t="shared" si="24"/>
        <v>8557818</v>
      </c>
      <c r="AC73" s="162">
        <f t="shared" si="65"/>
        <v>3.0404761972164808E-3</v>
      </c>
      <c r="AD73" s="352">
        <f>[5]東京事務!$I$70</f>
        <v>0</v>
      </c>
      <c r="AE73" s="10">
        <f t="shared" si="66"/>
        <v>0</v>
      </c>
      <c r="AF73" s="356">
        <f>[5]東京事務!$L$70</f>
        <v>1312573</v>
      </c>
      <c r="AG73" s="93">
        <f t="shared" si="67"/>
        <v>1.0440849942949279E-3</v>
      </c>
      <c r="AH73" s="388">
        <f>[5]東京工場!$I$70</f>
        <v>0</v>
      </c>
      <c r="AI73" s="170">
        <f t="shared" si="25"/>
        <v>0</v>
      </c>
      <c r="AJ73" s="356">
        <f>[5]東京工場!$L$70</f>
        <v>1708695</v>
      </c>
      <c r="AK73" s="98">
        <f t="shared" si="36"/>
        <v>3.3128564585912575E-2</v>
      </c>
      <c r="AL73" s="474">
        <f t="shared" si="26"/>
        <v>0</v>
      </c>
      <c r="AM73" s="328">
        <f t="shared" si="68"/>
        <v>0</v>
      </c>
      <c r="AN73" s="478">
        <f t="shared" si="27"/>
        <v>3021268</v>
      </c>
      <c r="AO73" s="162">
        <f t="shared" si="69"/>
        <v>2.3085509580435511E-3</v>
      </c>
      <c r="AP73" s="483">
        <f t="shared" si="28"/>
        <v>0</v>
      </c>
      <c r="AQ73" s="299">
        <f t="shared" si="70"/>
        <v>0</v>
      </c>
      <c r="AR73" s="487">
        <f t="shared" si="29"/>
        <v>18121806</v>
      </c>
      <c r="AS73" s="300">
        <f t="shared" si="71"/>
        <v>4.394912406865896E-3</v>
      </c>
      <c r="AT73" s="575">
        <f>[5]全社合計!$G$70</f>
        <v>0</v>
      </c>
      <c r="AU73" s="163">
        <f t="shared" si="30"/>
        <v>0</v>
      </c>
      <c r="AV73" s="578">
        <f>[5]全社合計!$N$70</f>
        <v>17260983</v>
      </c>
      <c r="AW73" s="164">
        <f t="shared" si="31"/>
        <v>3.7221055660156652E-3</v>
      </c>
      <c r="AX73" s="575">
        <f t="shared" si="32"/>
        <v>0</v>
      </c>
      <c r="AY73" s="163" t="str">
        <f t="shared" si="33"/>
        <v/>
      </c>
      <c r="AZ73" s="578">
        <f t="shared" si="34"/>
        <v>860823</v>
      </c>
      <c r="BA73" s="164">
        <f t="shared" si="35"/>
        <v>1.049871029940763</v>
      </c>
      <c r="BB73" s="11"/>
    </row>
    <row r="74" spans="1:54" ht="16.149999999999999" customHeight="1">
      <c r="A74" s="43" t="s">
        <v>66</v>
      </c>
      <c r="B74" s="706">
        <f>[5]本部!$I$74</f>
        <v>0</v>
      </c>
      <c r="C74" s="266" t="str">
        <f t="shared" si="55"/>
        <v/>
      </c>
      <c r="D74" s="723">
        <f>[5]本部!$L$74</f>
        <v>0</v>
      </c>
      <c r="E74" s="161" t="str">
        <f t="shared" si="56"/>
        <v/>
      </c>
      <c r="F74" s="352">
        <f>[5]本社営業!$I$74</f>
        <v>0</v>
      </c>
      <c r="G74" s="10">
        <f t="shared" si="57"/>
        <v>0</v>
      </c>
      <c r="H74" s="356">
        <f>[5]本社営業!$L$74</f>
        <v>0</v>
      </c>
      <c r="I74" s="163">
        <f t="shared" ref="I74:I79" si="72">IF(ISERR(H74/$H$11),"",H74/$H$11)</f>
        <v>0</v>
      </c>
      <c r="J74" s="745">
        <f>[5]東大阪!$I$74</f>
        <v>0</v>
      </c>
      <c r="K74" s="77">
        <f t="shared" ref="K74:K79" si="73">IF(ISERR(J74/$J$11),"",J74/$J$11)</f>
        <v>0</v>
      </c>
      <c r="L74" s="356">
        <f>[5]東大阪!$L$74</f>
        <v>1189000</v>
      </c>
      <c r="M74" s="163">
        <f t="shared" si="37"/>
        <v>2.5889084282403791E-2</v>
      </c>
      <c r="N74" s="403">
        <f>[5]南港工場!$I$74</f>
        <v>0</v>
      </c>
      <c r="O74" s="77">
        <f t="shared" si="58"/>
        <v>0</v>
      </c>
      <c r="P74" s="356">
        <f>[5]南港工場!$L$74</f>
        <v>0</v>
      </c>
      <c r="Q74" s="170">
        <f t="shared" si="59"/>
        <v>0</v>
      </c>
      <c r="R74" s="445">
        <f>[5]南港事務!$I$74</f>
        <v>0</v>
      </c>
      <c r="S74" s="10" t="str">
        <f t="shared" si="60"/>
        <v/>
      </c>
      <c r="T74" s="356">
        <f>[5]南港事務!$L$74</f>
        <v>0</v>
      </c>
      <c r="U74" s="217" t="str">
        <f t="shared" si="61"/>
        <v/>
      </c>
      <c r="V74" s="456">
        <f t="shared" ref="V74:V79" si="74">N74+R74</f>
        <v>0</v>
      </c>
      <c r="W74" s="170">
        <f t="shared" si="62"/>
        <v>0</v>
      </c>
      <c r="X74" s="408">
        <f t="shared" ref="X74:X79" si="75">P74+T74</f>
        <v>0</v>
      </c>
      <c r="Y74" s="240">
        <f t="shared" si="63"/>
        <v>0</v>
      </c>
      <c r="Z74" s="460">
        <f>F74+J74+N74+R74</f>
        <v>0</v>
      </c>
      <c r="AA74" s="201">
        <f t="shared" si="64"/>
        <v>0</v>
      </c>
      <c r="AB74" s="464">
        <f t="shared" ref="AB74:AB79" si="76">H74+L74+P74+T74</f>
        <v>1189000</v>
      </c>
      <c r="AC74" s="162">
        <f t="shared" si="65"/>
        <v>4.2243550850116184E-4</v>
      </c>
      <c r="AD74" s="352">
        <f>[5]東京事務!$I$74</f>
        <v>0</v>
      </c>
      <c r="AE74" s="10">
        <f t="shared" si="66"/>
        <v>0</v>
      </c>
      <c r="AF74" s="356">
        <f>[5]東京事務!$L$74</f>
        <v>760000</v>
      </c>
      <c r="AG74" s="93">
        <f t="shared" si="67"/>
        <v>6.0454130601813769E-4</v>
      </c>
      <c r="AH74" s="388">
        <f>[5]東京工場!$I$74</f>
        <v>0</v>
      </c>
      <c r="AI74" s="170">
        <f t="shared" ref="AI74:AI79" si="77">IF(ISERR(AH74/$AH$11),"",AH74/$AH$11)</f>
        <v>0</v>
      </c>
      <c r="AJ74" s="356">
        <f>[5]東京工場!$L$74</f>
        <v>0</v>
      </c>
      <c r="AK74" s="98">
        <f t="shared" si="36"/>
        <v>0</v>
      </c>
      <c r="AL74" s="474">
        <f t="shared" ref="AL74:AL79" si="78">AD74+AH74</f>
        <v>0</v>
      </c>
      <c r="AM74" s="328">
        <f t="shared" si="68"/>
        <v>0</v>
      </c>
      <c r="AN74" s="478">
        <f t="shared" ref="AN74:AN79" si="79">AF74+AJ74</f>
        <v>760000</v>
      </c>
      <c r="AO74" s="162">
        <f t="shared" si="69"/>
        <v>5.8071601993371614E-4</v>
      </c>
      <c r="AP74" s="483">
        <f t="shared" ref="AP74:AP79" si="80">B74+Z74+AL74</f>
        <v>0</v>
      </c>
      <c r="AQ74" s="299">
        <f t="shared" si="70"/>
        <v>0</v>
      </c>
      <c r="AR74" s="487">
        <f t="shared" ref="AR74:AR79" si="81">D74+AB74+AN74</f>
        <v>1949000</v>
      </c>
      <c r="AS74" s="300">
        <f t="shared" si="71"/>
        <v>4.7267277229331512E-4</v>
      </c>
      <c r="AT74" s="575">
        <f>[5]全社合計!$G$74</f>
        <v>0</v>
      </c>
      <c r="AU74" s="163">
        <f t="shared" ref="AU74:AU79" si="82">IF(ISERR(AT74/$AT$11),"",AT74/$AT$11)</f>
        <v>0</v>
      </c>
      <c r="AV74" s="578">
        <f>[5]全社合計!$N$74</f>
        <v>1949000</v>
      </c>
      <c r="AW74" s="164">
        <f t="shared" ref="AW74:AW79" si="83">IF(ISERR(AV74/$AV$11),"",AV74/$AV$11)</f>
        <v>4.2027639724600456E-4</v>
      </c>
      <c r="AX74" s="575">
        <f t="shared" ref="AX74:AX79" si="84">AP74-AT74</f>
        <v>0</v>
      </c>
      <c r="AY74" s="163" t="str">
        <f t="shared" ref="AY74:AY79" si="85">IF(ISERROR(AP74/AT74),"",AP74/AT74)</f>
        <v/>
      </c>
      <c r="AZ74" s="578">
        <f t="shared" ref="AZ74:AZ79" si="86">AR74-AV74</f>
        <v>0</v>
      </c>
      <c r="BA74" s="164">
        <f t="shared" ref="BA74:BA79" si="87">IF(ISERROR(AR74/AV74),"",AR74/AV74)</f>
        <v>1</v>
      </c>
      <c r="BB74" s="11"/>
    </row>
    <row r="75" spans="1:54" ht="16.149999999999999" customHeight="1">
      <c r="A75" s="43" t="s">
        <v>67</v>
      </c>
      <c r="B75" s="706">
        <f>[5]本部!$I$73</f>
        <v>0</v>
      </c>
      <c r="C75" s="266" t="str">
        <f t="shared" si="55"/>
        <v/>
      </c>
      <c r="D75" s="723">
        <f>[5]本部!$L$73</f>
        <v>12000</v>
      </c>
      <c r="E75" s="161" t="str">
        <f t="shared" si="56"/>
        <v/>
      </c>
      <c r="F75" s="352">
        <f>[5]本社営業!$I$73</f>
        <v>103000</v>
      </c>
      <c r="G75" s="10">
        <f t="shared" si="57"/>
        <v>1.7758527365532051E-4</v>
      </c>
      <c r="H75" s="356">
        <f>[5]本社営業!$L$73</f>
        <v>446050</v>
      </c>
      <c r="I75" s="163">
        <f t="shared" si="72"/>
        <v>1.6946401955228709E-4</v>
      </c>
      <c r="J75" s="745">
        <f>[5]東大阪!$I$73</f>
        <v>0</v>
      </c>
      <c r="K75" s="77">
        <f t="shared" si="73"/>
        <v>0</v>
      </c>
      <c r="L75" s="356">
        <f>[5]東大阪!$L$73</f>
        <v>0</v>
      </c>
      <c r="M75" s="163">
        <f t="shared" si="37"/>
        <v>0</v>
      </c>
      <c r="N75" s="403">
        <f>[5]南港工場!$I$73</f>
        <v>0</v>
      </c>
      <c r="O75" s="77">
        <f t="shared" si="58"/>
        <v>0</v>
      </c>
      <c r="P75" s="356">
        <f>[5]南港工場!$L$73</f>
        <v>0</v>
      </c>
      <c r="Q75" s="170">
        <f t="shared" si="59"/>
        <v>0</v>
      </c>
      <c r="R75" s="445">
        <f>[5]南港事務!$I$73</f>
        <v>0</v>
      </c>
      <c r="S75" s="10" t="str">
        <f t="shared" si="60"/>
        <v/>
      </c>
      <c r="T75" s="356">
        <f>[5]南港事務!$L$73</f>
        <v>24400</v>
      </c>
      <c r="U75" s="217" t="str">
        <f t="shared" si="61"/>
        <v/>
      </c>
      <c r="V75" s="456">
        <f t="shared" si="74"/>
        <v>0</v>
      </c>
      <c r="W75" s="170">
        <f t="shared" si="62"/>
        <v>0</v>
      </c>
      <c r="X75" s="408">
        <f t="shared" si="75"/>
        <v>24400</v>
      </c>
      <c r="Y75" s="240">
        <f t="shared" si="63"/>
        <v>1.7864729745333666E-4</v>
      </c>
      <c r="Z75" s="460">
        <f>F75+J75+N75+R75</f>
        <v>103000</v>
      </c>
      <c r="AA75" s="201">
        <f t="shared" si="64"/>
        <v>1.6558750343328808E-4</v>
      </c>
      <c r="AB75" s="464">
        <f t="shared" si="76"/>
        <v>470450</v>
      </c>
      <c r="AC75" s="162">
        <f t="shared" si="65"/>
        <v>1.6714447853185161E-4</v>
      </c>
      <c r="AD75" s="352">
        <f>[5]東京事務!$I$73</f>
        <v>103200</v>
      </c>
      <c r="AE75" s="10">
        <f t="shared" si="66"/>
        <v>3.7578085404413824E-4</v>
      </c>
      <c r="AF75" s="356">
        <f>[5]東京事務!$L$73</f>
        <v>345921</v>
      </c>
      <c r="AG75" s="93">
        <f t="shared" si="67"/>
        <v>2.7516254357776344E-4</v>
      </c>
      <c r="AH75" s="388">
        <f>[5]東京工場!$I$73</f>
        <v>0</v>
      </c>
      <c r="AI75" s="170">
        <f t="shared" si="77"/>
        <v>0</v>
      </c>
      <c r="AJ75" s="356">
        <f>[5]東京工場!$L$73</f>
        <v>0</v>
      </c>
      <c r="AK75" s="98">
        <f t="shared" si="36"/>
        <v>0</v>
      </c>
      <c r="AL75" s="474">
        <f t="shared" si="78"/>
        <v>103200</v>
      </c>
      <c r="AM75" s="328">
        <f t="shared" si="68"/>
        <v>3.607190880492959E-4</v>
      </c>
      <c r="AN75" s="478">
        <f t="shared" si="79"/>
        <v>345921</v>
      </c>
      <c r="AO75" s="162">
        <f t="shared" si="69"/>
        <v>2.6431824517301453E-4</v>
      </c>
      <c r="AP75" s="483">
        <f t="shared" si="80"/>
        <v>206200</v>
      </c>
      <c r="AQ75" s="299">
        <f t="shared" si="70"/>
        <v>2.2706179840430109E-4</v>
      </c>
      <c r="AR75" s="487">
        <f t="shared" si="81"/>
        <v>828371</v>
      </c>
      <c r="AS75" s="300">
        <f t="shared" si="71"/>
        <v>2.0089708417515945E-4</v>
      </c>
      <c r="AT75" s="575">
        <f>[5]全社合計!$G$73</f>
        <v>257200</v>
      </c>
      <c r="AU75" s="163">
        <f t="shared" si="82"/>
        <v>2.5239716612779708E-4</v>
      </c>
      <c r="AV75" s="578">
        <f>[5]全社合計!$N$73</f>
        <v>887028</v>
      </c>
      <c r="AW75" s="164">
        <f t="shared" si="83"/>
        <v>1.9127600415409386E-4</v>
      </c>
      <c r="AX75" s="575">
        <f t="shared" si="84"/>
        <v>-51000</v>
      </c>
      <c r="AY75" s="163">
        <f t="shared" si="85"/>
        <v>0.80171073094867806</v>
      </c>
      <c r="AZ75" s="578">
        <f t="shared" si="86"/>
        <v>-58657</v>
      </c>
      <c r="BA75" s="164">
        <f t="shared" si="87"/>
        <v>0.93387243694674804</v>
      </c>
      <c r="BB75" s="11"/>
    </row>
    <row r="76" spans="1:54" ht="16.149999999999999" customHeight="1">
      <c r="A76" s="43" t="s">
        <v>68</v>
      </c>
      <c r="B76" s="706"/>
      <c r="C76" s="266" t="str">
        <f t="shared" si="55"/>
        <v/>
      </c>
      <c r="D76" s="723">
        <f>B76</f>
        <v>0</v>
      </c>
      <c r="E76" s="161" t="str">
        <f t="shared" si="56"/>
        <v/>
      </c>
      <c r="F76" s="352"/>
      <c r="G76" s="10">
        <f t="shared" si="57"/>
        <v>0</v>
      </c>
      <c r="H76" s="356">
        <f>F76</f>
        <v>0</v>
      </c>
      <c r="I76" s="163">
        <f t="shared" si="72"/>
        <v>0</v>
      </c>
      <c r="J76" s="745"/>
      <c r="K76" s="77">
        <f t="shared" si="73"/>
        <v>0</v>
      </c>
      <c r="L76" s="356">
        <f>J76</f>
        <v>0</v>
      </c>
      <c r="M76" s="163">
        <f t="shared" si="37"/>
        <v>0</v>
      </c>
      <c r="N76" s="403"/>
      <c r="O76" s="77">
        <f t="shared" si="58"/>
        <v>0</v>
      </c>
      <c r="P76" s="356">
        <f>N76</f>
        <v>0</v>
      </c>
      <c r="Q76" s="170">
        <f t="shared" si="59"/>
        <v>0</v>
      </c>
      <c r="R76" s="445"/>
      <c r="S76" s="10" t="str">
        <f t="shared" si="60"/>
        <v/>
      </c>
      <c r="T76" s="356">
        <f>R76</f>
        <v>0</v>
      </c>
      <c r="U76" s="217" t="str">
        <f t="shared" si="61"/>
        <v/>
      </c>
      <c r="V76" s="456">
        <f t="shared" si="74"/>
        <v>0</v>
      </c>
      <c r="W76" s="170">
        <f t="shared" si="62"/>
        <v>0</v>
      </c>
      <c r="X76" s="408">
        <f t="shared" si="75"/>
        <v>0</v>
      </c>
      <c r="Y76" s="240">
        <f t="shared" si="63"/>
        <v>0</v>
      </c>
      <c r="Z76" s="460">
        <f>F76+J76+N76+R76</f>
        <v>0</v>
      </c>
      <c r="AA76" s="201">
        <f t="shared" si="64"/>
        <v>0</v>
      </c>
      <c r="AB76" s="464">
        <f t="shared" si="76"/>
        <v>0</v>
      </c>
      <c r="AC76" s="162">
        <f t="shared" si="65"/>
        <v>0</v>
      </c>
      <c r="AD76" s="352"/>
      <c r="AE76" s="10">
        <f t="shared" si="66"/>
        <v>0</v>
      </c>
      <c r="AF76" s="356">
        <f>AD76</f>
        <v>0</v>
      </c>
      <c r="AG76" s="93">
        <f t="shared" si="67"/>
        <v>0</v>
      </c>
      <c r="AH76" s="388"/>
      <c r="AI76" s="170">
        <f t="shared" si="77"/>
        <v>0</v>
      </c>
      <c r="AJ76" s="356">
        <f>AH76</f>
        <v>0</v>
      </c>
      <c r="AK76" s="98">
        <f t="shared" si="36"/>
        <v>0</v>
      </c>
      <c r="AL76" s="474">
        <f t="shared" si="78"/>
        <v>0</v>
      </c>
      <c r="AM76" s="328">
        <f t="shared" si="68"/>
        <v>0</v>
      </c>
      <c r="AN76" s="478">
        <f t="shared" si="79"/>
        <v>0</v>
      </c>
      <c r="AO76" s="162">
        <f t="shared" si="69"/>
        <v>0</v>
      </c>
      <c r="AP76" s="483">
        <f t="shared" si="80"/>
        <v>0</v>
      </c>
      <c r="AQ76" s="299">
        <f t="shared" si="70"/>
        <v>0</v>
      </c>
      <c r="AR76" s="487">
        <f t="shared" si="81"/>
        <v>0</v>
      </c>
      <c r="AS76" s="300">
        <f t="shared" si="71"/>
        <v>0</v>
      </c>
      <c r="AT76" s="575">
        <v>0</v>
      </c>
      <c r="AU76" s="163">
        <f t="shared" si="82"/>
        <v>0</v>
      </c>
      <c r="AV76" s="578">
        <f>AT76</f>
        <v>0</v>
      </c>
      <c r="AW76" s="164">
        <f t="shared" si="83"/>
        <v>0</v>
      </c>
      <c r="AX76" s="575">
        <f t="shared" si="84"/>
        <v>0</v>
      </c>
      <c r="AY76" s="163" t="str">
        <f t="shared" si="85"/>
        <v/>
      </c>
      <c r="AZ76" s="578">
        <f t="shared" si="86"/>
        <v>0</v>
      </c>
      <c r="BA76" s="164" t="str">
        <f t="shared" si="87"/>
        <v/>
      </c>
      <c r="BB76" s="11"/>
    </row>
    <row r="77" spans="1:54" ht="16.149999999999999" customHeight="1">
      <c r="A77" s="43" t="s">
        <v>69</v>
      </c>
      <c r="B77" s="706"/>
      <c r="C77" s="266" t="str">
        <f t="shared" si="55"/>
        <v/>
      </c>
      <c r="D77" s="723">
        <f>[5]本部!$L$75</f>
        <v>0</v>
      </c>
      <c r="E77" s="161" t="str">
        <f>IF(ISERR(#REF!/$D$11),"",#REF!/$D$11)</f>
        <v/>
      </c>
      <c r="F77" s="352">
        <f>[5]本社営業!$I$75</f>
        <v>0</v>
      </c>
      <c r="G77" s="10">
        <f t="shared" si="57"/>
        <v>0</v>
      </c>
      <c r="H77" s="356">
        <f>[5]本社営業!$L$75</f>
        <v>672000</v>
      </c>
      <c r="I77" s="163">
        <f t="shared" si="72"/>
        <v>2.5530729994201754E-4</v>
      </c>
      <c r="J77" s="745"/>
      <c r="K77" s="77">
        <f t="shared" si="73"/>
        <v>0</v>
      </c>
      <c r="L77" s="356">
        <f>[5]東大阪!$L$75</f>
        <v>0</v>
      </c>
      <c r="M77" s="163">
        <f t="shared" si="37"/>
        <v>0</v>
      </c>
      <c r="N77" s="403"/>
      <c r="O77" s="77">
        <f t="shared" si="58"/>
        <v>0</v>
      </c>
      <c r="P77" s="356">
        <f>[5]南港工場!$L$75</f>
        <v>0</v>
      </c>
      <c r="Q77" s="170">
        <f t="shared" si="59"/>
        <v>0</v>
      </c>
      <c r="R77" s="445"/>
      <c r="S77" s="10" t="str">
        <f t="shared" si="60"/>
        <v/>
      </c>
      <c r="T77" s="356">
        <f>[5]南港事務!$L$75</f>
        <v>0</v>
      </c>
      <c r="U77" s="217" t="str">
        <f t="shared" si="61"/>
        <v/>
      </c>
      <c r="V77" s="456">
        <f t="shared" si="74"/>
        <v>0</v>
      </c>
      <c r="W77" s="170">
        <f t="shared" si="62"/>
        <v>0</v>
      </c>
      <c r="X77" s="408">
        <f t="shared" si="75"/>
        <v>0</v>
      </c>
      <c r="Y77" s="240">
        <f t="shared" si="63"/>
        <v>0</v>
      </c>
      <c r="Z77" s="460">
        <f>F77+J77+N77+R77</f>
        <v>0</v>
      </c>
      <c r="AA77" s="201">
        <f t="shared" si="64"/>
        <v>0</v>
      </c>
      <c r="AB77" s="464">
        <f t="shared" si="76"/>
        <v>672000</v>
      </c>
      <c r="AC77" s="162">
        <f t="shared" si="65"/>
        <v>2.3875244887534123E-4</v>
      </c>
      <c r="AD77" s="352"/>
      <c r="AE77" s="10">
        <f t="shared" si="66"/>
        <v>0</v>
      </c>
      <c r="AF77" s="356">
        <f>[5]東京事務!$L$75</f>
        <v>0</v>
      </c>
      <c r="AG77" s="93">
        <f t="shared" si="67"/>
        <v>0</v>
      </c>
      <c r="AH77" s="388"/>
      <c r="AI77" s="170">
        <f t="shared" si="77"/>
        <v>0</v>
      </c>
      <c r="AJ77" s="356">
        <f>[5]東京工場!$L$75</f>
        <v>0</v>
      </c>
      <c r="AK77" s="98">
        <f t="shared" si="36"/>
        <v>0</v>
      </c>
      <c r="AL77" s="474">
        <f t="shared" si="78"/>
        <v>0</v>
      </c>
      <c r="AM77" s="328">
        <f t="shared" si="68"/>
        <v>0</v>
      </c>
      <c r="AN77" s="478">
        <f t="shared" si="79"/>
        <v>0</v>
      </c>
      <c r="AO77" s="162">
        <f t="shared" si="69"/>
        <v>0</v>
      </c>
      <c r="AP77" s="483">
        <f t="shared" si="80"/>
        <v>0</v>
      </c>
      <c r="AQ77" s="299">
        <f t="shared" si="70"/>
        <v>0</v>
      </c>
      <c r="AR77" s="487">
        <f t="shared" si="81"/>
        <v>672000</v>
      </c>
      <c r="AS77" s="300">
        <f t="shared" si="71"/>
        <v>1.6297388557265661E-4</v>
      </c>
      <c r="AT77" s="575">
        <f>[5]全社合計!$G$75</f>
        <v>0</v>
      </c>
      <c r="AU77" s="163">
        <f t="shared" si="82"/>
        <v>0</v>
      </c>
      <c r="AV77" s="578">
        <f>[5]全社合計!$N$75</f>
        <v>672000</v>
      </c>
      <c r="AW77" s="164">
        <f t="shared" si="83"/>
        <v>1.4490802408892513E-4</v>
      </c>
      <c r="AX77" s="575">
        <f t="shared" si="84"/>
        <v>0</v>
      </c>
      <c r="AY77" s="163" t="str">
        <f t="shared" si="85"/>
        <v/>
      </c>
      <c r="AZ77" s="578">
        <f t="shared" si="86"/>
        <v>0</v>
      </c>
      <c r="BA77" s="164">
        <f t="shared" si="87"/>
        <v>1</v>
      </c>
      <c r="BB77" s="11"/>
    </row>
    <row r="78" spans="1:54" ht="16.149999999999999" customHeight="1" thickBot="1">
      <c r="A78" s="44"/>
      <c r="B78" s="707"/>
      <c r="C78" s="267" t="str">
        <f t="shared" si="55"/>
        <v/>
      </c>
      <c r="D78" s="735">
        <f>B78</f>
        <v>0</v>
      </c>
      <c r="E78" s="165" t="str">
        <f>IF(ISERR(#REF!/$D$11),"",#REF!/$D$11)</f>
        <v/>
      </c>
      <c r="F78" s="380"/>
      <c r="G78" s="23">
        <f t="shared" si="57"/>
        <v>0</v>
      </c>
      <c r="H78" s="381">
        <f>F78</f>
        <v>0</v>
      </c>
      <c r="I78" s="167">
        <f t="shared" si="72"/>
        <v>0</v>
      </c>
      <c r="J78" s="758"/>
      <c r="K78" s="78">
        <f t="shared" si="73"/>
        <v>0</v>
      </c>
      <c r="L78" s="381">
        <f>J78</f>
        <v>0</v>
      </c>
      <c r="M78" s="167">
        <f t="shared" si="37"/>
        <v>0</v>
      </c>
      <c r="N78" s="420"/>
      <c r="O78" s="241">
        <f t="shared" si="58"/>
        <v>0</v>
      </c>
      <c r="P78" s="381">
        <f>N78</f>
        <v>0</v>
      </c>
      <c r="Q78" s="244">
        <f t="shared" si="59"/>
        <v>0</v>
      </c>
      <c r="R78" s="453"/>
      <c r="S78" s="243" t="str">
        <f t="shared" si="60"/>
        <v/>
      </c>
      <c r="T78" s="381">
        <f>R78</f>
        <v>0</v>
      </c>
      <c r="U78" s="242" t="str">
        <f t="shared" si="61"/>
        <v/>
      </c>
      <c r="V78" s="498">
        <f t="shared" si="74"/>
        <v>0</v>
      </c>
      <c r="W78" s="244">
        <f t="shared" si="62"/>
        <v>0</v>
      </c>
      <c r="X78" s="422">
        <f t="shared" si="75"/>
        <v>0</v>
      </c>
      <c r="Y78" s="245">
        <f t="shared" si="63"/>
        <v>0</v>
      </c>
      <c r="Z78" s="501">
        <f>F78+J78+N78+R78</f>
        <v>0</v>
      </c>
      <c r="AA78" s="202">
        <f t="shared" si="64"/>
        <v>0</v>
      </c>
      <c r="AB78" s="503">
        <f t="shared" si="76"/>
        <v>0</v>
      </c>
      <c r="AC78" s="166">
        <f t="shared" si="65"/>
        <v>0</v>
      </c>
      <c r="AD78" s="380"/>
      <c r="AE78" s="23">
        <f t="shared" si="66"/>
        <v>0</v>
      </c>
      <c r="AF78" s="381">
        <f>AD78</f>
        <v>0</v>
      </c>
      <c r="AG78" s="94">
        <f t="shared" si="67"/>
        <v>0</v>
      </c>
      <c r="AH78" s="400"/>
      <c r="AI78" s="184">
        <f t="shared" si="77"/>
        <v>0</v>
      </c>
      <c r="AJ78" s="381">
        <f>AH78</f>
        <v>0</v>
      </c>
      <c r="AK78" s="112">
        <f>IF(ISERR(AJ78/$AJ$11),"",AJ78/$AJ$11)</f>
        <v>0</v>
      </c>
      <c r="AL78" s="507">
        <f t="shared" si="78"/>
        <v>0</v>
      </c>
      <c r="AM78" s="329">
        <f t="shared" si="68"/>
        <v>0</v>
      </c>
      <c r="AN78" s="509">
        <f t="shared" si="79"/>
        <v>0</v>
      </c>
      <c r="AO78" s="166">
        <f t="shared" si="69"/>
        <v>0</v>
      </c>
      <c r="AP78" s="512">
        <f t="shared" si="80"/>
        <v>0</v>
      </c>
      <c r="AQ78" s="301">
        <f t="shared" si="70"/>
        <v>0</v>
      </c>
      <c r="AR78" s="514">
        <f t="shared" si="81"/>
        <v>0</v>
      </c>
      <c r="AS78" s="302">
        <f t="shared" si="71"/>
        <v>0</v>
      </c>
      <c r="AT78" s="593">
        <v>0</v>
      </c>
      <c r="AU78" s="167">
        <f t="shared" si="82"/>
        <v>0</v>
      </c>
      <c r="AV78" s="595">
        <f>AT78</f>
        <v>0</v>
      </c>
      <c r="AW78" s="168">
        <f t="shared" si="83"/>
        <v>0</v>
      </c>
      <c r="AX78" s="593">
        <f t="shared" si="84"/>
        <v>0</v>
      </c>
      <c r="AY78" s="167" t="str">
        <f t="shared" si="85"/>
        <v/>
      </c>
      <c r="AZ78" s="595">
        <f t="shared" si="86"/>
        <v>0</v>
      </c>
      <c r="BA78" s="168" t="str">
        <f t="shared" si="87"/>
        <v/>
      </c>
      <c r="BB78" s="11"/>
    </row>
    <row r="79" spans="1:54" s="25" customFormat="1" ht="15.75" thickTop="1">
      <c r="A79" s="24" t="s">
        <v>70</v>
      </c>
      <c r="B79" s="737">
        <f>+B18-B67</f>
        <v>0</v>
      </c>
      <c r="C79" s="220" t="str">
        <f t="shared" si="55"/>
        <v/>
      </c>
      <c r="D79" s="736">
        <f>D18-D67</f>
        <v>0</v>
      </c>
      <c r="E79" s="220" t="str">
        <f>IF(ISERR(#REF!/$D$11),"",#REF!/$D$11)</f>
        <v/>
      </c>
      <c r="F79" s="382">
        <f>F18-F67</f>
        <v>29394542</v>
      </c>
      <c r="G79" s="309">
        <f>IF(ISERR(F79/$F$11),"",F79/$F$11)</f>
        <v>5.0679978495561287E-2</v>
      </c>
      <c r="H79" s="383">
        <f>H18-H67</f>
        <v>107521781</v>
      </c>
      <c r="I79" s="95">
        <f t="shared" si="72"/>
        <v>4.0849844631051971E-2</v>
      </c>
      <c r="J79" s="382">
        <f>J18-J67</f>
        <v>7242128</v>
      </c>
      <c r="K79" s="309">
        <f t="shared" si="73"/>
        <v>0.68019480915904351</v>
      </c>
      <c r="L79" s="383">
        <f>L18-L67</f>
        <v>31754912</v>
      </c>
      <c r="M79" s="95">
        <f>IF(ISERR(L79/$L$11),"",L79/$L$11)</f>
        <v>0.69142606656712835</v>
      </c>
      <c r="N79" s="382">
        <f>N18-N67</f>
        <v>21303360</v>
      </c>
      <c r="O79" s="95">
        <f>IF(ISERR(N79/$N$11),"",N79/$N$11)</f>
        <v>0.67893896982640067</v>
      </c>
      <c r="P79" s="383">
        <f>P18-P67</f>
        <v>115869480</v>
      </c>
      <c r="Q79" s="95">
        <f t="shared" si="59"/>
        <v>0.84835120734932135</v>
      </c>
      <c r="R79" s="382">
        <f>R18-R67</f>
        <v>4383352</v>
      </c>
      <c r="S79" s="113"/>
      <c r="T79" s="383">
        <f>T18-T67</f>
        <v>21429999</v>
      </c>
      <c r="U79" s="95" t="str">
        <f t="shared" si="61"/>
        <v/>
      </c>
      <c r="V79" s="499">
        <f t="shared" si="74"/>
        <v>25686712</v>
      </c>
      <c r="W79" s="95">
        <f>IF(ISERR(V79/$V$11),"",V79/$V$11)</f>
        <v>0.81863658049751042</v>
      </c>
      <c r="X79" s="383">
        <f t="shared" si="75"/>
        <v>137299479</v>
      </c>
      <c r="Y79" s="95">
        <f t="shared" si="63"/>
        <v>1.0052533141434896</v>
      </c>
      <c r="Z79" s="499">
        <f>F79+J79+V79</f>
        <v>62323382</v>
      </c>
      <c r="AA79" s="95">
        <f>IF(ISERR(Z79/$Z$11),"",Z79/$Z$11)</f>
        <v>0.1001939148630983</v>
      </c>
      <c r="AB79" s="383">
        <f t="shared" si="76"/>
        <v>276576172</v>
      </c>
      <c r="AC79" s="95">
        <f t="shared" si="65"/>
        <v>9.826374756780891E-2</v>
      </c>
      <c r="AD79" s="382">
        <f>AD18-AD67</f>
        <v>14733368</v>
      </c>
      <c r="AE79" s="309">
        <f t="shared" si="66"/>
        <v>5.3648426453358308E-2</v>
      </c>
      <c r="AF79" s="383">
        <f>AF18-AF67</f>
        <v>70104704</v>
      </c>
      <c r="AG79" s="95">
        <f t="shared" si="67"/>
        <v>5.5764722781809162E-2</v>
      </c>
      <c r="AH79" s="382">
        <f>AH18-AH67</f>
        <v>8018951</v>
      </c>
      <c r="AI79" s="309">
        <f t="shared" si="77"/>
        <v>0.69930356125501469</v>
      </c>
      <c r="AJ79" s="383">
        <f>AJ18-AJ67</f>
        <v>39862519</v>
      </c>
      <c r="AK79" s="309">
        <f>IF(ISERR(AJ79/$AJ$11),"",AJ79/$AJ$11)</f>
        <v>0.77286352172193817</v>
      </c>
      <c r="AL79" s="382">
        <f t="shared" si="78"/>
        <v>22752319</v>
      </c>
      <c r="AM79" s="95">
        <f t="shared" si="68"/>
        <v>7.9527090704328174E-2</v>
      </c>
      <c r="AN79" s="510">
        <f t="shared" si="79"/>
        <v>109967223</v>
      </c>
      <c r="AO79" s="113"/>
      <c r="AP79" s="382">
        <f t="shared" si="80"/>
        <v>85075701</v>
      </c>
      <c r="AQ79" s="95">
        <f t="shared" si="70"/>
        <v>9.3683034284998037E-2</v>
      </c>
      <c r="AR79" s="515">
        <f t="shared" si="81"/>
        <v>386543395</v>
      </c>
      <c r="AS79" s="95">
        <f>IF(ISERR(AR79/$AR$11),"",AR79/$AR$11)</f>
        <v>9.3744760454756271E-2</v>
      </c>
      <c r="AT79" s="382">
        <f>AT18-AT67</f>
        <v>84564983</v>
      </c>
      <c r="AU79" s="95">
        <f t="shared" si="82"/>
        <v>8.2985855609818568E-2</v>
      </c>
      <c r="AV79" s="383">
        <f>AT79</f>
        <v>84564983</v>
      </c>
      <c r="AW79" s="309">
        <f t="shared" si="83"/>
        <v>1.8235334216731462E-2</v>
      </c>
      <c r="AX79" s="382">
        <f t="shared" si="84"/>
        <v>510718</v>
      </c>
      <c r="AY79" s="95">
        <f t="shared" si="85"/>
        <v>1.0060393555568976</v>
      </c>
      <c r="AZ79" s="383">
        <f t="shared" si="86"/>
        <v>301978412</v>
      </c>
      <c r="BA79" s="309">
        <f t="shared" si="87"/>
        <v>4.5709628416764421</v>
      </c>
    </row>
    <row r="80" spans="1:54">
      <c r="A80" s="26"/>
      <c r="B80" s="26"/>
    </row>
    <row r="81" spans="1:53" s="268" customFormat="1">
      <c r="A81" s="270" t="s">
        <v>85</v>
      </c>
      <c r="B81" s="271"/>
      <c r="C81" s="272"/>
      <c r="D81" s="824"/>
      <c r="E81" s="825"/>
      <c r="F81" s="773">
        <f>'9月'!F83</f>
        <v>6433314</v>
      </c>
      <c r="G81" s="774"/>
      <c r="H81" s="669">
        <f>'6月'!H81</f>
        <v>6712201</v>
      </c>
      <c r="I81" s="670"/>
      <c r="J81" s="667"/>
      <c r="K81" s="668"/>
      <c r="L81" s="669">
        <f>+J81</f>
        <v>0</v>
      </c>
      <c r="M81" s="670"/>
      <c r="N81" s="667"/>
      <c r="O81" s="668"/>
      <c r="P81" s="669">
        <f>+N81</f>
        <v>0</v>
      </c>
      <c r="Q81" s="670"/>
      <c r="R81" s="671"/>
      <c r="S81" s="672"/>
      <c r="T81" s="669">
        <f>+R81</f>
        <v>0</v>
      </c>
      <c r="U81" s="670"/>
      <c r="V81" s="667">
        <f>N81+R81</f>
        <v>0</v>
      </c>
      <c r="W81" s="668"/>
      <c r="X81" s="673">
        <f>P81+T81</f>
        <v>0</v>
      </c>
      <c r="Y81" s="674"/>
      <c r="Z81" s="667">
        <f>F81+J81+N81+R81</f>
        <v>6433314</v>
      </c>
      <c r="AA81" s="668"/>
      <c r="AB81" s="675">
        <f>H81+L81+P81+T81</f>
        <v>6712201</v>
      </c>
      <c r="AC81" s="676"/>
      <c r="AD81" s="671">
        <f>'9月'!AD83</f>
        <v>3792735</v>
      </c>
      <c r="AE81" s="672"/>
      <c r="AF81" s="669">
        <f>'6月'!AF81</f>
        <v>4214746</v>
      </c>
      <c r="AG81" s="670"/>
      <c r="AH81" s="671"/>
      <c r="AI81" s="672"/>
      <c r="AJ81" s="669">
        <f>+AH81</f>
        <v>0</v>
      </c>
      <c r="AK81" s="670"/>
      <c r="AL81" s="671">
        <f>+AD81+AH81</f>
        <v>3792735</v>
      </c>
      <c r="AM81" s="672"/>
      <c r="AN81" s="669">
        <f>AF81+AJ81</f>
        <v>4214746</v>
      </c>
      <c r="AO81" s="670"/>
      <c r="AP81" s="671">
        <f>+AB81+AL81</f>
        <v>10504936</v>
      </c>
      <c r="AQ81" s="672"/>
      <c r="AR81" s="669">
        <f>D81+AB81+AN81</f>
        <v>10926947</v>
      </c>
      <c r="AS81" s="670"/>
      <c r="AT81" s="671">
        <f>'9月'!AT83</f>
        <v>10818012</v>
      </c>
      <c r="AU81" s="672"/>
      <c r="AV81" s="669">
        <f>'6月'!AV81</f>
        <v>10388772</v>
      </c>
      <c r="AW81" s="670"/>
      <c r="AX81" s="671">
        <f>AP81-AT81</f>
        <v>-313076</v>
      </c>
      <c r="AY81" s="677">
        <f>IF(ISERROR(AP81/AT81),"",AP81/AT81)</f>
        <v>0.9710597473916649</v>
      </c>
      <c r="AZ81" s="669">
        <f>AR81-AV81</f>
        <v>538175</v>
      </c>
      <c r="BA81" s="678">
        <f>IF(ISERROR(AR81/AV81),"",AR81/AV81)</f>
        <v>1.051803524035372</v>
      </c>
    </row>
    <row r="82" spans="1:53" s="268" customFormat="1">
      <c r="A82" s="269" t="s">
        <v>86</v>
      </c>
      <c r="B82" s="273"/>
      <c r="C82" s="274"/>
      <c r="D82" s="826"/>
      <c r="E82" s="827"/>
      <c r="F82" s="771">
        <v>2640578</v>
      </c>
      <c r="G82" s="772"/>
      <c r="H82" s="685">
        <f>F82+'9月'!H82</f>
        <v>12097100</v>
      </c>
      <c r="I82" s="686"/>
      <c r="J82" s="683">
        <v>38710</v>
      </c>
      <c r="K82" s="684"/>
      <c r="L82" s="685">
        <f>J82+'9月'!L82</f>
        <v>157896</v>
      </c>
      <c r="M82" s="686"/>
      <c r="N82" s="683">
        <v>75804</v>
      </c>
      <c r="O82" s="684"/>
      <c r="P82" s="685">
        <f>N82+'9月'!P82</f>
        <v>324695</v>
      </c>
      <c r="Q82" s="686"/>
      <c r="R82" s="683"/>
      <c r="S82" s="684"/>
      <c r="T82" s="685">
        <f>R82+'9月'!T82</f>
        <v>0</v>
      </c>
      <c r="U82" s="686"/>
      <c r="V82" s="683">
        <f>N82+R82</f>
        <v>75804</v>
      </c>
      <c r="W82" s="684"/>
      <c r="X82" s="687">
        <f>P82+T82</f>
        <v>324695</v>
      </c>
      <c r="Y82" s="688"/>
      <c r="Z82" s="683">
        <f>F82+J82+N82+R82</f>
        <v>2755092</v>
      </c>
      <c r="AA82" s="684"/>
      <c r="AB82" s="687">
        <f>H82+L82+P82+T82</f>
        <v>12579691</v>
      </c>
      <c r="AC82" s="688"/>
      <c r="AD82" s="683">
        <v>1053538</v>
      </c>
      <c r="AE82" s="684"/>
      <c r="AF82" s="685">
        <f>AD82+'9月'!AF82</f>
        <v>4658907</v>
      </c>
      <c r="AG82" s="686"/>
      <c r="AH82" s="683"/>
      <c r="AI82" s="684"/>
      <c r="AJ82" s="685">
        <f>AH82+'9月'!AJ82</f>
        <v>0</v>
      </c>
      <c r="AK82" s="686"/>
      <c r="AL82" s="683">
        <f>+AD82+AH82</f>
        <v>1053538</v>
      </c>
      <c r="AM82" s="684"/>
      <c r="AN82" s="685">
        <f>AF82+AJ82</f>
        <v>4658907</v>
      </c>
      <c r="AO82" s="686"/>
      <c r="AP82" s="683">
        <f>+AL82+Z82</f>
        <v>3808630</v>
      </c>
      <c r="AQ82" s="684"/>
      <c r="AR82" s="685">
        <f>D82+AB82+AN82</f>
        <v>17238598</v>
      </c>
      <c r="AS82" s="686"/>
      <c r="AT82" s="683">
        <v>4405906</v>
      </c>
      <c r="AU82" s="684"/>
      <c r="AV82" s="685">
        <f>AT82+'9月'!AV82</f>
        <v>20146091</v>
      </c>
      <c r="AW82" s="686"/>
      <c r="AX82" s="683">
        <f>AP82-AT82</f>
        <v>-597276</v>
      </c>
      <c r="AY82" s="689">
        <f>IF(ISERROR(AP82/AT82),"",AP82/AT82)</f>
        <v>0.86443741650411965</v>
      </c>
      <c r="AZ82" s="685">
        <f>AR82-AV82</f>
        <v>-2907493</v>
      </c>
      <c r="BA82" s="690">
        <f>IF(ISERROR(AR82/AV82),"",AR82/AV82)</f>
        <v>0.85567954597246687</v>
      </c>
    </row>
    <row r="83" spans="1:53" s="268" customFormat="1" ht="14.25" thickBot="1">
      <c r="A83" s="275" t="s">
        <v>87</v>
      </c>
      <c r="B83" s="276"/>
      <c r="C83" s="277"/>
      <c r="D83" s="828"/>
      <c r="E83" s="829"/>
      <c r="F83" s="769">
        <f>[5]本社営業!$I$13</f>
        <v>6229118</v>
      </c>
      <c r="G83" s="770"/>
      <c r="H83" s="696">
        <f>+F83</f>
        <v>6229118</v>
      </c>
      <c r="I83" s="697"/>
      <c r="J83" s="694"/>
      <c r="K83" s="695"/>
      <c r="L83" s="696">
        <f>+J83</f>
        <v>0</v>
      </c>
      <c r="M83" s="697"/>
      <c r="N83" s="694"/>
      <c r="O83" s="695"/>
      <c r="P83" s="696">
        <f>+N83</f>
        <v>0</v>
      </c>
      <c r="Q83" s="697"/>
      <c r="R83" s="694"/>
      <c r="S83" s="695"/>
      <c r="T83" s="696">
        <f>+R83</f>
        <v>0</v>
      </c>
      <c r="U83" s="697"/>
      <c r="V83" s="694">
        <f>N83+R83</f>
        <v>0</v>
      </c>
      <c r="W83" s="695"/>
      <c r="X83" s="698">
        <f>P83+T83</f>
        <v>0</v>
      </c>
      <c r="Y83" s="699"/>
      <c r="Z83" s="694">
        <f>F83+J83+N83+R83</f>
        <v>6229118</v>
      </c>
      <c r="AA83" s="695"/>
      <c r="AB83" s="698">
        <f>H83+L83+P83+T83</f>
        <v>6229118</v>
      </c>
      <c r="AC83" s="699"/>
      <c r="AD83" s="694">
        <f>[5]東京事務!$I$13</f>
        <v>3655245</v>
      </c>
      <c r="AE83" s="695"/>
      <c r="AF83" s="696">
        <f>+AD83</f>
        <v>3655245</v>
      </c>
      <c r="AG83" s="697"/>
      <c r="AH83" s="694"/>
      <c r="AI83" s="695"/>
      <c r="AJ83" s="696">
        <f>+AH83</f>
        <v>0</v>
      </c>
      <c r="AK83" s="697"/>
      <c r="AL83" s="694">
        <f>+AD83+AH83</f>
        <v>3655245</v>
      </c>
      <c r="AM83" s="695"/>
      <c r="AN83" s="696">
        <f>AF83+AJ83</f>
        <v>3655245</v>
      </c>
      <c r="AO83" s="697"/>
      <c r="AP83" s="694">
        <f>+AB83+AL83</f>
        <v>9884363</v>
      </c>
      <c r="AQ83" s="695"/>
      <c r="AR83" s="696">
        <f>D83+AB83+AN83</f>
        <v>9884363</v>
      </c>
      <c r="AS83" s="697"/>
      <c r="AT83" s="694">
        <f>[5]全社合計!$G$13</f>
        <v>11085127</v>
      </c>
      <c r="AU83" s="695"/>
      <c r="AV83" s="696">
        <f>AT83</f>
        <v>11085127</v>
      </c>
      <c r="AW83" s="697"/>
      <c r="AX83" s="694">
        <f>AP83-AT83</f>
        <v>-1200764</v>
      </c>
      <c r="AY83" s="700">
        <f>IF(ISERROR(AP83/AT83),"",AP83/AT83)</f>
        <v>0.89167792123626555</v>
      </c>
      <c r="AZ83" s="696">
        <f>AR83-AV83</f>
        <v>-1200764</v>
      </c>
      <c r="BA83" s="701">
        <f>IF(ISERROR(AR83/AV83),"",AR83/AV83)</f>
        <v>0.89167792123626555</v>
      </c>
    </row>
    <row r="84" spans="1:53" ht="14.25" thickTop="1">
      <c r="D84" s="26"/>
      <c r="H84" s="26"/>
      <c r="L84" s="26"/>
      <c r="P84" s="26"/>
      <c r="T84" s="26"/>
      <c r="AL84" s="26"/>
      <c r="AP84" s="26"/>
      <c r="AT84" s="26"/>
      <c r="AX84" s="26"/>
    </row>
    <row r="85" spans="1:53">
      <c r="AL85" s="26"/>
    </row>
    <row r="89" spans="1:53">
      <c r="B89" s="27"/>
      <c r="D89" s="27"/>
      <c r="H89" s="27"/>
      <c r="L89" s="27"/>
      <c r="P89" s="27"/>
      <c r="T89" s="27"/>
      <c r="X89" s="27"/>
      <c r="AB89" s="27"/>
      <c r="AF89" s="27"/>
      <c r="AL89" s="27"/>
      <c r="AP89" s="27"/>
      <c r="AT89" s="27"/>
      <c r="AX89" s="27"/>
    </row>
    <row r="90" spans="1:53">
      <c r="B90" s="27"/>
      <c r="D90" s="27"/>
      <c r="H90" s="27"/>
      <c r="L90" s="27"/>
      <c r="P90" s="27"/>
      <c r="T90" s="27"/>
      <c r="X90" s="27"/>
      <c r="AB90" s="27"/>
      <c r="AF90" s="27"/>
      <c r="AL90" s="27"/>
      <c r="AP90" s="27"/>
      <c r="AT90" s="27"/>
      <c r="AX90" s="27"/>
    </row>
    <row r="91" spans="1:53">
      <c r="B91" s="27"/>
      <c r="D91" s="27"/>
      <c r="H91" s="27"/>
      <c r="L91" s="27"/>
      <c r="P91" s="27"/>
      <c r="T91" s="27"/>
      <c r="X91" s="27"/>
      <c r="AB91" s="27"/>
      <c r="AF91" s="27"/>
      <c r="AL91" s="27"/>
      <c r="AP91" s="27"/>
      <c r="AT91" s="27"/>
      <c r="AX91" s="27"/>
    </row>
    <row r="92" spans="1:53">
      <c r="B92" s="27"/>
      <c r="D92" s="27"/>
      <c r="H92" s="27"/>
      <c r="L92" s="27"/>
      <c r="P92" s="27"/>
      <c r="T92" s="27"/>
      <c r="X92" s="27"/>
      <c r="AB92" s="27"/>
      <c r="AF92" s="27"/>
      <c r="AL92" s="27"/>
      <c r="AP92" s="27"/>
      <c r="AT92" s="27"/>
      <c r="AX92" s="27"/>
    </row>
    <row r="93" spans="1:53">
      <c r="B93" s="27"/>
      <c r="D93" s="27"/>
      <c r="H93" s="27"/>
      <c r="L93" s="27"/>
      <c r="P93" s="27"/>
      <c r="T93" s="27"/>
      <c r="X93" s="27"/>
      <c r="AB93" s="27"/>
      <c r="AF93" s="27"/>
      <c r="AL93" s="27"/>
      <c r="AP93" s="27"/>
      <c r="AT93" s="27"/>
      <c r="AX93" s="27"/>
    </row>
    <row r="94" spans="1:53">
      <c r="B94" s="27"/>
    </row>
    <row r="95" spans="1:53">
      <c r="B95" s="27"/>
    </row>
  </sheetData>
  <mergeCells count="48">
    <mergeCell ref="D82:E82"/>
    <mergeCell ref="F82:G82"/>
    <mergeCell ref="D83:E83"/>
    <mergeCell ref="F83:G83"/>
    <mergeCell ref="AT4:AU4"/>
    <mergeCell ref="R4:S4"/>
    <mergeCell ref="T4:U4"/>
    <mergeCell ref="AV4:AW4"/>
    <mergeCell ref="V4:W4"/>
    <mergeCell ref="X4:Y4"/>
    <mergeCell ref="Z4:AA4"/>
    <mergeCell ref="AB4:AC4"/>
    <mergeCell ref="AX4:AY4"/>
    <mergeCell ref="AZ4:BA4"/>
    <mergeCell ref="D81:E81"/>
    <mergeCell ref="F81:G81"/>
    <mergeCell ref="AH4:AI4"/>
    <mergeCell ref="AJ4:AK4"/>
    <mergeCell ref="AL4:AM4"/>
    <mergeCell ref="AN4:AO4"/>
    <mergeCell ref="AP4:AQ4"/>
    <mergeCell ref="AR4:AS4"/>
    <mergeCell ref="AD4:AE4"/>
    <mergeCell ref="AF4:AG4"/>
    <mergeCell ref="J4:K4"/>
    <mergeCell ref="L4:M4"/>
    <mergeCell ref="N4:O4"/>
    <mergeCell ref="P4:Q4"/>
    <mergeCell ref="AX2:BA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T2:AW3"/>
    <mergeCell ref="A2:A5"/>
    <mergeCell ref="B2:E3"/>
    <mergeCell ref="F2:AC2"/>
    <mergeCell ref="AD2:AO2"/>
    <mergeCell ref="AP2:AS3"/>
    <mergeCell ref="B4:C4"/>
    <mergeCell ref="D4:E4"/>
    <mergeCell ref="F4:G4"/>
    <mergeCell ref="H4:I4"/>
  </mergeCells>
  <phoneticPr fontId="33"/>
  <dataValidations count="2">
    <dataValidation imeMode="on" allowBlank="1" showInputMessage="1" showErrorMessage="1" sqref="A2:BA5" xr:uid="{109239A3-05C7-41C0-99F9-61477ACA04AE}"/>
    <dataValidation imeMode="off" allowBlank="1" showInputMessage="1" showErrorMessage="1" sqref="B1 AP1 AR1:AT1 AZ1:BA1 AV1:AX1 B6:BA65536" xr:uid="{A4EBB65E-A411-43DC-B723-A435A64273AE}"/>
  </dataValidations>
  <printOptions gridLinesSet="0"/>
  <pageMargins left="0.39370078740157483" right="0.19685039370078741" top="0.39370078740157483" bottom="0.19685039370078741" header="0" footer="0"/>
  <pageSetup paperSize="8" scale="68" orientation="landscape" r:id="rId1"/>
  <headerFooter alignWithMargins="0">
    <oddHeader>&amp;L&amp;D&amp;T&amp;C&amp;"明朝,太字"&amp;16&amp;F&amp;R&amp;"明朝,太字"&amp;A</oddHeader>
    <oddFooter>&amp;C&amp;"明朝,太字"&amp;14&amp;F&amp;R&amp;"明朝,太字"&amp;14&amp;A</oddFooter>
  </headerFooter>
  <colBreaks count="1" manualBreakCount="1">
    <brk id="29" min="1" max="7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71E7-FEC2-43B0-BB07-5585578ABCC3}">
  <dimension ref="A1:BB95"/>
  <sheetViews>
    <sheetView view="pageBreakPreview" zoomScale="80" zoomScaleNormal="80" zoomScaleSheetLayoutView="80" workbookViewId="0">
      <pane xSplit="1" ySplit="5" topLeftCell="B6" activePane="bottomRight" state="frozen"/>
      <selection activeCell="B4" sqref="A4:XFD4"/>
      <selection pane="topRight" activeCell="B4" sqref="A4:XFD4"/>
      <selection pane="bottomLeft" activeCell="B4" sqref="A4:XFD4"/>
      <selection pane="bottomRight" activeCell="AT83" sqref="AT83"/>
    </sheetView>
  </sheetViews>
  <sheetFormatPr defaultRowHeight="13.5"/>
  <cols>
    <col min="1" max="1" width="23.75" style="1" customWidth="1"/>
    <col min="2" max="2" width="11.375" style="1" bestFit="1" customWidth="1"/>
    <col min="3" max="3" width="7.875" style="1" customWidth="1"/>
    <col min="4" max="4" width="12.625" style="1" customWidth="1"/>
    <col min="5" max="5" width="8.25" style="1" customWidth="1"/>
    <col min="6" max="6" width="11.625" style="1" customWidth="1"/>
    <col min="7" max="7" width="8.375" style="1" customWidth="1"/>
    <col min="8" max="8" width="12.625" style="1" customWidth="1"/>
    <col min="9" max="9" width="7.375" style="1" customWidth="1"/>
    <col min="10" max="10" width="11.625" style="1" customWidth="1"/>
    <col min="11" max="11" width="8.375" style="1" customWidth="1"/>
    <col min="12" max="12" width="12.625" style="1" customWidth="1"/>
    <col min="13" max="13" width="7.625" style="1" customWidth="1"/>
    <col min="14" max="14" width="11.625" style="1" customWidth="1"/>
    <col min="15" max="15" width="8.375" style="1" customWidth="1"/>
    <col min="16" max="16" width="12.625" style="1" customWidth="1"/>
    <col min="17" max="17" width="8.625" style="1" customWidth="1"/>
    <col min="18" max="18" width="11.625" style="1" customWidth="1"/>
    <col min="19" max="19" width="8.375" style="1" customWidth="1"/>
    <col min="20" max="20" width="12.625" style="1" customWidth="1"/>
    <col min="21" max="21" width="7.25" style="1" customWidth="1"/>
    <col min="22" max="22" width="11.625" style="1" customWidth="1"/>
    <col min="23" max="23" width="8.375" style="1" customWidth="1"/>
    <col min="24" max="24" width="12.625" style="1" customWidth="1"/>
    <col min="25" max="25" width="7.375" style="1" customWidth="1"/>
    <col min="26" max="26" width="11.625" style="1" customWidth="1"/>
    <col min="27" max="27" width="8.375" style="1" customWidth="1"/>
    <col min="28" max="28" width="12.625" style="1" customWidth="1"/>
    <col min="29" max="29" width="7.375" style="1" customWidth="1"/>
    <col min="30" max="30" width="11.625" style="1" customWidth="1"/>
    <col min="31" max="31" width="8.375" style="1" customWidth="1"/>
    <col min="32" max="32" width="12.625" style="1" customWidth="1"/>
    <col min="33" max="33" width="7.375" style="1" customWidth="1"/>
    <col min="34" max="34" width="11.625" style="1" customWidth="1"/>
    <col min="35" max="35" width="8.375" style="1" customWidth="1"/>
    <col min="36" max="36" width="12.625" style="1" customWidth="1"/>
    <col min="37" max="37" width="8.375" style="1" customWidth="1"/>
    <col min="38" max="38" width="11.625" style="1" customWidth="1"/>
    <col min="39" max="39" width="7.375" style="1" customWidth="1"/>
    <col min="40" max="40" width="12.625" style="1" customWidth="1"/>
    <col min="41" max="41" width="8.375" style="1" customWidth="1"/>
    <col min="42" max="42" width="13.625" style="1" customWidth="1"/>
    <col min="43" max="43" width="7.375" style="1" customWidth="1"/>
    <col min="44" max="44" width="13.625" style="1" customWidth="1"/>
    <col min="45" max="45" width="8.375" style="1" customWidth="1"/>
    <col min="46" max="46" width="13.625" style="1" customWidth="1"/>
    <col min="47" max="47" width="7.375" style="1" customWidth="1"/>
    <col min="48" max="48" width="13.625" style="1" customWidth="1"/>
    <col min="49" max="49" width="8.375" style="1" customWidth="1"/>
    <col min="50" max="50" width="13.625" style="1" customWidth="1"/>
    <col min="51" max="51" width="7.375" style="1" customWidth="1"/>
    <col min="52" max="52" width="13.625" style="1" customWidth="1"/>
    <col min="53" max="53" width="8.375" style="1" customWidth="1"/>
  </cols>
  <sheetData>
    <row r="1" spans="1:54" ht="10.5" customHeight="1" thickBot="1"/>
    <row r="2" spans="1:54" ht="14.25" customHeight="1" thickTop="1">
      <c r="A2" s="798" t="s">
        <v>0</v>
      </c>
      <c r="B2" s="759" t="s">
        <v>71</v>
      </c>
      <c r="C2" s="760"/>
      <c r="D2" s="760"/>
      <c r="E2" s="761"/>
      <c r="F2" s="812" t="s">
        <v>82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4"/>
      <c r="AD2" s="807" t="s">
        <v>83</v>
      </c>
      <c r="AE2" s="808"/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759" t="s">
        <v>81</v>
      </c>
      <c r="AQ2" s="760"/>
      <c r="AR2" s="760"/>
      <c r="AS2" s="761"/>
      <c r="AT2" s="759" t="s">
        <v>88</v>
      </c>
      <c r="AU2" s="760"/>
      <c r="AV2" s="760"/>
      <c r="AW2" s="761"/>
      <c r="AX2" s="759" t="s">
        <v>89</v>
      </c>
      <c r="AY2" s="760"/>
      <c r="AZ2" s="760"/>
      <c r="BA2" s="761"/>
    </row>
    <row r="3" spans="1:54">
      <c r="A3" s="799"/>
      <c r="B3" s="762"/>
      <c r="C3" s="763"/>
      <c r="D3" s="763"/>
      <c r="E3" s="764"/>
      <c r="F3" s="784" t="s">
        <v>73</v>
      </c>
      <c r="G3" s="785"/>
      <c r="H3" s="785"/>
      <c r="I3" s="823"/>
      <c r="J3" s="787" t="s">
        <v>74</v>
      </c>
      <c r="K3" s="787"/>
      <c r="L3" s="787"/>
      <c r="M3" s="787"/>
      <c r="N3" s="788" t="s">
        <v>92</v>
      </c>
      <c r="O3" s="789"/>
      <c r="P3" s="789"/>
      <c r="Q3" s="790"/>
      <c r="R3" s="820" t="s">
        <v>75</v>
      </c>
      <c r="S3" s="789"/>
      <c r="T3" s="789"/>
      <c r="U3" s="790"/>
      <c r="V3" s="789" t="s">
        <v>76</v>
      </c>
      <c r="W3" s="789"/>
      <c r="X3" s="789"/>
      <c r="Y3" s="821"/>
      <c r="Z3" s="816" t="s">
        <v>79</v>
      </c>
      <c r="AA3" s="817"/>
      <c r="AB3" s="817"/>
      <c r="AC3" s="818"/>
      <c r="AD3" s="819" t="s">
        <v>77</v>
      </c>
      <c r="AE3" s="805"/>
      <c r="AF3" s="805"/>
      <c r="AG3" s="805"/>
      <c r="AH3" s="804" t="s">
        <v>78</v>
      </c>
      <c r="AI3" s="805"/>
      <c r="AJ3" s="805"/>
      <c r="AK3" s="806"/>
      <c r="AL3" s="805" t="s">
        <v>80</v>
      </c>
      <c r="AM3" s="805"/>
      <c r="AN3" s="805"/>
      <c r="AO3" s="811"/>
      <c r="AP3" s="762"/>
      <c r="AQ3" s="763"/>
      <c r="AR3" s="763"/>
      <c r="AS3" s="764"/>
      <c r="AT3" s="762"/>
      <c r="AU3" s="763"/>
      <c r="AV3" s="763"/>
      <c r="AW3" s="764"/>
      <c r="AX3" s="762"/>
      <c r="AY3" s="763"/>
      <c r="AZ3" s="763"/>
      <c r="BA3" s="764"/>
    </row>
    <row r="4" spans="1:54" ht="15.95" customHeight="1">
      <c r="A4" s="799"/>
      <c r="B4" s="779">
        <v>45991</v>
      </c>
      <c r="C4" s="776"/>
      <c r="D4" s="780" t="s">
        <v>72</v>
      </c>
      <c r="E4" s="781"/>
      <c r="F4" s="765">
        <v>45991</v>
      </c>
      <c r="G4" s="766"/>
      <c r="H4" s="767" t="s">
        <v>72</v>
      </c>
      <c r="I4" s="822"/>
      <c r="J4" s="797">
        <v>45991</v>
      </c>
      <c r="K4" s="766"/>
      <c r="L4" s="767" t="s">
        <v>72</v>
      </c>
      <c r="M4" s="782"/>
      <c r="N4" s="795">
        <v>45991</v>
      </c>
      <c r="O4" s="766"/>
      <c r="P4" s="767" t="s">
        <v>72</v>
      </c>
      <c r="Q4" s="783"/>
      <c r="R4" s="796">
        <v>45991</v>
      </c>
      <c r="S4" s="766"/>
      <c r="T4" s="767" t="s">
        <v>72</v>
      </c>
      <c r="U4" s="783"/>
      <c r="V4" s="797">
        <v>45991</v>
      </c>
      <c r="W4" s="766"/>
      <c r="X4" s="767" t="s">
        <v>72</v>
      </c>
      <c r="Y4" s="793"/>
      <c r="Z4" s="775">
        <v>45991</v>
      </c>
      <c r="AA4" s="815"/>
      <c r="AB4" s="780" t="s">
        <v>72</v>
      </c>
      <c r="AC4" s="781"/>
      <c r="AD4" s="765">
        <v>45991</v>
      </c>
      <c r="AE4" s="766"/>
      <c r="AF4" s="791" t="s">
        <v>72</v>
      </c>
      <c r="AG4" s="792"/>
      <c r="AH4" s="797">
        <v>45991</v>
      </c>
      <c r="AI4" s="766"/>
      <c r="AJ4" s="767" t="s">
        <v>72</v>
      </c>
      <c r="AK4" s="810"/>
      <c r="AL4" s="775">
        <v>45991</v>
      </c>
      <c r="AM4" s="776"/>
      <c r="AN4" s="780" t="s">
        <v>72</v>
      </c>
      <c r="AO4" s="803"/>
      <c r="AP4" s="777">
        <v>45991</v>
      </c>
      <c r="AQ4" s="778"/>
      <c r="AR4" s="801" t="s">
        <v>72</v>
      </c>
      <c r="AS4" s="802"/>
      <c r="AT4" s="765">
        <v>45626</v>
      </c>
      <c r="AU4" s="766"/>
      <c r="AV4" s="767" t="s">
        <v>72</v>
      </c>
      <c r="AW4" s="768"/>
      <c r="AX4" s="765" t="s">
        <v>90</v>
      </c>
      <c r="AY4" s="766"/>
      <c r="AZ4" s="767" t="s">
        <v>91</v>
      </c>
      <c r="BA4" s="768"/>
    </row>
    <row r="5" spans="1:54" ht="15.95" customHeight="1">
      <c r="A5" s="800"/>
      <c r="B5" s="49" t="s">
        <v>1</v>
      </c>
      <c r="C5" s="50" t="s">
        <v>2</v>
      </c>
      <c r="D5" s="47" t="s">
        <v>1</v>
      </c>
      <c r="E5" s="51" t="s">
        <v>2</v>
      </c>
      <c r="F5" s="2" t="s">
        <v>1</v>
      </c>
      <c r="G5" s="4" t="s">
        <v>2</v>
      </c>
      <c r="H5" s="29" t="s">
        <v>1</v>
      </c>
      <c r="I5" s="335" t="s">
        <v>2</v>
      </c>
      <c r="J5" s="3" t="s">
        <v>1</v>
      </c>
      <c r="K5" s="4" t="s">
        <v>2</v>
      </c>
      <c r="L5" s="29" t="s">
        <v>1</v>
      </c>
      <c r="M5" s="5" t="s">
        <v>2</v>
      </c>
      <c r="N5" s="222" t="s">
        <v>1</v>
      </c>
      <c r="O5" s="4" t="s">
        <v>2</v>
      </c>
      <c r="P5" s="33" t="s">
        <v>1</v>
      </c>
      <c r="Q5" s="72" t="s">
        <v>2</v>
      </c>
      <c r="R5" s="67" t="s">
        <v>1</v>
      </c>
      <c r="S5" s="4" t="s">
        <v>2</v>
      </c>
      <c r="T5" s="33" t="s">
        <v>1</v>
      </c>
      <c r="U5" s="72" t="s">
        <v>2</v>
      </c>
      <c r="V5" s="3" t="s">
        <v>1</v>
      </c>
      <c r="W5" s="4" t="s">
        <v>2</v>
      </c>
      <c r="X5" s="33" t="s">
        <v>1</v>
      </c>
      <c r="Y5" s="223" t="s">
        <v>2</v>
      </c>
      <c r="Z5" s="52" t="s">
        <v>1</v>
      </c>
      <c r="AA5" s="74" t="s">
        <v>2</v>
      </c>
      <c r="AB5" s="76" t="s">
        <v>1</v>
      </c>
      <c r="AC5" s="332" t="s">
        <v>2</v>
      </c>
      <c r="AD5" s="2" t="s">
        <v>1</v>
      </c>
      <c r="AE5" s="4" t="s">
        <v>2</v>
      </c>
      <c r="AF5" s="29" t="s">
        <v>1</v>
      </c>
      <c r="AG5" s="6" t="s">
        <v>2</v>
      </c>
      <c r="AH5" s="3" t="s">
        <v>1</v>
      </c>
      <c r="AI5" s="4" t="s">
        <v>2</v>
      </c>
      <c r="AJ5" s="33" t="s">
        <v>1</v>
      </c>
      <c r="AK5" s="96" t="s">
        <v>2</v>
      </c>
      <c r="AL5" s="114" t="s">
        <v>1</v>
      </c>
      <c r="AM5" s="312" t="s">
        <v>2</v>
      </c>
      <c r="AN5" s="52" t="s">
        <v>1</v>
      </c>
      <c r="AO5" s="115" t="s">
        <v>2</v>
      </c>
      <c r="AP5" s="278" t="s">
        <v>1</v>
      </c>
      <c r="AQ5" s="279" t="s">
        <v>2</v>
      </c>
      <c r="AR5" s="280" t="s">
        <v>1</v>
      </c>
      <c r="AS5" s="281" t="s">
        <v>2</v>
      </c>
      <c r="AT5" s="116" t="s">
        <v>1</v>
      </c>
      <c r="AU5" s="5" t="s">
        <v>2</v>
      </c>
      <c r="AV5" s="33" t="s">
        <v>1</v>
      </c>
      <c r="AW5" s="117" t="s">
        <v>2</v>
      </c>
      <c r="AX5" s="116" t="s">
        <v>1</v>
      </c>
      <c r="AY5" s="5" t="s">
        <v>2</v>
      </c>
      <c r="AZ5" s="33" t="s">
        <v>1</v>
      </c>
      <c r="BA5" s="117" t="s">
        <v>2</v>
      </c>
    </row>
    <row r="6" spans="1:54" ht="15.95" customHeight="1">
      <c r="A6" s="253" t="s">
        <v>3</v>
      </c>
      <c r="B6" s="721"/>
      <c r="C6" s="258" t="str">
        <f t="shared" ref="C6:C11" si="0">IF(ISERR(B6/$B$11),"",B6/$B$11)</f>
        <v/>
      </c>
      <c r="D6" s="723"/>
      <c r="E6" s="118" t="str">
        <f t="shared" ref="E6:E11" si="1">IF(ISERR(D6/$D$11),"",D6/$D$11)</f>
        <v/>
      </c>
      <c r="F6" s="351">
        <f>[6]本社営業!$I$5</f>
        <v>423290488</v>
      </c>
      <c r="G6" s="7">
        <f t="shared" ref="G6:G11" si="2">IF(ISERR(F6/$F$11),"",F6/$F$11)</f>
        <v>0.82159366226923802</v>
      </c>
      <c r="H6" s="354">
        <f>[6]本社営業!$L$5</f>
        <v>2529968236</v>
      </c>
      <c r="I6" s="120">
        <f>IF(ISERR(H6/$H$11),"",H6/$H$11)</f>
        <v>0.80384618961030396</v>
      </c>
      <c r="J6" s="744">
        <f>[6]東大阪!$I$5</f>
        <v>422645</v>
      </c>
      <c r="K6" s="7">
        <f>IF(ISERR(J6/$J$11),"",J6/$J$11)</f>
        <v>4.5678694649255565E-2</v>
      </c>
      <c r="L6" s="354">
        <f>[6]東大阪!$L$5</f>
        <v>2732025</v>
      </c>
      <c r="M6" s="120">
        <f t="shared" ref="M6:M11" si="3">IF(ISERR(L6/$L$11),"",L6/$L$11)</f>
        <v>4.951181381481138E-2</v>
      </c>
      <c r="N6" s="402">
        <f>[6]南港工場!$I$5</f>
        <v>3765539</v>
      </c>
      <c r="O6" s="7">
        <f t="shared" ref="O6:O11" si="4">IF(ISERR(N6/$N$11),"",N6/$N$11)</f>
        <v>0.143697726462581</v>
      </c>
      <c r="P6" s="354">
        <f>[6]南港工場!$L$5</f>
        <v>20809757</v>
      </c>
      <c r="Q6" s="203">
        <f t="shared" ref="Q6:Q11" si="5">IF(ISERR(P6/$P$11),"",P6/$P$11)</f>
        <v>0.12783461833094642</v>
      </c>
      <c r="R6" s="436"/>
      <c r="S6" s="7" t="str">
        <f t="shared" ref="S6:S11" si="6">IF(ISERR(R6/$R$11),"",R6/$R$11)</f>
        <v/>
      </c>
      <c r="T6" s="354">
        <f>[6]南港事務!$L$5</f>
        <v>0</v>
      </c>
      <c r="U6" s="203" t="str">
        <f t="shared" ref="U6:U11" si="7">IF(ISERR(T6/$T$11),"",T6/$T$11)</f>
        <v/>
      </c>
      <c r="V6" s="455">
        <f>N6+R6</f>
        <v>3765539</v>
      </c>
      <c r="W6" s="174">
        <f t="shared" ref="W6:W11" si="8">IF(ISERR(V6/$V$11),"",V6/$V$11)</f>
        <v>0.143697726462581</v>
      </c>
      <c r="X6" s="406">
        <f>P6+T6</f>
        <v>20809757</v>
      </c>
      <c r="Y6" s="224">
        <f t="shared" ref="Y6:Y11" si="9">IF(ISERR(X6/$X$11),"",X6/$X$11)</f>
        <v>0.12783461833094642</v>
      </c>
      <c r="Z6" s="459">
        <f>F6+J6+N6+R6</f>
        <v>427478672</v>
      </c>
      <c r="AA6" s="188">
        <f t="shared" ref="AA6:AA11" si="10">IF(ISERR(Z6/$Z$11),"",Z6/$Z$11)</f>
        <v>0.77629708694884347</v>
      </c>
      <c r="AB6" s="462">
        <f>H6+L6+P6+T6</f>
        <v>2553510018</v>
      </c>
      <c r="AC6" s="119">
        <f t="shared" ref="AC6:AC11" si="11">IF(ISERR(AB6/$AB$11),"",AB6/$AB$11)</f>
        <v>0.75877756347674263</v>
      </c>
      <c r="AD6" s="351">
        <f>[6]東京事務!$I$5</f>
        <v>156715581</v>
      </c>
      <c r="AE6" s="7">
        <f t="shared" ref="AE6:AE11" si="12">IF(ISERR(AD6/$AD$11),"",AD6/$AD$11)</f>
        <v>0.61383547561701102</v>
      </c>
      <c r="AF6" s="354">
        <f>[6]東京事務!$L$5</f>
        <v>956618548</v>
      </c>
      <c r="AG6" s="80">
        <f t="shared" ref="AG6:AG11" si="13">IF(ISERR(AF6/$AF$11),"",AF6/$AF$11)</f>
        <v>0.63249305593314664</v>
      </c>
      <c r="AH6" s="467">
        <f>[6]東京工場!$I$5</f>
        <v>0</v>
      </c>
      <c r="AI6" s="169">
        <f>IF(ISERR(AH6/$AH$11),"",AH6/$AH$11)</f>
        <v>0</v>
      </c>
      <c r="AJ6" s="354">
        <f>[6]東京工場!$L$5</f>
        <v>0</v>
      </c>
      <c r="AK6" s="97">
        <f t="shared" ref="AK6:AK11" si="14">IF(ISERR(AJ6/$AJ$11),"",AJ6/$AJ$11)</f>
        <v>0</v>
      </c>
      <c r="AL6" s="472">
        <f>AD6+AH6</f>
        <v>156715581</v>
      </c>
      <c r="AM6" s="313">
        <f t="shared" ref="AM6:AM11" si="15">IF(ISERR(AL6/$AL$11),"",AL6/AL$11)</f>
        <v>0.59278848390111938</v>
      </c>
      <c r="AN6" s="477">
        <f>AF6+AJ6</f>
        <v>956618548</v>
      </c>
      <c r="AO6" s="119">
        <f t="shared" ref="AO6:AO11" si="16">IF(ISERR(AN6/$AN$11),"",AN6/$AN$11)</f>
        <v>0.60811070843186998</v>
      </c>
      <c r="AP6" s="481">
        <f>B6+Z6+AL6</f>
        <v>584194253</v>
      </c>
      <c r="AQ6" s="282">
        <f t="shared" ref="AQ6:AQ11" si="17">IF(ISERR(AP6/$AP$11),"",AP6/$AP$11)</f>
        <v>0.71677294138596026</v>
      </c>
      <c r="AR6" s="486">
        <f>D6+AB6+AN6</f>
        <v>3510128566</v>
      </c>
      <c r="AS6" s="283">
        <f t="shared" ref="AS6:AS11" si="18">IF(ISERR(AR6/$AR$11),"",AR6/$AR$11)</f>
        <v>0.71078343152134604</v>
      </c>
      <c r="AT6" s="573">
        <f>[6]全社合計!$G$5</f>
        <v>689044004</v>
      </c>
      <c r="AU6" s="120">
        <f>IF(ISERR(AT6/$AT$11),"",AT6/$AT$11)</f>
        <v>0.72051852195167476</v>
      </c>
      <c r="AV6" s="577">
        <f>[6]全社合計!$N$5</f>
        <v>4073183655</v>
      </c>
      <c r="AW6" s="121">
        <f>IF(ISERR(AV6/$AV$11),"",AV6/$AV$11)</f>
        <v>0.72816805528277917</v>
      </c>
      <c r="AX6" s="573">
        <f>AP6-AT6</f>
        <v>-104849751</v>
      </c>
      <c r="AY6" s="120">
        <f>IF(ISERROR(AP6/AT6),"",AP6/AT6)</f>
        <v>0.84783301154740187</v>
      </c>
      <c r="AZ6" s="577">
        <f>AR6-AV6</f>
        <v>-563055089</v>
      </c>
      <c r="BA6" s="121">
        <f>IF(ISERROR(AR6/AV6),"",AR6/AV6)</f>
        <v>0.86176535685818467</v>
      </c>
      <c r="BB6" s="8"/>
    </row>
    <row r="7" spans="1:54" ht="15.95" customHeight="1">
      <c r="A7" s="254" t="s">
        <v>53</v>
      </c>
      <c r="B7" s="719"/>
      <c r="C7" s="259" t="str">
        <f t="shared" si="0"/>
        <v/>
      </c>
      <c r="D7" s="723"/>
      <c r="E7" s="122" t="str">
        <f t="shared" si="1"/>
        <v/>
      </c>
      <c r="F7" s="352">
        <f>[6]本社営業!$I$6</f>
        <v>28924339</v>
      </c>
      <c r="G7" s="9">
        <f t="shared" si="2"/>
        <v>5.6141241727423248E-2</v>
      </c>
      <c r="H7" s="355">
        <f>[6]本社営業!$L$6</f>
        <v>233370760</v>
      </c>
      <c r="I7" s="124">
        <f t="shared" ref="I7:I73" si="19">IF(ISERR(H7/$H$11),"",H7/$H$11)</f>
        <v>7.4148834567605515E-2</v>
      </c>
      <c r="J7" s="745">
        <f>[6]東大阪!$I$6</f>
        <v>0</v>
      </c>
      <c r="K7" s="9">
        <f t="shared" ref="K7:K73" si="20">IF(ISERR(J7/$J$11),"",J7/$J$11)</f>
        <v>0</v>
      </c>
      <c r="L7" s="355">
        <f>[6]東大阪!$L$6</f>
        <v>0</v>
      </c>
      <c r="M7" s="124">
        <f t="shared" si="3"/>
        <v>0</v>
      </c>
      <c r="N7" s="403">
        <f>[6]南港工場!$I$6</f>
        <v>0</v>
      </c>
      <c r="O7" s="9">
        <f>IF(ISERR(N7/$N$11),"",N7/$N$11)</f>
        <v>0</v>
      </c>
      <c r="P7" s="355">
        <f>[6]南港工場!$L$6</f>
        <v>0</v>
      </c>
      <c r="Q7" s="204">
        <f t="shared" si="5"/>
        <v>0</v>
      </c>
      <c r="R7" s="437"/>
      <c r="S7" s="9" t="str">
        <f t="shared" si="6"/>
        <v/>
      </c>
      <c r="T7" s="355">
        <f>[6]南港事務!$L$6</f>
        <v>0</v>
      </c>
      <c r="U7" s="204" t="str">
        <f t="shared" si="7"/>
        <v/>
      </c>
      <c r="V7" s="456">
        <f t="shared" ref="V7:V73" si="21">N7+R7</f>
        <v>0</v>
      </c>
      <c r="W7" s="171">
        <f t="shared" si="8"/>
        <v>0</v>
      </c>
      <c r="X7" s="407">
        <f t="shared" ref="X7:X73" si="22">P7+T7</f>
        <v>0</v>
      </c>
      <c r="Y7" s="225">
        <f t="shared" si="9"/>
        <v>0</v>
      </c>
      <c r="Z7" s="460">
        <f t="shared" ref="Z7:Z73" si="23">F7+J7+N7+R7</f>
        <v>28924339</v>
      </c>
      <c r="AA7" s="189">
        <f t="shared" si="10"/>
        <v>5.2526316699189203E-2</v>
      </c>
      <c r="AB7" s="463">
        <f t="shared" ref="AB7:AB73" si="24">H7+L7+P7+T7</f>
        <v>233370760</v>
      </c>
      <c r="AC7" s="123">
        <f t="shared" si="11"/>
        <v>6.9346309750610763E-2</v>
      </c>
      <c r="AD7" s="352">
        <f>[6]東京事務!$I$6</f>
        <v>0</v>
      </c>
      <c r="AE7" s="9">
        <f t="shared" si="12"/>
        <v>0</v>
      </c>
      <c r="AF7" s="355">
        <f>[6]東京事務!$L$6</f>
        <v>0</v>
      </c>
      <c r="AG7" s="81">
        <f t="shared" si="13"/>
        <v>0</v>
      </c>
      <c r="AH7" s="468">
        <f>[6]東京工場!$I$6</f>
        <v>0</v>
      </c>
      <c r="AI7" s="170">
        <f t="shared" ref="AI7:AI73" si="25">IF(ISERR(AH7/$AH$11),"",AH7/$AH$11)</f>
        <v>0</v>
      </c>
      <c r="AJ7" s="355">
        <f>[6]東京工場!$L$6</f>
        <v>0</v>
      </c>
      <c r="AK7" s="98">
        <f t="shared" si="14"/>
        <v>0</v>
      </c>
      <c r="AL7" s="473">
        <f t="shared" ref="AL7:AL73" si="26">AD7+AH7</f>
        <v>0</v>
      </c>
      <c r="AM7" s="314">
        <f t="shared" si="15"/>
        <v>0</v>
      </c>
      <c r="AN7" s="478">
        <f t="shared" ref="AN7:AN73" si="27">AF7+AJ7</f>
        <v>0</v>
      </c>
      <c r="AO7" s="123">
        <f t="shared" si="16"/>
        <v>0</v>
      </c>
      <c r="AP7" s="482">
        <f t="shared" ref="AP7:AP73" si="28">B7+Z7+AL7</f>
        <v>28924339</v>
      </c>
      <c r="AQ7" s="284">
        <f t="shared" si="17"/>
        <v>3.5488509919789718E-2</v>
      </c>
      <c r="AR7" s="487">
        <f t="shared" ref="AR7:AR73" si="29">D7+AB7+AN7</f>
        <v>233370760</v>
      </c>
      <c r="AS7" s="285">
        <f t="shared" si="18"/>
        <v>4.7256408559009026E-2</v>
      </c>
      <c r="AT7" s="574">
        <f>[6]全社合計!$G$6</f>
        <v>10549653</v>
      </c>
      <c r="AU7" s="124">
        <f t="shared" ref="AU7:AU73" si="30">IF(ISERR(AT7/$AT$11),"",AT7/$AT$11)</f>
        <v>1.1031545652435649E-2</v>
      </c>
      <c r="AV7" s="578">
        <f>[6]全社合計!$N$6</f>
        <v>182202263</v>
      </c>
      <c r="AW7" s="125">
        <f t="shared" ref="AW7:AW73" si="31">IF(ISERR(AV7/$AV$11),"",AV7/$AV$11)</f>
        <v>3.2572522811233628E-2</v>
      </c>
      <c r="AX7" s="574">
        <f t="shared" ref="AX7:AX73" si="32">AP7-AT7</f>
        <v>18374686</v>
      </c>
      <c r="AY7" s="124">
        <f t="shared" ref="AY7:AY73" si="33">IF(ISERROR(AP7/AT7),"",AP7/AT7)</f>
        <v>2.7417336854586591</v>
      </c>
      <c r="AZ7" s="578">
        <f t="shared" ref="AZ7:AZ73" si="34">AR7-AV7</f>
        <v>51168497</v>
      </c>
      <c r="BA7" s="125">
        <f t="shared" ref="BA7:BA73" si="35">IF(ISERROR(AR7/AV7),"",AR7/AV7)</f>
        <v>1.280833487781653</v>
      </c>
      <c r="BB7" s="8"/>
    </row>
    <row r="8" spans="1:54" ht="15.95" customHeight="1">
      <c r="A8" s="255" t="s">
        <v>4</v>
      </c>
      <c r="B8" s="706"/>
      <c r="C8" s="259" t="str">
        <f t="shared" si="0"/>
        <v/>
      </c>
      <c r="D8" s="723"/>
      <c r="E8" s="122" t="str">
        <f t="shared" si="1"/>
        <v/>
      </c>
      <c r="F8" s="352">
        <f>[6]本社営業!$I$7</f>
        <v>2426585</v>
      </c>
      <c r="G8" s="9">
        <f t="shared" si="2"/>
        <v>4.7099259574139045E-3</v>
      </c>
      <c r="H8" s="356">
        <f>[6]本社営業!$L$7</f>
        <v>10371314</v>
      </c>
      <c r="I8" s="124">
        <f t="shared" si="19"/>
        <v>3.2952750637427371E-3</v>
      </c>
      <c r="J8" s="745">
        <f>[6]東大阪!$I$7</f>
        <v>0</v>
      </c>
      <c r="K8" s="9">
        <f t="shared" si="20"/>
        <v>0</v>
      </c>
      <c r="L8" s="356">
        <f>[6]東大阪!$L$7</f>
        <v>0</v>
      </c>
      <c r="M8" s="124">
        <f t="shared" si="3"/>
        <v>0</v>
      </c>
      <c r="N8" s="403">
        <f>[6]南港工場!$I$7</f>
        <v>13231780</v>
      </c>
      <c r="O8" s="9">
        <f t="shared" si="4"/>
        <v>0.50494144478467751</v>
      </c>
      <c r="P8" s="356">
        <f>[6]南港工場!$L$7</f>
        <v>84844213</v>
      </c>
      <c r="Q8" s="204">
        <f t="shared" si="5"/>
        <v>0.52119914646021681</v>
      </c>
      <c r="R8" s="437"/>
      <c r="S8" s="9" t="str">
        <f t="shared" si="6"/>
        <v/>
      </c>
      <c r="T8" s="356">
        <f>[6]南港事務!$L$7</f>
        <v>0</v>
      </c>
      <c r="U8" s="204" t="str">
        <f t="shared" si="7"/>
        <v/>
      </c>
      <c r="V8" s="456">
        <f t="shared" si="21"/>
        <v>13231780</v>
      </c>
      <c r="W8" s="171">
        <f t="shared" si="8"/>
        <v>0.50494144478467751</v>
      </c>
      <c r="X8" s="408">
        <f t="shared" si="22"/>
        <v>84844213</v>
      </c>
      <c r="Y8" s="225">
        <f t="shared" si="9"/>
        <v>0.52119914646021681</v>
      </c>
      <c r="Z8" s="460">
        <f t="shared" si="23"/>
        <v>15658365</v>
      </c>
      <c r="AA8" s="189">
        <f t="shared" si="10"/>
        <v>2.8435437676950882E-2</v>
      </c>
      <c r="AB8" s="464">
        <f t="shared" si="24"/>
        <v>95215527</v>
      </c>
      <c r="AC8" s="123">
        <f t="shared" si="11"/>
        <v>2.8293370722234621E-2</v>
      </c>
      <c r="AD8" s="352">
        <f>[6]東京事務!$I$7</f>
        <v>627536</v>
      </c>
      <c r="AE8" s="9">
        <f t="shared" si="12"/>
        <v>2.4579806077278088E-3</v>
      </c>
      <c r="AF8" s="356">
        <f>[6]東京事務!$L$7</f>
        <v>1403216</v>
      </c>
      <c r="AG8" s="81">
        <f t="shared" si="13"/>
        <v>9.2777249388466417E-4</v>
      </c>
      <c r="AH8" s="468">
        <f>[6]東京工場!$I$7</f>
        <v>0</v>
      </c>
      <c r="AI8" s="171">
        <f t="shared" si="25"/>
        <v>0</v>
      </c>
      <c r="AJ8" s="356">
        <f>[6]東京工場!$L$7</f>
        <v>0</v>
      </c>
      <c r="AK8" s="99">
        <f t="shared" si="14"/>
        <v>0</v>
      </c>
      <c r="AL8" s="474">
        <f t="shared" si="26"/>
        <v>627536</v>
      </c>
      <c r="AM8" s="314">
        <f t="shared" si="15"/>
        <v>2.37370216579405E-3</v>
      </c>
      <c r="AN8" s="478">
        <f t="shared" si="27"/>
        <v>1403216</v>
      </c>
      <c r="AO8" s="123">
        <f t="shared" si="16"/>
        <v>8.9200724534031805E-4</v>
      </c>
      <c r="AP8" s="483">
        <f t="shared" si="28"/>
        <v>16285901</v>
      </c>
      <c r="AQ8" s="284">
        <f t="shared" si="17"/>
        <v>1.9981869220631568E-2</v>
      </c>
      <c r="AR8" s="487">
        <f t="shared" si="29"/>
        <v>96618743</v>
      </c>
      <c r="AS8" s="285">
        <f t="shared" si="18"/>
        <v>1.9564810920039397E-2</v>
      </c>
      <c r="AT8" s="575">
        <f>[6]全社合計!$G$7</f>
        <v>15797801</v>
      </c>
      <c r="AU8" s="124">
        <f t="shared" si="30"/>
        <v>1.6519421343962077E-2</v>
      </c>
      <c r="AV8" s="578">
        <f>[6]全社合計!$N$7</f>
        <v>97763813</v>
      </c>
      <c r="AW8" s="125">
        <f t="shared" si="31"/>
        <v>1.7477357177806727E-2</v>
      </c>
      <c r="AX8" s="575">
        <f t="shared" si="32"/>
        <v>488100</v>
      </c>
      <c r="AY8" s="124">
        <f t="shared" si="33"/>
        <v>1.0308967051806768</v>
      </c>
      <c r="AZ8" s="578">
        <f t="shared" si="34"/>
        <v>-1145070</v>
      </c>
      <c r="BA8" s="125">
        <f t="shared" si="35"/>
        <v>0.98828738400373151</v>
      </c>
      <c r="BB8" s="11"/>
    </row>
    <row r="9" spans="1:54" ht="15.95" customHeight="1">
      <c r="A9" s="255" t="s">
        <v>5</v>
      </c>
      <c r="B9" s="706"/>
      <c r="C9" s="259" t="str">
        <f t="shared" si="0"/>
        <v/>
      </c>
      <c r="D9" s="723"/>
      <c r="E9" s="122" t="str">
        <f t="shared" si="1"/>
        <v/>
      </c>
      <c r="F9" s="352">
        <f>[6]本社営業!$I$8</f>
        <v>640200</v>
      </c>
      <c r="G9" s="9">
        <f t="shared" si="2"/>
        <v>1.2426082737412379E-3</v>
      </c>
      <c r="H9" s="356">
        <f>[6]本社営業!$L$8</f>
        <v>6665081</v>
      </c>
      <c r="I9" s="124">
        <f>IF(ISERR(H9/$H$11),"",H9/$H$11)</f>
        <v>2.117694558001571E-3</v>
      </c>
      <c r="J9" s="745">
        <f>[6]東大阪!$I$8</f>
        <v>0</v>
      </c>
      <c r="K9" s="9">
        <f>IF(ISERR(J9/$J$11),"",J9/$J$11)</f>
        <v>0</v>
      </c>
      <c r="L9" s="356">
        <f>[6]東大阪!$L$8</f>
        <v>0</v>
      </c>
      <c r="M9" s="124">
        <f t="shared" si="3"/>
        <v>0</v>
      </c>
      <c r="N9" s="403">
        <f>[6]南港工場!$I$8</f>
        <v>4012875</v>
      </c>
      <c r="O9" s="9">
        <f t="shared" si="4"/>
        <v>0.15313638076209798</v>
      </c>
      <c r="P9" s="356">
        <f>[6]南港工場!$L$8</f>
        <v>26223347</v>
      </c>
      <c r="Q9" s="204">
        <f t="shared" si="5"/>
        <v>0.16109037482297217</v>
      </c>
      <c r="R9" s="437"/>
      <c r="S9" s="9" t="str">
        <f t="shared" si="6"/>
        <v/>
      </c>
      <c r="T9" s="356">
        <f>[6]南港事務!$L$8</f>
        <v>0</v>
      </c>
      <c r="U9" s="204" t="str">
        <f t="shared" si="7"/>
        <v/>
      </c>
      <c r="V9" s="456">
        <f t="shared" si="21"/>
        <v>4012875</v>
      </c>
      <c r="W9" s="171">
        <f t="shared" si="8"/>
        <v>0.15313638076209798</v>
      </c>
      <c r="X9" s="408">
        <f t="shared" si="22"/>
        <v>26223347</v>
      </c>
      <c r="Y9" s="225">
        <f t="shared" si="9"/>
        <v>0.16109037482297217</v>
      </c>
      <c r="Z9" s="460">
        <f t="shared" si="23"/>
        <v>4653075</v>
      </c>
      <c r="AA9" s="189">
        <f t="shared" si="10"/>
        <v>8.4499386857234595E-3</v>
      </c>
      <c r="AB9" s="464">
        <f t="shared" si="24"/>
        <v>32888428</v>
      </c>
      <c r="AC9" s="123">
        <f t="shared" si="11"/>
        <v>9.7728229333386065E-3</v>
      </c>
      <c r="AD9" s="352">
        <f>[6]東京事務!$I$8</f>
        <v>21470</v>
      </c>
      <c r="AE9" s="9">
        <f t="shared" si="12"/>
        <v>8.4095324647376501E-5</v>
      </c>
      <c r="AF9" s="356">
        <f>[6]東京事務!$L$8</f>
        <v>91380</v>
      </c>
      <c r="AG9" s="81">
        <f t="shared" si="13"/>
        <v>6.0418246721232233E-5</v>
      </c>
      <c r="AH9" s="468">
        <f>[6]東京工場!$I$8</f>
        <v>0</v>
      </c>
      <c r="AI9" s="171">
        <f t="shared" si="25"/>
        <v>0</v>
      </c>
      <c r="AJ9" s="356">
        <f>[6]東京工場!$L$8</f>
        <v>0</v>
      </c>
      <c r="AK9" s="99">
        <f t="shared" si="14"/>
        <v>0</v>
      </c>
      <c r="AL9" s="474">
        <f t="shared" si="26"/>
        <v>21470</v>
      </c>
      <c r="AM9" s="314">
        <f t="shared" si="15"/>
        <v>8.1211891428696124E-5</v>
      </c>
      <c r="AN9" s="478">
        <f t="shared" si="27"/>
        <v>91380</v>
      </c>
      <c r="AO9" s="123">
        <f t="shared" si="16"/>
        <v>5.8089148127728208E-5</v>
      </c>
      <c r="AP9" s="483">
        <f t="shared" si="28"/>
        <v>4674545</v>
      </c>
      <c r="AQ9" s="284">
        <f t="shared" si="17"/>
        <v>5.7353994019708945E-3</v>
      </c>
      <c r="AR9" s="487">
        <f t="shared" si="29"/>
        <v>32979808</v>
      </c>
      <c r="AS9" s="285">
        <f t="shared" si="18"/>
        <v>6.6782457281523797E-3</v>
      </c>
      <c r="AT9" s="575">
        <f>[6]全社合計!$G$8</f>
        <v>6678946</v>
      </c>
      <c r="AU9" s="124">
        <f t="shared" si="30"/>
        <v>6.984030442437535E-3</v>
      </c>
      <c r="AV9" s="578">
        <f>[6]全社合計!$N$8</f>
        <v>34437113</v>
      </c>
      <c r="AW9" s="125">
        <f t="shared" si="31"/>
        <v>6.1563650762423861E-3</v>
      </c>
      <c r="AX9" s="575">
        <f t="shared" si="32"/>
        <v>-2004401</v>
      </c>
      <c r="AY9" s="124">
        <f t="shared" si="33"/>
        <v>0.69989261778729761</v>
      </c>
      <c r="AZ9" s="578">
        <f t="shared" si="34"/>
        <v>-1457305</v>
      </c>
      <c r="BA9" s="125">
        <f t="shared" si="35"/>
        <v>0.95768213787259115</v>
      </c>
      <c r="BB9" s="11"/>
    </row>
    <row r="10" spans="1:54" ht="15.95" customHeight="1">
      <c r="A10" s="256" t="s">
        <v>6</v>
      </c>
      <c r="B10" s="720"/>
      <c r="C10" s="260" t="str">
        <f t="shared" si="0"/>
        <v/>
      </c>
      <c r="D10" s="724"/>
      <c r="E10" s="126" t="str">
        <f t="shared" si="1"/>
        <v/>
      </c>
      <c r="F10" s="353">
        <f>[6]本社営業!$I$9</f>
        <v>59925001</v>
      </c>
      <c r="G10" s="12">
        <f t="shared" si="2"/>
        <v>0.11631256177218362</v>
      </c>
      <c r="H10" s="357">
        <f>[6]本社営業!$L$9</f>
        <v>366953375</v>
      </c>
      <c r="I10" s="128">
        <f>IF(ISERR(H10/$H$11),"",H10/$H$11)</f>
        <v>0.11659200620034621</v>
      </c>
      <c r="J10" s="746">
        <f>[6]東大阪!$I$9</f>
        <v>8829918</v>
      </c>
      <c r="K10" s="12">
        <f t="shared" si="20"/>
        <v>0.95432130535074444</v>
      </c>
      <c r="L10" s="357">
        <f>[6]東大阪!$L$9</f>
        <v>52447230</v>
      </c>
      <c r="M10" s="128">
        <f t="shared" si="3"/>
        <v>0.9504881861851886</v>
      </c>
      <c r="N10" s="404">
        <f>[6]南港工場!$I$9</f>
        <v>5194389</v>
      </c>
      <c r="O10" s="12">
        <f t="shared" si="4"/>
        <v>0.19822444799064348</v>
      </c>
      <c r="P10" s="357">
        <f>[6]南港工場!$L$9</f>
        <v>30909237</v>
      </c>
      <c r="Q10" s="205">
        <f t="shared" si="5"/>
        <v>0.18987586038586454</v>
      </c>
      <c r="R10" s="438"/>
      <c r="S10" s="12" t="str">
        <f t="shared" si="6"/>
        <v/>
      </c>
      <c r="T10" s="357">
        <f>[6]南港事務!$L$9</f>
        <v>0</v>
      </c>
      <c r="U10" s="205" t="str">
        <f t="shared" si="7"/>
        <v/>
      </c>
      <c r="V10" s="457">
        <f t="shared" si="21"/>
        <v>5194389</v>
      </c>
      <c r="W10" s="172">
        <f t="shared" si="8"/>
        <v>0.19822444799064348</v>
      </c>
      <c r="X10" s="409">
        <f t="shared" si="22"/>
        <v>30909237</v>
      </c>
      <c r="Y10" s="226">
        <f t="shared" si="9"/>
        <v>0.18987586038586454</v>
      </c>
      <c r="Z10" s="461">
        <f t="shared" si="23"/>
        <v>73949308</v>
      </c>
      <c r="AA10" s="190">
        <f t="shared" si="10"/>
        <v>0.13429121998929297</v>
      </c>
      <c r="AB10" s="465">
        <f t="shared" si="24"/>
        <v>450309842</v>
      </c>
      <c r="AC10" s="127">
        <f t="shared" si="11"/>
        <v>0.13380993311707343</v>
      </c>
      <c r="AD10" s="353">
        <f>[6]東京事務!$I$9</f>
        <v>97940926</v>
      </c>
      <c r="AE10" s="12">
        <f t="shared" si="12"/>
        <v>0.38362244845061377</v>
      </c>
      <c r="AF10" s="357">
        <f>[6]東京事務!$L$9</f>
        <v>554343853</v>
      </c>
      <c r="AG10" s="82">
        <f t="shared" si="13"/>
        <v>0.36651875332624745</v>
      </c>
      <c r="AH10" s="469">
        <f>[6]東京工場!$I$9</f>
        <v>9064638</v>
      </c>
      <c r="AI10" s="172">
        <f t="shared" si="25"/>
        <v>1</v>
      </c>
      <c r="AJ10" s="357">
        <f>[6]東京工場!$L$9</f>
        <v>60642333</v>
      </c>
      <c r="AK10" s="100">
        <f t="shared" si="14"/>
        <v>1</v>
      </c>
      <c r="AL10" s="475">
        <f t="shared" si="26"/>
        <v>107005564</v>
      </c>
      <c r="AM10" s="315">
        <f t="shared" si="15"/>
        <v>0.40475660204165786</v>
      </c>
      <c r="AN10" s="479">
        <f t="shared" si="27"/>
        <v>614986186</v>
      </c>
      <c r="AO10" s="127">
        <f t="shared" si="16"/>
        <v>0.39093919517466197</v>
      </c>
      <c r="AP10" s="484">
        <f t="shared" si="28"/>
        <v>180954872</v>
      </c>
      <c r="AQ10" s="286">
        <f t="shared" si="17"/>
        <v>0.22202128007164756</v>
      </c>
      <c r="AR10" s="488">
        <f t="shared" si="29"/>
        <v>1065296028</v>
      </c>
      <c r="AS10" s="287">
        <f t="shared" si="18"/>
        <v>0.21571710327145319</v>
      </c>
      <c r="AT10" s="576">
        <f>[6]全社合計!$G$9</f>
        <v>234246447</v>
      </c>
      <c r="AU10" s="128">
        <f t="shared" si="30"/>
        <v>0.24494648060948995</v>
      </c>
      <c r="AV10" s="579">
        <f>[6]全社合計!$N$9</f>
        <v>1206154361</v>
      </c>
      <c r="AW10" s="129">
        <f t="shared" si="31"/>
        <v>0.21562569965193804</v>
      </c>
      <c r="AX10" s="576">
        <f t="shared" si="32"/>
        <v>-53291575</v>
      </c>
      <c r="AY10" s="128">
        <f t="shared" si="33"/>
        <v>0.77249783003112105</v>
      </c>
      <c r="AZ10" s="579">
        <f t="shared" si="34"/>
        <v>-140858333</v>
      </c>
      <c r="BA10" s="129">
        <f t="shared" si="35"/>
        <v>0.88321699315233837</v>
      </c>
      <c r="BB10" s="11"/>
    </row>
    <row r="11" spans="1:54" ht="19.899999999999999" customHeight="1">
      <c r="A11" s="62" t="s">
        <v>7</v>
      </c>
      <c r="B11" s="722"/>
      <c r="C11" s="132" t="str">
        <f t="shared" si="0"/>
        <v/>
      </c>
      <c r="D11" s="359"/>
      <c r="E11" s="130" t="str">
        <f t="shared" si="1"/>
        <v/>
      </c>
      <c r="F11" s="358">
        <f>SUM(F6:F10)</f>
        <v>515206613</v>
      </c>
      <c r="G11" s="63">
        <f t="shared" si="2"/>
        <v>1</v>
      </c>
      <c r="H11" s="359">
        <f>SUM(H6:H10)</f>
        <v>3147328766</v>
      </c>
      <c r="I11" s="132">
        <f>IF(ISERR(H11/$H$11),"",H11/$H$11)</f>
        <v>1</v>
      </c>
      <c r="J11" s="747">
        <f>SUM(J6:J10)</f>
        <v>9252563</v>
      </c>
      <c r="K11" s="63">
        <f t="shared" si="20"/>
        <v>1</v>
      </c>
      <c r="L11" s="359">
        <f>SUM(L6:L10)</f>
        <v>55179255</v>
      </c>
      <c r="M11" s="132">
        <f t="shared" si="3"/>
        <v>1</v>
      </c>
      <c r="N11" s="405">
        <f>SUM(N6:N10)</f>
        <v>26204583</v>
      </c>
      <c r="O11" s="63">
        <f t="shared" si="4"/>
        <v>1</v>
      </c>
      <c r="P11" s="359">
        <f>SUM(P6:P10)</f>
        <v>162786554</v>
      </c>
      <c r="Q11" s="206">
        <f t="shared" si="5"/>
        <v>1</v>
      </c>
      <c r="R11" s="439">
        <f>SUM(R6:R10)</f>
        <v>0</v>
      </c>
      <c r="S11" s="63" t="str">
        <f t="shared" si="6"/>
        <v/>
      </c>
      <c r="T11" s="359">
        <f>SUM(T6:T10)</f>
        <v>0</v>
      </c>
      <c r="U11" s="206" t="str">
        <f t="shared" si="7"/>
        <v/>
      </c>
      <c r="V11" s="458">
        <f t="shared" si="21"/>
        <v>26204583</v>
      </c>
      <c r="W11" s="173">
        <f t="shared" si="8"/>
        <v>1</v>
      </c>
      <c r="X11" s="410">
        <f t="shared" si="22"/>
        <v>162786554</v>
      </c>
      <c r="Y11" s="227">
        <f t="shared" si="9"/>
        <v>1</v>
      </c>
      <c r="Z11" s="458">
        <f t="shared" si="23"/>
        <v>550663759</v>
      </c>
      <c r="AA11" s="191">
        <f t="shared" si="10"/>
        <v>1</v>
      </c>
      <c r="AB11" s="410">
        <f t="shared" si="24"/>
        <v>3365294575</v>
      </c>
      <c r="AC11" s="131">
        <f t="shared" si="11"/>
        <v>1</v>
      </c>
      <c r="AD11" s="466">
        <f>SUM(AD6:AD10)</f>
        <v>255305513</v>
      </c>
      <c r="AE11" s="63">
        <f t="shared" si="12"/>
        <v>1</v>
      </c>
      <c r="AF11" s="359">
        <f>SUM(AF6:AF10)</f>
        <v>1512456997</v>
      </c>
      <c r="AG11" s="83">
        <f t="shared" si="13"/>
        <v>1</v>
      </c>
      <c r="AH11" s="470">
        <f>SUM(AH6:AH10)</f>
        <v>9064638</v>
      </c>
      <c r="AI11" s="173">
        <f t="shared" si="25"/>
        <v>1</v>
      </c>
      <c r="AJ11" s="359">
        <f>SUM(AJ6:AJ10)</f>
        <v>60642333</v>
      </c>
      <c r="AK11" s="101">
        <f t="shared" si="14"/>
        <v>1</v>
      </c>
      <c r="AL11" s="476">
        <f t="shared" si="26"/>
        <v>264370151</v>
      </c>
      <c r="AM11" s="316">
        <f t="shared" si="15"/>
        <v>1</v>
      </c>
      <c r="AN11" s="480">
        <f t="shared" si="27"/>
        <v>1573099330</v>
      </c>
      <c r="AO11" s="131">
        <f t="shared" si="16"/>
        <v>1</v>
      </c>
      <c r="AP11" s="485">
        <f t="shared" si="28"/>
        <v>815033910</v>
      </c>
      <c r="AQ11" s="132">
        <f t="shared" si="17"/>
        <v>1</v>
      </c>
      <c r="AR11" s="428">
        <f t="shared" si="29"/>
        <v>4938393905</v>
      </c>
      <c r="AS11" s="131">
        <f t="shared" si="18"/>
        <v>1</v>
      </c>
      <c r="AT11" s="485">
        <f>SUM(AT6:AT10)</f>
        <v>956316851</v>
      </c>
      <c r="AU11" s="132">
        <f t="shared" si="30"/>
        <v>1</v>
      </c>
      <c r="AV11" s="410">
        <f>SUM(AV6:AV10)</f>
        <v>5593741205</v>
      </c>
      <c r="AW11" s="131">
        <f t="shared" si="31"/>
        <v>1</v>
      </c>
      <c r="AX11" s="485">
        <f t="shared" si="32"/>
        <v>-141282941</v>
      </c>
      <c r="AY11" s="132">
        <f t="shared" si="33"/>
        <v>0.85226346178856571</v>
      </c>
      <c r="AZ11" s="410">
        <f t="shared" si="34"/>
        <v>-655347300</v>
      </c>
      <c r="BA11" s="131">
        <f t="shared" si="35"/>
        <v>0.8828427565769017</v>
      </c>
      <c r="BB11" s="13"/>
    </row>
    <row r="12" spans="1:54" ht="15.95" customHeight="1">
      <c r="A12" s="65" t="s">
        <v>8</v>
      </c>
      <c r="B12" s="606"/>
      <c r="C12" s="607"/>
      <c r="D12" s="608"/>
      <c r="E12" s="609"/>
      <c r="F12" s="386">
        <f>[6]本社営業!$I$11</f>
        <v>2445033</v>
      </c>
      <c r="G12" s="610"/>
      <c r="H12" s="608">
        <f>[6]本社営業!$L$11</f>
        <v>15047496</v>
      </c>
      <c r="I12" s="607"/>
      <c r="J12" s="748">
        <f>[6]東大阪!$I$11</f>
        <v>29780</v>
      </c>
      <c r="K12" s="610"/>
      <c r="L12" s="608">
        <f>[6]東大阪!$L$11</f>
        <v>187676</v>
      </c>
      <c r="M12" s="607"/>
      <c r="N12" s="612">
        <f>[6]南港工場!$I$11</f>
        <v>98150</v>
      </c>
      <c r="O12" s="610"/>
      <c r="P12" s="608">
        <f>[6]南港工場!$L$11</f>
        <v>530695</v>
      </c>
      <c r="Q12" s="614"/>
      <c r="R12" s="615"/>
      <c r="S12" s="610"/>
      <c r="T12" s="608">
        <f>[6]南港事務!$L$11</f>
        <v>0</v>
      </c>
      <c r="U12" s="614"/>
      <c r="V12" s="616">
        <f t="shared" si="21"/>
        <v>98150</v>
      </c>
      <c r="W12" s="617"/>
      <c r="X12" s="613">
        <f t="shared" si="22"/>
        <v>530695</v>
      </c>
      <c r="Y12" s="618"/>
      <c r="Z12" s="616">
        <f t="shared" si="23"/>
        <v>2572963</v>
      </c>
      <c r="AA12" s="619"/>
      <c r="AB12" s="613">
        <f t="shared" si="24"/>
        <v>15765867</v>
      </c>
      <c r="AC12" s="620"/>
      <c r="AD12" s="386">
        <f>[6]東京事務!$I$11</f>
        <v>1094878</v>
      </c>
      <c r="AE12" s="610"/>
      <c r="AF12" s="608">
        <f>[6]東京事務!$L$11</f>
        <v>6416787</v>
      </c>
      <c r="AG12" s="621"/>
      <c r="AH12" s="622"/>
      <c r="AI12" s="617">
        <f t="shared" si="25"/>
        <v>0</v>
      </c>
      <c r="AJ12" s="608">
        <f>[6]東京工場!$L$11</f>
        <v>0</v>
      </c>
      <c r="AK12" s="623"/>
      <c r="AL12" s="624">
        <f t="shared" si="26"/>
        <v>1094878</v>
      </c>
      <c r="AM12" s="625"/>
      <c r="AN12" s="626">
        <f t="shared" si="27"/>
        <v>6416787</v>
      </c>
      <c r="AO12" s="620"/>
      <c r="AP12" s="627">
        <f t="shared" si="28"/>
        <v>3667841</v>
      </c>
      <c r="AQ12" s="628"/>
      <c r="AR12" s="629">
        <f t="shared" si="29"/>
        <v>22182654</v>
      </c>
      <c r="AS12" s="630"/>
      <c r="AT12" s="631">
        <f>[6]全社合計!$G$11</f>
        <v>3824267</v>
      </c>
      <c r="AU12" s="607"/>
      <c r="AV12" s="632">
        <f>[6]全社合計!$N$11</f>
        <v>23399627</v>
      </c>
      <c r="AW12" s="620"/>
      <c r="AX12" s="631">
        <f t="shared" si="32"/>
        <v>-156426</v>
      </c>
      <c r="AY12" s="607"/>
      <c r="AZ12" s="632">
        <f t="shared" si="34"/>
        <v>-1216973</v>
      </c>
      <c r="BA12" s="620"/>
      <c r="BB12" s="11"/>
    </row>
    <row r="13" spans="1:54" ht="15.95" customHeight="1">
      <c r="A13" s="66" t="s">
        <v>9</v>
      </c>
      <c r="B13" s="636"/>
      <c r="C13" s="637"/>
      <c r="D13" s="638"/>
      <c r="E13" s="639"/>
      <c r="F13" s="640"/>
      <c r="G13" s="641"/>
      <c r="H13" s="638">
        <f>[6]本社営業!$N$12</f>
        <v>0</v>
      </c>
      <c r="I13" s="637"/>
      <c r="J13" s="749"/>
      <c r="K13" s="641"/>
      <c r="L13" s="638">
        <f>[6]東大阪!$L$12</f>
        <v>0</v>
      </c>
      <c r="M13" s="637"/>
      <c r="N13" s="643">
        <f>[6]南港工場!$I$12</f>
        <v>3731857</v>
      </c>
      <c r="O13" s="641"/>
      <c r="P13" s="638">
        <f>[6]南港工場!$L$12</f>
        <v>23115454</v>
      </c>
      <c r="Q13" s="645"/>
      <c r="R13" s="646"/>
      <c r="S13" s="641"/>
      <c r="T13" s="638">
        <f>[6]南港事務!$N$12</f>
        <v>0</v>
      </c>
      <c r="U13" s="645"/>
      <c r="V13" s="647">
        <f t="shared" si="21"/>
        <v>3731857</v>
      </c>
      <c r="W13" s="648"/>
      <c r="X13" s="644">
        <f t="shared" si="22"/>
        <v>23115454</v>
      </c>
      <c r="Y13" s="649"/>
      <c r="Z13" s="647">
        <f t="shared" si="23"/>
        <v>3731857</v>
      </c>
      <c r="AA13" s="650"/>
      <c r="AB13" s="644">
        <f t="shared" si="24"/>
        <v>23115454</v>
      </c>
      <c r="AC13" s="651"/>
      <c r="AD13" s="640"/>
      <c r="AE13" s="641"/>
      <c r="AF13" s="638">
        <f>[6]東京事務!$L$12</f>
        <v>0</v>
      </c>
      <c r="AG13" s="652"/>
      <c r="AH13" s="653"/>
      <c r="AI13" s="648">
        <f t="shared" si="25"/>
        <v>0</v>
      </c>
      <c r="AJ13" s="638">
        <f>[6]東京工場!$L$12</f>
        <v>0</v>
      </c>
      <c r="AK13" s="654"/>
      <c r="AL13" s="655">
        <f t="shared" si="26"/>
        <v>0</v>
      </c>
      <c r="AM13" s="656"/>
      <c r="AN13" s="657">
        <f t="shared" si="27"/>
        <v>0</v>
      </c>
      <c r="AO13" s="651"/>
      <c r="AP13" s="658">
        <f t="shared" si="28"/>
        <v>3731857</v>
      </c>
      <c r="AQ13" s="659"/>
      <c r="AR13" s="660">
        <f t="shared" si="29"/>
        <v>23115454</v>
      </c>
      <c r="AS13" s="661"/>
      <c r="AT13" s="662">
        <f>[6]全社合計!$G$12</f>
        <v>3660563</v>
      </c>
      <c r="AU13" s="637"/>
      <c r="AV13" s="663">
        <f>[6]全社合計!$N$12</f>
        <v>23710860</v>
      </c>
      <c r="AW13" s="651"/>
      <c r="AX13" s="662">
        <f t="shared" si="32"/>
        <v>71294</v>
      </c>
      <c r="AY13" s="637"/>
      <c r="AZ13" s="663">
        <f t="shared" si="34"/>
        <v>-595406</v>
      </c>
      <c r="BA13" s="651"/>
      <c r="BB13" s="11"/>
    </row>
    <row r="14" spans="1:54" ht="15.95" customHeight="1">
      <c r="A14" s="35" t="s">
        <v>10</v>
      </c>
      <c r="B14" s="705"/>
      <c r="C14" s="258" t="str">
        <f>IF(ISERR(B14/$B$11),"",B14/$B$11)</f>
        <v/>
      </c>
      <c r="D14" s="725"/>
      <c r="E14" s="118" t="str">
        <f>IF(ISERR(D14/$D$11),"",D14/$D$11)</f>
        <v/>
      </c>
      <c r="F14" s="351">
        <f>[6]本社営業!$I$14</f>
        <v>1124338483</v>
      </c>
      <c r="G14" s="7">
        <f>IF(ISERR(F14/$F$11),"",F14/$F$11)</f>
        <v>2.1823060004084227</v>
      </c>
      <c r="H14" s="360">
        <f>[6]本社営業!$L$14</f>
        <v>1205973702</v>
      </c>
      <c r="I14" s="120">
        <f>IF(ISERR(H14/$H$11),"",H14/$H$11)</f>
        <v>0.38317372974438096</v>
      </c>
      <c r="J14" s="744"/>
      <c r="K14" s="7">
        <f t="shared" si="20"/>
        <v>0</v>
      </c>
      <c r="L14" s="360">
        <f>[6]東大阪!$L$14</f>
        <v>0</v>
      </c>
      <c r="M14" s="203">
        <f>IF(ISERR(L14/$L$11),"",L14/$L$11)</f>
        <v>0</v>
      </c>
      <c r="N14" s="402"/>
      <c r="O14" s="7">
        <f>IF(ISERR(N14/$N$11),"",N14/$N$11)</f>
        <v>0</v>
      </c>
      <c r="P14" s="360">
        <f>[6]南港工場!$L$14</f>
        <v>0</v>
      </c>
      <c r="Q14" s="203">
        <f>IF(ISERR(P14/$P$11),"",P14/$P$11)</f>
        <v>0</v>
      </c>
      <c r="R14" s="436"/>
      <c r="S14" s="7" t="str">
        <f>IF(ISERR(R14/$R$11),"",R14/$R$11)</f>
        <v/>
      </c>
      <c r="T14" s="360">
        <f>[6]南港事務!$L$14</f>
        <v>0</v>
      </c>
      <c r="U14" s="203" t="str">
        <f>IF(ISERR(T14/$T$11),"",T14/$T$11)</f>
        <v/>
      </c>
      <c r="V14" s="455">
        <f t="shared" si="21"/>
        <v>0</v>
      </c>
      <c r="W14" s="174">
        <f>IF(ISERR(V14/$V$11),"",V14/$V$11)</f>
        <v>0</v>
      </c>
      <c r="X14" s="421">
        <f t="shared" si="22"/>
        <v>0</v>
      </c>
      <c r="Y14" s="224">
        <f>IF(ISERR(X14/$X$11),"",X14/$X$11)</f>
        <v>0</v>
      </c>
      <c r="Z14" s="459">
        <f t="shared" si="23"/>
        <v>1124338483</v>
      </c>
      <c r="AA14" s="188">
        <f>IF(ISERR(Z14/$Z$11),"",Z14/$Z$11)</f>
        <v>2.0417876873571408</v>
      </c>
      <c r="AB14" s="502">
        <f t="shared" si="24"/>
        <v>1205973702</v>
      </c>
      <c r="AC14" s="119">
        <f>IF(ISERR(AB14/$AB$11),"",AB14/$AB$11)</f>
        <v>0.35835605921659919</v>
      </c>
      <c r="AD14" s="351">
        <f>[6]東京事務!$I$14</f>
        <v>697233631</v>
      </c>
      <c r="AE14" s="7">
        <f>IF(ISERR(AD14/$AD$11),"",AD14/$AD$11)</f>
        <v>2.7309775758739687</v>
      </c>
      <c r="AF14" s="360">
        <f>[6]東京事務!$L$14</f>
        <v>804499700</v>
      </c>
      <c r="AG14" s="80">
        <f>IF(ISERR(AF14/$AF$11),"",AF14/$AF$11)</f>
        <v>0.53191575138714509</v>
      </c>
      <c r="AH14" s="467"/>
      <c r="AI14" s="174">
        <f t="shared" si="25"/>
        <v>0</v>
      </c>
      <c r="AJ14" s="360">
        <f>[6]東京工場!$L$14</f>
        <v>0</v>
      </c>
      <c r="AK14" s="102">
        <f t="shared" ref="AK14:AK77" si="36">IF(ISERR(AJ14/$AJ$11),"",AJ14/$AJ$11)</f>
        <v>0</v>
      </c>
      <c r="AL14" s="506">
        <f t="shared" si="26"/>
        <v>697233631</v>
      </c>
      <c r="AM14" s="313">
        <f>IF(ISERR(AL14/$AL$11),"",AL14/AL$11)</f>
        <v>2.6373387024316521</v>
      </c>
      <c r="AN14" s="477">
        <f>AF14+AJ14</f>
        <v>804499700</v>
      </c>
      <c r="AO14" s="119">
        <f>IF(ISERR(AN14/$AN$11),"",AN14/$AN$11)</f>
        <v>0.51141061766264939</v>
      </c>
      <c r="AP14" s="511">
        <f>B14+Z14+AL14</f>
        <v>1821572114</v>
      </c>
      <c r="AQ14" s="282">
        <f>IF(ISERR(AP14/$AP$11),"",AP14/$AP$11)</f>
        <v>2.2349648175988164</v>
      </c>
      <c r="AR14" s="486">
        <f>D14+AB14+AN14</f>
        <v>2010473402</v>
      </c>
      <c r="AS14" s="283">
        <f>IF(ISERR(AR14/$AR$11),"",AR14/$AR$11)</f>
        <v>0.40711078149607427</v>
      </c>
      <c r="AT14" s="580">
        <f>[6]全社合計!$G$14</f>
        <v>1944937491</v>
      </c>
      <c r="AU14" s="120">
        <f t="shared" si="30"/>
        <v>2.0337793786298137</v>
      </c>
      <c r="AV14" s="577">
        <f>[6]全社合計!$N$14</f>
        <v>1816376496</v>
      </c>
      <c r="AW14" s="121">
        <f t="shared" si="31"/>
        <v>0.32471586178788908</v>
      </c>
      <c r="AX14" s="592">
        <f t="shared" si="32"/>
        <v>-123365377</v>
      </c>
      <c r="AY14" s="120">
        <f t="shared" si="33"/>
        <v>0.9365710324517571</v>
      </c>
      <c r="AZ14" s="577">
        <f t="shared" si="34"/>
        <v>194096906</v>
      </c>
      <c r="BA14" s="121">
        <f t="shared" si="35"/>
        <v>1.1068594019067288</v>
      </c>
      <c r="BB14" s="13"/>
    </row>
    <row r="15" spans="1:54" ht="15.95" customHeight="1">
      <c r="A15" s="35" t="s">
        <v>11</v>
      </c>
      <c r="B15" s="719"/>
      <c r="C15" s="259" t="str">
        <f>IF(ISERR(B15/$B$11),"",B15/$B$11)</f>
        <v/>
      </c>
      <c r="D15" s="726"/>
      <c r="E15" s="122" t="str">
        <f>IF(ISERR(D15/$D$11),"",D15/$D$11)</f>
        <v/>
      </c>
      <c r="F15" s="352">
        <f>[6]本社営業!$I$15</f>
        <v>452135577</v>
      </c>
      <c r="G15" s="9">
        <f>IF(ISERR(F15/$F$11),"",F15/$F$11)</f>
        <v>0.87758108221332165</v>
      </c>
      <c r="H15" s="355">
        <f>[6]本社営業!$L$15</f>
        <v>2651459090</v>
      </c>
      <c r="I15" s="124">
        <f t="shared" si="19"/>
        <v>0.84244744897425816</v>
      </c>
      <c r="J15" s="745">
        <f>[6]東大阪!$I$15</f>
        <v>499465</v>
      </c>
      <c r="K15" s="9">
        <f>IF(ISERR(J15/$J$11),"",J15/$J$11)</f>
        <v>5.3981259030605896E-2</v>
      </c>
      <c r="L15" s="355">
        <f>[6]東大阪!$L$15</f>
        <v>3147821</v>
      </c>
      <c r="M15" s="124">
        <f>IF(ISERR(L15/$L$11),"",L15/$L$11)</f>
        <v>5.7047181952710309E-2</v>
      </c>
      <c r="N15" s="403">
        <f>[6]南港工場!$I$15</f>
        <v>1746641</v>
      </c>
      <c r="O15" s="9">
        <f>IF(ISERR(N15/$N$11),"",N15/$N$11)</f>
        <v>6.6654027656154649E-2</v>
      </c>
      <c r="P15" s="355">
        <f>[6]南港工場!$L$15</f>
        <v>10642310</v>
      </c>
      <c r="Q15" s="204">
        <f>IF(ISERR(P15/$P$11),"",P15/$P$11)</f>
        <v>6.5375854076989676E-2</v>
      </c>
      <c r="R15" s="437"/>
      <c r="S15" s="9" t="str">
        <f>IF(ISERR(R15/$R$11),"",R15/$R$11)</f>
        <v/>
      </c>
      <c r="T15" s="355">
        <f>[6]南港事務!$L$15</f>
        <v>0</v>
      </c>
      <c r="U15" s="204" t="str">
        <f>IF(ISERR(T15/$T$11),"",T15/$T$11)</f>
        <v/>
      </c>
      <c r="V15" s="456">
        <f t="shared" si="21"/>
        <v>1746641</v>
      </c>
      <c r="W15" s="171">
        <f>IF(ISERR(V15/$V$11),"",V15/$V$11)</f>
        <v>6.6654027656154649E-2</v>
      </c>
      <c r="X15" s="407">
        <f t="shared" si="22"/>
        <v>10642310</v>
      </c>
      <c r="Y15" s="225">
        <f>IF(ISERR(X15/$X$11),"",X15/$X$11)</f>
        <v>6.5375854076989676E-2</v>
      </c>
      <c r="Z15" s="460">
        <f t="shared" si="23"/>
        <v>454381683</v>
      </c>
      <c r="AA15" s="189">
        <f>IF(ISERR(Z15/$Z$11),"",Z15/$Z$11)</f>
        <v>0.82515269177174955</v>
      </c>
      <c r="AB15" s="463">
        <f t="shared" si="24"/>
        <v>2665249221</v>
      </c>
      <c r="AC15" s="123">
        <f>IF(ISERR(AB15/$AB$11),"",AB15/$AB$11)</f>
        <v>0.79198095786310174</v>
      </c>
      <c r="AD15" s="352">
        <f>[6]東京事務!$I$15</f>
        <v>217216806</v>
      </c>
      <c r="AE15" s="9">
        <f>IF(ISERR(AD15/$AD$11),"",AD15/$AD$11)</f>
        <v>0.8508112631316348</v>
      </c>
      <c r="AF15" s="355">
        <f>[6]東京事務!$L$15</f>
        <v>1257870682</v>
      </c>
      <c r="AG15" s="81">
        <f>IF(ISERR(AF15/$AF$11),"",AF15/$AF$11)</f>
        <v>0.83167368361217608</v>
      </c>
      <c r="AH15" s="468">
        <f>[6]東京工場!$I$15</f>
        <v>0</v>
      </c>
      <c r="AI15" s="171">
        <f t="shared" si="25"/>
        <v>0</v>
      </c>
      <c r="AJ15" s="355">
        <f>[6]東京工場!$L$15</f>
        <v>0</v>
      </c>
      <c r="AK15" s="99">
        <f t="shared" si="36"/>
        <v>0</v>
      </c>
      <c r="AL15" s="473">
        <f t="shared" si="26"/>
        <v>217216806</v>
      </c>
      <c r="AM15" s="314">
        <f>IF(ISERR(AL15/$AL$11),"",AL15/AL$11)</f>
        <v>0.82163892246670467</v>
      </c>
      <c r="AN15" s="478">
        <f t="shared" si="27"/>
        <v>1257870682</v>
      </c>
      <c r="AO15" s="123">
        <f>IF(ISERR(AN15/$AN$11),"",AN15/$AN$11)</f>
        <v>0.79961300472996832</v>
      </c>
      <c r="AP15" s="482">
        <f t="shared" si="28"/>
        <v>671598489</v>
      </c>
      <c r="AQ15" s="284">
        <f>IF(ISERR(AP15/$AP$11),"",AP15/$AP$11)</f>
        <v>0.82401294076218257</v>
      </c>
      <c r="AR15" s="487">
        <f t="shared" si="29"/>
        <v>3923119903</v>
      </c>
      <c r="AS15" s="285">
        <f>IF(ISERR(AR15/$AR$11),"",AR15/$AR$11)</f>
        <v>0.79441210613595237</v>
      </c>
      <c r="AT15" s="574">
        <f>[6]全社合計!$G$15</f>
        <v>814139395</v>
      </c>
      <c r="AU15" s="124">
        <f t="shared" si="30"/>
        <v>0.85132808665733739</v>
      </c>
      <c r="AV15" s="578">
        <f>[6]全社合計!$N$15</f>
        <v>4823994653</v>
      </c>
      <c r="AW15" s="125">
        <f t="shared" si="31"/>
        <v>0.86239146149415036</v>
      </c>
      <c r="AX15" s="574">
        <f t="shared" si="32"/>
        <v>-142540906</v>
      </c>
      <c r="AY15" s="124">
        <f t="shared" si="33"/>
        <v>0.82491830407002964</v>
      </c>
      <c r="AZ15" s="578">
        <f t="shared" si="34"/>
        <v>-900874750</v>
      </c>
      <c r="BA15" s="125">
        <f t="shared" si="35"/>
        <v>0.81325129590685719</v>
      </c>
      <c r="BB15" s="11"/>
    </row>
    <row r="16" spans="1:54" ht="15.95" customHeight="1">
      <c r="A16" s="36" t="s">
        <v>12</v>
      </c>
      <c r="B16" s="720"/>
      <c r="C16" s="260" t="str">
        <f>IF(ISERR(B16/$B$11),"",B16/$B$11)</f>
        <v/>
      </c>
      <c r="D16" s="724"/>
      <c r="E16" s="126" t="str">
        <f>IF(ISERR(D16/$D$11),"",D16/$D$11)</f>
        <v/>
      </c>
      <c r="F16" s="353">
        <f>[6]本社営業!$I$16</f>
        <v>1126191021</v>
      </c>
      <c r="G16" s="12">
        <f>IF(ISERR(F16/$F$11),"",F16/$F$11)</f>
        <v>2.1859017190060794</v>
      </c>
      <c r="H16" s="357">
        <f>[6]本社営業!$L$16</f>
        <v>1126191021</v>
      </c>
      <c r="I16" s="128">
        <f t="shared" si="19"/>
        <v>0.35782439799935412</v>
      </c>
      <c r="J16" s="746"/>
      <c r="K16" s="12">
        <f t="shared" si="20"/>
        <v>0</v>
      </c>
      <c r="L16" s="357">
        <f>[6]東大阪!$L$16</f>
        <v>0</v>
      </c>
      <c r="M16" s="128">
        <f t="shared" ref="M16:M78" si="37">IF(ISERR(L16/$L$11),"",L16/$L$11)</f>
        <v>0</v>
      </c>
      <c r="N16" s="404"/>
      <c r="O16" s="12">
        <f>IF(ISERR(N16/$N$11),"",N16/$N$11)</f>
        <v>0</v>
      </c>
      <c r="P16" s="357">
        <f>[6]南港工場!$L$16</f>
        <v>0</v>
      </c>
      <c r="Q16" s="205">
        <f>IF(ISERR(P16/$P$11),"",P16/$P$11)</f>
        <v>0</v>
      </c>
      <c r="R16" s="438"/>
      <c r="S16" s="12" t="str">
        <f>IF(ISERR(R16/$R$11),"",R16/$R$11)</f>
        <v/>
      </c>
      <c r="T16" s="357">
        <f>[6]南港事務!$L$16</f>
        <v>0</v>
      </c>
      <c r="U16" s="205" t="str">
        <f>IF(ISERR(T16/$T$11),"",T16/$T$11)</f>
        <v/>
      </c>
      <c r="V16" s="457">
        <f t="shared" si="21"/>
        <v>0</v>
      </c>
      <c r="W16" s="172">
        <f>IF(ISERR(V16/$V$11),"",V16/$V$11)</f>
        <v>0</v>
      </c>
      <c r="X16" s="409">
        <f t="shared" si="22"/>
        <v>0</v>
      </c>
      <c r="Y16" s="226">
        <f>IF(ISERR(X16/$X$11),"",X16/$X$11)</f>
        <v>0</v>
      </c>
      <c r="Z16" s="461">
        <f t="shared" si="23"/>
        <v>1126191021</v>
      </c>
      <c r="AA16" s="190">
        <f>IF(ISERR(Z16/$Z$11),"",Z16/$Z$11)</f>
        <v>2.0451518782444515</v>
      </c>
      <c r="AB16" s="465">
        <f t="shared" si="24"/>
        <v>1126191021</v>
      </c>
      <c r="AC16" s="127">
        <f>IF(ISERR(AB16/$AB$11),"",AB16/$AB$11)</f>
        <v>0.33464857114328544</v>
      </c>
      <c r="AD16" s="353">
        <f>[6]東京事務!$I$16</f>
        <v>681694060</v>
      </c>
      <c r="AE16" s="12">
        <f>IF(ISERR(AD16/$AD$11),"",AD16/$AD$11)</f>
        <v>2.6701110053976782</v>
      </c>
      <c r="AF16" s="357">
        <f>[6]東京事務!$L$16</f>
        <v>681694060</v>
      </c>
      <c r="AG16" s="82">
        <f>IF(ISERR(AF16/$AF$11),"",AF16/$AF$11)</f>
        <v>0.45071963127028331</v>
      </c>
      <c r="AH16" s="469"/>
      <c r="AI16" s="172">
        <f t="shared" si="25"/>
        <v>0</v>
      </c>
      <c r="AJ16" s="357">
        <f>[6]東京工場!$L$16</f>
        <v>0</v>
      </c>
      <c r="AK16" s="100">
        <f t="shared" si="36"/>
        <v>0</v>
      </c>
      <c r="AL16" s="475">
        <f t="shared" si="26"/>
        <v>681694060</v>
      </c>
      <c r="AM16" s="315">
        <f>IF(ISERR(AL16/$AL$11),"",AL16/AL$11)</f>
        <v>2.5785591051843064</v>
      </c>
      <c r="AN16" s="479">
        <f t="shared" si="27"/>
        <v>681694060</v>
      </c>
      <c r="AO16" s="127">
        <f>IF(ISERR(AN16/$AN$11),"",AN16/$AN$11)</f>
        <v>0.43334457462390502</v>
      </c>
      <c r="AP16" s="484">
        <f t="shared" si="28"/>
        <v>1807885081</v>
      </c>
      <c r="AQ16" s="286">
        <f>IF(ISERR(AP16/$AP$11),"",AP16/$AP$11)</f>
        <v>2.2181716107983775</v>
      </c>
      <c r="AR16" s="488">
        <f t="shared" si="29"/>
        <v>1807885081</v>
      </c>
      <c r="AS16" s="287">
        <f>IF(ISERR(AR16/$AR$11),"",AR16/$AR$11)</f>
        <v>0.36608766246239727</v>
      </c>
      <c r="AT16" s="581">
        <f>[6]全社合計!$G$16</f>
        <v>1956303000</v>
      </c>
      <c r="AU16" s="128">
        <f t="shared" si="30"/>
        <v>2.0456640473859014</v>
      </c>
      <c r="AV16" s="579">
        <f>[6]全社合計!$N$16</f>
        <v>1956303000</v>
      </c>
      <c r="AW16" s="129">
        <f t="shared" si="31"/>
        <v>0.34973069512964716</v>
      </c>
      <c r="AX16" s="576">
        <f t="shared" si="32"/>
        <v>-148417919</v>
      </c>
      <c r="AY16" s="128">
        <f t="shared" si="33"/>
        <v>0.9241334706331279</v>
      </c>
      <c r="AZ16" s="579">
        <f t="shared" si="34"/>
        <v>-148417919</v>
      </c>
      <c r="BA16" s="129">
        <f t="shared" si="35"/>
        <v>0.9241334706331279</v>
      </c>
      <c r="BB16" s="11"/>
    </row>
    <row r="17" spans="1:54" ht="19.899999999999999" customHeight="1">
      <c r="A17" s="60" t="s">
        <v>13</v>
      </c>
      <c r="B17" s="524"/>
      <c r="C17" s="135" t="str">
        <f>IF(ISERR(B17/$B$11),"",B17/$B$11)</f>
        <v/>
      </c>
      <c r="D17" s="385"/>
      <c r="E17" s="133" t="str">
        <f>IF(ISERR(D17/$D$11),"",D17/$D$11)</f>
        <v/>
      </c>
      <c r="F17" s="384">
        <f>F14+F15-F16</f>
        <v>450283039</v>
      </c>
      <c r="G17" s="61">
        <f>IF(ISERR(F17/$F$11),"",F17/$F$11)</f>
        <v>0.87398536361566459</v>
      </c>
      <c r="H17" s="385">
        <f>H14+H15-H16</f>
        <v>2731241771</v>
      </c>
      <c r="I17" s="135">
        <f>IF(ISERR(H17/$H$11),"",H17/$H$11)</f>
        <v>0.86779678071928501</v>
      </c>
      <c r="J17" s="750">
        <f>J14+J15-J16</f>
        <v>499465</v>
      </c>
      <c r="K17" s="61">
        <f t="shared" si="20"/>
        <v>5.3981259030605896E-2</v>
      </c>
      <c r="L17" s="385">
        <f>L14+L15-L16</f>
        <v>3147821</v>
      </c>
      <c r="M17" s="135">
        <f t="shared" si="37"/>
        <v>5.7047181952710309E-2</v>
      </c>
      <c r="N17" s="411">
        <f>N14+N15-N16</f>
        <v>1746641</v>
      </c>
      <c r="O17" s="61">
        <f>IF(ISERR(N17/$N$11),"",N17/$N$11)</f>
        <v>6.6654027656154649E-2</v>
      </c>
      <c r="P17" s="385">
        <f>P14+P15-P16</f>
        <v>10642310</v>
      </c>
      <c r="Q17" s="207">
        <f>IF(ISERR(P17/$P$11),"",P17/$P$11)</f>
        <v>6.5375854076989676E-2</v>
      </c>
      <c r="R17" s="440">
        <f>R14+R15-R16</f>
        <v>0</v>
      </c>
      <c r="S17" s="61" t="str">
        <f>IF(ISERR(R17/$R$11),"",R17/$R$11)</f>
        <v/>
      </c>
      <c r="T17" s="385">
        <f>T14+T15-T16</f>
        <v>0</v>
      </c>
      <c r="U17" s="207" t="str">
        <f>IF(ISERR(T17/$T$11),"",T17/$T$11)</f>
        <v/>
      </c>
      <c r="V17" s="489">
        <f t="shared" si="21"/>
        <v>1746641</v>
      </c>
      <c r="W17" s="175">
        <f>IF(ISERR(V17/$V$11),"",V17/$V$11)</f>
        <v>6.6654027656154649E-2</v>
      </c>
      <c r="X17" s="423">
        <f t="shared" si="22"/>
        <v>10642310</v>
      </c>
      <c r="Y17" s="228">
        <f>IF(ISERR(X17/$X$11),"",X17/$X$11)</f>
        <v>6.5375854076989676E-2</v>
      </c>
      <c r="Z17" s="489">
        <f t="shared" si="23"/>
        <v>452529145</v>
      </c>
      <c r="AA17" s="192">
        <f>IF(ISERR(Z17/$Z$11),"",Z17/$Z$11)</f>
        <v>0.821788500884439</v>
      </c>
      <c r="AB17" s="423">
        <f t="shared" si="24"/>
        <v>2745031902</v>
      </c>
      <c r="AC17" s="134">
        <f>IF(ISERR(AB17/$AB$11),"",AB17/$AB$11)</f>
        <v>0.81568844593641554</v>
      </c>
      <c r="AD17" s="384">
        <f>AD14+AD15-AD16</f>
        <v>232756377</v>
      </c>
      <c r="AE17" s="331">
        <f>IF(ISERR(AD17/$AD$11),"",AD17/$AD$11)</f>
        <v>0.91167783360792531</v>
      </c>
      <c r="AF17" s="385">
        <f>AF14+AF15-AF16</f>
        <v>1380676322</v>
      </c>
      <c r="AG17" s="330">
        <f>IF(ISERR(AF17/$AF$11),"",AF17/$AF$11)</f>
        <v>0.91286980372903781</v>
      </c>
      <c r="AH17" s="489">
        <f>AH14+AH15-AH16</f>
        <v>0</v>
      </c>
      <c r="AI17" s="194">
        <f t="shared" si="25"/>
        <v>0</v>
      </c>
      <c r="AJ17" s="385">
        <f>AJ14+AJ15-AJ16</f>
        <v>0</v>
      </c>
      <c r="AK17" s="103">
        <f t="shared" si="36"/>
        <v>0</v>
      </c>
      <c r="AL17" s="544">
        <f t="shared" si="26"/>
        <v>232756377</v>
      </c>
      <c r="AM17" s="317">
        <f>IF(ISERR(AL17/$AL$11),"",AL17/AL$11)</f>
        <v>0.8804185197140505</v>
      </c>
      <c r="AN17" s="536">
        <f t="shared" si="27"/>
        <v>1380676322</v>
      </c>
      <c r="AO17" s="134">
        <f>IF(ISERR(AN17/$AN$11),"",AN17/$AN$11)</f>
        <v>0.87767904776871275</v>
      </c>
      <c r="AP17" s="524">
        <f t="shared" si="28"/>
        <v>685285522</v>
      </c>
      <c r="AQ17" s="135">
        <f>IF(ISERR(AP17/$AP$11),"",AP17/$AP$11)</f>
        <v>0.84080614756262106</v>
      </c>
      <c r="AR17" s="516">
        <f t="shared" si="29"/>
        <v>4125708224</v>
      </c>
      <c r="AS17" s="134">
        <f>IF(ISERR(AR17/$AR$11),"",AR17/$AR$11)</f>
        <v>0.83543522516962931</v>
      </c>
      <c r="AT17" s="524">
        <f>AT14+AT15-AT16</f>
        <v>802773886</v>
      </c>
      <c r="AU17" s="135">
        <f t="shared" si="30"/>
        <v>0.83944341790124954</v>
      </c>
      <c r="AV17" s="596">
        <f>AV14+AV15-AV16</f>
        <v>4684068149</v>
      </c>
      <c r="AW17" s="134">
        <f t="shared" si="31"/>
        <v>0.83737662815239233</v>
      </c>
      <c r="AX17" s="524">
        <f t="shared" si="32"/>
        <v>-117488364</v>
      </c>
      <c r="AY17" s="135">
        <f t="shared" si="33"/>
        <v>0.85364700316123632</v>
      </c>
      <c r="AZ17" s="596">
        <f t="shared" si="34"/>
        <v>-558359925</v>
      </c>
      <c r="BA17" s="134">
        <f t="shared" si="35"/>
        <v>0.88079594334698053</v>
      </c>
      <c r="BB17" s="11"/>
    </row>
    <row r="18" spans="1:54" ht="19.899999999999999" customHeight="1">
      <c r="A18" s="55" t="s">
        <v>14</v>
      </c>
      <c r="B18" s="709"/>
      <c r="C18" s="138" t="str">
        <f>IF(ISERR(B18/$B$11),"",B18/$B$11)</f>
        <v/>
      </c>
      <c r="D18" s="376"/>
      <c r="E18" s="136" t="str">
        <f>IF(ISERR(D18/$D$11),"",D18/$D$11)</f>
        <v/>
      </c>
      <c r="F18" s="375">
        <f>F11-F17</f>
        <v>64923574</v>
      </c>
      <c r="G18" s="56">
        <f>IF(ISERR(F18/$F$11),"",F18/$F$11)</f>
        <v>0.12601463638433538</v>
      </c>
      <c r="H18" s="376">
        <f>H11-H17</f>
        <v>416086995</v>
      </c>
      <c r="I18" s="138">
        <f t="shared" si="19"/>
        <v>0.13220321928071496</v>
      </c>
      <c r="J18" s="374">
        <f>J11-J17</f>
        <v>8753098</v>
      </c>
      <c r="K18" s="56">
        <f t="shared" si="20"/>
        <v>0.94601874096939409</v>
      </c>
      <c r="L18" s="376">
        <f>L11-L17</f>
        <v>52031434</v>
      </c>
      <c r="M18" s="138">
        <f t="shared" si="37"/>
        <v>0.9429528180472897</v>
      </c>
      <c r="N18" s="412">
        <f>N11-N17</f>
        <v>24457942</v>
      </c>
      <c r="O18" s="56">
        <f>IF(ISERR(N18/$N$11),"",N18/$N$11)</f>
        <v>0.93334597234384531</v>
      </c>
      <c r="P18" s="376">
        <f>P11-P17</f>
        <v>152144244</v>
      </c>
      <c r="Q18" s="208">
        <f>IF(ISERR(P18/$P$11),"",P18/$P$11)</f>
        <v>0.93462414592301035</v>
      </c>
      <c r="R18" s="441">
        <f>R11-R17</f>
        <v>0</v>
      </c>
      <c r="S18" s="56" t="str">
        <f>IF(ISERR(R18/$R$11),"",R18/$R$11)</f>
        <v/>
      </c>
      <c r="T18" s="376">
        <f>T11-T17</f>
        <v>0</v>
      </c>
      <c r="U18" s="208" t="str">
        <f>IF(ISERR(T18/$T$11),"",T18/$T$11)</f>
        <v/>
      </c>
      <c r="V18" s="490">
        <f t="shared" si="21"/>
        <v>24457942</v>
      </c>
      <c r="W18" s="176">
        <f>IF(ISERR(V18/$V$11),"",V18/$V$11)</f>
        <v>0.93334597234384531</v>
      </c>
      <c r="X18" s="424">
        <f t="shared" si="22"/>
        <v>152144244</v>
      </c>
      <c r="Y18" s="229">
        <f>IF(ISERR(X18/$X$11),"",X18/$X$11)</f>
        <v>0.93462414592301035</v>
      </c>
      <c r="Z18" s="490">
        <f t="shared" si="23"/>
        <v>98134614</v>
      </c>
      <c r="AA18" s="193">
        <f>IF(ISERR(Z18/$Z$11),"",Z18/$Z$11)</f>
        <v>0.178211499115561</v>
      </c>
      <c r="AB18" s="424">
        <f t="shared" si="24"/>
        <v>620262673</v>
      </c>
      <c r="AC18" s="137">
        <f>IF(ISERR(AB18/$AB$11),"",AB18/$AB$11)</f>
        <v>0.18431155406358446</v>
      </c>
      <c r="AD18" s="375">
        <f>AD11-AD17</f>
        <v>22549136</v>
      </c>
      <c r="AE18" s="56">
        <f>IF(ISERR(AD18/$AD$11),"",AD18/$AD$11)</f>
        <v>8.8322166392074741E-2</v>
      </c>
      <c r="AF18" s="376">
        <f>AF11-AF17</f>
        <v>131780675</v>
      </c>
      <c r="AG18" s="84">
        <f>IF(ISERR(AF18/$AF$11),"",AF18/$AF$11)</f>
        <v>8.7130196270962149E-2</v>
      </c>
      <c r="AH18" s="392">
        <f>AH11-AH17</f>
        <v>9064638</v>
      </c>
      <c r="AI18" s="176">
        <f t="shared" si="25"/>
        <v>1</v>
      </c>
      <c r="AJ18" s="376">
        <f>AJ11-AJ17</f>
        <v>60642333</v>
      </c>
      <c r="AK18" s="104">
        <f t="shared" si="36"/>
        <v>1</v>
      </c>
      <c r="AL18" s="545">
        <f t="shared" si="26"/>
        <v>31613774</v>
      </c>
      <c r="AM18" s="318">
        <f>IF(ISERR(AL18/$AL$11),"",AL18/AL$11)</f>
        <v>0.11958148028594953</v>
      </c>
      <c r="AN18" s="537">
        <f t="shared" si="27"/>
        <v>192423008</v>
      </c>
      <c r="AO18" s="137">
        <f>IF(ISERR(AN18/$AN$11),"",AN18/$AN$11)</f>
        <v>0.12232095223128726</v>
      </c>
      <c r="AP18" s="525">
        <f t="shared" si="28"/>
        <v>129748388</v>
      </c>
      <c r="AQ18" s="305">
        <f>IF(ISERR(AP18/$AP$11),"",AP18/$AP$11)</f>
        <v>0.15919385243737896</v>
      </c>
      <c r="AR18" s="517">
        <f t="shared" si="29"/>
        <v>812685681</v>
      </c>
      <c r="AS18" s="304">
        <f>IF(ISERR(AR18/$AR$11),"",AR18/$AR$11)</f>
        <v>0.16456477483037069</v>
      </c>
      <c r="AT18" s="582">
        <f>AT11-AT17</f>
        <v>153542965</v>
      </c>
      <c r="AU18" s="138">
        <f t="shared" si="30"/>
        <v>0.16055658209875046</v>
      </c>
      <c r="AV18" s="597">
        <f>AV11-AV17</f>
        <v>909673056</v>
      </c>
      <c r="AW18" s="137">
        <f t="shared" si="31"/>
        <v>0.16262337184760767</v>
      </c>
      <c r="AX18" s="582">
        <f t="shared" si="32"/>
        <v>-23794577</v>
      </c>
      <c r="AY18" s="138">
        <f t="shared" si="33"/>
        <v>0.84502984555495586</v>
      </c>
      <c r="AZ18" s="597">
        <f t="shared" si="34"/>
        <v>-96987375</v>
      </c>
      <c r="BA18" s="137">
        <f t="shared" si="35"/>
        <v>0.89338216146966987</v>
      </c>
      <c r="BB18" s="13"/>
    </row>
    <row r="19" spans="1:54" ht="15.95" customHeight="1">
      <c r="A19" s="37" t="s">
        <v>15</v>
      </c>
      <c r="B19" s="702">
        <f>[6]本部!$I$19</f>
        <v>5756800</v>
      </c>
      <c r="C19" s="258" t="str">
        <f t="shared" ref="C19:C69" si="38">IF(ISERR(B19/$B$11),"",B19/$B$11)</f>
        <v/>
      </c>
      <c r="D19" s="727">
        <f>[6]本部!$L$19</f>
        <v>34540800</v>
      </c>
      <c r="E19" s="118" t="str">
        <f t="shared" ref="E19:E69" si="39">IF(ISERR(D19/$D$11),"",D19/$D$11)</f>
        <v/>
      </c>
      <c r="F19" s="351">
        <f>[6]本社営業!$I$19</f>
        <v>10303591</v>
      </c>
      <c r="G19" s="7">
        <f t="shared" ref="G19:G69" si="40">IF(ISERR(F19/$F$11),"",F19/$F$11)</f>
        <v>1.9998949431186745E-2</v>
      </c>
      <c r="H19" s="361">
        <f>[6]本社営業!$L$19</f>
        <v>61567020</v>
      </c>
      <c r="I19" s="120">
        <f t="shared" si="19"/>
        <v>1.956167422517054E-2</v>
      </c>
      <c r="J19" s="744">
        <f>[6]東大阪!$I$19</f>
        <v>3744520</v>
      </c>
      <c r="K19" s="7">
        <f t="shared" si="20"/>
        <v>0.40470083802725798</v>
      </c>
      <c r="L19" s="361">
        <f>[6]東大阪!$L$19</f>
        <v>20898210</v>
      </c>
      <c r="M19" s="120">
        <f t="shared" si="37"/>
        <v>0.37873309452981924</v>
      </c>
      <c r="N19" s="402">
        <f>[6]南港工場!$I$19</f>
        <v>7388489</v>
      </c>
      <c r="O19" s="7">
        <f t="shared" ref="O19:O69" si="41">IF(ISERR(N19/$N$11),"",N19/$N$11)</f>
        <v>0.28195407650638821</v>
      </c>
      <c r="P19" s="361">
        <f>[6]南港工場!$L$19</f>
        <v>42947937</v>
      </c>
      <c r="Q19" s="203">
        <f t="shared" ref="Q19:Q69" si="42">IF(ISERR(P19/$P$11),"",P19/$P$11)</f>
        <v>0.26382975709406564</v>
      </c>
      <c r="R19" s="436">
        <f>[6]南港事務!$I$19</f>
        <v>2822786</v>
      </c>
      <c r="S19" s="7" t="str">
        <f t="shared" ref="S19:S69" si="43">IF(ISERR(R19/$R$11),"",R19/$R$11)</f>
        <v/>
      </c>
      <c r="T19" s="361">
        <f>[6]南港事務!$L$19</f>
        <v>16784862</v>
      </c>
      <c r="U19" s="203" t="str">
        <f t="shared" ref="U19:U69" si="44">IF(ISERR(T19/$T$11),"",T19/$T$11)</f>
        <v/>
      </c>
      <c r="V19" s="455">
        <f t="shared" si="21"/>
        <v>10211275</v>
      </c>
      <c r="W19" s="174">
        <f t="shared" ref="W19:W69" si="45">IF(ISERR(V19/$V$11),"",V19/$V$11)</f>
        <v>0.38967515720437146</v>
      </c>
      <c r="X19" s="425">
        <f t="shared" si="22"/>
        <v>59732799</v>
      </c>
      <c r="Y19" s="224">
        <f t="shared" ref="Y19:Y69" si="46">IF(ISERR(X19/$X$11),"",X19/$X$11)</f>
        <v>0.36693939107526041</v>
      </c>
      <c r="Z19" s="459">
        <f t="shared" si="23"/>
        <v>24259386</v>
      </c>
      <c r="AA19" s="188">
        <f t="shared" ref="AA19:AA69" si="47">IF(ISERR(Z19/$Z$11),"",Z19/$Z$11)</f>
        <v>4.4054807681650973E-2</v>
      </c>
      <c r="AB19" s="563">
        <f t="shared" si="24"/>
        <v>142198029</v>
      </c>
      <c r="AC19" s="119">
        <f t="shared" ref="AC19:AC69" si="48">IF(ISERR(AB19/$AB$11),"",AB19/$AB$11)</f>
        <v>4.2254259123809389E-2</v>
      </c>
      <c r="AD19" s="351">
        <f>[6]東京事務!$I$19</f>
        <v>3758494</v>
      </c>
      <c r="AE19" s="7">
        <f t="shared" ref="AE19:AE69" si="49">IF(ISERR(AD19/$AD$11),"",AD19/$AD$11)</f>
        <v>1.4721554406856855E-2</v>
      </c>
      <c r="AF19" s="361">
        <f>[6]東京事務!$L$19</f>
        <v>23887293</v>
      </c>
      <c r="AG19" s="80">
        <f t="shared" ref="AG19:AG69" si="50">IF(ISERR(AF19/$AF$11),"",AF19/$AF$11)</f>
        <v>1.5793700612566904E-2</v>
      </c>
      <c r="AH19" s="387">
        <f>[6]東京工場!$I$19</f>
        <v>4337022</v>
      </c>
      <c r="AI19" s="174">
        <f t="shared" si="25"/>
        <v>0.47845506902757728</v>
      </c>
      <c r="AJ19" s="361">
        <f>[6]東京工場!$L$19</f>
        <v>26400475</v>
      </c>
      <c r="AK19" s="102">
        <f t="shared" si="36"/>
        <v>0.43534728454461014</v>
      </c>
      <c r="AL19" s="546">
        <f t="shared" si="26"/>
        <v>8095516</v>
      </c>
      <c r="AM19" s="313">
        <f t="shared" ref="AM19:AM67" si="51">IF(ISERR(AL19/$AL$11),"",AL19/AL$11)</f>
        <v>3.0621898763450037E-2</v>
      </c>
      <c r="AN19" s="477">
        <f t="shared" si="27"/>
        <v>50287768</v>
      </c>
      <c r="AO19" s="119">
        <f t="shared" ref="AO19:AO69" si="52">IF(ISERR(AN19/$AN$11),"",AN19/$AN$11)</f>
        <v>3.1967318935925047E-2</v>
      </c>
      <c r="AP19" s="526">
        <f t="shared" si="28"/>
        <v>38111702</v>
      </c>
      <c r="AQ19" s="282">
        <f t="shared" ref="AQ19:AQ69" si="53">IF(ISERR(AP19/$AP$11),"",AP19/$AP$11)</f>
        <v>4.6760878943061399E-2</v>
      </c>
      <c r="AR19" s="486">
        <f t="shared" si="29"/>
        <v>227026597</v>
      </c>
      <c r="AS19" s="283">
        <f t="shared" ref="AS19:AS69" si="54">IF(ISERR(AR19/$AR$11),"",AR19/$AR$11)</f>
        <v>4.5971747367122999E-2</v>
      </c>
      <c r="AT19" s="583">
        <f>[6]全社合計!$G$19</f>
        <v>38665657</v>
      </c>
      <c r="AU19" s="120">
        <f t="shared" si="30"/>
        <v>4.0431847414973555E-2</v>
      </c>
      <c r="AV19" s="577">
        <f>[6]全社合計!$N$19</f>
        <v>224396055</v>
      </c>
      <c r="AW19" s="121">
        <f t="shared" si="31"/>
        <v>4.0115558939234124E-2</v>
      </c>
      <c r="AX19" s="583">
        <f t="shared" si="32"/>
        <v>-553955</v>
      </c>
      <c r="AY19" s="120">
        <f t="shared" si="33"/>
        <v>0.98567320348390819</v>
      </c>
      <c r="AZ19" s="577">
        <f t="shared" si="34"/>
        <v>2630542</v>
      </c>
      <c r="BA19" s="121">
        <f t="shared" si="35"/>
        <v>1.011722764020963</v>
      </c>
      <c r="BB19" s="11"/>
    </row>
    <row r="20" spans="1:54" ht="15.95" customHeight="1">
      <c r="A20" s="37" t="s">
        <v>16</v>
      </c>
      <c r="B20" s="703">
        <f>[6]本部!$I$20</f>
        <v>56110</v>
      </c>
      <c r="C20" s="259" t="str">
        <f t="shared" si="38"/>
        <v/>
      </c>
      <c r="D20" s="728">
        <f>[6]本部!$L$20</f>
        <v>336660</v>
      </c>
      <c r="E20" s="122" t="str">
        <f t="shared" si="39"/>
        <v/>
      </c>
      <c r="F20" s="352">
        <f>[6]本社営業!$I$20</f>
        <v>259440</v>
      </c>
      <c r="G20" s="9">
        <f t="shared" si="40"/>
        <v>5.0356496491631793E-4</v>
      </c>
      <c r="H20" s="362">
        <f>[6]本社営業!$L$20</f>
        <v>1247586</v>
      </c>
      <c r="I20" s="124">
        <f t="shared" si="19"/>
        <v>3.9639519502297841E-4</v>
      </c>
      <c r="J20" s="745">
        <f>[6]東大阪!$I$20</f>
        <v>163642</v>
      </c>
      <c r="K20" s="9">
        <f t="shared" si="20"/>
        <v>1.7686126535966306E-2</v>
      </c>
      <c r="L20" s="362">
        <f>[6]東大阪!$L$20</f>
        <v>981852</v>
      </c>
      <c r="M20" s="124">
        <f t="shared" si="37"/>
        <v>1.779386111682733E-2</v>
      </c>
      <c r="N20" s="403">
        <f>[6]南港工場!$I$20</f>
        <v>241330</v>
      </c>
      <c r="O20" s="9">
        <f t="shared" si="41"/>
        <v>9.2094577501958333E-3</v>
      </c>
      <c r="P20" s="362">
        <f>[6]南港工場!$L$20</f>
        <v>1447980</v>
      </c>
      <c r="Q20" s="204">
        <f t="shared" si="42"/>
        <v>8.8949606980438939E-3</v>
      </c>
      <c r="R20" s="437">
        <f>[6]南港事務!$I$20</f>
        <v>88532</v>
      </c>
      <c r="S20" s="9" t="str">
        <f t="shared" si="43"/>
        <v/>
      </c>
      <c r="T20" s="362">
        <f>[6]南港事務!$L$20</f>
        <v>531192</v>
      </c>
      <c r="U20" s="204" t="str">
        <f t="shared" si="44"/>
        <v/>
      </c>
      <c r="V20" s="456">
        <f t="shared" si="21"/>
        <v>329862</v>
      </c>
      <c r="W20" s="171">
        <f t="shared" si="45"/>
        <v>1.2587950741288271E-2</v>
      </c>
      <c r="X20" s="426">
        <f t="shared" si="22"/>
        <v>1979172</v>
      </c>
      <c r="Y20" s="225">
        <f t="shared" si="46"/>
        <v>1.215808032891955E-2</v>
      </c>
      <c r="Z20" s="460">
        <f t="shared" si="23"/>
        <v>752944</v>
      </c>
      <c r="AA20" s="189">
        <f t="shared" si="47"/>
        <v>1.3673389390421098E-3</v>
      </c>
      <c r="AB20" s="564">
        <f t="shared" si="24"/>
        <v>4208610</v>
      </c>
      <c r="AC20" s="123">
        <f t="shared" si="48"/>
        <v>1.2505918594065424E-3</v>
      </c>
      <c r="AD20" s="352">
        <f>[6]東京事務!$I$20</f>
        <v>86532</v>
      </c>
      <c r="AE20" s="9">
        <f t="shared" si="49"/>
        <v>3.389351016481967E-4</v>
      </c>
      <c r="AF20" s="362">
        <f>[6]東京事務!$L$20</f>
        <v>604458</v>
      </c>
      <c r="AG20" s="81">
        <f t="shared" si="50"/>
        <v>3.9965301572141162E-4</v>
      </c>
      <c r="AH20" s="388">
        <f>[6]東京工場!$I$20</f>
        <v>111220</v>
      </c>
      <c r="AI20" s="171">
        <f t="shared" si="25"/>
        <v>1.2269657100482115E-2</v>
      </c>
      <c r="AJ20" s="362">
        <f>[6]東京工場!$L$20</f>
        <v>673586</v>
      </c>
      <c r="AK20" s="99">
        <f t="shared" si="36"/>
        <v>1.1107521209647392E-2</v>
      </c>
      <c r="AL20" s="547">
        <f t="shared" si="26"/>
        <v>197752</v>
      </c>
      <c r="AM20" s="314">
        <f t="shared" si="51"/>
        <v>7.4801182830961884E-4</v>
      </c>
      <c r="AN20" s="478">
        <f t="shared" si="27"/>
        <v>1278044</v>
      </c>
      <c r="AO20" s="123">
        <f t="shared" si="52"/>
        <v>8.124369361977924E-4</v>
      </c>
      <c r="AP20" s="527">
        <f t="shared" si="28"/>
        <v>1006806</v>
      </c>
      <c r="AQ20" s="284">
        <f t="shared" si="53"/>
        <v>1.2352933879769493E-3</v>
      </c>
      <c r="AR20" s="487">
        <f t="shared" si="29"/>
        <v>5823314</v>
      </c>
      <c r="AS20" s="285">
        <f t="shared" si="54"/>
        <v>1.179191881413923E-3</v>
      </c>
      <c r="AT20" s="584">
        <f>[6]全社合計!$G$20</f>
        <v>1046228</v>
      </c>
      <c r="AU20" s="124">
        <f t="shared" si="30"/>
        <v>1.0940181582139662E-3</v>
      </c>
      <c r="AV20" s="578">
        <f>[6]全社合計!$N$20</f>
        <v>6351768</v>
      </c>
      <c r="AW20" s="125">
        <f t="shared" si="31"/>
        <v>1.1355133831222712E-3</v>
      </c>
      <c r="AX20" s="584">
        <f t="shared" si="32"/>
        <v>-39422</v>
      </c>
      <c r="AY20" s="124">
        <f t="shared" si="33"/>
        <v>0.96231987673814889</v>
      </c>
      <c r="AZ20" s="578">
        <f t="shared" si="34"/>
        <v>-528454</v>
      </c>
      <c r="BA20" s="125">
        <f t="shared" si="35"/>
        <v>0.91680206204004933</v>
      </c>
      <c r="BB20" s="11"/>
    </row>
    <row r="21" spans="1:54" ht="15.95" customHeight="1">
      <c r="A21" s="37" t="s">
        <v>17</v>
      </c>
      <c r="B21" s="703">
        <f>[6]本部!$I$21</f>
        <v>0</v>
      </c>
      <c r="C21" s="259" t="str">
        <f t="shared" si="38"/>
        <v/>
      </c>
      <c r="D21" s="728">
        <f>[6]本部!$L$21</f>
        <v>0</v>
      </c>
      <c r="E21" s="122" t="str">
        <f t="shared" si="39"/>
        <v/>
      </c>
      <c r="F21" s="352">
        <f>[6]本社営業!$I$21</f>
        <v>0</v>
      </c>
      <c r="G21" s="9">
        <f t="shared" si="40"/>
        <v>0</v>
      </c>
      <c r="H21" s="362">
        <f>[6]本社営業!$L$21</f>
        <v>0</v>
      </c>
      <c r="I21" s="124">
        <f t="shared" si="19"/>
        <v>0</v>
      </c>
      <c r="J21" s="745">
        <f>[6]東大阪!$I$21</f>
        <v>0</v>
      </c>
      <c r="K21" s="9">
        <f t="shared" si="20"/>
        <v>0</v>
      </c>
      <c r="L21" s="362">
        <f>[6]東大阪!$L$21</f>
        <v>0</v>
      </c>
      <c r="M21" s="124">
        <f t="shared" si="37"/>
        <v>0</v>
      </c>
      <c r="N21" s="403">
        <f>[6]南港工場!$I$21</f>
        <v>0</v>
      </c>
      <c r="O21" s="9">
        <f t="shared" si="41"/>
        <v>0</v>
      </c>
      <c r="P21" s="362">
        <f>[6]南港工場!$L$21</f>
        <v>0</v>
      </c>
      <c r="Q21" s="204">
        <f t="shared" si="42"/>
        <v>0</v>
      </c>
      <c r="R21" s="437">
        <f>[6]南港事務!$I$21</f>
        <v>0</v>
      </c>
      <c r="S21" s="9" t="str">
        <f t="shared" si="43"/>
        <v/>
      </c>
      <c r="T21" s="362">
        <f>[6]南港事務!$L$21</f>
        <v>0</v>
      </c>
      <c r="U21" s="204" t="str">
        <f t="shared" si="44"/>
        <v/>
      </c>
      <c r="V21" s="456">
        <f t="shared" si="21"/>
        <v>0</v>
      </c>
      <c r="W21" s="171">
        <f t="shared" si="45"/>
        <v>0</v>
      </c>
      <c r="X21" s="426">
        <f t="shared" si="22"/>
        <v>0</v>
      </c>
      <c r="Y21" s="225">
        <f t="shared" si="46"/>
        <v>0</v>
      </c>
      <c r="Z21" s="460">
        <f t="shared" si="23"/>
        <v>0</v>
      </c>
      <c r="AA21" s="189">
        <f t="shared" si="47"/>
        <v>0</v>
      </c>
      <c r="AB21" s="564">
        <f t="shared" si="24"/>
        <v>0</v>
      </c>
      <c r="AC21" s="123">
        <f t="shared" si="48"/>
        <v>0</v>
      </c>
      <c r="AD21" s="352">
        <f>[6]東京事務!$I$21</f>
        <v>0</v>
      </c>
      <c r="AE21" s="9">
        <f t="shared" si="49"/>
        <v>0</v>
      </c>
      <c r="AF21" s="362">
        <f>[6]東京事務!$L$21</f>
        <v>0</v>
      </c>
      <c r="AG21" s="81">
        <f t="shared" si="50"/>
        <v>0</v>
      </c>
      <c r="AH21" s="388">
        <f>[6]東京工場!$I$21</f>
        <v>0</v>
      </c>
      <c r="AI21" s="171">
        <f t="shared" si="25"/>
        <v>0</v>
      </c>
      <c r="AJ21" s="362">
        <f>[6]東京工場!$L$21</f>
        <v>0</v>
      </c>
      <c r="AK21" s="99">
        <f t="shared" si="36"/>
        <v>0</v>
      </c>
      <c r="AL21" s="547">
        <f t="shared" si="26"/>
        <v>0</v>
      </c>
      <c r="AM21" s="314">
        <f t="shared" si="51"/>
        <v>0</v>
      </c>
      <c r="AN21" s="478">
        <f t="shared" si="27"/>
        <v>0</v>
      </c>
      <c r="AO21" s="123">
        <f t="shared" si="52"/>
        <v>0</v>
      </c>
      <c r="AP21" s="527">
        <f t="shared" si="28"/>
        <v>0</v>
      </c>
      <c r="AQ21" s="284">
        <f t="shared" si="53"/>
        <v>0</v>
      </c>
      <c r="AR21" s="487">
        <f t="shared" si="29"/>
        <v>0</v>
      </c>
      <c r="AS21" s="285">
        <f t="shared" si="54"/>
        <v>0</v>
      </c>
      <c r="AT21" s="584">
        <f>[6]全社合計!$G$21</f>
        <v>0</v>
      </c>
      <c r="AU21" s="124">
        <f t="shared" si="30"/>
        <v>0</v>
      </c>
      <c r="AV21" s="578">
        <f>[6]全社合計!$N$21</f>
        <v>2035207</v>
      </c>
      <c r="AW21" s="125">
        <f t="shared" si="31"/>
        <v>3.6383646032476754E-4</v>
      </c>
      <c r="AX21" s="584">
        <f t="shared" si="32"/>
        <v>0</v>
      </c>
      <c r="AY21" s="124" t="str">
        <f t="shared" si="33"/>
        <v/>
      </c>
      <c r="AZ21" s="578">
        <f t="shared" si="34"/>
        <v>-2035207</v>
      </c>
      <c r="BA21" s="125">
        <f t="shared" si="35"/>
        <v>0</v>
      </c>
      <c r="BB21" s="11"/>
    </row>
    <row r="22" spans="1:54" ht="15.95" customHeight="1">
      <c r="A22" s="37" t="s">
        <v>18</v>
      </c>
      <c r="B22" s="703">
        <f>[6]本部!$I$22</f>
        <v>361534</v>
      </c>
      <c r="C22" s="259" t="str">
        <f t="shared" si="38"/>
        <v/>
      </c>
      <c r="D22" s="728">
        <f>[6]本部!$L$22</f>
        <v>2462710</v>
      </c>
      <c r="E22" s="122" t="str">
        <f t="shared" si="39"/>
        <v/>
      </c>
      <c r="F22" s="352">
        <f>[6]本社営業!$I$22</f>
        <v>1177272</v>
      </c>
      <c r="G22" s="9">
        <f t="shared" si="40"/>
        <v>2.2850483093469144E-3</v>
      </c>
      <c r="H22" s="362">
        <f>[6]本社営業!$L$22</f>
        <v>8482777</v>
      </c>
      <c r="I22" s="124">
        <f t="shared" si="19"/>
        <v>2.6952306640595806E-3</v>
      </c>
      <c r="J22" s="745">
        <f>[6]東大阪!$I$22</f>
        <v>669138</v>
      </c>
      <c r="K22" s="9">
        <f t="shared" si="20"/>
        <v>7.2319204959750069E-2</v>
      </c>
      <c r="L22" s="362">
        <f>[6]東大阪!$L$22</f>
        <v>5287438</v>
      </c>
      <c r="M22" s="124">
        <f t="shared" si="37"/>
        <v>9.5822932005877937E-2</v>
      </c>
      <c r="N22" s="403">
        <f>[6]南港工場!$I$22</f>
        <v>887604</v>
      </c>
      <c r="O22" s="9">
        <f t="shared" si="41"/>
        <v>3.3872090237039833E-2</v>
      </c>
      <c r="P22" s="362">
        <f>[6]南港工場!$L$22</f>
        <v>7241474</v>
      </c>
      <c r="Q22" s="204">
        <f t="shared" si="42"/>
        <v>4.4484472593479679E-2</v>
      </c>
      <c r="R22" s="437">
        <f>[6]南港事務!$I$22</f>
        <v>370086</v>
      </c>
      <c r="S22" s="9" t="str">
        <f t="shared" si="43"/>
        <v/>
      </c>
      <c r="T22" s="362">
        <f>[6]南港事務!$L$22</f>
        <v>2937239</v>
      </c>
      <c r="U22" s="204" t="str">
        <f t="shared" si="44"/>
        <v/>
      </c>
      <c r="V22" s="456">
        <f t="shared" si="21"/>
        <v>1257690</v>
      </c>
      <c r="W22" s="171">
        <f t="shared" si="45"/>
        <v>4.7995039646309197E-2</v>
      </c>
      <c r="X22" s="426">
        <f t="shared" si="22"/>
        <v>10178713</v>
      </c>
      <c r="Y22" s="225">
        <f t="shared" si="46"/>
        <v>6.2527971444128E-2</v>
      </c>
      <c r="Z22" s="460">
        <f t="shared" si="23"/>
        <v>3104100</v>
      </c>
      <c r="AA22" s="189">
        <f t="shared" si="47"/>
        <v>5.6370152370968001E-3</v>
      </c>
      <c r="AB22" s="564">
        <f t="shared" si="24"/>
        <v>23948928</v>
      </c>
      <c r="AC22" s="123">
        <f t="shared" si="48"/>
        <v>7.1164432908521836E-3</v>
      </c>
      <c r="AD22" s="352">
        <f>[6]東京事務!$I$22</f>
        <v>458706</v>
      </c>
      <c r="AE22" s="9">
        <f t="shared" si="49"/>
        <v>1.7966944568094776E-3</v>
      </c>
      <c r="AF22" s="362">
        <f>[6]東京事務!$L$22</f>
        <v>3700351</v>
      </c>
      <c r="AG22" s="81">
        <f t="shared" si="50"/>
        <v>2.4465826184412172E-3</v>
      </c>
      <c r="AH22" s="388">
        <f>[6]東京工場!$I$22</f>
        <v>497412</v>
      </c>
      <c r="AI22" s="171">
        <f t="shared" si="25"/>
        <v>5.4873895681217498E-2</v>
      </c>
      <c r="AJ22" s="362">
        <f>[6]東京工場!$L$22</f>
        <v>4256139</v>
      </c>
      <c r="AK22" s="99">
        <f t="shared" si="36"/>
        <v>7.018428858929289E-2</v>
      </c>
      <c r="AL22" s="547">
        <f t="shared" si="26"/>
        <v>956118</v>
      </c>
      <c r="AM22" s="314">
        <f t="shared" si="51"/>
        <v>3.6165883190042887E-3</v>
      </c>
      <c r="AN22" s="478">
        <f t="shared" si="27"/>
        <v>7956490</v>
      </c>
      <c r="AO22" s="123">
        <f t="shared" si="52"/>
        <v>5.0578433594527057E-3</v>
      </c>
      <c r="AP22" s="527">
        <f t="shared" si="28"/>
        <v>4421752</v>
      </c>
      <c r="AQ22" s="284">
        <f t="shared" si="53"/>
        <v>5.4252368468938918E-3</v>
      </c>
      <c r="AR22" s="487">
        <f t="shared" si="29"/>
        <v>34368128</v>
      </c>
      <c r="AS22" s="285">
        <f t="shared" si="54"/>
        <v>6.9593735658071204E-3</v>
      </c>
      <c r="AT22" s="584">
        <f>[6]全社合計!$G$22</f>
        <v>4342415</v>
      </c>
      <c r="AU22" s="124">
        <f t="shared" si="30"/>
        <v>4.5407701385364379E-3</v>
      </c>
      <c r="AV22" s="578">
        <f>[6]全社合計!$N$22</f>
        <v>32354489</v>
      </c>
      <c r="AW22" s="125">
        <f t="shared" si="31"/>
        <v>5.7840518204667285E-3</v>
      </c>
      <c r="AX22" s="584">
        <f t="shared" si="32"/>
        <v>79337</v>
      </c>
      <c r="AY22" s="124">
        <f t="shared" si="33"/>
        <v>1.0182702482374439</v>
      </c>
      <c r="AZ22" s="578">
        <f t="shared" si="34"/>
        <v>2013639</v>
      </c>
      <c r="BA22" s="125">
        <f t="shared" si="35"/>
        <v>1.0622367733886942</v>
      </c>
      <c r="BB22" s="11"/>
    </row>
    <row r="23" spans="1:54" ht="15.95" customHeight="1">
      <c r="A23" s="37" t="s">
        <v>19</v>
      </c>
      <c r="B23" s="703">
        <f>[6]本部!$I$23</f>
        <v>529424</v>
      </c>
      <c r="C23" s="259" t="str">
        <f t="shared" si="38"/>
        <v/>
      </c>
      <c r="D23" s="728">
        <f>[6]本部!$L$23</f>
        <v>3439242</v>
      </c>
      <c r="E23" s="122" t="str">
        <f t="shared" si="39"/>
        <v/>
      </c>
      <c r="F23" s="352">
        <f>[6]本社営業!$I$23</f>
        <v>395233</v>
      </c>
      <c r="G23" s="9">
        <f t="shared" si="40"/>
        <v>7.671349513520317E-4</v>
      </c>
      <c r="H23" s="362">
        <f>[6]本社営業!$L$23</f>
        <v>2248778</v>
      </c>
      <c r="I23" s="124">
        <f t="shared" si="19"/>
        <v>7.1450368461443406E-4</v>
      </c>
      <c r="J23" s="745">
        <f>[6]東大阪!$I$23</f>
        <v>87438</v>
      </c>
      <c r="K23" s="9">
        <f t="shared" si="20"/>
        <v>9.4501383022196125E-3</v>
      </c>
      <c r="L23" s="362">
        <f>[6]東大阪!$L$23</f>
        <v>556309</v>
      </c>
      <c r="M23" s="124">
        <f t="shared" si="37"/>
        <v>1.0081850507042909E-2</v>
      </c>
      <c r="N23" s="403">
        <f>[6]南港工場!$I$23</f>
        <v>68119</v>
      </c>
      <c r="O23" s="9">
        <f t="shared" si="41"/>
        <v>2.5995071167512949E-3</v>
      </c>
      <c r="P23" s="362">
        <f>[6]南港工場!$L$23</f>
        <v>520318</v>
      </c>
      <c r="Q23" s="204">
        <f t="shared" si="42"/>
        <v>3.1963205019992008E-3</v>
      </c>
      <c r="R23" s="437">
        <f>[6]南港事務!$I$23</f>
        <v>51108</v>
      </c>
      <c r="S23" s="9" t="str">
        <f t="shared" si="43"/>
        <v/>
      </c>
      <c r="T23" s="362">
        <f>[6]南港事務!$L$23</f>
        <v>407908</v>
      </c>
      <c r="U23" s="204" t="str">
        <f t="shared" si="44"/>
        <v/>
      </c>
      <c r="V23" s="456">
        <f t="shared" si="21"/>
        <v>119227</v>
      </c>
      <c r="W23" s="171">
        <f t="shared" si="45"/>
        <v>4.5498529780077018E-3</v>
      </c>
      <c r="X23" s="426">
        <f t="shared" si="22"/>
        <v>928226</v>
      </c>
      <c r="Y23" s="225">
        <f t="shared" si="46"/>
        <v>5.7021048556627103E-3</v>
      </c>
      <c r="Z23" s="460">
        <f t="shared" si="23"/>
        <v>601898</v>
      </c>
      <c r="AA23" s="189">
        <f t="shared" si="47"/>
        <v>1.0930408805058115E-3</v>
      </c>
      <c r="AB23" s="564">
        <f t="shared" si="24"/>
        <v>3733313</v>
      </c>
      <c r="AC23" s="123">
        <f t="shared" si="48"/>
        <v>1.1093569721158808E-3</v>
      </c>
      <c r="AD23" s="352">
        <f>[6]東京事務!$I$23</f>
        <v>63170</v>
      </c>
      <c r="AE23" s="9">
        <f t="shared" si="49"/>
        <v>2.4742904787958888E-4</v>
      </c>
      <c r="AF23" s="362">
        <f>[6]東京事務!$L$23</f>
        <v>421406</v>
      </c>
      <c r="AG23" s="81">
        <f t="shared" si="50"/>
        <v>2.7862345893858167E-4</v>
      </c>
      <c r="AH23" s="388">
        <f>[6]東京工場!$I$23</f>
        <v>72114</v>
      </c>
      <c r="AI23" s="171">
        <f t="shared" si="25"/>
        <v>7.9555300498486536E-3</v>
      </c>
      <c r="AJ23" s="362">
        <f>[6]東京工場!$L$23</f>
        <v>466334</v>
      </c>
      <c r="AK23" s="99">
        <f t="shared" si="36"/>
        <v>7.6899086319782584E-3</v>
      </c>
      <c r="AL23" s="547">
        <f t="shared" si="26"/>
        <v>135284</v>
      </c>
      <c r="AM23" s="314">
        <f t="shared" si="51"/>
        <v>5.1172191523240454E-4</v>
      </c>
      <c r="AN23" s="478">
        <f t="shared" si="27"/>
        <v>887740</v>
      </c>
      <c r="AO23" s="123">
        <f t="shared" si="52"/>
        <v>5.6432545807517443E-4</v>
      </c>
      <c r="AP23" s="527">
        <f t="shared" si="28"/>
        <v>1266606</v>
      </c>
      <c r="AQ23" s="284">
        <f t="shared" si="53"/>
        <v>1.5540531313598964E-3</v>
      </c>
      <c r="AR23" s="487">
        <f t="shared" si="29"/>
        <v>8060295</v>
      </c>
      <c r="AS23" s="285">
        <f t="shared" si="54"/>
        <v>1.6321693155823705E-3</v>
      </c>
      <c r="AT23" s="584">
        <f>[6]全社合計!$G$23</f>
        <v>1311459</v>
      </c>
      <c r="AU23" s="124">
        <f t="shared" si="30"/>
        <v>1.3713645206906429E-3</v>
      </c>
      <c r="AV23" s="578">
        <f>[6]全社合計!$N$23</f>
        <v>7840480</v>
      </c>
      <c r="AW23" s="125">
        <f t="shared" si="31"/>
        <v>1.4016522596704579E-3</v>
      </c>
      <c r="AX23" s="584">
        <f t="shared" si="32"/>
        <v>-44853</v>
      </c>
      <c r="AY23" s="124">
        <f t="shared" si="33"/>
        <v>0.96579915956198403</v>
      </c>
      <c r="AZ23" s="578">
        <f t="shared" si="34"/>
        <v>219815</v>
      </c>
      <c r="BA23" s="125">
        <f t="shared" si="35"/>
        <v>1.0280359110666695</v>
      </c>
      <c r="BB23" s="11"/>
    </row>
    <row r="24" spans="1:54" ht="15.95" customHeight="1">
      <c r="A24" s="37" t="s">
        <v>20</v>
      </c>
      <c r="B24" s="703">
        <f>[6]本部!$I$24</f>
        <v>45000</v>
      </c>
      <c r="C24" s="259" t="str">
        <f t="shared" si="38"/>
        <v/>
      </c>
      <c r="D24" s="728">
        <f>[6]本部!$L$24</f>
        <v>270000</v>
      </c>
      <c r="E24" s="122" t="str">
        <f t="shared" si="39"/>
        <v/>
      </c>
      <c r="F24" s="352">
        <f>[6]本社営業!$I$24</f>
        <v>181650</v>
      </c>
      <c r="G24" s="9">
        <f t="shared" si="40"/>
        <v>3.5257699613417033E-4</v>
      </c>
      <c r="H24" s="362">
        <f>[6]本社営業!$L$24</f>
        <v>1761900</v>
      </c>
      <c r="I24" s="124">
        <f t="shared" si="19"/>
        <v>5.5980805660770937E-4</v>
      </c>
      <c r="J24" s="745">
        <f>[6]東大阪!$I$24</f>
        <v>96410</v>
      </c>
      <c r="K24" s="9">
        <f t="shared" si="20"/>
        <v>1.0419815568940196E-2</v>
      </c>
      <c r="L24" s="362">
        <f>[6]東大阪!$L$24</f>
        <v>578460</v>
      </c>
      <c r="M24" s="124">
        <f t="shared" si="37"/>
        <v>1.0483287605097242E-2</v>
      </c>
      <c r="N24" s="403">
        <f>[6]南港工場!$I$24</f>
        <v>28600</v>
      </c>
      <c r="O24" s="9">
        <f t="shared" si="41"/>
        <v>1.091412139624584E-3</v>
      </c>
      <c r="P24" s="362">
        <f>[6]南港工場!$L$24</f>
        <v>171600</v>
      </c>
      <c r="Q24" s="204">
        <f t="shared" si="42"/>
        <v>1.0541411178222988E-3</v>
      </c>
      <c r="R24" s="437">
        <f>[6]南港事務!$I$24</f>
        <v>0</v>
      </c>
      <c r="S24" s="9" t="str">
        <f t="shared" si="43"/>
        <v/>
      </c>
      <c r="T24" s="362">
        <f>[6]南港事務!$L$24</f>
        <v>0</v>
      </c>
      <c r="U24" s="204" t="str">
        <f t="shared" si="44"/>
        <v/>
      </c>
      <c r="V24" s="456">
        <f t="shared" si="21"/>
        <v>28600</v>
      </c>
      <c r="W24" s="171">
        <f t="shared" si="45"/>
        <v>1.091412139624584E-3</v>
      </c>
      <c r="X24" s="426">
        <f t="shared" si="22"/>
        <v>171600</v>
      </c>
      <c r="Y24" s="225">
        <f t="shared" si="46"/>
        <v>1.0541411178222988E-3</v>
      </c>
      <c r="Z24" s="460">
        <f t="shared" si="23"/>
        <v>306660</v>
      </c>
      <c r="AA24" s="189">
        <f t="shared" si="47"/>
        <v>5.56891560390485E-4</v>
      </c>
      <c r="AB24" s="564">
        <f t="shared" si="24"/>
        <v>2511960</v>
      </c>
      <c r="AC24" s="123">
        <f t="shared" si="48"/>
        <v>7.4643094208179384E-4</v>
      </c>
      <c r="AD24" s="352">
        <f>[6]東京事務!$I$24</f>
        <v>143500</v>
      </c>
      <c r="AE24" s="9">
        <f t="shared" si="49"/>
        <v>5.6207168546336872E-4</v>
      </c>
      <c r="AF24" s="362">
        <f>[6]東京事務!$L$24</f>
        <v>1101000</v>
      </c>
      <c r="AG24" s="81">
        <f t="shared" si="50"/>
        <v>7.2795458130965954E-4</v>
      </c>
      <c r="AH24" s="388">
        <f>[6]東京工場!$I$24</f>
        <v>0</v>
      </c>
      <c r="AI24" s="171">
        <f t="shared" si="25"/>
        <v>0</v>
      </c>
      <c r="AJ24" s="362">
        <f>[6]東京工場!$L$24</f>
        <v>0</v>
      </c>
      <c r="AK24" s="99">
        <f t="shared" si="36"/>
        <v>0</v>
      </c>
      <c r="AL24" s="547">
        <f t="shared" si="26"/>
        <v>143500</v>
      </c>
      <c r="AM24" s="314">
        <f t="shared" si="51"/>
        <v>5.4279955379682779E-4</v>
      </c>
      <c r="AN24" s="478">
        <f t="shared" si="27"/>
        <v>1101000</v>
      </c>
      <c r="AO24" s="123">
        <f t="shared" si="52"/>
        <v>6.998922312172112E-4</v>
      </c>
      <c r="AP24" s="527">
        <f t="shared" si="28"/>
        <v>495160</v>
      </c>
      <c r="AQ24" s="284">
        <f t="shared" si="53"/>
        <v>6.0753300436297184E-4</v>
      </c>
      <c r="AR24" s="487">
        <f t="shared" si="29"/>
        <v>3882960</v>
      </c>
      <c r="AS24" s="285">
        <f t="shared" si="54"/>
        <v>7.8627992717806498E-4</v>
      </c>
      <c r="AT24" s="584">
        <f>[6]全社合計!$G$24</f>
        <v>518260</v>
      </c>
      <c r="AU24" s="124">
        <f t="shared" si="30"/>
        <v>5.419333555171245E-4</v>
      </c>
      <c r="AV24" s="578">
        <f>[6]全社合計!$N$24</f>
        <v>3576563</v>
      </c>
      <c r="AW24" s="125">
        <f t="shared" si="31"/>
        <v>6.39386569547241E-4</v>
      </c>
      <c r="AX24" s="584">
        <f t="shared" si="32"/>
        <v>-23100</v>
      </c>
      <c r="AY24" s="124">
        <f t="shared" si="33"/>
        <v>0.95542777756338515</v>
      </c>
      <c r="AZ24" s="578">
        <f t="shared" si="34"/>
        <v>306397</v>
      </c>
      <c r="BA24" s="125">
        <f t="shared" si="35"/>
        <v>1.0856680002561119</v>
      </c>
      <c r="BB24" s="11"/>
    </row>
    <row r="25" spans="1:54" ht="15.95" customHeight="1">
      <c r="A25" s="37" t="s">
        <v>54</v>
      </c>
      <c r="B25" s="703">
        <f>[6]本部!$I$25</f>
        <v>129379</v>
      </c>
      <c r="C25" s="259" t="str">
        <f t="shared" si="38"/>
        <v/>
      </c>
      <c r="D25" s="728">
        <f>[6]本部!$L$25</f>
        <v>776274</v>
      </c>
      <c r="E25" s="122" t="str">
        <f t="shared" si="39"/>
        <v/>
      </c>
      <c r="F25" s="352">
        <f>[6]本社営業!$I$25</f>
        <v>86370</v>
      </c>
      <c r="G25" s="9">
        <f t="shared" si="40"/>
        <v>1.6764148172919511E-4</v>
      </c>
      <c r="H25" s="362">
        <f>[6]本社営業!$L$25</f>
        <v>529140</v>
      </c>
      <c r="I25" s="124">
        <f t="shared" si="19"/>
        <v>1.681235229430747E-4</v>
      </c>
      <c r="J25" s="745">
        <f>[6]東大阪!$I$25</f>
        <v>10180</v>
      </c>
      <c r="K25" s="9">
        <f t="shared" si="20"/>
        <v>1.1002356860472066E-3</v>
      </c>
      <c r="L25" s="362">
        <f>[6]東大阪!$L$25</f>
        <v>61080</v>
      </c>
      <c r="M25" s="124">
        <f t="shared" si="37"/>
        <v>1.1069377431790262E-3</v>
      </c>
      <c r="N25" s="403">
        <f>[6]南港工場!$I$25</f>
        <v>0</v>
      </c>
      <c r="O25" s="9">
        <f t="shared" si="41"/>
        <v>0</v>
      </c>
      <c r="P25" s="362">
        <f>[6]南港工場!$L$25</f>
        <v>0</v>
      </c>
      <c r="Q25" s="204">
        <f t="shared" si="42"/>
        <v>0</v>
      </c>
      <c r="R25" s="437">
        <f>[6]南港事務!$I$25</f>
        <v>10180</v>
      </c>
      <c r="S25" s="9" t="str">
        <f t="shared" si="43"/>
        <v/>
      </c>
      <c r="T25" s="362">
        <f>[6]南港事務!$L$25</f>
        <v>85020</v>
      </c>
      <c r="U25" s="204" t="str">
        <f t="shared" si="44"/>
        <v/>
      </c>
      <c r="V25" s="456">
        <f t="shared" si="21"/>
        <v>10180</v>
      </c>
      <c r="W25" s="171">
        <f t="shared" si="45"/>
        <v>3.8848166368455472E-4</v>
      </c>
      <c r="X25" s="426">
        <f t="shared" si="22"/>
        <v>85020</v>
      </c>
      <c r="Y25" s="225">
        <f t="shared" si="46"/>
        <v>5.2227900837559346E-4</v>
      </c>
      <c r="Z25" s="460">
        <f t="shared" si="23"/>
        <v>106730</v>
      </c>
      <c r="AA25" s="189">
        <f t="shared" si="47"/>
        <v>1.9382063601538013E-4</v>
      </c>
      <c r="AB25" s="564">
        <f t="shared" si="24"/>
        <v>675240</v>
      </c>
      <c r="AC25" s="123">
        <f t="shared" si="48"/>
        <v>2.0064811116869317E-4</v>
      </c>
      <c r="AD25" s="352">
        <f>[6]東京事務!$I$25</f>
        <v>18542</v>
      </c>
      <c r="AE25" s="9">
        <f t="shared" si="49"/>
        <v>7.2626712138409635E-5</v>
      </c>
      <c r="AF25" s="362">
        <f>[6]東京事務!$L$25</f>
        <v>138792</v>
      </c>
      <c r="AG25" s="81">
        <f t="shared" si="50"/>
        <v>9.1765914849346289E-5</v>
      </c>
      <c r="AH25" s="388">
        <f>[6]東京工場!$I$25</f>
        <v>8300</v>
      </c>
      <c r="AI25" s="171">
        <f t="shared" si="25"/>
        <v>9.1564605227478476E-4</v>
      </c>
      <c r="AJ25" s="362">
        <f>[6]東京工場!$L$25</f>
        <v>49800</v>
      </c>
      <c r="AK25" s="99">
        <f t="shared" si="36"/>
        <v>8.2120851122267999E-4</v>
      </c>
      <c r="AL25" s="547">
        <f t="shared" si="26"/>
        <v>26842</v>
      </c>
      <c r="AM25" s="314">
        <f t="shared" si="51"/>
        <v>1.0153188587466518E-4</v>
      </c>
      <c r="AN25" s="478">
        <f t="shared" si="27"/>
        <v>188592</v>
      </c>
      <c r="AO25" s="123">
        <f t="shared" si="52"/>
        <v>1.1988562731127729E-4</v>
      </c>
      <c r="AP25" s="527">
        <f t="shared" si="28"/>
        <v>262951</v>
      </c>
      <c r="AQ25" s="284">
        <f t="shared" si="53"/>
        <v>3.2262584019356939E-4</v>
      </c>
      <c r="AR25" s="487">
        <f t="shared" si="29"/>
        <v>1640106</v>
      </c>
      <c r="AS25" s="285">
        <f t="shared" si="54"/>
        <v>3.3211323996237596E-4</v>
      </c>
      <c r="AT25" s="584">
        <f>[6]全社合計!$G$25</f>
        <v>212181</v>
      </c>
      <c r="AU25" s="124">
        <f t="shared" si="30"/>
        <v>2.2187311640292325E-4</v>
      </c>
      <c r="AV25" s="578">
        <f>[6]全社合計!$N$25</f>
        <v>1470966</v>
      </c>
      <c r="AW25" s="125">
        <f t="shared" si="31"/>
        <v>2.6296640228639251E-4</v>
      </c>
      <c r="AX25" s="584">
        <f t="shared" si="32"/>
        <v>50770</v>
      </c>
      <c r="AY25" s="124">
        <f t="shared" si="33"/>
        <v>1.2392768438267328</v>
      </c>
      <c r="AZ25" s="578">
        <f t="shared" si="34"/>
        <v>169140</v>
      </c>
      <c r="BA25" s="125">
        <f t="shared" si="35"/>
        <v>1.1149856624830214</v>
      </c>
      <c r="BB25" s="11"/>
    </row>
    <row r="26" spans="1:54" ht="15.95" customHeight="1">
      <c r="A26" s="37" t="s">
        <v>55</v>
      </c>
      <c r="B26" s="703">
        <f>[6]本部!$I$26</f>
        <v>348701</v>
      </c>
      <c r="C26" s="259" t="str">
        <f t="shared" si="38"/>
        <v/>
      </c>
      <c r="D26" s="728">
        <f>[6]本部!$L$26</f>
        <v>2052206</v>
      </c>
      <c r="E26" s="122" t="str">
        <f t="shared" si="39"/>
        <v/>
      </c>
      <c r="F26" s="352">
        <f>[6]本社営業!$I$26</f>
        <v>680</v>
      </c>
      <c r="G26" s="9">
        <f t="shared" si="40"/>
        <v>1.3198588349641389E-6</v>
      </c>
      <c r="H26" s="362">
        <f>[6]本社営業!$L$26</f>
        <v>4080</v>
      </c>
      <c r="I26" s="124">
        <f t="shared" si="19"/>
        <v>1.2963374033483478E-6</v>
      </c>
      <c r="J26" s="745">
        <f>[6]東大阪!$I$26</f>
        <v>55623</v>
      </c>
      <c r="K26" s="9">
        <f t="shared" si="20"/>
        <v>6.0116315879178558E-3</v>
      </c>
      <c r="L26" s="362">
        <f>[6]東大阪!$L$26</f>
        <v>138276</v>
      </c>
      <c r="M26" s="124">
        <f t="shared" si="37"/>
        <v>2.5059417710514577E-3</v>
      </c>
      <c r="N26" s="403">
        <f>[6]南港工場!$I$26</f>
        <v>78417</v>
      </c>
      <c r="O26" s="9">
        <f t="shared" si="41"/>
        <v>2.9924918095433919E-3</v>
      </c>
      <c r="P26" s="362">
        <f>[6]南港工場!$L$26</f>
        <v>156834</v>
      </c>
      <c r="Q26" s="204">
        <f t="shared" si="42"/>
        <v>9.634333803761212E-4</v>
      </c>
      <c r="R26" s="437">
        <f>[6]南港事務!$I$26</f>
        <v>5520</v>
      </c>
      <c r="S26" s="9" t="str">
        <f t="shared" si="43"/>
        <v/>
      </c>
      <c r="T26" s="362">
        <f>[6]南港事務!$L$26</f>
        <v>33120</v>
      </c>
      <c r="U26" s="204" t="str">
        <f t="shared" si="44"/>
        <v/>
      </c>
      <c r="V26" s="456">
        <f>N26+R26</f>
        <v>83937</v>
      </c>
      <c r="W26" s="171">
        <f t="shared" si="45"/>
        <v>3.2031419847436612E-3</v>
      </c>
      <c r="X26" s="426">
        <f t="shared" si="22"/>
        <v>189954</v>
      </c>
      <c r="Y26" s="225">
        <f t="shared" si="46"/>
        <v>1.1668899877320335E-3</v>
      </c>
      <c r="Z26" s="460">
        <f t="shared" si="23"/>
        <v>140240</v>
      </c>
      <c r="AA26" s="189">
        <f t="shared" si="47"/>
        <v>2.5467446823570605E-4</v>
      </c>
      <c r="AB26" s="564">
        <f t="shared" si="24"/>
        <v>332310</v>
      </c>
      <c r="AC26" s="123">
        <f t="shared" si="48"/>
        <v>9.8746184797210513E-5</v>
      </c>
      <c r="AD26" s="352">
        <f>[6]東京事務!$I$26</f>
        <v>5520</v>
      </c>
      <c r="AE26" s="9">
        <f t="shared" si="49"/>
        <v>2.1621154730019482E-5</v>
      </c>
      <c r="AF26" s="362">
        <f>[6]東京事務!$L$26</f>
        <v>38070</v>
      </c>
      <c r="AG26" s="81">
        <f t="shared" si="50"/>
        <v>2.5170963588064251E-5</v>
      </c>
      <c r="AH26" s="388">
        <f>[6]東京工場!$I$26</f>
        <v>25000</v>
      </c>
      <c r="AI26" s="171">
        <f t="shared" si="25"/>
        <v>2.7579700369722432E-3</v>
      </c>
      <c r="AJ26" s="362">
        <f>[6]東京工場!$L$26</f>
        <v>138000</v>
      </c>
      <c r="AK26" s="99">
        <f t="shared" si="36"/>
        <v>2.2756380431471854E-3</v>
      </c>
      <c r="AL26" s="547">
        <f t="shared" si="26"/>
        <v>30520</v>
      </c>
      <c r="AM26" s="314">
        <f t="shared" si="51"/>
        <v>1.1544419778313022E-4</v>
      </c>
      <c r="AN26" s="478">
        <f t="shared" si="27"/>
        <v>176070</v>
      </c>
      <c r="AO26" s="123">
        <f t="shared" si="52"/>
        <v>1.1192554509574421E-4</v>
      </c>
      <c r="AP26" s="527">
        <f t="shared" si="28"/>
        <v>519461</v>
      </c>
      <c r="AQ26" s="284">
        <f t="shared" si="53"/>
        <v>6.3734894171458461E-4</v>
      </c>
      <c r="AR26" s="487">
        <f t="shared" si="29"/>
        <v>2560586</v>
      </c>
      <c r="AS26" s="285">
        <f t="shared" si="54"/>
        <v>5.1850582380791267E-4</v>
      </c>
      <c r="AT26" s="584">
        <f>[6]全社合計!$G$26</f>
        <v>518801</v>
      </c>
      <c r="AU26" s="124">
        <f t="shared" si="30"/>
        <v>5.424990676024384E-4</v>
      </c>
      <c r="AV26" s="578">
        <f>[6]全社合計!$N$26</f>
        <v>2585736</v>
      </c>
      <c r="AW26" s="125">
        <f t="shared" si="31"/>
        <v>4.6225520724639958E-4</v>
      </c>
      <c r="AX26" s="584">
        <f t="shared" si="32"/>
        <v>660</v>
      </c>
      <c r="AY26" s="124">
        <f t="shared" si="33"/>
        <v>1.0012721640860369</v>
      </c>
      <c r="AZ26" s="578">
        <f t="shared" si="34"/>
        <v>-25150</v>
      </c>
      <c r="BA26" s="125">
        <f t="shared" si="35"/>
        <v>0.99027356234356489</v>
      </c>
      <c r="BB26" s="11"/>
    </row>
    <row r="27" spans="1:54" ht="15.95" customHeight="1">
      <c r="A27" s="37" t="s">
        <v>21</v>
      </c>
      <c r="B27" s="703">
        <f>[6]本部!$I$27</f>
        <v>0</v>
      </c>
      <c r="C27" s="259" t="str">
        <f t="shared" si="38"/>
        <v/>
      </c>
      <c r="D27" s="728">
        <f>[6]本部!$L$27</f>
        <v>0</v>
      </c>
      <c r="E27" s="122" t="str">
        <f t="shared" si="39"/>
        <v/>
      </c>
      <c r="F27" s="352">
        <f>[6]本社営業!$I$27</f>
        <v>0</v>
      </c>
      <c r="G27" s="9">
        <f t="shared" si="40"/>
        <v>0</v>
      </c>
      <c r="H27" s="362">
        <f>[6]本社営業!$L$27</f>
        <v>0</v>
      </c>
      <c r="I27" s="124">
        <f t="shared" si="19"/>
        <v>0</v>
      </c>
      <c r="J27" s="745">
        <f>[6]東大阪!$I$27</f>
        <v>83000</v>
      </c>
      <c r="K27" s="9">
        <f t="shared" si="20"/>
        <v>8.9704874206206434E-3</v>
      </c>
      <c r="L27" s="362">
        <f>[6]東大阪!$L$27</f>
        <v>511720</v>
      </c>
      <c r="M27" s="124">
        <f t="shared" si="37"/>
        <v>9.2737750808705183E-3</v>
      </c>
      <c r="N27" s="403">
        <f>[6]南港工場!$I$27</f>
        <v>9319760</v>
      </c>
      <c r="O27" s="9">
        <f t="shared" si="41"/>
        <v>0.35565381826530112</v>
      </c>
      <c r="P27" s="362">
        <f>[6]南港工場!$L$27</f>
        <v>41874610</v>
      </c>
      <c r="Q27" s="204">
        <f t="shared" si="42"/>
        <v>0.25723629483550586</v>
      </c>
      <c r="R27" s="437">
        <f>[6]南港事務!$I$27</f>
        <v>0</v>
      </c>
      <c r="S27" s="9" t="str">
        <f t="shared" si="43"/>
        <v/>
      </c>
      <c r="T27" s="362">
        <f>[6]南港事務!$L$27</f>
        <v>0</v>
      </c>
      <c r="U27" s="204" t="str">
        <f t="shared" si="44"/>
        <v/>
      </c>
      <c r="V27" s="456">
        <f>N27+R27</f>
        <v>9319760</v>
      </c>
      <c r="W27" s="171">
        <f t="shared" si="45"/>
        <v>0.35565381826530112</v>
      </c>
      <c r="X27" s="426">
        <f t="shared" si="22"/>
        <v>41874610</v>
      </c>
      <c r="Y27" s="225">
        <f t="shared" si="46"/>
        <v>0.25723629483550586</v>
      </c>
      <c r="Z27" s="460">
        <f t="shared" si="23"/>
        <v>9402760</v>
      </c>
      <c r="AA27" s="189">
        <f t="shared" si="47"/>
        <v>1.7075320186451564E-2</v>
      </c>
      <c r="AB27" s="564">
        <f t="shared" si="24"/>
        <v>42386330</v>
      </c>
      <c r="AC27" s="123">
        <f t="shared" si="48"/>
        <v>1.2595132180962197E-2</v>
      </c>
      <c r="AD27" s="352">
        <f>[6]東京事務!$I$27</f>
        <v>0</v>
      </c>
      <c r="AE27" s="9">
        <f t="shared" si="49"/>
        <v>0</v>
      </c>
      <c r="AF27" s="362">
        <f>[6]東京事務!$L$27</f>
        <v>0</v>
      </c>
      <c r="AG27" s="81">
        <f t="shared" si="50"/>
        <v>0</v>
      </c>
      <c r="AH27" s="388">
        <f>[6]東京工場!$I$27</f>
        <v>30000</v>
      </c>
      <c r="AI27" s="171">
        <f t="shared" si="25"/>
        <v>3.3095640443666918E-3</v>
      </c>
      <c r="AJ27" s="362">
        <f>[6]東京工場!$L$27</f>
        <v>1071360</v>
      </c>
      <c r="AK27" s="99">
        <f t="shared" si="36"/>
        <v>1.7666866477580933E-2</v>
      </c>
      <c r="AL27" s="547">
        <f t="shared" si="26"/>
        <v>30000</v>
      </c>
      <c r="AM27" s="314">
        <f t="shared" si="51"/>
        <v>1.1347725863348317E-4</v>
      </c>
      <c r="AN27" s="478">
        <f t="shared" si="27"/>
        <v>1071360</v>
      </c>
      <c r="AO27" s="123">
        <f t="shared" si="52"/>
        <v>6.8105044581005575E-4</v>
      </c>
      <c r="AP27" s="527">
        <f t="shared" si="28"/>
        <v>9432760</v>
      </c>
      <c r="AQ27" s="284">
        <f t="shared" si="53"/>
        <v>1.1573457109287637E-2</v>
      </c>
      <c r="AR27" s="487">
        <f t="shared" si="29"/>
        <v>43457690</v>
      </c>
      <c r="AS27" s="285">
        <f t="shared" si="54"/>
        <v>8.7999642871744548E-3</v>
      </c>
      <c r="AT27" s="584">
        <f>[6]全社合計!$G$27</f>
        <v>3577249</v>
      </c>
      <c r="AU27" s="124">
        <f t="shared" si="30"/>
        <v>3.7406524796246635E-3</v>
      </c>
      <c r="AV27" s="578">
        <f>[6]全社合計!$N$27</f>
        <v>13749614</v>
      </c>
      <c r="AW27" s="125">
        <f t="shared" si="31"/>
        <v>2.4580354178183688E-3</v>
      </c>
      <c r="AX27" s="584">
        <f t="shared" si="32"/>
        <v>5855511</v>
      </c>
      <c r="AY27" s="124">
        <f t="shared" si="33"/>
        <v>2.6368754313719847</v>
      </c>
      <c r="AZ27" s="578">
        <f t="shared" si="34"/>
        <v>29708076</v>
      </c>
      <c r="BA27" s="125">
        <f t="shared" si="35"/>
        <v>3.1606480007366025</v>
      </c>
      <c r="BB27" s="11"/>
    </row>
    <row r="28" spans="1:54" ht="15.95" customHeight="1">
      <c r="A28" s="37" t="s">
        <v>22</v>
      </c>
      <c r="B28" s="703">
        <f>[6]本部!$I$28</f>
        <v>29137</v>
      </c>
      <c r="C28" s="259" t="str">
        <f t="shared" si="38"/>
        <v/>
      </c>
      <c r="D28" s="728">
        <f>[6]本部!$L$28</f>
        <v>1241318</v>
      </c>
      <c r="E28" s="122" t="str">
        <f t="shared" si="39"/>
        <v/>
      </c>
      <c r="F28" s="352">
        <f>[6]本社営業!$I$28</f>
        <v>118891</v>
      </c>
      <c r="G28" s="9">
        <f t="shared" si="40"/>
        <v>2.3076373051135506E-4</v>
      </c>
      <c r="H28" s="362">
        <f>[6]本社営業!$L$28</f>
        <v>652125</v>
      </c>
      <c r="I28" s="124">
        <f t="shared" si="19"/>
        <v>2.0719951695062289E-4</v>
      </c>
      <c r="J28" s="745">
        <f>[6]東大阪!$I$28</f>
        <v>8841</v>
      </c>
      <c r="K28" s="9">
        <f t="shared" si="20"/>
        <v>9.5551902753863982E-4</v>
      </c>
      <c r="L28" s="362">
        <f>[6]東大阪!$L$28</f>
        <v>115969</v>
      </c>
      <c r="M28" s="124">
        <f t="shared" si="37"/>
        <v>2.1016775235548216E-3</v>
      </c>
      <c r="N28" s="403">
        <f>[6]南港工場!$I$28</f>
        <v>0</v>
      </c>
      <c r="O28" s="9">
        <f t="shared" si="41"/>
        <v>0</v>
      </c>
      <c r="P28" s="362">
        <f>[6]南港工場!$L$28</f>
        <v>0</v>
      </c>
      <c r="Q28" s="204">
        <f t="shared" si="42"/>
        <v>0</v>
      </c>
      <c r="R28" s="437">
        <f>[6]南港事務!$I$28</f>
        <v>49982</v>
      </c>
      <c r="S28" s="9" t="str">
        <f t="shared" si="43"/>
        <v/>
      </c>
      <c r="T28" s="362">
        <f>[6]南港事務!$L$28</f>
        <v>156957</v>
      </c>
      <c r="U28" s="204" t="str">
        <f t="shared" si="44"/>
        <v/>
      </c>
      <c r="V28" s="456">
        <f>N28+R28</f>
        <v>49982</v>
      </c>
      <c r="W28" s="171">
        <f t="shared" si="45"/>
        <v>1.9073762784166419E-3</v>
      </c>
      <c r="X28" s="426">
        <f t="shared" si="22"/>
        <v>156957</v>
      </c>
      <c r="Y28" s="225">
        <f t="shared" si="46"/>
        <v>9.6418897103749731E-4</v>
      </c>
      <c r="Z28" s="460">
        <f t="shared" si="23"/>
        <v>177714</v>
      </c>
      <c r="AA28" s="189">
        <f t="shared" si="47"/>
        <v>3.2272688568197569E-4</v>
      </c>
      <c r="AB28" s="564">
        <f t="shared" si="24"/>
        <v>925051</v>
      </c>
      <c r="AC28" s="123">
        <f t="shared" si="48"/>
        <v>2.7487965150866473E-4</v>
      </c>
      <c r="AD28" s="352">
        <f>[6]東京事務!$I$28</f>
        <v>20167</v>
      </c>
      <c r="AE28" s="9">
        <f t="shared" si="49"/>
        <v>7.8991635405851974E-5</v>
      </c>
      <c r="AF28" s="362">
        <f>[6]東京事務!$L$28</f>
        <v>104025</v>
      </c>
      <c r="AG28" s="81">
        <f t="shared" si="50"/>
        <v>6.8778815005211022E-5</v>
      </c>
      <c r="AH28" s="388">
        <f>[6]東京工場!$I$28</f>
        <v>34000</v>
      </c>
      <c r="AI28" s="171">
        <f t="shared" si="25"/>
        <v>3.7508392502822508E-3</v>
      </c>
      <c r="AJ28" s="362">
        <f>[6]東京工場!$L$28</f>
        <v>147196</v>
      </c>
      <c r="AK28" s="99">
        <f t="shared" si="36"/>
        <v>2.4272812855006751E-3</v>
      </c>
      <c r="AL28" s="547">
        <f t="shared" si="26"/>
        <v>54167</v>
      </c>
      <c r="AM28" s="314">
        <f t="shared" si="51"/>
        <v>2.0489075561332945E-4</v>
      </c>
      <c r="AN28" s="478">
        <f t="shared" si="27"/>
        <v>251221</v>
      </c>
      <c r="AO28" s="123">
        <f t="shared" si="52"/>
        <v>1.5969811645651137E-4</v>
      </c>
      <c r="AP28" s="527">
        <f t="shared" si="28"/>
        <v>261018</v>
      </c>
      <c r="AQ28" s="284">
        <f t="shared" si="53"/>
        <v>3.2025415973183248E-4</v>
      </c>
      <c r="AR28" s="487">
        <f t="shared" si="29"/>
        <v>2417590</v>
      </c>
      <c r="AS28" s="285">
        <f t="shared" si="54"/>
        <v>4.8954985092466009E-4</v>
      </c>
      <c r="AT28" s="584">
        <f>[6]全社合計!$G$28</f>
        <v>325751</v>
      </c>
      <c r="AU28" s="124">
        <f t="shared" si="30"/>
        <v>3.4063082717759202E-4</v>
      </c>
      <c r="AV28" s="578">
        <f>[6]全社合計!$N$28</f>
        <v>1900864</v>
      </c>
      <c r="AW28" s="125">
        <f t="shared" si="31"/>
        <v>3.3981979686527168E-4</v>
      </c>
      <c r="AX28" s="584">
        <f t="shared" si="32"/>
        <v>-64733</v>
      </c>
      <c r="AY28" s="124">
        <f t="shared" si="33"/>
        <v>0.8012807328296766</v>
      </c>
      <c r="AZ28" s="578">
        <f t="shared" si="34"/>
        <v>516726</v>
      </c>
      <c r="BA28" s="125">
        <f t="shared" si="35"/>
        <v>1.2718374381333961</v>
      </c>
      <c r="BB28" s="11"/>
    </row>
    <row r="29" spans="1:54" ht="15.95" customHeight="1">
      <c r="A29" s="37" t="s">
        <v>23</v>
      </c>
      <c r="B29" s="703">
        <f>[6]本部!$I$29</f>
        <v>0</v>
      </c>
      <c r="C29" s="259" t="str">
        <f t="shared" si="38"/>
        <v/>
      </c>
      <c r="D29" s="728">
        <f>[6]本部!$L$29</f>
        <v>0</v>
      </c>
      <c r="E29" s="122" t="str">
        <f t="shared" si="39"/>
        <v/>
      </c>
      <c r="F29" s="352">
        <f>[6]本社営業!$I$29</f>
        <v>34800</v>
      </c>
      <c r="G29" s="9">
        <f t="shared" si="40"/>
        <v>6.7545716848164763E-5</v>
      </c>
      <c r="H29" s="362">
        <f>[6]本社営業!$L$29</f>
        <v>141095</v>
      </c>
      <c r="I29" s="124">
        <f t="shared" si="19"/>
        <v>4.4830079883685085E-5</v>
      </c>
      <c r="J29" s="745">
        <f>[6]東大阪!$I$29</f>
        <v>579716</v>
      </c>
      <c r="K29" s="9">
        <f t="shared" si="20"/>
        <v>6.2654639584729124E-2</v>
      </c>
      <c r="L29" s="362">
        <f>[6]東大阪!$L$29</f>
        <v>3491893</v>
      </c>
      <c r="M29" s="124">
        <f t="shared" si="37"/>
        <v>6.3282713766251469E-2</v>
      </c>
      <c r="N29" s="403">
        <f>[6]南港工場!$I$29</f>
        <v>4371571</v>
      </c>
      <c r="O29" s="9">
        <f t="shared" si="41"/>
        <v>0.16682467337869869</v>
      </c>
      <c r="P29" s="362">
        <f>[6]南港工場!$L$29</f>
        <v>19413658</v>
      </c>
      <c r="Q29" s="204">
        <f t="shared" si="42"/>
        <v>0.11925836331666557</v>
      </c>
      <c r="R29" s="437">
        <f>[6]南港事務!$I$29</f>
        <v>0</v>
      </c>
      <c r="S29" s="9" t="str">
        <f t="shared" si="43"/>
        <v/>
      </c>
      <c r="T29" s="362">
        <f>[6]南港事務!$L$29</f>
        <v>18979</v>
      </c>
      <c r="U29" s="204" t="str">
        <f t="shared" si="44"/>
        <v/>
      </c>
      <c r="V29" s="456">
        <f t="shared" si="21"/>
        <v>4371571</v>
      </c>
      <c r="W29" s="171">
        <f t="shared" si="45"/>
        <v>0.16682467337869869</v>
      </c>
      <c r="X29" s="426">
        <f t="shared" si="22"/>
        <v>19432637</v>
      </c>
      <c r="Y29" s="225">
        <f t="shared" si="46"/>
        <v>0.11937495157001726</v>
      </c>
      <c r="Z29" s="460">
        <f t="shared" si="23"/>
        <v>4986087</v>
      </c>
      <c r="AA29" s="189">
        <f t="shared" si="47"/>
        <v>9.0546852203505918E-3</v>
      </c>
      <c r="AB29" s="564">
        <f t="shared" si="24"/>
        <v>23065625</v>
      </c>
      <c r="AC29" s="123">
        <f t="shared" si="48"/>
        <v>6.8539690912496126E-3</v>
      </c>
      <c r="AD29" s="352">
        <f>[6]東京事務!$I$29</f>
        <v>0</v>
      </c>
      <c r="AE29" s="9">
        <f t="shared" si="49"/>
        <v>0</v>
      </c>
      <c r="AF29" s="362">
        <f>[6]東京事務!$L$29</f>
        <v>27443</v>
      </c>
      <c r="AG29" s="81">
        <f t="shared" si="50"/>
        <v>1.8144648115241587E-5</v>
      </c>
      <c r="AH29" s="388">
        <f>[6]東京工場!$I$29</f>
        <v>562599</v>
      </c>
      <c r="AI29" s="171">
        <f t="shared" si="25"/>
        <v>6.2065247393221883E-2</v>
      </c>
      <c r="AJ29" s="362">
        <f>[6]東京工場!$L$29</f>
        <v>3897863</v>
      </c>
      <c r="AK29" s="99">
        <f t="shared" si="36"/>
        <v>6.4276270505621874E-2</v>
      </c>
      <c r="AL29" s="547">
        <f t="shared" si="26"/>
        <v>562599</v>
      </c>
      <c r="AM29" s="314">
        <f t="shared" si="51"/>
        <v>2.1280730743313001E-3</v>
      </c>
      <c r="AN29" s="478">
        <f t="shared" si="27"/>
        <v>3925306</v>
      </c>
      <c r="AO29" s="123">
        <f t="shared" si="52"/>
        <v>2.4952690050411503E-3</v>
      </c>
      <c r="AP29" s="527">
        <f t="shared" si="28"/>
        <v>5548686</v>
      </c>
      <c r="AQ29" s="284">
        <f t="shared" si="53"/>
        <v>6.8079204213724069E-3</v>
      </c>
      <c r="AR29" s="487">
        <f t="shared" si="29"/>
        <v>26990931</v>
      </c>
      <c r="AS29" s="285">
        <f t="shared" si="54"/>
        <v>5.4655281695274163E-3</v>
      </c>
      <c r="AT29" s="584">
        <f>[6]全社合計!$G$29</f>
        <v>7644135</v>
      </c>
      <c r="AU29" s="124">
        <f t="shared" si="30"/>
        <v>7.9933078581713706E-3</v>
      </c>
      <c r="AV29" s="578">
        <f>[6]全社合計!$N$29</f>
        <v>35845822</v>
      </c>
      <c r="AW29" s="125">
        <f t="shared" si="31"/>
        <v>6.4082017180128016E-3</v>
      </c>
      <c r="AX29" s="584">
        <f t="shared" si="32"/>
        <v>-2095449</v>
      </c>
      <c r="AY29" s="124">
        <f t="shared" si="33"/>
        <v>0.72587493548975779</v>
      </c>
      <c r="AZ29" s="578">
        <f t="shared" si="34"/>
        <v>-8854891</v>
      </c>
      <c r="BA29" s="125">
        <f t="shared" si="35"/>
        <v>0.7529728569203965</v>
      </c>
      <c r="BB29" s="11"/>
    </row>
    <row r="30" spans="1:54" ht="15.95" customHeight="1">
      <c r="A30" s="37" t="s">
        <v>24</v>
      </c>
      <c r="B30" s="703">
        <f>[6]本部!$I$30</f>
        <v>11470</v>
      </c>
      <c r="C30" s="259" t="str">
        <f t="shared" si="38"/>
        <v/>
      </c>
      <c r="D30" s="728">
        <f>[6]本部!$L$30</f>
        <v>108409</v>
      </c>
      <c r="E30" s="122" t="str">
        <f t="shared" si="39"/>
        <v/>
      </c>
      <c r="F30" s="352">
        <f>[6]本社営業!$I$30</f>
        <v>22940</v>
      </c>
      <c r="G30" s="9">
        <f t="shared" si="40"/>
        <v>4.4525825991290215E-5</v>
      </c>
      <c r="H30" s="362">
        <f>[6]本社営業!$L$30</f>
        <v>216818</v>
      </c>
      <c r="I30" s="124">
        <f t="shared" si="19"/>
        <v>6.8889530176270125E-5</v>
      </c>
      <c r="J30" s="745">
        <f>[6]東大阪!$I$30</f>
        <v>334880</v>
      </c>
      <c r="K30" s="9">
        <f t="shared" si="20"/>
        <v>3.619321478816194E-2</v>
      </c>
      <c r="L30" s="362">
        <f>[6]東大阪!$L$30</f>
        <v>2493438</v>
      </c>
      <c r="M30" s="124">
        <f t="shared" si="37"/>
        <v>4.5187960584099948E-2</v>
      </c>
      <c r="N30" s="403">
        <f>[6]南港工場!$I$30</f>
        <v>559571</v>
      </c>
      <c r="O30" s="9">
        <f t="shared" si="41"/>
        <v>2.1353936446918464E-2</v>
      </c>
      <c r="P30" s="362">
        <f>[6]南港工場!$L$30</f>
        <v>3428199</v>
      </c>
      <c r="Q30" s="204">
        <f t="shared" si="42"/>
        <v>2.1059472762105402E-2</v>
      </c>
      <c r="R30" s="437">
        <f>[6]南港事務!$I$30</f>
        <v>25349</v>
      </c>
      <c r="S30" s="9" t="str">
        <f t="shared" si="43"/>
        <v/>
      </c>
      <c r="T30" s="362">
        <f>[6]南港事務!$L$30</f>
        <v>142144</v>
      </c>
      <c r="U30" s="204" t="str">
        <f t="shared" si="44"/>
        <v/>
      </c>
      <c r="V30" s="456">
        <f t="shared" si="21"/>
        <v>584920</v>
      </c>
      <c r="W30" s="171">
        <f t="shared" si="45"/>
        <v>2.2321286318503903E-2</v>
      </c>
      <c r="X30" s="426">
        <f t="shared" si="22"/>
        <v>3570343</v>
      </c>
      <c r="Y30" s="225">
        <f t="shared" si="46"/>
        <v>2.1932665274061885E-2</v>
      </c>
      <c r="Z30" s="460">
        <f t="shared" si="23"/>
        <v>942740</v>
      </c>
      <c r="AA30" s="189">
        <f t="shared" si="47"/>
        <v>1.7120066185434223E-3</v>
      </c>
      <c r="AB30" s="564">
        <f t="shared" si="24"/>
        <v>6280599</v>
      </c>
      <c r="AC30" s="123">
        <f t="shared" si="48"/>
        <v>1.8662850636188364E-3</v>
      </c>
      <c r="AD30" s="352">
        <f>[6]東京事務!$I$30</f>
        <v>61552</v>
      </c>
      <c r="AE30" s="9">
        <f t="shared" si="49"/>
        <v>2.4109154274314475E-4</v>
      </c>
      <c r="AF30" s="362">
        <f>[6]東京事務!$L$30</f>
        <v>328815</v>
      </c>
      <c r="AG30" s="81">
        <f t="shared" si="50"/>
        <v>2.174045282954911E-4</v>
      </c>
      <c r="AH30" s="388">
        <f>[6]東京工場!$I$30</f>
        <v>246745</v>
      </c>
      <c r="AI30" s="171">
        <f t="shared" si="25"/>
        <v>2.7220612670908646E-2</v>
      </c>
      <c r="AJ30" s="362">
        <f>[6]東京工場!$L$30</f>
        <v>1598480</v>
      </c>
      <c r="AK30" s="99">
        <f t="shared" si="36"/>
        <v>2.6359144197173286E-2</v>
      </c>
      <c r="AL30" s="547">
        <f t="shared" si="26"/>
        <v>308297</v>
      </c>
      <c r="AM30" s="314">
        <f t="shared" si="51"/>
        <v>1.1661566134975655E-3</v>
      </c>
      <c r="AN30" s="478">
        <f t="shared" si="27"/>
        <v>1927295</v>
      </c>
      <c r="AO30" s="123">
        <f t="shared" si="52"/>
        <v>1.2251578544630109E-3</v>
      </c>
      <c r="AP30" s="527">
        <f t="shared" si="28"/>
        <v>1262507</v>
      </c>
      <c r="AQ30" s="284">
        <f t="shared" si="53"/>
        <v>1.5490238927604865E-3</v>
      </c>
      <c r="AR30" s="487">
        <f t="shared" si="29"/>
        <v>8316303</v>
      </c>
      <c r="AS30" s="285">
        <f t="shared" si="54"/>
        <v>1.6840096517169178E-3</v>
      </c>
      <c r="AT30" s="584">
        <f>[6]全社合計!$G$30</f>
        <v>1400773</v>
      </c>
      <c r="AU30" s="124">
        <f t="shared" si="30"/>
        <v>1.4647582530154537E-3</v>
      </c>
      <c r="AV30" s="578">
        <f>[6]全社合計!$N$30</f>
        <v>8877887</v>
      </c>
      <c r="AW30" s="125">
        <f t="shared" si="31"/>
        <v>1.5871107859020089E-3</v>
      </c>
      <c r="AX30" s="584">
        <f t="shared" si="32"/>
        <v>-138266</v>
      </c>
      <c r="AY30" s="124">
        <f t="shared" si="33"/>
        <v>0.90129307175395301</v>
      </c>
      <c r="AZ30" s="578">
        <f t="shared" si="34"/>
        <v>-561584</v>
      </c>
      <c r="BA30" s="125">
        <f t="shared" si="35"/>
        <v>0.93674350664747141</v>
      </c>
      <c r="BB30" s="11"/>
    </row>
    <row r="31" spans="1:54" ht="15.95" customHeight="1">
      <c r="A31" s="37" t="s">
        <v>25</v>
      </c>
      <c r="B31" s="703">
        <f>[6]本部!$I$31</f>
        <v>227928</v>
      </c>
      <c r="C31" s="259" t="str">
        <f t="shared" si="38"/>
        <v/>
      </c>
      <c r="D31" s="728">
        <f>[6]本部!$L$31</f>
        <v>1049403</v>
      </c>
      <c r="E31" s="122" t="str">
        <f t="shared" si="39"/>
        <v/>
      </c>
      <c r="F31" s="352">
        <f>[6]本社営業!$I$31</f>
        <v>624541</v>
      </c>
      <c r="G31" s="9">
        <f t="shared" si="40"/>
        <v>1.2122146421284386E-3</v>
      </c>
      <c r="H31" s="362">
        <f>[6]本社営業!$L$31</f>
        <v>4906133</v>
      </c>
      <c r="I31" s="124">
        <f t="shared" si="19"/>
        <v>1.558824439632755E-3</v>
      </c>
      <c r="J31" s="745">
        <f>[6]東大阪!$I$31</f>
        <v>114001</v>
      </c>
      <c r="K31" s="9">
        <f t="shared" si="20"/>
        <v>1.2321018511303301E-2</v>
      </c>
      <c r="L31" s="362">
        <f>[6]東大阪!$L$31</f>
        <v>685113</v>
      </c>
      <c r="M31" s="124">
        <f t="shared" si="37"/>
        <v>1.2416133563238577E-2</v>
      </c>
      <c r="N31" s="403">
        <f>[6]南港工場!$I$31</f>
        <v>268339</v>
      </c>
      <c r="O31" s="9">
        <f t="shared" si="41"/>
        <v>1.0240155319395847E-2</v>
      </c>
      <c r="P31" s="362">
        <f>[6]南港工場!$L$31</f>
        <v>1596934</v>
      </c>
      <c r="Q31" s="204">
        <f t="shared" si="42"/>
        <v>9.8099871319838865E-3</v>
      </c>
      <c r="R31" s="437">
        <f>[6]南港事務!$I$31</f>
        <v>165426</v>
      </c>
      <c r="S31" s="9" t="str">
        <f t="shared" si="43"/>
        <v/>
      </c>
      <c r="T31" s="362">
        <f>[6]南港事務!$L$31</f>
        <v>830324</v>
      </c>
      <c r="U31" s="204" t="str">
        <f t="shared" si="44"/>
        <v/>
      </c>
      <c r="V31" s="456">
        <f t="shared" si="21"/>
        <v>433765</v>
      </c>
      <c r="W31" s="171">
        <f t="shared" si="45"/>
        <v>1.6553020515533486E-2</v>
      </c>
      <c r="X31" s="426">
        <f t="shared" si="22"/>
        <v>2427258</v>
      </c>
      <c r="Y31" s="225">
        <f t="shared" si="46"/>
        <v>1.4910678679272244E-2</v>
      </c>
      <c r="Z31" s="460">
        <f t="shared" si="23"/>
        <v>1172307</v>
      </c>
      <c r="AA31" s="189">
        <f t="shared" si="47"/>
        <v>2.1288980450227886E-3</v>
      </c>
      <c r="AB31" s="564">
        <f t="shared" si="24"/>
        <v>8018504</v>
      </c>
      <c r="AC31" s="123">
        <f t="shared" si="48"/>
        <v>2.3827049375016451E-3</v>
      </c>
      <c r="AD31" s="352">
        <f>[6]東京事務!$I$31</f>
        <v>264855</v>
      </c>
      <c r="AE31" s="9">
        <f t="shared" si="49"/>
        <v>1.0374041550759619E-3</v>
      </c>
      <c r="AF31" s="362">
        <f>[6]東京事務!$L$31</f>
        <v>1590864</v>
      </c>
      <c r="AG31" s="81">
        <f t="shared" si="50"/>
        <v>1.0518408147507812E-3</v>
      </c>
      <c r="AH31" s="388">
        <f>[6]東京工場!$I$31</f>
        <v>118246</v>
      </c>
      <c r="AI31" s="171">
        <f t="shared" si="25"/>
        <v>1.3044756999672795E-2</v>
      </c>
      <c r="AJ31" s="362">
        <f>[6]東京工場!$L$31</f>
        <v>848739</v>
      </c>
      <c r="AK31" s="99">
        <f t="shared" si="36"/>
        <v>1.3995817080454342E-2</v>
      </c>
      <c r="AL31" s="547">
        <f t="shared" si="26"/>
        <v>383101</v>
      </c>
      <c r="AM31" s="314">
        <f t="shared" si="51"/>
        <v>1.4491083753248679E-3</v>
      </c>
      <c r="AN31" s="478">
        <f t="shared" si="27"/>
        <v>2439603</v>
      </c>
      <c r="AO31" s="123">
        <f t="shared" si="52"/>
        <v>1.5508257828830173E-3</v>
      </c>
      <c r="AP31" s="527">
        <f t="shared" si="28"/>
        <v>1783336</v>
      </c>
      <c r="AQ31" s="284">
        <f t="shared" si="53"/>
        <v>2.1880512922462332E-3</v>
      </c>
      <c r="AR31" s="487">
        <f t="shared" si="29"/>
        <v>11507510</v>
      </c>
      <c r="AS31" s="285">
        <f t="shared" si="54"/>
        <v>2.3302130654966457E-3</v>
      </c>
      <c r="AT31" s="584">
        <f>[6]全社合計!$G$31</f>
        <v>1909781</v>
      </c>
      <c r="AU31" s="124">
        <f t="shared" si="30"/>
        <v>1.9970169907630331E-3</v>
      </c>
      <c r="AV31" s="578">
        <f>[6]全社合計!$N$31</f>
        <v>10189191</v>
      </c>
      <c r="AW31" s="125">
        <f t="shared" si="31"/>
        <v>1.8215342159362555E-3</v>
      </c>
      <c r="AX31" s="584">
        <f t="shared" si="32"/>
        <v>-126445</v>
      </c>
      <c r="AY31" s="124">
        <f t="shared" si="33"/>
        <v>0.93379083779763228</v>
      </c>
      <c r="AZ31" s="578">
        <f t="shared" si="34"/>
        <v>1318319</v>
      </c>
      <c r="BA31" s="125">
        <f t="shared" si="35"/>
        <v>1.1293840698442104</v>
      </c>
      <c r="BB31" s="11"/>
    </row>
    <row r="32" spans="1:54" ht="15.95" customHeight="1">
      <c r="A32" s="37" t="s">
        <v>26</v>
      </c>
      <c r="B32" s="703">
        <f>[6]本部!$I$32</f>
        <v>427030</v>
      </c>
      <c r="C32" s="259" t="str">
        <f t="shared" si="38"/>
        <v/>
      </c>
      <c r="D32" s="728">
        <f>[6]本部!$L$32</f>
        <v>3523190</v>
      </c>
      <c r="E32" s="122" t="str">
        <f t="shared" si="39"/>
        <v/>
      </c>
      <c r="F32" s="352">
        <f>[6]本社営業!$I$32</f>
        <v>1703237</v>
      </c>
      <c r="G32" s="9">
        <f t="shared" si="40"/>
        <v>3.3059300036585517E-3</v>
      </c>
      <c r="H32" s="362">
        <f>[6]本社営業!$L$32</f>
        <v>8157867</v>
      </c>
      <c r="I32" s="124">
        <f t="shared" si="19"/>
        <v>2.5919970891277394E-3</v>
      </c>
      <c r="J32" s="745">
        <f>[6]東大阪!$I$32</f>
        <v>147400</v>
      </c>
      <c r="K32" s="9">
        <f t="shared" si="20"/>
        <v>1.5930721033728709E-2</v>
      </c>
      <c r="L32" s="362">
        <f>[6]東大阪!$L$32</f>
        <v>887018</v>
      </c>
      <c r="M32" s="124">
        <f t="shared" si="37"/>
        <v>1.6075207974446195E-2</v>
      </c>
      <c r="N32" s="403">
        <f>[6]南港工場!$I$32</f>
        <v>196700</v>
      </c>
      <c r="O32" s="9">
        <f t="shared" si="41"/>
        <v>7.5063205546907581E-3</v>
      </c>
      <c r="P32" s="362">
        <f>[6]南港工場!$L$32</f>
        <v>1116992</v>
      </c>
      <c r="Q32" s="204">
        <f t="shared" si="42"/>
        <v>6.8616969433482819E-3</v>
      </c>
      <c r="R32" s="437">
        <f>[6]南港事務!$I$32</f>
        <v>0</v>
      </c>
      <c r="S32" s="9" t="str">
        <f t="shared" si="43"/>
        <v/>
      </c>
      <c r="T32" s="362">
        <f>[6]南港事務!$L$32</f>
        <v>229884</v>
      </c>
      <c r="U32" s="204" t="str">
        <f t="shared" si="44"/>
        <v/>
      </c>
      <c r="V32" s="456">
        <f t="shared" si="21"/>
        <v>196700</v>
      </c>
      <c r="W32" s="171">
        <f t="shared" si="45"/>
        <v>7.5063205546907581E-3</v>
      </c>
      <c r="X32" s="426">
        <f t="shared" si="22"/>
        <v>1346876</v>
      </c>
      <c r="Y32" s="225">
        <f t="shared" si="46"/>
        <v>8.2738774604197343E-3</v>
      </c>
      <c r="Z32" s="460">
        <f t="shared" si="23"/>
        <v>2047337</v>
      </c>
      <c r="AA32" s="189">
        <f t="shared" si="47"/>
        <v>3.7179439658748272E-3</v>
      </c>
      <c r="AB32" s="564">
        <f t="shared" si="24"/>
        <v>10391761</v>
      </c>
      <c r="AC32" s="123">
        <f t="shared" si="48"/>
        <v>3.0879201711487619E-3</v>
      </c>
      <c r="AD32" s="352">
        <f>[6]東京事務!$I$32</f>
        <v>84800</v>
      </c>
      <c r="AE32" s="9">
        <f t="shared" si="49"/>
        <v>3.321510726640674E-4</v>
      </c>
      <c r="AF32" s="362">
        <f>[6]東京事務!$L$32</f>
        <v>496800</v>
      </c>
      <c r="AG32" s="81">
        <f t="shared" si="50"/>
        <v>3.2847214895062566E-4</v>
      </c>
      <c r="AH32" s="388">
        <f>[6]東京工場!$I$32</f>
        <v>42500</v>
      </c>
      <c r="AI32" s="171">
        <f t="shared" si="25"/>
        <v>4.6885490628528134E-3</v>
      </c>
      <c r="AJ32" s="362">
        <f>[6]東京工場!$L$32</f>
        <v>331326</v>
      </c>
      <c r="AK32" s="99">
        <f t="shared" si="36"/>
        <v>5.4636090600274235E-3</v>
      </c>
      <c r="AL32" s="547">
        <f t="shared" si="26"/>
        <v>127300</v>
      </c>
      <c r="AM32" s="314">
        <f t="shared" si="51"/>
        <v>4.8152183413474695E-4</v>
      </c>
      <c r="AN32" s="478">
        <f t="shared" si="27"/>
        <v>828126</v>
      </c>
      <c r="AO32" s="123">
        <f t="shared" si="52"/>
        <v>5.2642956754676135E-4</v>
      </c>
      <c r="AP32" s="527">
        <f t="shared" si="28"/>
        <v>2601667</v>
      </c>
      <c r="AQ32" s="284">
        <f t="shared" si="53"/>
        <v>3.1920966331327244E-3</v>
      </c>
      <c r="AR32" s="487">
        <f t="shared" si="29"/>
        <v>14743077</v>
      </c>
      <c r="AS32" s="285">
        <f t="shared" si="54"/>
        <v>2.9853991568135146E-3</v>
      </c>
      <c r="AT32" s="584">
        <f>[6]全社合計!$G$32</f>
        <v>1797293</v>
      </c>
      <c r="AU32" s="124">
        <f t="shared" si="30"/>
        <v>1.8793907041589923E-3</v>
      </c>
      <c r="AV32" s="578">
        <f>[6]全社合計!$N$32</f>
        <v>14065127</v>
      </c>
      <c r="AW32" s="125">
        <f t="shared" si="31"/>
        <v>2.5144400651620777E-3</v>
      </c>
      <c r="AX32" s="584">
        <f t="shared" si="32"/>
        <v>804374</v>
      </c>
      <c r="AY32" s="124">
        <f t="shared" si="33"/>
        <v>1.4475475061662177</v>
      </c>
      <c r="AZ32" s="578">
        <f t="shared" si="34"/>
        <v>677950</v>
      </c>
      <c r="BA32" s="125">
        <f t="shared" si="35"/>
        <v>1.0482007734448469</v>
      </c>
      <c r="BB32" s="11"/>
    </row>
    <row r="33" spans="1:54" ht="15.95" customHeight="1">
      <c r="A33" s="37" t="s">
        <v>27</v>
      </c>
      <c r="B33" s="703">
        <f>[6]本部!$I$33</f>
        <v>137634</v>
      </c>
      <c r="C33" s="259" t="str">
        <f t="shared" si="38"/>
        <v/>
      </c>
      <c r="D33" s="728">
        <f>[6]本部!$L$33</f>
        <v>1362366</v>
      </c>
      <c r="E33" s="122" t="str">
        <f t="shared" si="39"/>
        <v/>
      </c>
      <c r="F33" s="352">
        <f>[6]本社営業!$I$33</f>
        <v>55370</v>
      </c>
      <c r="G33" s="9">
        <f t="shared" si="40"/>
        <v>1.0747144660582996E-4</v>
      </c>
      <c r="H33" s="362">
        <f>[6]本社営業!$L$33</f>
        <v>344620</v>
      </c>
      <c r="I33" s="124">
        <f t="shared" si="19"/>
        <v>1.0949602841713423E-4</v>
      </c>
      <c r="J33" s="745">
        <f>[6]東大阪!$I$33</f>
        <v>440000</v>
      </c>
      <c r="K33" s="9">
        <f t="shared" si="20"/>
        <v>4.7554391145458834E-2</v>
      </c>
      <c r="L33" s="362">
        <f>[6]東大阪!$L$33</f>
        <v>3879000</v>
      </c>
      <c r="M33" s="124">
        <f t="shared" si="37"/>
        <v>7.0298158248058989E-2</v>
      </c>
      <c r="N33" s="403">
        <f>[6]南港工場!$I$33</f>
        <v>525000</v>
      </c>
      <c r="O33" s="9">
        <f t="shared" si="41"/>
        <v>2.0034663402199532E-2</v>
      </c>
      <c r="P33" s="362">
        <f>[6]南港工場!$L$33</f>
        <v>3150000</v>
      </c>
      <c r="Q33" s="204">
        <f t="shared" si="42"/>
        <v>1.9350492547437301E-2</v>
      </c>
      <c r="R33" s="437">
        <f>[6]南港事務!$I$33</f>
        <v>20000</v>
      </c>
      <c r="S33" s="9" t="str">
        <f t="shared" si="43"/>
        <v/>
      </c>
      <c r="T33" s="362">
        <f>[6]南港事務!$L$33</f>
        <v>120000</v>
      </c>
      <c r="U33" s="204" t="str">
        <f t="shared" si="44"/>
        <v/>
      </c>
      <c r="V33" s="456">
        <f t="shared" si="21"/>
        <v>545000</v>
      </c>
      <c r="W33" s="171">
        <f t="shared" si="45"/>
        <v>2.0797888674664276E-2</v>
      </c>
      <c r="X33" s="426">
        <f t="shared" si="22"/>
        <v>3270000</v>
      </c>
      <c r="Y33" s="225">
        <f t="shared" si="46"/>
        <v>2.0087654168292057E-2</v>
      </c>
      <c r="Z33" s="460">
        <f t="shared" si="23"/>
        <v>1040370</v>
      </c>
      <c r="AA33" s="189">
        <f t="shared" si="47"/>
        <v>1.8893017435708892E-3</v>
      </c>
      <c r="AB33" s="564">
        <f t="shared" si="24"/>
        <v>7493620</v>
      </c>
      <c r="AC33" s="123">
        <f t="shared" si="48"/>
        <v>2.2267352331259145E-3</v>
      </c>
      <c r="AD33" s="352">
        <f>[6]東京事務!$I$33</f>
        <v>55520</v>
      </c>
      <c r="AE33" s="9">
        <f t="shared" si="49"/>
        <v>2.1746494757439883E-4</v>
      </c>
      <c r="AF33" s="362">
        <f>[6]東京事務!$L$33</f>
        <v>1090969</v>
      </c>
      <c r="AG33" s="81">
        <f t="shared" si="50"/>
        <v>7.2132232662744595E-4</v>
      </c>
      <c r="AH33" s="388">
        <f>[6]東京工場!$I$33</f>
        <v>325000</v>
      </c>
      <c r="AI33" s="171">
        <f t="shared" si="25"/>
        <v>3.5853610480639161E-2</v>
      </c>
      <c r="AJ33" s="362">
        <f>[6]東京工場!$L$33</f>
        <v>1950000</v>
      </c>
      <c r="AK33" s="99">
        <f t="shared" si="36"/>
        <v>3.2155754957514583E-2</v>
      </c>
      <c r="AL33" s="547">
        <f t="shared" si="26"/>
        <v>380520</v>
      </c>
      <c r="AM33" s="314">
        <f t="shared" si="51"/>
        <v>1.4393455485071005E-3</v>
      </c>
      <c r="AN33" s="478">
        <f t="shared" si="27"/>
        <v>3040969</v>
      </c>
      <c r="AO33" s="123">
        <f t="shared" si="52"/>
        <v>1.9331067924363047E-3</v>
      </c>
      <c r="AP33" s="527">
        <f t="shared" si="28"/>
        <v>1558524</v>
      </c>
      <c r="AQ33" s="284">
        <f t="shared" si="53"/>
        <v>1.9122198240806938E-3</v>
      </c>
      <c r="AR33" s="487">
        <f t="shared" si="29"/>
        <v>11896955</v>
      </c>
      <c r="AS33" s="285">
        <f t="shared" si="54"/>
        <v>2.409073724952283E-3</v>
      </c>
      <c r="AT33" s="584">
        <f>[6]全社合計!$G$33</f>
        <v>1558672</v>
      </c>
      <c r="AU33" s="124">
        <f t="shared" si="30"/>
        <v>1.6298698473943339E-3</v>
      </c>
      <c r="AV33" s="578">
        <f>[6]全社合計!$N$33</f>
        <v>11796530</v>
      </c>
      <c r="AW33" s="125">
        <f t="shared" si="31"/>
        <v>2.1088801872806697E-3</v>
      </c>
      <c r="AX33" s="584">
        <f t="shared" si="32"/>
        <v>-148</v>
      </c>
      <c r="AY33" s="124">
        <f t="shared" si="33"/>
        <v>0.9999050473736617</v>
      </c>
      <c r="AZ33" s="578">
        <f t="shared" si="34"/>
        <v>100425</v>
      </c>
      <c r="BA33" s="125">
        <f t="shared" si="35"/>
        <v>1.0085130966479126</v>
      </c>
      <c r="BB33" s="11"/>
    </row>
    <row r="34" spans="1:54" ht="15.95" customHeight="1">
      <c r="A34" s="37" t="s">
        <v>28</v>
      </c>
      <c r="B34" s="703">
        <f>[6]本部!$I$34</f>
        <v>39760</v>
      </c>
      <c r="C34" s="259" t="str">
        <f t="shared" si="38"/>
        <v/>
      </c>
      <c r="D34" s="728">
        <f>[6]本部!$L$34</f>
        <v>643460</v>
      </c>
      <c r="E34" s="122" t="str">
        <f t="shared" si="39"/>
        <v/>
      </c>
      <c r="F34" s="352">
        <f>[6]本社営業!$I$34</f>
        <v>497671</v>
      </c>
      <c r="G34" s="9">
        <f t="shared" si="40"/>
        <v>9.659639209638794E-4</v>
      </c>
      <c r="H34" s="362">
        <f>[6]本社営業!$L$34</f>
        <v>2769252</v>
      </c>
      <c r="I34" s="124">
        <f t="shared" si="19"/>
        <v>8.7987376149441644E-4</v>
      </c>
      <c r="J34" s="745">
        <f>[6]東大阪!$I$34</f>
        <v>0</v>
      </c>
      <c r="K34" s="9">
        <f t="shared" si="20"/>
        <v>0</v>
      </c>
      <c r="L34" s="362">
        <f>[6]東大阪!$L$34</f>
        <v>0</v>
      </c>
      <c r="M34" s="124">
        <f t="shared" si="37"/>
        <v>0</v>
      </c>
      <c r="N34" s="403">
        <f>[6]南港工場!$I$34</f>
        <v>0</v>
      </c>
      <c r="O34" s="9">
        <f t="shared" si="41"/>
        <v>0</v>
      </c>
      <c r="P34" s="362">
        <f>[6]南港工場!$L$34</f>
        <v>0</v>
      </c>
      <c r="Q34" s="204">
        <f t="shared" si="42"/>
        <v>0</v>
      </c>
      <c r="R34" s="437">
        <f>[6]南港事務!$I$34</f>
        <v>0</v>
      </c>
      <c r="S34" s="9" t="str">
        <f t="shared" si="43"/>
        <v/>
      </c>
      <c r="T34" s="362">
        <f>[6]南港事務!$L$34</f>
        <v>77967</v>
      </c>
      <c r="U34" s="204" t="str">
        <f t="shared" si="44"/>
        <v/>
      </c>
      <c r="V34" s="456">
        <f t="shared" si="21"/>
        <v>0</v>
      </c>
      <c r="W34" s="171">
        <f t="shared" si="45"/>
        <v>0</v>
      </c>
      <c r="X34" s="426">
        <f t="shared" si="22"/>
        <v>77967</v>
      </c>
      <c r="Y34" s="225">
        <f t="shared" si="46"/>
        <v>4.7895233410985528E-4</v>
      </c>
      <c r="Z34" s="460">
        <f t="shared" si="23"/>
        <v>497671</v>
      </c>
      <c r="AA34" s="189">
        <f t="shared" si="47"/>
        <v>9.0376566800721677E-4</v>
      </c>
      <c r="AB34" s="564">
        <f t="shared" si="24"/>
        <v>2847219</v>
      </c>
      <c r="AC34" s="123">
        <f t="shared" si="48"/>
        <v>8.4605342460993926E-4</v>
      </c>
      <c r="AD34" s="352">
        <f>[6]東京事務!$I$34</f>
        <v>374070</v>
      </c>
      <c r="AE34" s="9">
        <f t="shared" si="49"/>
        <v>1.4651857517859396E-3</v>
      </c>
      <c r="AF34" s="362">
        <f>[6]東京事務!$L$34</f>
        <v>2532775</v>
      </c>
      <c r="AG34" s="81">
        <f t="shared" si="50"/>
        <v>1.6746095955282225E-3</v>
      </c>
      <c r="AH34" s="388">
        <f>[6]東京工場!$I$34</f>
        <v>0</v>
      </c>
      <c r="AI34" s="171">
        <f t="shared" si="25"/>
        <v>0</v>
      </c>
      <c r="AJ34" s="362">
        <f>[6]東京工場!$L$34</f>
        <v>0</v>
      </c>
      <c r="AK34" s="99">
        <f t="shared" si="36"/>
        <v>0</v>
      </c>
      <c r="AL34" s="547">
        <f t="shared" si="26"/>
        <v>374070</v>
      </c>
      <c r="AM34" s="314">
        <f t="shared" si="51"/>
        <v>1.4149479379009016E-3</v>
      </c>
      <c r="AN34" s="478">
        <f t="shared" si="27"/>
        <v>2532775</v>
      </c>
      <c r="AO34" s="123">
        <f t="shared" si="52"/>
        <v>1.610054083488803E-3</v>
      </c>
      <c r="AP34" s="527">
        <f t="shared" si="28"/>
        <v>911501</v>
      </c>
      <c r="AQ34" s="284">
        <f t="shared" si="53"/>
        <v>1.1183596029765192E-3</v>
      </c>
      <c r="AR34" s="487">
        <f t="shared" si="29"/>
        <v>6023454</v>
      </c>
      <c r="AS34" s="285">
        <f t="shared" si="54"/>
        <v>1.2197192277232896E-3</v>
      </c>
      <c r="AT34" s="584">
        <f>[6]全社合計!$G$34</f>
        <v>1247049</v>
      </c>
      <c r="AU34" s="124">
        <f t="shared" si="30"/>
        <v>1.3040123665038295E-3</v>
      </c>
      <c r="AV34" s="578">
        <f>[6]全社合計!$N$34</f>
        <v>6452341</v>
      </c>
      <c r="AW34" s="125">
        <f t="shared" si="31"/>
        <v>1.153492942117618E-3</v>
      </c>
      <c r="AX34" s="584">
        <f t="shared" si="32"/>
        <v>-335548</v>
      </c>
      <c r="AY34" s="124">
        <f t="shared" si="33"/>
        <v>0.73092637097660151</v>
      </c>
      <c r="AZ34" s="578">
        <f t="shared" si="34"/>
        <v>-428887</v>
      </c>
      <c r="BA34" s="125">
        <f t="shared" si="35"/>
        <v>0.93353001646999123</v>
      </c>
      <c r="BB34" s="11"/>
    </row>
    <row r="35" spans="1:54" ht="15.95" customHeight="1">
      <c r="A35" s="37" t="s">
        <v>29</v>
      </c>
      <c r="B35" s="703">
        <f>[6]本部!$I$35</f>
        <v>221520</v>
      </c>
      <c r="C35" s="259" t="str">
        <f t="shared" si="38"/>
        <v/>
      </c>
      <c r="D35" s="728">
        <f>[6]本部!$L$35</f>
        <v>6096668</v>
      </c>
      <c r="E35" s="122" t="str">
        <f t="shared" si="39"/>
        <v/>
      </c>
      <c r="F35" s="352">
        <f>[6]本社営業!$I$35</f>
        <v>36696</v>
      </c>
      <c r="G35" s="9">
        <f t="shared" si="40"/>
        <v>7.1225793835064764E-5</v>
      </c>
      <c r="H35" s="362">
        <f>[6]本社営業!$L$35</f>
        <v>698901</v>
      </c>
      <c r="I35" s="124">
        <f t="shared" si="19"/>
        <v>2.2206164400430481E-4</v>
      </c>
      <c r="J35" s="745">
        <f>[6]東大阪!$I$35</f>
        <v>0</v>
      </c>
      <c r="K35" s="9">
        <f t="shared" si="20"/>
        <v>0</v>
      </c>
      <c r="L35" s="362">
        <f>[6]東大阪!$L$35</f>
        <v>60158</v>
      </c>
      <c r="M35" s="124">
        <f t="shared" si="37"/>
        <v>1.0902285650648963E-3</v>
      </c>
      <c r="N35" s="403">
        <f>[6]南港工場!$I$35</f>
        <v>0</v>
      </c>
      <c r="O35" s="9">
        <f t="shared" si="41"/>
        <v>0</v>
      </c>
      <c r="P35" s="362">
        <f>[6]南港工場!$L$35</f>
        <v>55439</v>
      </c>
      <c r="Q35" s="204">
        <f t="shared" si="42"/>
        <v>3.405625258213894E-4</v>
      </c>
      <c r="R35" s="437">
        <f>[6]南港事務!$I$35</f>
        <v>0</v>
      </c>
      <c r="S35" s="9" t="str">
        <f t="shared" si="43"/>
        <v/>
      </c>
      <c r="T35" s="362">
        <f>[6]南港事務!$L$35</f>
        <v>42516</v>
      </c>
      <c r="U35" s="204" t="str">
        <f t="shared" si="44"/>
        <v/>
      </c>
      <c r="V35" s="456">
        <f t="shared" si="21"/>
        <v>0</v>
      </c>
      <c r="W35" s="171">
        <f t="shared" si="45"/>
        <v>0</v>
      </c>
      <c r="X35" s="426">
        <f t="shared" si="22"/>
        <v>97955</v>
      </c>
      <c r="Y35" s="225">
        <f t="shared" si="46"/>
        <v>6.0173888809022884E-4</v>
      </c>
      <c r="Z35" s="460">
        <f t="shared" si="23"/>
        <v>36696</v>
      </c>
      <c r="AA35" s="189">
        <f t="shared" si="47"/>
        <v>6.6639577056313957E-5</v>
      </c>
      <c r="AB35" s="564">
        <f t="shared" si="24"/>
        <v>857014</v>
      </c>
      <c r="AC35" s="123">
        <f t="shared" si="48"/>
        <v>2.546624020276145E-4</v>
      </c>
      <c r="AD35" s="352">
        <f>[6]東京事務!$I$35</f>
        <v>0</v>
      </c>
      <c r="AE35" s="9">
        <f t="shared" si="49"/>
        <v>0</v>
      </c>
      <c r="AF35" s="362">
        <f>[6]東京事務!$L$35</f>
        <v>214852</v>
      </c>
      <c r="AG35" s="81">
        <f t="shared" si="50"/>
        <v>1.4205494795962122E-4</v>
      </c>
      <c r="AH35" s="388">
        <f>[6]東京工場!$I$35</f>
        <v>0</v>
      </c>
      <c r="AI35" s="171">
        <f t="shared" si="25"/>
        <v>0</v>
      </c>
      <c r="AJ35" s="362">
        <f>[6]東京工場!$L$35</f>
        <v>41853</v>
      </c>
      <c r="AK35" s="99">
        <f t="shared" si="36"/>
        <v>6.9016144217274754E-4</v>
      </c>
      <c r="AL35" s="547">
        <f t="shared" si="26"/>
        <v>0</v>
      </c>
      <c r="AM35" s="314">
        <f t="shared" si="51"/>
        <v>0</v>
      </c>
      <c r="AN35" s="478">
        <f t="shared" si="27"/>
        <v>256705</v>
      </c>
      <c r="AO35" s="123">
        <f t="shared" si="52"/>
        <v>1.6318422816949518E-4</v>
      </c>
      <c r="AP35" s="527">
        <f t="shared" si="28"/>
        <v>258216</v>
      </c>
      <c r="AQ35" s="284">
        <f t="shared" si="53"/>
        <v>3.1681626596370693E-4</v>
      </c>
      <c r="AR35" s="487">
        <f t="shared" si="29"/>
        <v>7210387</v>
      </c>
      <c r="AS35" s="285">
        <f t="shared" si="54"/>
        <v>1.4600672078222971E-3</v>
      </c>
      <c r="AT35" s="584">
        <f>[6]全社合計!$G$35</f>
        <v>221404</v>
      </c>
      <c r="AU35" s="124">
        <f t="shared" si="30"/>
        <v>2.3151740949506702E-4</v>
      </c>
      <c r="AV35" s="578">
        <f>[6]全社合計!$N$35</f>
        <v>7017574</v>
      </c>
      <c r="AW35" s="125">
        <f t="shared" si="31"/>
        <v>1.2545403412169477E-3</v>
      </c>
      <c r="AX35" s="584">
        <f t="shared" si="32"/>
        <v>36812</v>
      </c>
      <c r="AY35" s="124">
        <f t="shared" si="33"/>
        <v>1.1662661921193835</v>
      </c>
      <c r="AZ35" s="578">
        <f t="shared" si="34"/>
        <v>192813</v>
      </c>
      <c r="BA35" s="125">
        <f t="shared" si="35"/>
        <v>1.0274757344917202</v>
      </c>
      <c r="BB35" s="11"/>
    </row>
    <row r="36" spans="1:54" ht="15.95" customHeight="1">
      <c r="A36" s="37" t="s">
        <v>30</v>
      </c>
      <c r="B36" s="703">
        <f>[6]本部!$I$36</f>
        <v>56755</v>
      </c>
      <c r="C36" s="259" t="str">
        <f t="shared" si="38"/>
        <v/>
      </c>
      <c r="D36" s="728">
        <f>[6]本部!$L$36</f>
        <v>368933</v>
      </c>
      <c r="E36" s="122" t="str">
        <f t="shared" si="39"/>
        <v/>
      </c>
      <c r="F36" s="352">
        <f>[6]本社営業!$I$36</f>
        <v>84078</v>
      </c>
      <c r="G36" s="9">
        <f t="shared" si="40"/>
        <v>1.6319278106781599E-4</v>
      </c>
      <c r="H36" s="362">
        <f>[6]本社営業!$L$36</f>
        <v>488897</v>
      </c>
      <c r="I36" s="124">
        <f t="shared" si="19"/>
        <v>1.5533712438352873E-4</v>
      </c>
      <c r="J36" s="745">
        <f>[6]東大阪!$I$36</f>
        <v>24910</v>
      </c>
      <c r="K36" s="9">
        <f t="shared" si="20"/>
        <v>2.692227007803135E-3</v>
      </c>
      <c r="L36" s="362">
        <f>[6]東大阪!$L$36</f>
        <v>149432</v>
      </c>
      <c r="M36" s="124">
        <f t="shared" si="37"/>
        <v>2.7081192016818641E-3</v>
      </c>
      <c r="N36" s="403">
        <f>[6]南港工場!$I$36</f>
        <v>9896</v>
      </c>
      <c r="O36" s="9">
        <f t="shared" si="41"/>
        <v>3.7764386481555537E-4</v>
      </c>
      <c r="P36" s="362">
        <f>[6]南港工場!$L$36</f>
        <v>59352</v>
      </c>
      <c r="Q36" s="204">
        <f t="shared" si="42"/>
        <v>3.6460013767476154E-4</v>
      </c>
      <c r="R36" s="437">
        <f>[6]南港事務!$I$36</f>
        <v>32857</v>
      </c>
      <c r="S36" s="9" t="str">
        <f t="shared" si="43"/>
        <v/>
      </c>
      <c r="T36" s="362">
        <f>[6]南港事務!$L$36</f>
        <v>194906</v>
      </c>
      <c r="U36" s="204" t="str">
        <f t="shared" si="44"/>
        <v/>
      </c>
      <c r="V36" s="456">
        <f t="shared" si="21"/>
        <v>42753</v>
      </c>
      <c r="W36" s="171">
        <f t="shared" si="45"/>
        <v>1.6315085036842601E-3</v>
      </c>
      <c r="X36" s="426">
        <f t="shared" si="22"/>
        <v>254258</v>
      </c>
      <c r="Y36" s="225">
        <f t="shared" si="46"/>
        <v>1.5619103282940678E-3</v>
      </c>
      <c r="Z36" s="460">
        <f t="shared" si="23"/>
        <v>151741</v>
      </c>
      <c r="AA36" s="189">
        <f t="shared" si="47"/>
        <v>2.7556017173812231E-4</v>
      </c>
      <c r="AB36" s="564">
        <f t="shared" si="24"/>
        <v>892587</v>
      </c>
      <c r="AC36" s="123">
        <f t="shared" si="48"/>
        <v>2.6523294769819668E-4</v>
      </c>
      <c r="AD36" s="352">
        <f>[6]東京事務!$I$36</f>
        <v>24939</v>
      </c>
      <c r="AE36" s="9">
        <f t="shared" si="49"/>
        <v>9.768296699491954E-5</v>
      </c>
      <c r="AF36" s="362">
        <f>[6]東京事務!$L$36</f>
        <v>179353</v>
      </c>
      <c r="AG36" s="81">
        <f t="shared" si="50"/>
        <v>1.1858386741292586E-4</v>
      </c>
      <c r="AH36" s="388">
        <f>[6]東京工場!$I$36</f>
        <v>3004</v>
      </c>
      <c r="AI36" s="171">
        <f t="shared" si="25"/>
        <v>3.3139767964258471E-4</v>
      </c>
      <c r="AJ36" s="362">
        <f>[6]東京工場!$L$36</f>
        <v>18022</v>
      </c>
      <c r="AK36" s="99">
        <f t="shared" si="36"/>
        <v>2.9718513633042448E-4</v>
      </c>
      <c r="AL36" s="547">
        <f t="shared" si="26"/>
        <v>27943</v>
      </c>
      <c r="AM36" s="314">
        <f t="shared" si="51"/>
        <v>1.0569650126651401E-4</v>
      </c>
      <c r="AN36" s="478">
        <f t="shared" si="27"/>
        <v>197375</v>
      </c>
      <c r="AO36" s="123">
        <f t="shared" si="52"/>
        <v>1.2546887296684565E-4</v>
      </c>
      <c r="AP36" s="527">
        <f t="shared" si="28"/>
        <v>236439</v>
      </c>
      <c r="AQ36" s="284">
        <f t="shared" si="53"/>
        <v>2.9009713227760056E-4</v>
      </c>
      <c r="AR36" s="487">
        <f t="shared" si="29"/>
        <v>1458895</v>
      </c>
      <c r="AS36" s="285">
        <f t="shared" si="54"/>
        <v>2.9541892122515891E-4</v>
      </c>
      <c r="AT36" s="584">
        <f>[6]全社合計!$G$36</f>
        <v>292389</v>
      </c>
      <c r="AU36" s="124">
        <f t="shared" si="30"/>
        <v>3.0574490002372655E-4</v>
      </c>
      <c r="AV36" s="578">
        <f>[6]全社合計!$N$36</f>
        <v>1567912</v>
      </c>
      <c r="AW36" s="125">
        <f t="shared" si="31"/>
        <v>2.8029755802762421E-4</v>
      </c>
      <c r="AX36" s="584">
        <f t="shared" si="32"/>
        <v>-55950</v>
      </c>
      <c r="AY36" s="124">
        <f t="shared" si="33"/>
        <v>0.8086453320747361</v>
      </c>
      <c r="AZ36" s="578">
        <f t="shared" si="34"/>
        <v>-109017</v>
      </c>
      <c r="BA36" s="125">
        <f t="shared" si="35"/>
        <v>0.9304699498441239</v>
      </c>
      <c r="BB36" s="11"/>
    </row>
    <row r="37" spans="1:54" ht="15.95" customHeight="1">
      <c r="A37" s="37" t="s">
        <v>31</v>
      </c>
      <c r="B37" s="703">
        <f>[6]本部!$I$37</f>
        <v>0</v>
      </c>
      <c r="C37" s="259" t="str">
        <f t="shared" si="38"/>
        <v/>
      </c>
      <c r="D37" s="728">
        <f>[6]本部!$L$37</f>
        <v>0</v>
      </c>
      <c r="E37" s="122" t="str">
        <f t="shared" si="39"/>
        <v/>
      </c>
      <c r="F37" s="352">
        <f>[6]本社営業!$I$37</f>
        <v>0</v>
      </c>
      <c r="G37" s="9">
        <f t="shared" si="40"/>
        <v>0</v>
      </c>
      <c r="H37" s="362">
        <f>[6]本社営業!$L$37</f>
        <v>720678</v>
      </c>
      <c r="I37" s="124">
        <f t="shared" si="19"/>
        <v>2.2898084489467662E-4</v>
      </c>
      <c r="J37" s="745">
        <f>[6]東大阪!$I$37</f>
        <v>0</v>
      </c>
      <c r="K37" s="9">
        <f t="shared" si="20"/>
        <v>0</v>
      </c>
      <c r="L37" s="362">
        <f>[6]東大阪!$L$37</f>
        <v>108042</v>
      </c>
      <c r="M37" s="124">
        <f t="shared" si="37"/>
        <v>1.9580184618295409E-3</v>
      </c>
      <c r="N37" s="403">
        <f>[6]南港工場!$I$37</f>
        <v>0</v>
      </c>
      <c r="O37" s="9">
        <f t="shared" si="41"/>
        <v>0</v>
      </c>
      <c r="P37" s="362">
        <f>[6]南港工場!$L$37</f>
        <v>23095</v>
      </c>
      <c r="Q37" s="204">
        <f t="shared" si="42"/>
        <v>1.418728969470046E-4</v>
      </c>
      <c r="R37" s="437">
        <f>[6]南港事務!$I$37</f>
        <v>0</v>
      </c>
      <c r="S37" s="9" t="str">
        <f t="shared" si="43"/>
        <v/>
      </c>
      <c r="T37" s="362">
        <f>[6]南港事務!$L$37</f>
        <v>0</v>
      </c>
      <c r="U37" s="204" t="str">
        <f t="shared" si="44"/>
        <v/>
      </c>
      <c r="V37" s="456">
        <f t="shared" si="21"/>
        <v>0</v>
      </c>
      <c r="W37" s="171">
        <f t="shared" si="45"/>
        <v>0</v>
      </c>
      <c r="X37" s="426">
        <f t="shared" si="22"/>
        <v>23095</v>
      </c>
      <c r="Y37" s="225">
        <f t="shared" si="46"/>
        <v>1.418728969470046E-4</v>
      </c>
      <c r="Z37" s="460">
        <f t="shared" si="23"/>
        <v>0</v>
      </c>
      <c r="AA37" s="189">
        <f t="shared" si="47"/>
        <v>0</v>
      </c>
      <c r="AB37" s="564">
        <f t="shared" si="24"/>
        <v>851815</v>
      </c>
      <c r="AC37" s="123">
        <f t="shared" si="48"/>
        <v>2.5311751498009651E-4</v>
      </c>
      <c r="AD37" s="352">
        <f>[6]東京事務!$I$37</f>
        <v>0</v>
      </c>
      <c r="AE37" s="9">
        <f t="shared" si="49"/>
        <v>0</v>
      </c>
      <c r="AF37" s="362">
        <f>[6]東京事務!$L$37</f>
        <v>0</v>
      </c>
      <c r="AG37" s="81">
        <f t="shared" si="50"/>
        <v>0</v>
      </c>
      <c r="AH37" s="388">
        <f>[6]東京工場!$I$37</f>
        <v>28236</v>
      </c>
      <c r="AI37" s="171">
        <f t="shared" si="25"/>
        <v>3.1149616785579302E-3</v>
      </c>
      <c r="AJ37" s="362">
        <f>[6]東京工場!$L$37</f>
        <v>212512</v>
      </c>
      <c r="AK37" s="99">
        <f t="shared" si="36"/>
        <v>3.5043506654006862E-3</v>
      </c>
      <c r="AL37" s="547">
        <f t="shared" si="26"/>
        <v>28236</v>
      </c>
      <c r="AM37" s="314">
        <f t="shared" si="51"/>
        <v>1.0680479582583437E-4</v>
      </c>
      <c r="AN37" s="478">
        <f t="shared" si="27"/>
        <v>212512</v>
      </c>
      <c r="AO37" s="123">
        <f t="shared" si="52"/>
        <v>1.3509127869249044E-4</v>
      </c>
      <c r="AP37" s="527">
        <f t="shared" si="28"/>
        <v>28236</v>
      </c>
      <c r="AQ37" s="284">
        <f t="shared" si="53"/>
        <v>3.4643957329333699E-5</v>
      </c>
      <c r="AR37" s="487">
        <f t="shared" si="29"/>
        <v>1064327</v>
      </c>
      <c r="AS37" s="285">
        <f t="shared" si="54"/>
        <v>2.1552087996107308E-4</v>
      </c>
      <c r="AT37" s="584">
        <f>[6]全社合計!$G$37</f>
        <v>196594</v>
      </c>
      <c r="AU37" s="124">
        <f t="shared" si="30"/>
        <v>2.0557412513899119E-4</v>
      </c>
      <c r="AV37" s="578">
        <f>[6]全社合計!$N$37</f>
        <v>2637689</v>
      </c>
      <c r="AW37" s="125">
        <f t="shared" si="31"/>
        <v>4.7154290900020283E-4</v>
      </c>
      <c r="AX37" s="584">
        <f t="shared" si="32"/>
        <v>-168358</v>
      </c>
      <c r="AY37" s="124">
        <f t="shared" si="33"/>
        <v>0.14362594992726127</v>
      </c>
      <c r="AZ37" s="578">
        <f t="shared" si="34"/>
        <v>-1573362</v>
      </c>
      <c r="BA37" s="125">
        <f t="shared" si="35"/>
        <v>0.40350738847529027</v>
      </c>
      <c r="BB37" s="11"/>
    </row>
    <row r="38" spans="1:54" ht="15.95" customHeight="1">
      <c r="A38" s="37" t="s">
        <v>32</v>
      </c>
      <c r="B38" s="703">
        <f>[6]本部!$I$38</f>
        <v>0</v>
      </c>
      <c r="C38" s="259" t="str">
        <f t="shared" si="38"/>
        <v/>
      </c>
      <c r="D38" s="728">
        <f>[6]本部!$L$38</f>
        <v>33096</v>
      </c>
      <c r="E38" s="122" t="str">
        <f t="shared" si="39"/>
        <v/>
      </c>
      <c r="F38" s="352">
        <f>[6]本社営業!$I$38</f>
        <v>130465</v>
      </c>
      <c r="G38" s="9">
        <f t="shared" si="40"/>
        <v>2.5322850426999467E-4</v>
      </c>
      <c r="H38" s="362">
        <f>[6]本社営業!$L$38</f>
        <v>939901</v>
      </c>
      <c r="I38" s="124">
        <f>IF(ISERR(H38/$H$11),"",H38/$H$11)</f>
        <v>2.9863451513345969E-4</v>
      </c>
      <c r="J38" s="745">
        <f>[6]東大阪!$I$38</f>
        <v>0</v>
      </c>
      <c r="K38" s="9">
        <f t="shared" si="20"/>
        <v>0</v>
      </c>
      <c r="L38" s="362">
        <f>[6]東大阪!$L$38</f>
        <v>0</v>
      </c>
      <c r="M38" s="124">
        <f t="shared" si="37"/>
        <v>0</v>
      </c>
      <c r="N38" s="403">
        <f>[6]南港工場!$I$38</f>
        <v>0</v>
      </c>
      <c r="O38" s="9">
        <f t="shared" si="41"/>
        <v>0</v>
      </c>
      <c r="P38" s="362">
        <f>[6]南港工場!$L$38</f>
        <v>0</v>
      </c>
      <c r="Q38" s="204">
        <f t="shared" si="42"/>
        <v>0</v>
      </c>
      <c r="R38" s="437">
        <f>[6]南港事務!$I$38</f>
        <v>15818</v>
      </c>
      <c r="S38" s="9" t="str">
        <f t="shared" si="43"/>
        <v/>
      </c>
      <c r="T38" s="362">
        <f>[6]南港事務!$L$38</f>
        <v>54499</v>
      </c>
      <c r="U38" s="204" t="str">
        <f t="shared" si="44"/>
        <v/>
      </c>
      <c r="V38" s="456">
        <f t="shared" si="21"/>
        <v>15818</v>
      </c>
      <c r="W38" s="171">
        <f t="shared" si="45"/>
        <v>6.0363486799236605E-4</v>
      </c>
      <c r="X38" s="426">
        <f t="shared" si="22"/>
        <v>54499</v>
      </c>
      <c r="Y38" s="225">
        <f t="shared" si="46"/>
        <v>3.3478809312469381E-4</v>
      </c>
      <c r="Z38" s="460">
        <f t="shared" si="23"/>
        <v>146283</v>
      </c>
      <c r="AA38" s="189">
        <f t="shared" si="47"/>
        <v>2.6564849712581138E-4</v>
      </c>
      <c r="AB38" s="564">
        <f t="shared" si="24"/>
        <v>994400</v>
      </c>
      <c r="AC38" s="123">
        <f t="shared" si="48"/>
        <v>2.954867628489848E-4</v>
      </c>
      <c r="AD38" s="352">
        <f>[6]東京事務!$I$38</f>
        <v>29156</v>
      </c>
      <c r="AE38" s="9">
        <f t="shared" si="49"/>
        <v>1.1420043248341449E-4</v>
      </c>
      <c r="AF38" s="362">
        <f>[6]東京事務!$L$38</f>
        <v>252009</v>
      </c>
      <c r="AG38" s="81">
        <f t="shared" si="50"/>
        <v>1.666222580211317E-4</v>
      </c>
      <c r="AH38" s="388">
        <f>[6]東京工場!$I$38</f>
        <v>3420</v>
      </c>
      <c r="AI38" s="171">
        <f t="shared" si="25"/>
        <v>3.7729030105780283E-4</v>
      </c>
      <c r="AJ38" s="362">
        <f>[6]東京工場!$L$38</f>
        <v>33250</v>
      </c>
      <c r="AK38" s="99">
        <f t="shared" si="36"/>
        <v>5.4829684735249219E-4</v>
      </c>
      <c r="AL38" s="547">
        <f t="shared" si="26"/>
        <v>32576</v>
      </c>
      <c r="AM38" s="314">
        <f t="shared" si="51"/>
        <v>1.2322117257481158E-4</v>
      </c>
      <c r="AN38" s="478">
        <f t="shared" si="27"/>
        <v>285259</v>
      </c>
      <c r="AO38" s="123">
        <f t="shared" si="52"/>
        <v>1.81335656661935E-4</v>
      </c>
      <c r="AP38" s="527">
        <f t="shared" si="28"/>
        <v>178859</v>
      </c>
      <c r="AQ38" s="284">
        <f t="shared" si="53"/>
        <v>2.1944976497971722E-4</v>
      </c>
      <c r="AR38" s="487">
        <f t="shared" si="29"/>
        <v>1312755</v>
      </c>
      <c r="AS38" s="285">
        <f t="shared" si="54"/>
        <v>2.6582630410888617E-4</v>
      </c>
      <c r="AT38" s="584">
        <f>[6]全社合計!$G$38</f>
        <v>226696</v>
      </c>
      <c r="AU38" s="124">
        <f t="shared" si="30"/>
        <v>2.3705114028153834E-4</v>
      </c>
      <c r="AV38" s="578">
        <f>[6]全社合計!$N$38</f>
        <v>1648194</v>
      </c>
      <c r="AW38" s="125">
        <f t="shared" si="31"/>
        <v>2.9464966997878839E-4</v>
      </c>
      <c r="AX38" s="584">
        <f t="shared" si="32"/>
        <v>-47837</v>
      </c>
      <c r="AY38" s="124">
        <f t="shared" si="33"/>
        <v>0.78898172001270428</v>
      </c>
      <c r="AZ38" s="578">
        <f t="shared" si="34"/>
        <v>-335439</v>
      </c>
      <c r="BA38" s="125">
        <f t="shared" si="35"/>
        <v>0.79648087543092616</v>
      </c>
      <c r="BB38" s="11"/>
    </row>
    <row r="39" spans="1:54" ht="15.95" customHeight="1">
      <c r="A39" s="37" t="s">
        <v>56</v>
      </c>
      <c r="B39" s="703">
        <f>[6]本部!$I$39</f>
        <v>4445</v>
      </c>
      <c r="C39" s="259" t="str">
        <f t="shared" si="38"/>
        <v/>
      </c>
      <c r="D39" s="728">
        <f>[6]本部!$L$39</f>
        <v>48850</v>
      </c>
      <c r="E39" s="122" t="str">
        <f t="shared" si="39"/>
        <v/>
      </c>
      <c r="F39" s="352">
        <f>[6]本社営業!$I$39</f>
        <v>0</v>
      </c>
      <c r="G39" s="9">
        <f t="shared" si="40"/>
        <v>0</v>
      </c>
      <c r="H39" s="362">
        <f>[6]本社営業!$L$39</f>
        <v>72014</v>
      </c>
      <c r="I39" s="124">
        <f t="shared" si="19"/>
        <v>2.2880990628609787E-5</v>
      </c>
      <c r="J39" s="745">
        <f>[6]東大阪!$I$39</f>
        <v>0</v>
      </c>
      <c r="K39" s="9">
        <f t="shared" si="20"/>
        <v>0</v>
      </c>
      <c r="L39" s="362">
        <f>[6]東大阪!$L$39</f>
        <v>0</v>
      </c>
      <c r="M39" s="124">
        <f t="shared" si="37"/>
        <v>0</v>
      </c>
      <c r="N39" s="403">
        <f>[6]南港工場!$I$39</f>
        <v>0</v>
      </c>
      <c r="O39" s="9">
        <f t="shared" si="41"/>
        <v>0</v>
      </c>
      <c r="P39" s="362">
        <f>[6]南港工場!$L$39</f>
        <v>0</v>
      </c>
      <c r="Q39" s="204">
        <f t="shared" si="42"/>
        <v>0</v>
      </c>
      <c r="R39" s="437">
        <f>[6]南港事務!$I$39</f>
        <v>0</v>
      </c>
      <c r="S39" s="9" t="str">
        <f t="shared" si="43"/>
        <v/>
      </c>
      <c r="T39" s="362">
        <f>[6]南港事務!$L$39</f>
        <v>0</v>
      </c>
      <c r="U39" s="204" t="str">
        <f t="shared" si="44"/>
        <v/>
      </c>
      <c r="V39" s="456">
        <f t="shared" si="21"/>
        <v>0</v>
      </c>
      <c r="W39" s="171">
        <f t="shared" si="45"/>
        <v>0</v>
      </c>
      <c r="X39" s="426">
        <f t="shared" si="22"/>
        <v>0</v>
      </c>
      <c r="Y39" s="225">
        <f t="shared" si="46"/>
        <v>0</v>
      </c>
      <c r="Z39" s="460">
        <f t="shared" si="23"/>
        <v>0</v>
      </c>
      <c r="AA39" s="189">
        <f t="shared" si="47"/>
        <v>0</v>
      </c>
      <c r="AB39" s="564">
        <f t="shared" si="24"/>
        <v>72014</v>
      </c>
      <c r="AC39" s="123">
        <f t="shared" si="48"/>
        <v>2.1399018241961774E-5</v>
      </c>
      <c r="AD39" s="352">
        <f>[6]東京事務!$I$39</f>
        <v>0</v>
      </c>
      <c r="AE39" s="9">
        <f t="shared" si="49"/>
        <v>0</v>
      </c>
      <c r="AF39" s="362">
        <f>[6]東京事務!$L$39</f>
        <v>71204</v>
      </c>
      <c r="AG39" s="81">
        <f t="shared" si="50"/>
        <v>4.707836331296367E-5</v>
      </c>
      <c r="AH39" s="388">
        <f>[6]東京工場!$I$39</f>
        <v>0</v>
      </c>
      <c r="AI39" s="171">
        <f t="shared" si="25"/>
        <v>0</v>
      </c>
      <c r="AJ39" s="362">
        <f>[6]東京工場!$L$39</f>
        <v>0</v>
      </c>
      <c r="AK39" s="99">
        <f t="shared" si="36"/>
        <v>0</v>
      </c>
      <c r="AL39" s="547">
        <f t="shared" si="26"/>
        <v>0</v>
      </c>
      <c r="AM39" s="314">
        <f t="shared" si="51"/>
        <v>0</v>
      </c>
      <c r="AN39" s="478">
        <f t="shared" si="27"/>
        <v>71204</v>
      </c>
      <c r="AO39" s="123">
        <f t="shared" si="52"/>
        <v>4.5263511745313629E-5</v>
      </c>
      <c r="AP39" s="527">
        <f t="shared" si="28"/>
        <v>4445</v>
      </c>
      <c r="AQ39" s="284">
        <f t="shared" si="53"/>
        <v>5.4537608134611233E-6</v>
      </c>
      <c r="AR39" s="487">
        <f t="shared" si="29"/>
        <v>192068</v>
      </c>
      <c r="AS39" s="285">
        <f t="shared" si="54"/>
        <v>3.8892806789984083E-5</v>
      </c>
      <c r="AT39" s="584">
        <f>[6]全社合計!$G$39</f>
        <v>48067</v>
      </c>
      <c r="AU39" s="124">
        <f t="shared" si="30"/>
        <v>5.0262629953385606E-5</v>
      </c>
      <c r="AV39" s="578">
        <f>[6]全社合計!$N$39</f>
        <v>212532</v>
      </c>
      <c r="AW39" s="125">
        <f t="shared" si="31"/>
        <v>3.7994607224593615E-5</v>
      </c>
      <c r="AX39" s="584">
        <f t="shared" si="32"/>
        <v>-43622</v>
      </c>
      <c r="AY39" s="124">
        <f t="shared" si="33"/>
        <v>9.2475086857927477E-2</v>
      </c>
      <c r="AZ39" s="578">
        <f t="shared" si="34"/>
        <v>-20464</v>
      </c>
      <c r="BA39" s="125">
        <f t="shared" si="35"/>
        <v>0.90371332317015796</v>
      </c>
      <c r="BB39" s="11"/>
    </row>
    <row r="40" spans="1:54" ht="15.95" customHeight="1">
      <c r="A40" s="37" t="s">
        <v>33</v>
      </c>
      <c r="B40" s="703">
        <f>[6]本部!$I$40</f>
        <v>0</v>
      </c>
      <c r="C40" s="259" t="str">
        <f t="shared" si="38"/>
        <v/>
      </c>
      <c r="D40" s="728">
        <f>[6]本部!$L$40</f>
        <v>0</v>
      </c>
      <c r="E40" s="122" t="str">
        <f t="shared" si="39"/>
        <v/>
      </c>
      <c r="F40" s="352">
        <f>[6]本社営業!$I$40</f>
        <v>21110</v>
      </c>
      <c r="G40" s="9">
        <f t="shared" si="40"/>
        <v>4.0973852950136724E-5</v>
      </c>
      <c r="H40" s="362">
        <f>[6]本社営業!$L$40</f>
        <v>139389</v>
      </c>
      <c r="I40" s="124">
        <f t="shared" si="19"/>
        <v>4.4288032920422268E-5</v>
      </c>
      <c r="J40" s="745">
        <f>[6]東大阪!$I$40</f>
        <v>0</v>
      </c>
      <c r="K40" s="9">
        <f t="shared" si="20"/>
        <v>0</v>
      </c>
      <c r="L40" s="362">
        <f>[6]東大阪!$L$40</f>
        <v>0</v>
      </c>
      <c r="M40" s="124">
        <f t="shared" si="37"/>
        <v>0</v>
      </c>
      <c r="N40" s="403">
        <f>[6]南港工場!$I$40</f>
        <v>0</v>
      </c>
      <c r="O40" s="9">
        <f t="shared" si="41"/>
        <v>0</v>
      </c>
      <c r="P40" s="362">
        <f>[6]南港工場!$L$40</f>
        <v>0</v>
      </c>
      <c r="Q40" s="204">
        <f t="shared" si="42"/>
        <v>0</v>
      </c>
      <c r="R40" s="437">
        <f>[6]南港事務!$I$40</f>
        <v>0</v>
      </c>
      <c r="S40" s="9" t="str">
        <f t="shared" si="43"/>
        <v/>
      </c>
      <c r="T40" s="362">
        <f>[6]南港事務!$L$40</f>
        <v>9600</v>
      </c>
      <c r="U40" s="204" t="str">
        <f t="shared" si="44"/>
        <v/>
      </c>
      <c r="V40" s="456">
        <f t="shared" si="21"/>
        <v>0</v>
      </c>
      <c r="W40" s="171">
        <f t="shared" si="45"/>
        <v>0</v>
      </c>
      <c r="X40" s="426">
        <f t="shared" si="22"/>
        <v>9600</v>
      </c>
      <c r="Y40" s="225">
        <f t="shared" si="46"/>
        <v>5.8972929668380348E-5</v>
      </c>
      <c r="Z40" s="460">
        <f t="shared" si="23"/>
        <v>21110</v>
      </c>
      <c r="AA40" s="189">
        <f t="shared" si="47"/>
        <v>3.8335553511521358E-5</v>
      </c>
      <c r="AB40" s="564">
        <f t="shared" si="24"/>
        <v>148989</v>
      </c>
      <c r="AC40" s="123">
        <f t="shared" si="48"/>
        <v>4.4272201639287399E-5</v>
      </c>
      <c r="AD40" s="352">
        <f>[6]東京事務!$I$40</f>
        <v>0</v>
      </c>
      <c r="AE40" s="9">
        <f t="shared" si="49"/>
        <v>0</v>
      </c>
      <c r="AF40" s="362">
        <f>[6]東京事務!$L$40</f>
        <v>4419</v>
      </c>
      <c r="AG40" s="81">
        <f t="shared" si="50"/>
        <v>2.9217359625861812E-6</v>
      </c>
      <c r="AH40" s="388">
        <f>[6]東京工場!$I$40</f>
        <v>0</v>
      </c>
      <c r="AI40" s="171">
        <f t="shared" si="25"/>
        <v>0</v>
      </c>
      <c r="AJ40" s="362">
        <f>[6]東京工場!$L$40</f>
        <v>0</v>
      </c>
      <c r="AK40" s="99">
        <f t="shared" si="36"/>
        <v>0</v>
      </c>
      <c r="AL40" s="547">
        <f t="shared" si="26"/>
        <v>0</v>
      </c>
      <c r="AM40" s="314">
        <f t="shared" si="51"/>
        <v>0</v>
      </c>
      <c r="AN40" s="478">
        <f t="shared" si="27"/>
        <v>4419</v>
      </c>
      <c r="AO40" s="123">
        <f t="shared" si="52"/>
        <v>2.8091042413704418E-6</v>
      </c>
      <c r="AP40" s="527">
        <f t="shared" si="28"/>
        <v>21110</v>
      </c>
      <c r="AQ40" s="284">
        <f t="shared" si="53"/>
        <v>2.5900762828383424E-5</v>
      </c>
      <c r="AR40" s="487">
        <f t="shared" si="29"/>
        <v>153408</v>
      </c>
      <c r="AS40" s="285">
        <f t="shared" si="54"/>
        <v>3.106435066766915E-5</v>
      </c>
      <c r="AT40" s="584">
        <f>[6]全社合計!$G$40</f>
        <v>45686</v>
      </c>
      <c r="AU40" s="124">
        <f t="shared" si="30"/>
        <v>4.7772869370885946E-5</v>
      </c>
      <c r="AV40" s="578">
        <f>[6]全社合計!$N$40</f>
        <v>203264</v>
      </c>
      <c r="AW40" s="125">
        <f t="shared" si="31"/>
        <v>3.6337755457530145E-5</v>
      </c>
      <c r="AX40" s="584">
        <f t="shared" si="32"/>
        <v>-24576</v>
      </c>
      <c r="AY40" s="124">
        <f t="shared" si="33"/>
        <v>0.4620671540515694</v>
      </c>
      <c r="AZ40" s="578">
        <f t="shared" si="34"/>
        <v>-49856</v>
      </c>
      <c r="BA40" s="125">
        <f t="shared" si="35"/>
        <v>0.75472292191435764</v>
      </c>
      <c r="BB40" s="11"/>
    </row>
    <row r="41" spans="1:54" ht="15.95" customHeight="1">
      <c r="A41" s="37" t="s">
        <v>34</v>
      </c>
      <c r="B41" s="703">
        <f>[6]本部!$I$41</f>
        <v>0</v>
      </c>
      <c r="C41" s="259" t="str">
        <f t="shared" si="38"/>
        <v/>
      </c>
      <c r="D41" s="728">
        <f>[6]本部!$L$41</f>
        <v>437300</v>
      </c>
      <c r="E41" s="122" t="str">
        <f t="shared" si="39"/>
        <v/>
      </c>
      <c r="F41" s="352">
        <f>[6]本社営業!$I$41</f>
        <v>0</v>
      </c>
      <c r="G41" s="9">
        <f t="shared" si="40"/>
        <v>0</v>
      </c>
      <c r="H41" s="362">
        <f>[6]本社営業!$L$41</f>
        <v>142000</v>
      </c>
      <c r="I41" s="124">
        <f t="shared" si="19"/>
        <v>4.5117625312614069E-5</v>
      </c>
      <c r="J41" s="745">
        <f>[6]東大阪!$I$41</f>
        <v>0</v>
      </c>
      <c r="K41" s="9">
        <f t="shared" si="20"/>
        <v>0</v>
      </c>
      <c r="L41" s="362">
        <f>[6]東大阪!$L$41</f>
        <v>10000</v>
      </c>
      <c r="M41" s="124">
        <f t="shared" si="37"/>
        <v>1.8122752835282027E-4</v>
      </c>
      <c r="N41" s="403">
        <f>[6]南港工場!$I$41</f>
        <v>0</v>
      </c>
      <c r="O41" s="9">
        <f t="shared" si="41"/>
        <v>0</v>
      </c>
      <c r="P41" s="362">
        <f>[6]南港工場!$L$41</f>
        <v>0</v>
      </c>
      <c r="Q41" s="204">
        <f t="shared" si="42"/>
        <v>0</v>
      </c>
      <c r="R41" s="437">
        <f>[6]南港事務!$I$41</f>
        <v>0</v>
      </c>
      <c r="S41" s="9" t="str">
        <f t="shared" si="43"/>
        <v/>
      </c>
      <c r="T41" s="362">
        <f>[6]南港事務!$L$41</f>
        <v>851916</v>
      </c>
      <c r="U41" s="204" t="str">
        <f t="shared" si="44"/>
        <v/>
      </c>
      <c r="V41" s="456">
        <f t="shared" si="21"/>
        <v>0</v>
      </c>
      <c r="W41" s="171">
        <f t="shared" si="45"/>
        <v>0</v>
      </c>
      <c r="X41" s="426">
        <f t="shared" si="22"/>
        <v>851916</v>
      </c>
      <c r="Y41" s="225">
        <f t="shared" si="46"/>
        <v>5.2333314949341578E-3</v>
      </c>
      <c r="Z41" s="460">
        <f t="shared" si="23"/>
        <v>0</v>
      </c>
      <c r="AA41" s="189">
        <f t="shared" si="47"/>
        <v>0</v>
      </c>
      <c r="AB41" s="564">
        <f t="shared" si="24"/>
        <v>1003916</v>
      </c>
      <c r="AC41" s="123">
        <f t="shared" si="48"/>
        <v>2.9831444993192016E-4</v>
      </c>
      <c r="AD41" s="352">
        <f>[6]東京事務!$I$41</f>
        <v>50000</v>
      </c>
      <c r="AE41" s="9">
        <f t="shared" si="49"/>
        <v>1.9584379284437936E-4</v>
      </c>
      <c r="AF41" s="362">
        <f>[6]東京事務!$L$41</f>
        <v>288000</v>
      </c>
      <c r="AG41" s="81">
        <f t="shared" si="50"/>
        <v>1.9041863707282646E-4</v>
      </c>
      <c r="AH41" s="388">
        <f>[6]東京工場!$I$41</f>
        <v>0</v>
      </c>
      <c r="AI41" s="171">
        <f t="shared" si="25"/>
        <v>0</v>
      </c>
      <c r="AJ41" s="362">
        <f>[6]東京工場!$L$41</f>
        <v>0</v>
      </c>
      <c r="AK41" s="99">
        <f t="shared" si="36"/>
        <v>0</v>
      </c>
      <c r="AL41" s="547">
        <f t="shared" si="26"/>
        <v>50000</v>
      </c>
      <c r="AM41" s="314">
        <f t="shared" si="51"/>
        <v>1.8912876438913862E-4</v>
      </c>
      <c r="AN41" s="478">
        <f t="shared" si="27"/>
        <v>288000</v>
      </c>
      <c r="AO41" s="123">
        <f t="shared" si="52"/>
        <v>1.8307807683066015E-4</v>
      </c>
      <c r="AP41" s="527">
        <f t="shared" si="28"/>
        <v>50000</v>
      </c>
      <c r="AQ41" s="284">
        <f t="shared" si="53"/>
        <v>6.1347140758842781E-5</v>
      </c>
      <c r="AR41" s="487">
        <f t="shared" si="29"/>
        <v>1729216</v>
      </c>
      <c r="AS41" s="285">
        <f t="shared" si="54"/>
        <v>3.5015756808083132E-4</v>
      </c>
      <c r="AT41" s="584">
        <f>[6]全社合計!$G$41</f>
        <v>3000</v>
      </c>
      <c r="AU41" s="124">
        <f t="shared" si="30"/>
        <v>3.1370355932377063E-6</v>
      </c>
      <c r="AV41" s="578">
        <f>[6]全社合計!$N$41</f>
        <v>1805535</v>
      </c>
      <c r="AW41" s="125">
        <f t="shared" si="31"/>
        <v>3.2277771420424517E-4</v>
      </c>
      <c r="AX41" s="584">
        <f t="shared" si="32"/>
        <v>47000</v>
      </c>
      <c r="AY41" s="124">
        <f t="shared" si="33"/>
        <v>16.666666666666668</v>
      </c>
      <c r="AZ41" s="578">
        <f t="shared" si="34"/>
        <v>-76319</v>
      </c>
      <c r="BA41" s="125">
        <f t="shared" si="35"/>
        <v>0.95773053416300435</v>
      </c>
      <c r="BB41" s="11"/>
    </row>
    <row r="42" spans="1:54" ht="15.95" customHeight="1">
      <c r="A42" s="37" t="s">
        <v>35</v>
      </c>
      <c r="B42" s="703">
        <f>[6]本部!$I$42</f>
        <v>900000</v>
      </c>
      <c r="C42" s="259" t="str">
        <f t="shared" si="38"/>
        <v/>
      </c>
      <c r="D42" s="728">
        <f>[6]本部!$L$42</f>
        <v>900000</v>
      </c>
      <c r="E42" s="122" t="str">
        <f t="shared" si="39"/>
        <v/>
      </c>
      <c r="F42" s="352">
        <f>[6]本社営業!$I$42</f>
        <v>0</v>
      </c>
      <c r="G42" s="9">
        <f t="shared" si="40"/>
        <v>0</v>
      </c>
      <c r="H42" s="362">
        <f>[6]本社営業!$L$42</f>
        <v>1055603</v>
      </c>
      <c r="I42" s="124">
        <f t="shared" si="19"/>
        <v>3.3539648333007991E-4</v>
      </c>
      <c r="J42" s="745">
        <f>[6]東大阪!$I$42</f>
        <v>0</v>
      </c>
      <c r="K42" s="9">
        <f t="shared" si="20"/>
        <v>0</v>
      </c>
      <c r="L42" s="362">
        <f>[6]東大阪!$L$42</f>
        <v>0</v>
      </c>
      <c r="M42" s="124">
        <f t="shared" si="37"/>
        <v>0</v>
      </c>
      <c r="N42" s="403">
        <f>[6]南港工場!$I$42</f>
        <v>0</v>
      </c>
      <c r="O42" s="9">
        <f t="shared" si="41"/>
        <v>0</v>
      </c>
      <c r="P42" s="362">
        <f>[6]南港工場!$L$42</f>
        <v>0</v>
      </c>
      <c r="Q42" s="204">
        <f t="shared" si="42"/>
        <v>0</v>
      </c>
      <c r="R42" s="437">
        <f>[6]南港事務!$I$42</f>
        <v>0</v>
      </c>
      <c r="S42" s="9" t="str">
        <f t="shared" si="43"/>
        <v/>
      </c>
      <c r="T42" s="362">
        <f>[6]南港事務!$L$42</f>
        <v>0</v>
      </c>
      <c r="U42" s="204" t="str">
        <f t="shared" si="44"/>
        <v/>
      </c>
      <c r="V42" s="456">
        <f t="shared" si="21"/>
        <v>0</v>
      </c>
      <c r="W42" s="171">
        <f t="shared" si="45"/>
        <v>0</v>
      </c>
      <c r="X42" s="426">
        <f t="shared" si="22"/>
        <v>0</v>
      </c>
      <c r="Y42" s="225">
        <f t="shared" si="46"/>
        <v>0</v>
      </c>
      <c r="Z42" s="460">
        <f t="shared" si="23"/>
        <v>0</v>
      </c>
      <c r="AA42" s="189">
        <f t="shared" si="47"/>
        <v>0</v>
      </c>
      <c r="AB42" s="564">
        <f t="shared" si="24"/>
        <v>1055603</v>
      </c>
      <c r="AC42" s="123">
        <f t="shared" si="48"/>
        <v>3.136732837124667E-4</v>
      </c>
      <c r="AD42" s="352">
        <f>[6]東京事務!$I$42</f>
        <v>99740</v>
      </c>
      <c r="AE42" s="9">
        <f t="shared" si="49"/>
        <v>3.9066919796596796E-4</v>
      </c>
      <c r="AF42" s="362">
        <f>[6]東京事務!$L$42</f>
        <v>99740</v>
      </c>
      <c r="AG42" s="81">
        <f t="shared" si="50"/>
        <v>6.594567660292956E-5</v>
      </c>
      <c r="AH42" s="388">
        <f>[6]東京工場!$I$42</f>
        <v>0</v>
      </c>
      <c r="AI42" s="171">
        <f t="shared" si="25"/>
        <v>0</v>
      </c>
      <c r="AJ42" s="362">
        <f>[6]東京工場!$L$42</f>
        <v>0</v>
      </c>
      <c r="AK42" s="99">
        <f t="shared" si="36"/>
        <v>0</v>
      </c>
      <c r="AL42" s="547">
        <f t="shared" si="26"/>
        <v>99740</v>
      </c>
      <c r="AM42" s="314">
        <f t="shared" si="51"/>
        <v>3.772740592034537E-4</v>
      </c>
      <c r="AN42" s="478">
        <f t="shared" si="27"/>
        <v>99740</v>
      </c>
      <c r="AO42" s="123">
        <f t="shared" si="52"/>
        <v>6.3403497857951536E-5</v>
      </c>
      <c r="AP42" s="527">
        <f t="shared" si="28"/>
        <v>999740</v>
      </c>
      <c r="AQ42" s="284">
        <f t="shared" si="53"/>
        <v>1.2266238100449097E-3</v>
      </c>
      <c r="AR42" s="487">
        <f t="shared" si="29"/>
        <v>2055343</v>
      </c>
      <c r="AS42" s="285">
        <f t="shared" si="54"/>
        <v>4.16196650072611E-4</v>
      </c>
      <c r="AT42" s="584">
        <f>[6]全社合計!$G$42</f>
        <v>100640</v>
      </c>
      <c r="AU42" s="124">
        <f t="shared" si="30"/>
        <v>1.0523708736781425E-4</v>
      </c>
      <c r="AV42" s="578">
        <f>[6]全社合計!$N$42</f>
        <v>2116216</v>
      </c>
      <c r="AW42" s="125">
        <f t="shared" si="31"/>
        <v>3.7831853896072402E-4</v>
      </c>
      <c r="AX42" s="584">
        <f t="shared" si="32"/>
        <v>899100</v>
      </c>
      <c r="AY42" s="124">
        <f t="shared" si="33"/>
        <v>9.9338235294117645</v>
      </c>
      <c r="AZ42" s="578">
        <f t="shared" si="34"/>
        <v>-60873</v>
      </c>
      <c r="BA42" s="125">
        <f t="shared" si="35"/>
        <v>0.97123497790395685</v>
      </c>
      <c r="BB42" s="11"/>
    </row>
    <row r="43" spans="1:54" ht="15.95" customHeight="1">
      <c r="A43" s="37" t="s">
        <v>36</v>
      </c>
      <c r="B43" s="703">
        <f>[6]本部!$I$43</f>
        <v>0</v>
      </c>
      <c r="C43" s="259" t="str">
        <f t="shared" si="38"/>
        <v/>
      </c>
      <c r="D43" s="728">
        <f>[6]本部!$L$43</f>
        <v>0</v>
      </c>
      <c r="E43" s="122" t="str">
        <f t="shared" si="39"/>
        <v/>
      </c>
      <c r="F43" s="352">
        <f>[6]本社営業!$I$43</f>
        <v>14978770</v>
      </c>
      <c r="G43" s="9">
        <f t="shared" si="40"/>
        <v>2.9073326354993816E-2</v>
      </c>
      <c r="H43" s="362">
        <f>[6]本社営業!$L$43</f>
        <v>83218529</v>
      </c>
      <c r="I43" s="124">
        <f t="shared" si="19"/>
        <v>2.6441002890766958E-2</v>
      </c>
      <c r="J43" s="745">
        <f>[6]東大阪!$I$43</f>
        <v>-450279</v>
      </c>
      <c r="K43" s="9">
        <f t="shared" si="20"/>
        <v>-4.8665326569513764E-2</v>
      </c>
      <c r="L43" s="362">
        <f>[6]東大阪!$L$43</f>
        <v>-2879622</v>
      </c>
      <c r="M43" s="124">
        <f t="shared" si="37"/>
        <v>-5.2186677765040504E-2</v>
      </c>
      <c r="N43" s="403">
        <f>[6]南港工場!$I$43</f>
        <v>2183299</v>
      </c>
      <c r="O43" s="9">
        <f t="shared" si="41"/>
        <v>8.3317448707350167E-2</v>
      </c>
      <c r="P43" s="362">
        <f>[6]南港工場!$L$43</f>
        <v>11489188</v>
      </c>
      <c r="Q43" s="204">
        <f t="shared" si="42"/>
        <v>7.0578237069874941E-2</v>
      </c>
      <c r="R43" s="437">
        <f>[6]南港事務!$I$43</f>
        <v>0</v>
      </c>
      <c r="S43" s="9" t="str">
        <f t="shared" si="43"/>
        <v/>
      </c>
      <c r="T43" s="362">
        <f>[6]南港事務!$L$43</f>
        <v>0</v>
      </c>
      <c r="U43" s="204" t="str">
        <f t="shared" si="44"/>
        <v/>
      </c>
      <c r="V43" s="456">
        <f t="shared" si="21"/>
        <v>2183299</v>
      </c>
      <c r="W43" s="171">
        <f t="shared" si="45"/>
        <v>8.3317448707350167E-2</v>
      </c>
      <c r="X43" s="426">
        <f t="shared" si="22"/>
        <v>11489188</v>
      </c>
      <c r="Y43" s="225">
        <f t="shared" si="46"/>
        <v>7.0578237069874941E-2</v>
      </c>
      <c r="Z43" s="460">
        <f t="shared" si="23"/>
        <v>16711790</v>
      </c>
      <c r="AA43" s="189">
        <f t="shared" si="47"/>
        <v>3.0348447172823662E-2</v>
      </c>
      <c r="AB43" s="564">
        <f t="shared" si="24"/>
        <v>91828095</v>
      </c>
      <c r="AC43" s="123">
        <f t="shared" si="48"/>
        <v>2.7286792568522771E-2</v>
      </c>
      <c r="AD43" s="352">
        <f>[6]東京事務!$I$43</f>
        <v>5820589</v>
      </c>
      <c r="AE43" s="9">
        <f t="shared" si="49"/>
        <v>2.2798524526965465E-2</v>
      </c>
      <c r="AF43" s="362">
        <f>[6]東京事務!$L$43</f>
        <v>36374511</v>
      </c>
      <c r="AG43" s="81">
        <f t="shared" si="50"/>
        <v>2.4049947252814355E-2</v>
      </c>
      <c r="AH43" s="388">
        <f>[6]東京工場!$I$43</f>
        <v>0</v>
      </c>
      <c r="AI43" s="171">
        <f t="shared" si="25"/>
        <v>0</v>
      </c>
      <c r="AJ43" s="362">
        <f>[6]東京工場!$L$43</f>
        <v>0</v>
      </c>
      <c r="AK43" s="99">
        <f t="shared" si="36"/>
        <v>0</v>
      </c>
      <c r="AL43" s="547">
        <f t="shared" si="26"/>
        <v>5820589</v>
      </c>
      <c r="AM43" s="314">
        <f t="shared" si="51"/>
        <v>2.201681611174024E-2</v>
      </c>
      <c r="AN43" s="478">
        <f t="shared" si="27"/>
        <v>36374511</v>
      </c>
      <c r="AO43" s="123">
        <f t="shared" si="52"/>
        <v>2.3122831665054487E-2</v>
      </c>
      <c r="AP43" s="527">
        <f t="shared" si="28"/>
        <v>22532379</v>
      </c>
      <c r="AQ43" s="284">
        <f t="shared" si="53"/>
        <v>2.7645940522891863E-2</v>
      </c>
      <c r="AR43" s="487">
        <f t="shared" si="29"/>
        <v>128202606</v>
      </c>
      <c r="AS43" s="285">
        <f t="shared" si="54"/>
        <v>2.5960384786275974E-2</v>
      </c>
      <c r="AT43" s="584">
        <f>[6]全社合計!$G$43</f>
        <v>25427010</v>
      </c>
      <c r="AU43" s="124">
        <f t="shared" si="30"/>
        <v>2.658847846653703E-2</v>
      </c>
      <c r="AV43" s="578">
        <f>[6]全社合計!$N$43</f>
        <v>127208213</v>
      </c>
      <c r="AW43" s="125">
        <f t="shared" si="31"/>
        <v>2.2741168806003065E-2</v>
      </c>
      <c r="AX43" s="584">
        <f t="shared" si="32"/>
        <v>-2894631</v>
      </c>
      <c r="AY43" s="124">
        <f t="shared" si="33"/>
        <v>0.88615920629283584</v>
      </c>
      <c r="AZ43" s="578">
        <f>AR43-AV43</f>
        <v>994393</v>
      </c>
      <c r="BA43" s="125">
        <f t="shared" si="35"/>
        <v>1.0078170503031907</v>
      </c>
      <c r="BB43" s="11"/>
    </row>
    <row r="44" spans="1:54" ht="15.95" customHeight="1">
      <c r="A44" s="37" t="s">
        <v>37</v>
      </c>
      <c r="B44" s="703">
        <f>[6]本部!$I$44</f>
        <v>-165000</v>
      </c>
      <c r="C44" s="259" t="str">
        <f t="shared" si="38"/>
        <v/>
      </c>
      <c r="D44" s="728">
        <f>[6]本部!$L$44</f>
        <v>-990000</v>
      </c>
      <c r="E44" s="122" t="str">
        <f t="shared" si="39"/>
        <v/>
      </c>
      <c r="F44" s="352">
        <f>[6]本社営業!$I$44</f>
        <v>475000</v>
      </c>
      <c r="G44" s="9">
        <f t="shared" si="40"/>
        <v>9.2196021559994999E-4</v>
      </c>
      <c r="H44" s="362">
        <f>[6]本社営業!$L$44</f>
        <v>2850000</v>
      </c>
      <c r="I44" s="124">
        <f t="shared" si="19"/>
        <v>9.0552980380950775E-4</v>
      </c>
      <c r="J44" s="745">
        <f>[6]東大阪!$I$44</f>
        <v>375000</v>
      </c>
      <c r="K44" s="9">
        <f t="shared" si="20"/>
        <v>4.0529310635334229E-2</v>
      </c>
      <c r="L44" s="362">
        <f>[6]東大阪!$L$44</f>
        <v>2250000</v>
      </c>
      <c r="M44" s="124">
        <f t="shared" si="37"/>
        <v>4.077619387938456E-2</v>
      </c>
      <c r="N44" s="403">
        <f>[6]南港工場!$I$44</f>
        <v>360000</v>
      </c>
      <c r="O44" s="9">
        <f t="shared" si="41"/>
        <v>1.3738054904365393E-2</v>
      </c>
      <c r="P44" s="362">
        <f>[6]南港工場!$L$44</f>
        <v>2160000</v>
      </c>
      <c r="Q44" s="204">
        <f t="shared" si="42"/>
        <v>1.3268909175385578E-2</v>
      </c>
      <c r="R44" s="437">
        <f>[6]南港事務!$I$44</f>
        <v>80000</v>
      </c>
      <c r="S44" s="9" t="str">
        <f t="shared" si="43"/>
        <v/>
      </c>
      <c r="T44" s="362">
        <f>[6]南港事務!$L$44</f>
        <v>480000</v>
      </c>
      <c r="U44" s="204" t="str">
        <f t="shared" si="44"/>
        <v/>
      </c>
      <c r="V44" s="456">
        <f t="shared" si="21"/>
        <v>440000</v>
      </c>
      <c r="W44" s="171">
        <f t="shared" si="45"/>
        <v>1.6790955994224369E-2</v>
      </c>
      <c r="X44" s="426">
        <f t="shared" si="22"/>
        <v>2640000</v>
      </c>
      <c r="Y44" s="225">
        <f t="shared" si="46"/>
        <v>1.6217555658804596E-2</v>
      </c>
      <c r="Z44" s="460">
        <f t="shared" si="23"/>
        <v>1290000</v>
      </c>
      <c r="AA44" s="189">
        <f t="shared" si="47"/>
        <v>2.3426273818030578E-3</v>
      </c>
      <c r="AB44" s="564">
        <f t="shared" si="24"/>
        <v>7740000</v>
      </c>
      <c r="AC44" s="123">
        <f t="shared" si="48"/>
        <v>2.2999472490457984E-3</v>
      </c>
      <c r="AD44" s="352">
        <f>[6]東京事務!$I$44</f>
        <v>55000</v>
      </c>
      <c r="AE44" s="9">
        <f t="shared" si="49"/>
        <v>2.1542817212881729E-4</v>
      </c>
      <c r="AF44" s="362">
        <f>[6]東京事務!$L$44</f>
        <v>330000</v>
      </c>
      <c r="AG44" s="81">
        <f t="shared" si="50"/>
        <v>2.1818802164594699E-4</v>
      </c>
      <c r="AH44" s="388">
        <f>[6]東京工場!$I$44</f>
        <v>275000</v>
      </c>
      <c r="AI44" s="171">
        <f t="shared" si="25"/>
        <v>3.0337670406694675E-2</v>
      </c>
      <c r="AJ44" s="362">
        <f>[6]東京工場!$L$44</f>
        <v>1650000</v>
      </c>
      <c r="AK44" s="99">
        <f t="shared" si="36"/>
        <v>2.7208715733281569E-2</v>
      </c>
      <c r="AL44" s="547">
        <f t="shared" si="26"/>
        <v>330000</v>
      </c>
      <c r="AM44" s="314">
        <f t="shared" si="51"/>
        <v>1.2482498449683148E-3</v>
      </c>
      <c r="AN44" s="478">
        <f t="shared" si="27"/>
        <v>1980000</v>
      </c>
      <c r="AO44" s="123">
        <f t="shared" si="52"/>
        <v>1.2586617782107885E-3</v>
      </c>
      <c r="AP44" s="527">
        <f t="shared" si="28"/>
        <v>1455000</v>
      </c>
      <c r="AQ44" s="284">
        <f t="shared" si="53"/>
        <v>1.785201796082325E-3</v>
      </c>
      <c r="AR44" s="487">
        <f t="shared" si="29"/>
        <v>8730000</v>
      </c>
      <c r="AS44" s="285">
        <f t="shared" si="54"/>
        <v>1.7677812195501647E-3</v>
      </c>
      <c r="AT44" s="584">
        <f>[6]全社合計!$G$44</f>
        <v>1280000</v>
      </c>
      <c r="AU44" s="124">
        <f t="shared" si="30"/>
        <v>1.3384685197814212E-3</v>
      </c>
      <c r="AV44" s="578">
        <f>[6]全社合計!$N$44</f>
        <v>7680000</v>
      </c>
      <c r="AW44" s="125">
        <f t="shared" si="31"/>
        <v>1.3729630525515168E-3</v>
      </c>
      <c r="AX44" s="584">
        <f t="shared" si="32"/>
        <v>175000</v>
      </c>
      <c r="AY44" s="124">
        <f t="shared" si="33"/>
        <v>1.13671875</v>
      </c>
      <c r="AZ44" s="578">
        <f t="shared" si="34"/>
        <v>1050000</v>
      </c>
      <c r="BA44" s="125">
        <f t="shared" si="35"/>
        <v>1.13671875</v>
      </c>
      <c r="BB44" s="14"/>
    </row>
    <row r="45" spans="1:54" ht="15.95" customHeight="1">
      <c r="A45" s="37" t="s">
        <v>57</v>
      </c>
      <c r="B45" s="703">
        <f>[6]本部!$I$45</f>
        <v>0</v>
      </c>
      <c r="C45" s="259" t="str">
        <f t="shared" si="38"/>
        <v/>
      </c>
      <c r="D45" s="728">
        <f>[6]本部!$L$45</f>
        <v>0</v>
      </c>
      <c r="E45" s="122" t="str">
        <f t="shared" si="39"/>
        <v/>
      </c>
      <c r="F45" s="352">
        <f>[6]本社営業!$I$45</f>
        <v>0</v>
      </c>
      <c r="G45" s="9">
        <f t="shared" si="40"/>
        <v>0</v>
      </c>
      <c r="H45" s="362">
        <f>[6]本社営業!$L$45</f>
        <v>0</v>
      </c>
      <c r="I45" s="124">
        <f t="shared" si="19"/>
        <v>0</v>
      </c>
      <c r="J45" s="745">
        <f>[6]東大阪!$I$45</f>
        <v>0</v>
      </c>
      <c r="K45" s="9">
        <f t="shared" si="20"/>
        <v>0</v>
      </c>
      <c r="L45" s="362">
        <f>[6]東大阪!$L$45</f>
        <v>0</v>
      </c>
      <c r="M45" s="124">
        <f t="shared" si="37"/>
        <v>0</v>
      </c>
      <c r="N45" s="403">
        <f>[6]南港工場!$I$45</f>
        <v>0</v>
      </c>
      <c r="O45" s="9">
        <f t="shared" si="41"/>
        <v>0</v>
      </c>
      <c r="P45" s="362">
        <f>[6]南港工場!$L$45</f>
        <v>0</v>
      </c>
      <c r="Q45" s="204">
        <f t="shared" si="42"/>
        <v>0</v>
      </c>
      <c r="R45" s="437">
        <f>[6]南港事務!$I$45</f>
        <v>0</v>
      </c>
      <c r="S45" s="9" t="str">
        <f t="shared" si="43"/>
        <v/>
      </c>
      <c r="T45" s="362">
        <f>[6]南港事務!$L$45</f>
        <v>0</v>
      </c>
      <c r="U45" s="204" t="str">
        <f t="shared" si="44"/>
        <v/>
      </c>
      <c r="V45" s="456">
        <f t="shared" si="21"/>
        <v>0</v>
      </c>
      <c r="W45" s="171">
        <f t="shared" si="45"/>
        <v>0</v>
      </c>
      <c r="X45" s="426">
        <f t="shared" si="22"/>
        <v>0</v>
      </c>
      <c r="Y45" s="225">
        <f t="shared" si="46"/>
        <v>0</v>
      </c>
      <c r="Z45" s="460">
        <f t="shared" si="23"/>
        <v>0</v>
      </c>
      <c r="AA45" s="189">
        <f t="shared" si="47"/>
        <v>0</v>
      </c>
      <c r="AB45" s="564">
        <f t="shared" si="24"/>
        <v>0</v>
      </c>
      <c r="AC45" s="123">
        <f t="shared" si="48"/>
        <v>0</v>
      </c>
      <c r="AD45" s="352">
        <f>[6]東京事務!$I$45</f>
        <v>0</v>
      </c>
      <c r="AE45" s="9">
        <f t="shared" si="49"/>
        <v>0</v>
      </c>
      <c r="AF45" s="362">
        <f>[6]東京事務!$L$45</f>
        <v>0</v>
      </c>
      <c r="AG45" s="81">
        <f t="shared" si="50"/>
        <v>0</v>
      </c>
      <c r="AH45" s="388">
        <f>[6]東京工場!$I$45</f>
        <v>0</v>
      </c>
      <c r="AI45" s="171">
        <f t="shared" si="25"/>
        <v>0</v>
      </c>
      <c r="AJ45" s="362">
        <f>[6]東京工場!$L$45</f>
        <v>0</v>
      </c>
      <c r="AK45" s="99">
        <f t="shared" si="36"/>
        <v>0</v>
      </c>
      <c r="AL45" s="547">
        <f t="shared" si="26"/>
        <v>0</v>
      </c>
      <c r="AM45" s="314">
        <f t="shared" si="51"/>
        <v>0</v>
      </c>
      <c r="AN45" s="478">
        <f t="shared" si="27"/>
        <v>0</v>
      </c>
      <c r="AO45" s="123">
        <f t="shared" si="52"/>
        <v>0</v>
      </c>
      <c r="AP45" s="527">
        <f t="shared" si="28"/>
        <v>0</v>
      </c>
      <c r="AQ45" s="284">
        <f t="shared" si="53"/>
        <v>0</v>
      </c>
      <c r="AR45" s="487">
        <f t="shared" si="29"/>
        <v>0</v>
      </c>
      <c r="AS45" s="285">
        <f t="shared" si="54"/>
        <v>0</v>
      </c>
      <c r="AT45" s="584">
        <f>[6]全社合計!$G$45</f>
        <v>0</v>
      </c>
      <c r="AU45" s="124">
        <f t="shared" si="30"/>
        <v>0</v>
      </c>
      <c r="AV45" s="578">
        <f>[6]全社合計!$N$45</f>
        <v>0</v>
      </c>
      <c r="AW45" s="125">
        <f t="shared" si="31"/>
        <v>0</v>
      </c>
      <c r="AX45" s="584">
        <f t="shared" si="32"/>
        <v>0</v>
      </c>
      <c r="AY45" s="124" t="str">
        <f t="shared" si="33"/>
        <v/>
      </c>
      <c r="AZ45" s="578">
        <f t="shared" si="34"/>
        <v>0</v>
      </c>
      <c r="BA45" s="125" t="str">
        <f t="shared" si="35"/>
        <v/>
      </c>
      <c r="BB45" s="11"/>
    </row>
    <row r="46" spans="1:54" ht="15.95" customHeight="1">
      <c r="A46" s="36" t="s">
        <v>38</v>
      </c>
      <c r="B46" s="704">
        <f>[6]本部!$I$46</f>
        <v>11000</v>
      </c>
      <c r="C46" s="260" t="str">
        <f t="shared" si="38"/>
        <v/>
      </c>
      <c r="D46" s="729">
        <f>[6]本部!$L$46</f>
        <v>81000</v>
      </c>
      <c r="E46" s="126" t="str">
        <f t="shared" si="39"/>
        <v/>
      </c>
      <c r="F46" s="353">
        <f>[6]本社営業!$I$46</f>
        <v>3500</v>
      </c>
      <c r="G46" s="12">
        <f t="shared" si="40"/>
        <v>6.7933910623154207E-6</v>
      </c>
      <c r="H46" s="362">
        <f>[6]本社営業!$L$46</f>
        <v>27555</v>
      </c>
      <c r="I46" s="128">
        <f t="shared" si="19"/>
        <v>8.7550434189371875E-6</v>
      </c>
      <c r="J46" s="746">
        <f>[6]東大阪!$I$46</f>
        <v>0</v>
      </c>
      <c r="K46" s="12">
        <f t="shared" si="20"/>
        <v>0</v>
      </c>
      <c r="L46" s="362">
        <f>[6]東大阪!$L$46</f>
        <v>0</v>
      </c>
      <c r="M46" s="128">
        <f t="shared" si="37"/>
        <v>0</v>
      </c>
      <c r="N46" s="403">
        <f>[6]南港工場!$I$46</f>
        <v>0</v>
      </c>
      <c r="O46" s="12">
        <f t="shared" si="41"/>
        <v>0</v>
      </c>
      <c r="P46" s="362">
        <f>[6]南港工場!$L$46</f>
        <v>0</v>
      </c>
      <c r="Q46" s="205">
        <f t="shared" si="42"/>
        <v>0</v>
      </c>
      <c r="R46" s="438">
        <f>[6]南港事務!$I$46</f>
        <v>0</v>
      </c>
      <c r="S46" s="12" t="str">
        <f t="shared" si="43"/>
        <v/>
      </c>
      <c r="T46" s="362">
        <f>[6]南港事務!$L$46</f>
        <v>0</v>
      </c>
      <c r="U46" s="205" t="str">
        <f t="shared" si="44"/>
        <v/>
      </c>
      <c r="V46" s="457">
        <f t="shared" si="21"/>
        <v>0</v>
      </c>
      <c r="W46" s="172">
        <f t="shared" si="45"/>
        <v>0</v>
      </c>
      <c r="X46" s="427">
        <f t="shared" si="22"/>
        <v>0</v>
      </c>
      <c r="Y46" s="226">
        <f t="shared" si="46"/>
        <v>0</v>
      </c>
      <c r="Z46" s="461">
        <f t="shared" si="23"/>
        <v>3500</v>
      </c>
      <c r="AA46" s="190">
        <f t="shared" si="47"/>
        <v>6.3559657645819401E-6</v>
      </c>
      <c r="AB46" s="565">
        <f t="shared" si="24"/>
        <v>27555</v>
      </c>
      <c r="AC46" s="127">
        <f t="shared" si="48"/>
        <v>8.1879904970874646E-6</v>
      </c>
      <c r="AD46" s="353">
        <f>[6]東京事務!$I$46</f>
        <v>33000</v>
      </c>
      <c r="AE46" s="12">
        <f t="shared" si="49"/>
        <v>1.2925690327729038E-4</v>
      </c>
      <c r="AF46" s="362">
        <f>[6]東京事務!$L$46</f>
        <v>33000</v>
      </c>
      <c r="AG46" s="82">
        <f t="shared" si="50"/>
        <v>2.1818802164594701E-5</v>
      </c>
      <c r="AH46" s="389">
        <f>[6]東京工場!$I$46</f>
        <v>0</v>
      </c>
      <c r="AI46" s="172">
        <f t="shared" si="25"/>
        <v>0</v>
      </c>
      <c r="AJ46" s="362">
        <f>[6]東京工場!$L$46</f>
        <v>0</v>
      </c>
      <c r="AK46" s="100">
        <f t="shared" si="36"/>
        <v>0</v>
      </c>
      <c r="AL46" s="548">
        <f t="shared" si="26"/>
        <v>33000</v>
      </c>
      <c r="AM46" s="315">
        <f t="shared" si="51"/>
        <v>1.2482498449683149E-4</v>
      </c>
      <c r="AN46" s="479">
        <f t="shared" si="27"/>
        <v>33000</v>
      </c>
      <c r="AO46" s="127">
        <f t="shared" si="52"/>
        <v>2.0977696303513142E-5</v>
      </c>
      <c r="AP46" s="528">
        <f t="shared" si="28"/>
        <v>47500</v>
      </c>
      <c r="AQ46" s="286">
        <f t="shared" si="53"/>
        <v>5.8279783720900645E-5</v>
      </c>
      <c r="AR46" s="488">
        <f t="shared" si="29"/>
        <v>141555</v>
      </c>
      <c r="AS46" s="287">
        <f t="shared" si="54"/>
        <v>2.8664177609785059E-5</v>
      </c>
      <c r="AT46" s="585">
        <f>[6]全社合計!$G$46</f>
        <v>43000</v>
      </c>
      <c r="AU46" s="128">
        <f t="shared" si="30"/>
        <v>4.4964176836407122E-5</v>
      </c>
      <c r="AV46" s="579">
        <f>[6]全社合計!$N$46</f>
        <v>119313</v>
      </c>
      <c r="AW46" s="129">
        <f t="shared" si="31"/>
        <v>2.1329731860557178E-5</v>
      </c>
      <c r="AX46" s="585">
        <f t="shared" si="32"/>
        <v>4500</v>
      </c>
      <c r="AY46" s="128">
        <f t="shared" si="33"/>
        <v>1.1046511627906976</v>
      </c>
      <c r="AZ46" s="579">
        <f t="shared" si="34"/>
        <v>22242</v>
      </c>
      <c r="BA46" s="129">
        <f t="shared" si="35"/>
        <v>1.1864172386915088</v>
      </c>
      <c r="BB46" s="11"/>
    </row>
    <row r="47" spans="1:54" ht="19.899999999999999" customHeight="1">
      <c r="A47" s="62" t="s">
        <v>39</v>
      </c>
      <c r="B47" s="708">
        <f>SUM(B19:B46)</f>
        <v>9128627</v>
      </c>
      <c r="C47" s="141" t="str">
        <f t="shared" si="38"/>
        <v/>
      </c>
      <c r="D47" s="401">
        <f>SUM(D19:D46)</f>
        <v>58781885</v>
      </c>
      <c r="E47" s="139" t="str">
        <f t="shared" si="39"/>
        <v/>
      </c>
      <c r="F47" s="466">
        <f>SUM(F19:F46)</f>
        <v>31191305</v>
      </c>
      <c r="G47" s="64">
        <f t="shared" si="40"/>
        <v>6.0541352173986943E-2</v>
      </c>
      <c r="H47" s="359">
        <f>SUM(H19:H46)</f>
        <v>183382658</v>
      </c>
      <c r="I47" s="141">
        <f t="shared" si="19"/>
        <v>5.8266127130107384E-2</v>
      </c>
      <c r="J47" s="747">
        <f>SUM(J19:J46)</f>
        <v>6484420</v>
      </c>
      <c r="K47" s="64">
        <f t="shared" si="20"/>
        <v>0.70082419325326395</v>
      </c>
      <c r="L47" s="359">
        <f>SUM(L19:L46)</f>
        <v>40263786</v>
      </c>
      <c r="M47" s="141">
        <f t="shared" si="37"/>
        <v>0.72969064189068877</v>
      </c>
      <c r="N47" s="405">
        <f>SUM(N19:N46)</f>
        <v>26486695</v>
      </c>
      <c r="O47" s="64">
        <f t="shared" si="41"/>
        <v>1.0107657504032788</v>
      </c>
      <c r="P47" s="359">
        <f>SUM(P19:P46)</f>
        <v>136853610</v>
      </c>
      <c r="Q47" s="177">
        <f t="shared" si="42"/>
        <v>0.8406935747285369</v>
      </c>
      <c r="R47" s="442">
        <f>SUM(R19:R46)</f>
        <v>3737644</v>
      </c>
      <c r="S47" s="64" t="str">
        <f t="shared" si="43"/>
        <v/>
      </c>
      <c r="T47" s="359">
        <f>SUM(T19:T46)</f>
        <v>23989033</v>
      </c>
      <c r="U47" s="209" t="str">
        <f t="shared" si="44"/>
        <v/>
      </c>
      <c r="V47" s="458">
        <f t="shared" si="21"/>
        <v>30224339</v>
      </c>
      <c r="W47" s="177">
        <f t="shared" si="45"/>
        <v>1.1533989684170896</v>
      </c>
      <c r="X47" s="428">
        <f t="shared" si="22"/>
        <v>160842643</v>
      </c>
      <c r="Y47" s="230">
        <f t="shared" si="46"/>
        <v>0.98805852847035514</v>
      </c>
      <c r="Z47" s="458">
        <f t="shared" si="23"/>
        <v>67900064</v>
      </c>
      <c r="AA47" s="194">
        <f t="shared" si="47"/>
        <v>0.12330585205626361</v>
      </c>
      <c r="AB47" s="428">
        <f t="shared" si="24"/>
        <v>384489087</v>
      </c>
      <c r="AC47" s="140">
        <f t="shared" si="48"/>
        <v>0.11425124262710346</v>
      </c>
      <c r="AD47" s="466">
        <f>SUM(AD19:AD46)</f>
        <v>11507852</v>
      </c>
      <c r="AE47" s="64">
        <f t="shared" si="49"/>
        <v>4.5074827663435534E-2</v>
      </c>
      <c r="AF47" s="359">
        <f>SUM(AF19:AF46)</f>
        <v>73910149</v>
      </c>
      <c r="AG47" s="141">
        <f t="shared" si="50"/>
        <v>4.8867603605658089E-2</v>
      </c>
      <c r="AH47" s="560">
        <f>SUM(AH19:AH46)</f>
        <v>6719818</v>
      </c>
      <c r="AI47" s="177">
        <f t="shared" si="25"/>
        <v>0.74132226791626976</v>
      </c>
      <c r="AJ47" s="359">
        <f>SUM(AJ19:AJ46)</f>
        <v>43784935</v>
      </c>
      <c r="AK47" s="105">
        <f t="shared" si="36"/>
        <v>0.72201930291830951</v>
      </c>
      <c r="AL47" s="549">
        <f t="shared" si="26"/>
        <v>18227670</v>
      </c>
      <c r="AM47" s="319">
        <f t="shared" si="51"/>
        <v>6.8947534095859409E-2</v>
      </c>
      <c r="AN47" s="480">
        <f t="shared" si="27"/>
        <v>117695084</v>
      </c>
      <c r="AO47" s="140">
        <f t="shared" si="52"/>
        <v>7.4817325108135421E-2</v>
      </c>
      <c r="AP47" s="529">
        <f t="shared" si="28"/>
        <v>95256361</v>
      </c>
      <c r="AQ47" s="141">
        <f t="shared" si="53"/>
        <v>0.11687410772884284</v>
      </c>
      <c r="AR47" s="428">
        <f t="shared" si="29"/>
        <v>560966056</v>
      </c>
      <c r="AS47" s="140">
        <f t="shared" si="54"/>
        <v>0.11359281312736838</v>
      </c>
      <c r="AT47" s="529">
        <f>SUM(AT19:AT46)</f>
        <v>93960190</v>
      </c>
      <c r="AU47" s="141">
        <f t="shared" si="30"/>
        <v>9.8252153459125857E-2</v>
      </c>
      <c r="AV47" s="410">
        <f>SUM(AV19:AV46)</f>
        <v>535705082</v>
      </c>
      <c r="AW47" s="140">
        <f t="shared" si="31"/>
        <v>9.5768656855479251E-2</v>
      </c>
      <c r="AX47" s="529">
        <f t="shared" si="32"/>
        <v>1296171</v>
      </c>
      <c r="AY47" s="141">
        <f t="shared" si="33"/>
        <v>1.0137948954764779</v>
      </c>
      <c r="AZ47" s="410">
        <f t="shared" si="34"/>
        <v>25260974</v>
      </c>
      <c r="BA47" s="140">
        <f t="shared" si="35"/>
        <v>1.0471546282624213</v>
      </c>
      <c r="BB47" s="14"/>
    </row>
    <row r="48" spans="1:54" ht="19.899999999999999" customHeight="1">
      <c r="A48" s="55" t="s">
        <v>40</v>
      </c>
      <c r="B48" s="709">
        <f>+B18-B47</f>
        <v>-9128627</v>
      </c>
      <c r="C48" s="138" t="str">
        <f t="shared" si="38"/>
        <v/>
      </c>
      <c r="D48" s="376">
        <f>D18-D47</f>
        <v>-58781885</v>
      </c>
      <c r="E48" s="136" t="str">
        <f t="shared" si="39"/>
        <v/>
      </c>
      <c r="F48" s="375">
        <f>F18-F47</f>
        <v>33732269</v>
      </c>
      <c r="G48" s="56">
        <f t="shared" si="40"/>
        <v>6.547328421034844E-2</v>
      </c>
      <c r="H48" s="376">
        <f>H18-H47</f>
        <v>232704337</v>
      </c>
      <c r="I48" s="138">
        <f t="shared" si="19"/>
        <v>7.3937092150607564E-2</v>
      </c>
      <c r="J48" s="374">
        <f>J18-J47</f>
        <v>2268678</v>
      </c>
      <c r="K48" s="56">
        <f t="shared" si="20"/>
        <v>0.24519454771613011</v>
      </c>
      <c r="L48" s="376">
        <f>L18-L47</f>
        <v>11767648</v>
      </c>
      <c r="M48" s="138">
        <f t="shared" si="37"/>
        <v>0.21326217615660087</v>
      </c>
      <c r="N48" s="412">
        <f>N18-N47</f>
        <v>-2028753</v>
      </c>
      <c r="O48" s="56">
        <f t="shared" si="41"/>
        <v>-7.7419778059433342E-2</v>
      </c>
      <c r="P48" s="376">
        <f>P18-P47</f>
        <v>15290634</v>
      </c>
      <c r="Q48" s="176">
        <f t="shared" si="42"/>
        <v>9.3930571194473469E-2</v>
      </c>
      <c r="R48" s="443">
        <f>R18-R47</f>
        <v>-3737644</v>
      </c>
      <c r="S48" s="56" t="str">
        <f t="shared" si="43"/>
        <v/>
      </c>
      <c r="T48" s="376">
        <f>T18-T47</f>
        <v>-23989033</v>
      </c>
      <c r="U48" s="208" t="str">
        <f t="shared" si="44"/>
        <v/>
      </c>
      <c r="V48" s="490">
        <f t="shared" si="21"/>
        <v>-5766397</v>
      </c>
      <c r="W48" s="176">
        <f t="shared" si="45"/>
        <v>-0.22005299607324413</v>
      </c>
      <c r="X48" s="424">
        <f t="shared" si="22"/>
        <v>-8698399</v>
      </c>
      <c r="Y48" s="229">
        <f t="shared" si="46"/>
        <v>-5.343438254734479E-2</v>
      </c>
      <c r="Z48" s="490">
        <f t="shared" si="23"/>
        <v>30234550</v>
      </c>
      <c r="AA48" s="193">
        <f t="shared" si="47"/>
        <v>5.4905647059297395E-2</v>
      </c>
      <c r="AB48" s="424">
        <f t="shared" si="24"/>
        <v>235773586</v>
      </c>
      <c r="AC48" s="137">
        <f t="shared" si="48"/>
        <v>7.0060311436481004E-2</v>
      </c>
      <c r="AD48" s="375">
        <f>AD18-AD47</f>
        <v>11041284</v>
      </c>
      <c r="AE48" s="56">
        <f t="shared" si="49"/>
        <v>4.3247338728639208E-2</v>
      </c>
      <c r="AF48" s="376">
        <f>AF18-AF47</f>
        <v>57870526</v>
      </c>
      <c r="AG48" s="138">
        <f t="shared" si="50"/>
        <v>3.826259266530406E-2</v>
      </c>
      <c r="AH48" s="398">
        <f>AH18-AH47</f>
        <v>2344820</v>
      </c>
      <c r="AI48" s="176">
        <f t="shared" si="25"/>
        <v>0.25867773208373018</v>
      </c>
      <c r="AJ48" s="376">
        <f>AJ18-AJ47</f>
        <v>16857398</v>
      </c>
      <c r="AK48" s="104">
        <f t="shared" si="36"/>
        <v>0.27798069708169043</v>
      </c>
      <c r="AL48" s="545">
        <f t="shared" si="26"/>
        <v>13386104</v>
      </c>
      <c r="AM48" s="318">
        <f t="shared" si="51"/>
        <v>5.0633946190090123E-2</v>
      </c>
      <c r="AN48" s="537">
        <f t="shared" si="27"/>
        <v>74727924</v>
      </c>
      <c r="AO48" s="137">
        <f t="shared" si="52"/>
        <v>4.7503627123151849E-2</v>
      </c>
      <c r="AP48" s="525">
        <f t="shared" si="28"/>
        <v>34492027</v>
      </c>
      <c r="AQ48" s="305">
        <f t="shared" si="53"/>
        <v>4.2319744708536118E-2</v>
      </c>
      <c r="AR48" s="517">
        <f t="shared" si="29"/>
        <v>251719625</v>
      </c>
      <c r="AS48" s="304">
        <f t="shared" si="54"/>
        <v>5.0971961703002305E-2</v>
      </c>
      <c r="AT48" s="582">
        <f>AT18-AT47</f>
        <v>59582775</v>
      </c>
      <c r="AU48" s="138">
        <f t="shared" si="30"/>
        <v>6.2304428639624591E-2</v>
      </c>
      <c r="AV48" s="597">
        <f>AV18-AV47</f>
        <v>373967974</v>
      </c>
      <c r="AW48" s="137">
        <f t="shared" si="31"/>
        <v>6.6854714992128417E-2</v>
      </c>
      <c r="AX48" s="582">
        <f t="shared" si="32"/>
        <v>-25090748</v>
      </c>
      <c r="AY48" s="138">
        <f t="shared" si="33"/>
        <v>0.57889259102148227</v>
      </c>
      <c r="AZ48" s="597">
        <f t="shared" si="34"/>
        <v>-122248349</v>
      </c>
      <c r="BA48" s="137">
        <f t="shared" si="35"/>
        <v>0.67310476431332056</v>
      </c>
      <c r="BB48" s="11"/>
    </row>
    <row r="49" spans="1:54" ht="15.95" customHeight="1">
      <c r="A49" s="37" t="s">
        <v>41</v>
      </c>
      <c r="B49" s="710">
        <f>[6]本部!$I$49</f>
        <v>1034334</v>
      </c>
      <c r="C49" s="258" t="str">
        <f t="shared" si="38"/>
        <v/>
      </c>
      <c r="D49" s="727">
        <f>[6]本部!$L$49</f>
        <v>9087832</v>
      </c>
      <c r="E49" s="118" t="str">
        <f t="shared" si="39"/>
        <v/>
      </c>
      <c r="F49" s="351">
        <f>[6]本社営業!$I$49</f>
        <v>0</v>
      </c>
      <c r="G49" s="7">
        <f t="shared" si="40"/>
        <v>0</v>
      </c>
      <c r="H49" s="364">
        <f>[6]本社営業!$L$49</f>
        <v>0</v>
      </c>
      <c r="I49" s="120">
        <f t="shared" si="19"/>
        <v>0</v>
      </c>
      <c r="J49" s="744">
        <f>[6]東大阪!$I$49</f>
        <v>0</v>
      </c>
      <c r="K49" s="7">
        <f t="shared" si="20"/>
        <v>0</v>
      </c>
      <c r="L49" s="364">
        <f>[6]東大阪!$L$49</f>
        <v>0</v>
      </c>
      <c r="M49" s="120">
        <f t="shared" si="37"/>
        <v>0</v>
      </c>
      <c r="N49" s="402">
        <f>[6]南港工場!$I$49</f>
        <v>0</v>
      </c>
      <c r="O49" s="7">
        <f t="shared" si="41"/>
        <v>0</v>
      </c>
      <c r="P49" s="364">
        <f>[6]南港工場!$L$49</f>
        <v>0</v>
      </c>
      <c r="Q49" s="174">
        <f t="shared" si="42"/>
        <v>0</v>
      </c>
      <c r="R49" s="444">
        <f>[6]南港事務!$I$49</f>
        <v>0</v>
      </c>
      <c r="S49" s="7" t="str">
        <f t="shared" si="43"/>
        <v/>
      </c>
      <c r="T49" s="364">
        <f>[6]南港事務!$L$49</f>
        <v>0</v>
      </c>
      <c r="U49" s="203" t="str">
        <f t="shared" si="44"/>
        <v/>
      </c>
      <c r="V49" s="455">
        <f t="shared" si="21"/>
        <v>0</v>
      </c>
      <c r="W49" s="174">
        <f t="shared" si="45"/>
        <v>0</v>
      </c>
      <c r="X49" s="429">
        <f t="shared" si="22"/>
        <v>0</v>
      </c>
      <c r="Y49" s="224">
        <f t="shared" si="46"/>
        <v>0</v>
      </c>
      <c r="Z49" s="459">
        <f t="shared" si="23"/>
        <v>0</v>
      </c>
      <c r="AA49" s="188">
        <f t="shared" si="47"/>
        <v>0</v>
      </c>
      <c r="AB49" s="563">
        <f t="shared" si="24"/>
        <v>0</v>
      </c>
      <c r="AC49" s="119">
        <f t="shared" si="48"/>
        <v>0</v>
      </c>
      <c r="AD49" s="351">
        <f>[6]東京事務!$I$49</f>
        <v>0</v>
      </c>
      <c r="AE49" s="7">
        <f t="shared" si="49"/>
        <v>0</v>
      </c>
      <c r="AF49" s="364">
        <f>[6]東京事務!$L$49</f>
        <v>2936</v>
      </c>
      <c r="AG49" s="80">
        <f t="shared" si="50"/>
        <v>1.9412122168257589E-6</v>
      </c>
      <c r="AH49" s="387">
        <f>[6]東京工場!$I$49</f>
        <v>0</v>
      </c>
      <c r="AI49" s="174">
        <f t="shared" si="25"/>
        <v>0</v>
      </c>
      <c r="AJ49" s="364">
        <f>[6]東京工場!$L$49</f>
        <v>0</v>
      </c>
      <c r="AK49" s="102">
        <f t="shared" si="36"/>
        <v>0</v>
      </c>
      <c r="AL49" s="546">
        <f t="shared" si="26"/>
        <v>0</v>
      </c>
      <c r="AM49" s="313">
        <f t="shared" si="51"/>
        <v>0</v>
      </c>
      <c r="AN49" s="477">
        <f t="shared" si="27"/>
        <v>2936</v>
      </c>
      <c r="AO49" s="119">
        <f t="shared" si="52"/>
        <v>1.8663792832458966E-6</v>
      </c>
      <c r="AP49" s="526">
        <f t="shared" si="28"/>
        <v>1034334</v>
      </c>
      <c r="AQ49" s="282">
        <f t="shared" si="53"/>
        <v>1.2690686697931378E-3</v>
      </c>
      <c r="AR49" s="486">
        <f t="shared" si="29"/>
        <v>9090768</v>
      </c>
      <c r="AS49" s="283">
        <f t="shared" si="54"/>
        <v>1.8408349303193139E-3</v>
      </c>
      <c r="AT49" s="586">
        <f>[6]全社合計!$G$49</f>
        <v>621381</v>
      </c>
      <c r="AU49" s="120">
        <f t="shared" si="30"/>
        <v>6.4976477132054633E-4</v>
      </c>
      <c r="AV49" s="577">
        <f>[6]全社合計!$N$49</f>
        <v>6753904</v>
      </c>
      <c r="AW49" s="121">
        <f t="shared" si="31"/>
        <v>1.2074037307916537E-3</v>
      </c>
      <c r="AX49" s="586">
        <f t="shared" si="32"/>
        <v>412953</v>
      </c>
      <c r="AY49" s="120">
        <f t="shared" si="33"/>
        <v>1.6645729431701324</v>
      </c>
      <c r="AZ49" s="577">
        <f t="shared" si="34"/>
        <v>2336864</v>
      </c>
      <c r="BA49" s="121">
        <f t="shared" si="35"/>
        <v>1.3460019567941741</v>
      </c>
      <c r="BB49" s="11"/>
    </row>
    <row r="50" spans="1:54" ht="15.95" customHeight="1">
      <c r="A50" s="37" t="s">
        <v>42</v>
      </c>
      <c r="B50" s="703">
        <f>[6]本部!$I$50</f>
        <v>0</v>
      </c>
      <c r="C50" s="259" t="str">
        <f t="shared" si="38"/>
        <v/>
      </c>
      <c r="D50" s="728">
        <f>[6]本部!$L$50</f>
        <v>0</v>
      </c>
      <c r="E50" s="122" t="str">
        <f t="shared" si="39"/>
        <v/>
      </c>
      <c r="F50" s="352">
        <f>[6]本社営業!$I$50</f>
        <v>0</v>
      </c>
      <c r="G50" s="9">
        <f t="shared" si="40"/>
        <v>0</v>
      </c>
      <c r="H50" s="362">
        <f>[6]本社営業!$L$50</f>
        <v>0</v>
      </c>
      <c r="I50" s="124">
        <f t="shared" si="19"/>
        <v>0</v>
      </c>
      <c r="J50" s="745">
        <f>[6]東大阪!$I$50</f>
        <v>0</v>
      </c>
      <c r="K50" s="9">
        <f t="shared" si="20"/>
        <v>0</v>
      </c>
      <c r="L50" s="362">
        <f>[6]東大阪!$L$50</f>
        <v>0</v>
      </c>
      <c r="M50" s="124">
        <f t="shared" si="37"/>
        <v>0</v>
      </c>
      <c r="N50" s="403">
        <f>[6]南港工場!$I$50</f>
        <v>0</v>
      </c>
      <c r="O50" s="9">
        <f t="shared" si="41"/>
        <v>0</v>
      </c>
      <c r="P50" s="362">
        <f>[6]南港工場!$L$50</f>
        <v>0</v>
      </c>
      <c r="Q50" s="171">
        <f t="shared" si="42"/>
        <v>0</v>
      </c>
      <c r="R50" s="445">
        <f>[6]南港事務!$I$50</f>
        <v>0</v>
      </c>
      <c r="S50" s="9" t="str">
        <f t="shared" si="43"/>
        <v/>
      </c>
      <c r="T50" s="362">
        <f>[6]南港事務!$L$50</f>
        <v>0</v>
      </c>
      <c r="U50" s="204" t="str">
        <f t="shared" si="44"/>
        <v/>
      </c>
      <c r="V50" s="456">
        <f t="shared" si="21"/>
        <v>0</v>
      </c>
      <c r="W50" s="171">
        <f t="shared" si="45"/>
        <v>0</v>
      </c>
      <c r="X50" s="426">
        <f t="shared" si="22"/>
        <v>0</v>
      </c>
      <c r="Y50" s="225">
        <f t="shared" si="46"/>
        <v>0</v>
      </c>
      <c r="Z50" s="460">
        <f t="shared" si="23"/>
        <v>0</v>
      </c>
      <c r="AA50" s="189">
        <f t="shared" si="47"/>
        <v>0</v>
      </c>
      <c r="AB50" s="564">
        <f t="shared" si="24"/>
        <v>0</v>
      </c>
      <c r="AC50" s="123">
        <f t="shared" si="48"/>
        <v>0</v>
      </c>
      <c r="AD50" s="352">
        <f>[6]東京事務!$I$50</f>
        <v>0</v>
      </c>
      <c r="AE50" s="9">
        <f t="shared" si="49"/>
        <v>0</v>
      </c>
      <c r="AF50" s="362">
        <f>[6]東京事務!$L$50</f>
        <v>0</v>
      </c>
      <c r="AG50" s="81">
        <f t="shared" si="50"/>
        <v>0</v>
      </c>
      <c r="AH50" s="388">
        <f>[6]東京工場!$I$50</f>
        <v>0</v>
      </c>
      <c r="AI50" s="171">
        <f t="shared" si="25"/>
        <v>0</v>
      </c>
      <c r="AJ50" s="362">
        <f>[6]東京工場!$L$50</f>
        <v>0</v>
      </c>
      <c r="AK50" s="99">
        <f t="shared" si="36"/>
        <v>0</v>
      </c>
      <c r="AL50" s="547">
        <f t="shared" si="26"/>
        <v>0</v>
      </c>
      <c r="AM50" s="314">
        <f t="shared" si="51"/>
        <v>0</v>
      </c>
      <c r="AN50" s="478">
        <f t="shared" si="27"/>
        <v>0</v>
      </c>
      <c r="AO50" s="123">
        <f t="shared" si="52"/>
        <v>0</v>
      </c>
      <c r="AP50" s="527">
        <f t="shared" si="28"/>
        <v>0</v>
      </c>
      <c r="AQ50" s="284">
        <f t="shared" si="53"/>
        <v>0</v>
      </c>
      <c r="AR50" s="487">
        <f t="shared" si="29"/>
        <v>0</v>
      </c>
      <c r="AS50" s="285">
        <f t="shared" si="54"/>
        <v>0</v>
      </c>
      <c r="AT50" s="584">
        <f>[6]全社合計!$G$50</f>
        <v>0</v>
      </c>
      <c r="AU50" s="124">
        <f t="shared" si="30"/>
        <v>0</v>
      </c>
      <c r="AV50" s="578">
        <f>[6]全社合計!$N$50</f>
        <v>1065084</v>
      </c>
      <c r="AW50" s="125">
        <f t="shared" si="31"/>
        <v>1.9040637758642966E-4</v>
      </c>
      <c r="AX50" s="584">
        <f t="shared" si="32"/>
        <v>0</v>
      </c>
      <c r="AY50" s="124" t="str">
        <f t="shared" si="33"/>
        <v/>
      </c>
      <c r="AZ50" s="578">
        <f t="shared" si="34"/>
        <v>-1065084</v>
      </c>
      <c r="BA50" s="125">
        <f t="shared" si="35"/>
        <v>0</v>
      </c>
      <c r="BB50" s="11"/>
    </row>
    <row r="51" spans="1:54" ht="15.95" customHeight="1">
      <c r="A51" s="37" t="s">
        <v>43</v>
      </c>
      <c r="B51" s="703">
        <f>[6]本部!$I$51</f>
        <v>1063000</v>
      </c>
      <c r="C51" s="259" t="str">
        <f t="shared" si="38"/>
        <v/>
      </c>
      <c r="D51" s="728">
        <f>[6]本部!$L$51</f>
        <v>6378000</v>
      </c>
      <c r="E51" s="122" t="str">
        <f t="shared" si="39"/>
        <v/>
      </c>
      <c r="F51" s="352">
        <f>[6]本社営業!$I$51</f>
        <v>0</v>
      </c>
      <c r="G51" s="9">
        <f t="shared" si="40"/>
        <v>0</v>
      </c>
      <c r="H51" s="362">
        <f>[6]本社営業!$L$51</f>
        <v>0</v>
      </c>
      <c r="I51" s="124">
        <f t="shared" si="19"/>
        <v>0</v>
      </c>
      <c r="J51" s="745">
        <f>[6]東大阪!$I$51</f>
        <v>850000</v>
      </c>
      <c r="K51" s="9">
        <f t="shared" si="20"/>
        <v>9.1866437440090917E-2</v>
      </c>
      <c r="L51" s="362">
        <f>[6]東大阪!$L$51</f>
        <v>5100000</v>
      </c>
      <c r="M51" s="124">
        <f t="shared" si="37"/>
        <v>9.2426039459938339E-2</v>
      </c>
      <c r="N51" s="403">
        <f>[6]南港工場!$I$51</f>
        <v>100000</v>
      </c>
      <c r="O51" s="9">
        <f t="shared" si="41"/>
        <v>3.8161263623237201E-3</v>
      </c>
      <c r="P51" s="362">
        <f>[6]南港工場!$L$51</f>
        <v>600000</v>
      </c>
      <c r="Q51" s="171">
        <f t="shared" si="42"/>
        <v>3.685808104273772E-3</v>
      </c>
      <c r="R51" s="445">
        <f>[6]南港事務!$I$51</f>
        <v>0</v>
      </c>
      <c r="S51" s="9" t="str">
        <f t="shared" si="43"/>
        <v/>
      </c>
      <c r="T51" s="362">
        <f>[6]南港事務!$L$51</f>
        <v>0</v>
      </c>
      <c r="U51" s="204" t="str">
        <f t="shared" si="44"/>
        <v/>
      </c>
      <c r="V51" s="456">
        <f t="shared" si="21"/>
        <v>100000</v>
      </c>
      <c r="W51" s="171">
        <f t="shared" si="45"/>
        <v>3.8161263623237201E-3</v>
      </c>
      <c r="X51" s="426">
        <f t="shared" si="22"/>
        <v>600000</v>
      </c>
      <c r="Y51" s="225">
        <f t="shared" si="46"/>
        <v>3.685808104273772E-3</v>
      </c>
      <c r="Z51" s="460">
        <f t="shared" si="23"/>
        <v>950000</v>
      </c>
      <c r="AA51" s="189">
        <f t="shared" si="47"/>
        <v>1.7251907075293837E-3</v>
      </c>
      <c r="AB51" s="564">
        <f t="shared" si="24"/>
        <v>5700000</v>
      </c>
      <c r="AC51" s="123">
        <f t="shared" si="48"/>
        <v>1.6937596020104718E-3</v>
      </c>
      <c r="AD51" s="352">
        <f>[6]東京事務!$I$51</f>
        <v>0</v>
      </c>
      <c r="AE51" s="9">
        <f t="shared" si="49"/>
        <v>0</v>
      </c>
      <c r="AF51" s="362">
        <f>[6]東京事務!$L$51</f>
        <v>0</v>
      </c>
      <c r="AG51" s="81">
        <f t="shared" si="50"/>
        <v>0</v>
      </c>
      <c r="AH51" s="388">
        <f>[6]東京工場!$I$51</f>
        <v>0</v>
      </c>
      <c r="AI51" s="171">
        <f t="shared" si="25"/>
        <v>0</v>
      </c>
      <c r="AJ51" s="362">
        <f>[6]東京工場!$L$51</f>
        <v>0</v>
      </c>
      <c r="AK51" s="99">
        <f t="shared" si="36"/>
        <v>0</v>
      </c>
      <c r="AL51" s="547">
        <f t="shared" si="26"/>
        <v>0</v>
      </c>
      <c r="AM51" s="314">
        <f t="shared" si="51"/>
        <v>0</v>
      </c>
      <c r="AN51" s="478">
        <f t="shared" si="27"/>
        <v>0</v>
      </c>
      <c r="AO51" s="123">
        <f t="shared" si="52"/>
        <v>0</v>
      </c>
      <c r="AP51" s="527">
        <f t="shared" si="28"/>
        <v>2013000</v>
      </c>
      <c r="AQ51" s="284">
        <f t="shared" si="53"/>
        <v>2.4698358869510106E-3</v>
      </c>
      <c r="AR51" s="487">
        <f t="shared" si="29"/>
        <v>12078000</v>
      </c>
      <c r="AS51" s="285">
        <f t="shared" si="54"/>
        <v>2.4457344295219802E-3</v>
      </c>
      <c r="AT51" s="584">
        <f>[6]全社合計!$G$51</f>
        <v>2013000</v>
      </c>
      <c r="AU51" s="124">
        <f t="shared" si="30"/>
        <v>2.1049508830625007E-3</v>
      </c>
      <c r="AV51" s="578">
        <f>[6]全社合計!$N$51</f>
        <v>11872000</v>
      </c>
      <c r="AW51" s="125">
        <f t="shared" si="31"/>
        <v>2.1223720520692196E-3</v>
      </c>
      <c r="AX51" s="584">
        <f t="shared" si="32"/>
        <v>0</v>
      </c>
      <c r="AY51" s="124">
        <f t="shared" si="33"/>
        <v>1</v>
      </c>
      <c r="AZ51" s="578">
        <f t="shared" si="34"/>
        <v>206000</v>
      </c>
      <c r="BA51" s="125">
        <f t="shared" si="35"/>
        <v>1.0173517520215634</v>
      </c>
      <c r="BB51" s="11"/>
    </row>
    <row r="52" spans="1:54" ht="15.95" customHeight="1">
      <c r="A52" s="37" t="s">
        <v>44</v>
      </c>
      <c r="B52" s="703">
        <f>[6]本部!$I$52</f>
        <v>0</v>
      </c>
      <c r="C52" s="259" t="str">
        <f t="shared" si="38"/>
        <v/>
      </c>
      <c r="D52" s="728">
        <f>[6]本部!$L$52</f>
        <v>0</v>
      </c>
      <c r="E52" s="122" t="str">
        <f t="shared" si="39"/>
        <v/>
      </c>
      <c r="F52" s="352">
        <f>[6]本社営業!$I$52</f>
        <v>0</v>
      </c>
      <c r="G52" s="9">
        <f t="shared" si="40"/>
        <v>0</v>
      </c>
      <c r="H52" s="362">
        <f>[6]本社営業!$L$52</f>
        <v>0</v>
      </c>
      <c r="I52" s="124">
        <f t="shared" si="19"/>
        <v>0</v>
      </c>
      <c r="J52" s="745">
        <f>[6]東大阪!$I$52</f>
        <v>0</v>
      </c>
      <c r="K52" s="9">
        <f t="shared" si="20"/>
        <v>0</v>
      </c>
      <c r="L52" s="362">
        <f>[6]東大阪!$L$52</f>
        <v>0</v>
      </c>
      <c r="M52" s="124">
        <f t="shared" si="37"/>
        <v>0</v>
      </c>
      <c r="N52" s="403">
        <f>[6]南港工場!$I$52</f>
        <v>0</v>
      </c>
      <c r="O52" s="9">
        <f t="shared" si="41"/>
        <v>0</v>
      </c>
      <c r="P52" s="362">
        <f>[6]南港工場!$L$52</f>
        <v>0</v>
      </c>
      <c r="Q52" s="171">
        <f t="shared" si="42"/>
        <v>0</v>
      </c>
      <c r="R52" s="445">
        <f>[6]南港事務!$I$52</f>
        <v>0</v>
      </c>
      <c r="S52" s="9" t="str">
        <f t="shared" si="43"/>
        <v/>
      </c>
      <c r="T52" s="362">
        <f>[6]南港事務!$L$52</f>
        <v>0</v>
      </c>
      <c r="U52" s="204" t="str">
        <f t="shared" si="44"/>
        <v/>
      </c>
      <c r="V52" s="456">
        <f t="shared" si="21"/>
        <v>0</v>
      </c>
      <c r="W52" s="171">
        <f t="shared" si="45"/>
        <v>0</v>
      </c>
      <c r="X52" s="426">
        <f t="shared" si="22"/>
        <v>0</v>
      </c>
      <c r="Y52" s="225">
        <f t="shared" si="46"/>
        <v>0</v>
      </c>
      <c r="Z52" s="460">
        <f t="shared" si="23"/>
        <v>0</v>
      </c>
      <c r="AA52" s="189">
        <f t="shared" si="47"/>
        <v>0</v>
      </c>
      <c r="AB52" s="564">
        <f t="shared" si="24"/>
        <v>0</v>
      </c>
      <c r="AC52" s="123">
        <f t="shared" si="48"/>
        <v>0</v>
      </c>
      <c r="AD52" s="352">
        <f>[6]東京事務!$I$52</f>
        <v>0</v>
      </c>
      <c r="AE52" s="9">
        <f t="shared" si="49"/>
        <v>0</v>
      </c>
      <c r="AF52" s="362">
        <f>[6]東京事務!$L$52</f>
        <v>0</v>
      </c>
      <c r="AG52" s="81">
        <f t="shared" si="50"/>
        <v>0</v>
      </c>
      <c r="AH52" s="388">
        <f>[6]東京工場!$I$52</f>
        <v>0</v>
      </c>
      <c r="AI52" s="171">
        <f t="shared" si="25"/>
        <v>0</v>
      </c>
      <c r="AJ52" s="362">
        <f>[6]東京工場!$L$52</f>
        <v>0</v>
      </c>
      <c r="AK52" s="99">
        <f t="shared" si="36"/>
        <v>0</v>
      </c>
      <c r="AL52" s="547">
        <f t="shared" si="26"/>
        <v>0</v>
      </c>
      <c r="AM52" s="314">
        <f t="shared" si="51"/>
        <v>0</v>
      </c>
      <c r="AN52" s="478">
        <f t="shared" si="27"/>
        <v>0</v>
      </c>
      <c r="AO52" s="123">
        <f t="shared" si="52"/>
        <v>0</v>
      </c>
      <c r="AP52" s="527">
        <f t="shared" si="28"/>
        <v>0</v>
      </c>
      <c r="AQ52" s="284">
        <f t="shared" si="53"/>
        <v>0</v>
      </c>
      <c r="AR52" s="487">
        <f t="shared" si="29"/>
        <v>0</v>
      </c>
      <c r="AS52" s="285">
        <f t="shared" si="54"/>
        <v>0</v>
      </c>
      <c r="AT52" s="584">
        <f>[6]全社合計!$G$52</f>
        <v>0</v>
      </c>
      <c r="AU52" s="124">
        <f t="shared" si="30"/>
        <v>0</v>
      </c>
      <c r="AV52" s="578">
        <f>[6]全社合計!$N$52</f>
        <v>0</v>
      </c>
      <c r="AW52" s="125">
        <f t="shared" si="31"/>
        <v>0</v>
      </c>
      <c r="AX52" s="584">
        <f t="shared" si="32"/>
        <v>0</v>
      </c>
      <c r="AY52" s="124" t="str">
        <f t="shared" si="33"/>
        <v/>
      </c>
      <c r="AZ52" s="578">
        <f t="shared" si="34"/>
        <v>0</v>
      </c>
      <c r="BA52" s="125" t="str">
        <f t="shared" si="35"/>
        <v/>
      </c>
      <c r="BB52" s="11"/>
    </row>
    <row r="53" spans="1:54" ht="15.95" customHeight="1">
      <c r="A53" s="35" t="s">
        <v>45</v>
      </c>
      <c r="B53" s="704">
        <f>[6]本部!$I$53</f>
        <v>0</v>
      </c>
      <c r="C53" s="260" t="str">
        <f t="shared" si="38"/>
        <v/>
      </c>
      <c r="D53" s="729">
        <f>[6]本部!$L$53</f>
        <v>1260812</v>
      </c>
      <c r="E53" s="126" t="str">
        <f t="shared" si="39"/>
        <v/>
      </c>
      <c r="F53" s="353">
        <f>[6]本社営業!$I$53</f>
        <v>8244371</v>
      </c>
      <c r="G53" s="12">
        <f t="shared" si="40"/>
        <v>1.6002067504517842E-2</v>
      </c>
      <c r="H53" s="363">
        <f>[6]本社営業!$L$53</f>
        <v>74231593</v>
      </c>
      <c r="I53" s="128">
        <f t="shared" si="19"/>
        <v>2.358558591079201E-2</v>
      </c>
      <c r="J53" s="746">
        <f>[6]東大阪!$I$53</f>
        <v>100000</v>
      </c>
      <c r="K53" s="12">
        <f t="shared" si="20"/>
        <v>1.0807816169422462E-2</v>
      </c>
      <c r="L53" s="363">
        <f>[6]東大阪!$L$53</f>
        <v>350000</v>
      </c>
      <c r="M53" s="128">
        <f t="shared" si="37"/>
        <v>6.3429634923487096E-3</v>
      </c>
      <c r="N53" s="404">
        <f>[6]南港工場!$I$53</f>
        <v>15</v>
      </c>
      <c r="O53" s="12">
        <f t="shared" si="41"/>
        <v>5.7241895434855803E-7</v>
      </c>
      <c r="P53" s="363">
        <f>[6]南港工場!$L$53</f>
        <v>107</v>
      </c>
      <c r="Q53" s="172">
        <f t="shared" si="42"/>
        <v>6.5730244526215597E-7</v>
      </c>
      <c r="R53" s="446">
        <f>[6]南港事務!$I$53</f>
        <v>0</v>
      </c>
      <c r="S53" s="12" t="str">
        <f t="shared" si="43"/>
        <v/>
      </c>
      <c r="T53" s="363">
        <f>[6]南港事務!$L$53</f>
        <v>0</v>
      </c>
      <c r="U53" s="205" t="str">
        <f t="shared" si="44"/>
        <v/>
      </c>
      <c r="V53" s="457">
        <f t="shared" si="21"/>
        <v>15</v>
      </c>
      <c r="W53" s="172">
        <f t="shared" si="45"/>
        <v>5.7241895434855803E-7</v>
      </c>
      <c r="X53" s="427">
        <f t="shared" si="22"/>
        <v>107</v>
      </c>
      <c r="Y53" s="226">
        <f t="shared" si="46"/>
        <v>6.5730244526215597E-7</v>
      </c>
      <c r="Z53" s="461">
        <f t="shared" si="23"/>
        <v>8344386</v>
      </c>
      <c r="AA53" s="190">
        <f t="shared" si="47"/>
        <v>1.5153323354987668E-2</v>
      </c>
      <c r="AB53" s="565">
        <f t="shared" si="24"/>
        <v>74581700</v>
      </c>
      <c r="AC53" s="127">
        <f t="shared" si="48"/>
        <v>2.2162012370046388E-2</v>
      </c>
      <c r="AD53" s="353">
        <f>[6]東京事務!$I$53</f>
        <v>10</v>
      </c>
      <c r="AE53" s="12">
        <f t="shared" si="49"/>
        <v>3.9168758568875871E-8</v>
      </c>
      <c r="AF53" s="363">
        <f>[6]東京事務!$L$53</f>
        <v>307153</v>
      </c>
      <c r="AG53" s="82">
        <f t="shared" si="50"/>
        <v>2.0308213761399259E-4</v>
      </c>
      <c r="AH53" s="389">
        <f>[6]東京工場!$I$53</f>
        <v>157057</v>
      </c>
      <c r="AI53" s="172">
        <f t="shared" si="25"/>
        <v>1.7326340003869983E-2</v>
      </c>
      <c r="AJ53" s="363">
        <f>[6]東京工場!$L$53</f>
        <v>406123</v>
      </c>
      <c r="AK53" s="100">
        <f t="shared" si="36"/>
        <v>6.6970213695439458E-3</v>
      </c>
      <c r="AL53" s="548">
        <f t="shared" si="26"/>
        <v>157067</v>
      </c>
      <c r="AM53" s="315">
        <f t="shared" si="51"/>
        <v>5.9411775272617676E-4</v>
      </c>
      <c r="AN53" s="479">
        <f t="shared" si="27"/>
        <v>713276</v>
      </c>
      <c r="AO53" s="127">
        <f t="shared" si="52"/>
        <v>4.5342082753286787E-4</v>
      </c>
      <c r="AP53" s="528">
        <f t="shared" si="28"/>
        <v>8501453</v>
      </c>
      <c r="AQ53" s="286">
        <f t="shared" si="53"/>
        <v>1.0430796676913726E-2</v>
      </c>
      <c r="AR53" s="488">
        <f t="shared" si="29"/>
        <v>76555788</v>
      </c>
      <c r="AS53" s="287">
        <f t="shared" si="54"/>
        <v>1.5502163147109262E-2</v>
      </c>
      <c r="AT53" s="585">
        <f>[6]全社合計!$G$53</f>
        <v>7924051</v>
      </c>
      <c r="AU53" s="128">
        <f t="shared" si="30"/>
        <v>8.2860100098769464E-3</v>
      </c>
      <c r="AV53" s="579">
        <f>[6]全社合計!$N$53</f>
        <v>49894137</v>
      </c>
      <c r="AW53" s="129">
        <f t="shared" si="31"/>
        <v>8.919636281242654E-3</v>
      </c>
      <c r="AX53" s="585">
        <f t="shared" si="32"/>
        <v>577402</v>
      </c>
      <c r="AY53" s="128">
        <f t="shared" si="33"/>
        <v>1.0728670221834766</v>
      </c>
      <c r="AZ53" s="579">
        <f t="shared" si="34"/>
        <v>26661651</v>
      </c>
      <c r="BA53" s="129">
        <f t="shared" si="35"/>
        <v>1.534364408387302</v>
      </c>
      <c r="BB53" s="11"/>
    </row>
    <row r="54" spans="1:54" ht="15.95" customHeight="1">
      <c r="A54" s="62" t="s">
        <v>46</v>
      </c>
      <c r="B54" s="708">
        <f>SUM(B49:B53)</f>
        <v>2097334</v>
      </c>
      <c r="C54" s="141" t="str">
        <f t="shared" si="38"/>
        <v/>
      </c>
      <c r="D54" s="730">
        <f>SUM(D49:D53)</f>
        <v>16726644</v>
      </c>
      <c r="E54" s="139" t="str">
        <f t="shared" si="39"/>
        <v/>
      </c>
      <c r="F54" s="466">
        <f>SUM(F49:F53)</f>
        <v>8244371</v>
      </c>
      <c r="G54" s="64">
        <f t="shared" si="40"/>
        <v>1.6002067504517842E-2</v>
      </c>
      <c r="H54" s="401">
        <f>SUM(H49:H53)</f>
        <v>74231593</v>
      </c>
      <c r="I54" s="141">
        <f t="shared" si="19"/>
        <v>2.358558591079201E-2</v>
      </c>
      <c r="J54" s="747">
        <f>SUM(J49:J53)</f>
        <v>950000</v>
      </c>
      <c r="K54" s="64">
        <f t="shared" si="20"/>
        <v>0.10267425360951339</v>
      </c>
      <c r="L54" s="401">
        <f>SUM(L49:L53)</f>
        <v>5450000</v>
      </c>
      <c r="M54" s="141">
        <f t="shared" si="37"/>
        <v>9.8769002952287049E-2</v>
      </c>
      <c r="N54" s="405">
        <f>SUM(N49:N53)</f>
        <v>100015</v>
      </c>
      <c r="O54" s="64">
        <f t="shared" si="41"/>
        <v>3.8166987812780686E-3</v>
      </c>
      <c r="P54" s="401">
        <f>SUM(P49:P53)</f>
        <v>600107</v>
      </c>
      <c r="Q54" s="177">
        <f t="shared" si="42"/>
        <v>3.6864654067190342E-3</v>
      </c>
      <c r="R54" s="442">
        <f>SUM(R49:R53)</f>
        <v>0</v>
      </c>
      <c r="S54" s="64" t="str">
        <f t="shared" si="43"/>
        <v/>
      </c>
      <c r="T54" s="401">
        <f>SUM(T49:T53)</f>
        <v>0</v>
      </c>
      <c r="U54" s="209" t="str">
        <f t="shared" si="44"/>
        <v/>
      </c>
      <c r="V54" s="458">
        <f t="shared" si="21"/>
        <v>100015</v>
      </c>
      <c r="W54" s="177">
        <f t="shared" si="45"/>
        <v>3.8166987812780686E-3</v>
      </c>
      <c r="X54" s="428">
        <f t="shared" si="22"/>
        <v>600107</v>
      </c>
      <c r="Y54" s="230">
        <f t="shared" si="46"/>
        <v>3.6864654067190342E-3</v>
      </c>
      <c r="Z54" s="458">
        <f t="shared" si="23"/>
        <v>9294386</v>
      </c>
      <c r="AA54" s="194">
        <f t="shared" si="47"/>
        <v>1.6878514062517051E-2</v>
      </c>
      <c r="AB54" s="428">
        <f t="shared" si="24"/>
        <v>80281700</v>
      </c>
      <c r="AC54" s="140">
        <f t="shared" si="48"/>
        <v>2.385577197205686E-2</v>
      </c>
      <c r="AD54" s="466">
        <f>SUM(AD49:AD53)</f>
        <v>10</v>
      </c>
      <c r="AE54" s="64">
        <f t="shared" si="49"/>
        <v>3.9168758568875871E-8</v>
      </c>
      <c r="AF54" s="401">
        <f>SUM(AF49:AF53)</f>
        <v>310089</v>
      </c>
      <c r="AG54" s="85">
        <f t="shared" si="50"/>
        <v>2.0502334983081837E-4</v>
      </c>
      <c r="AH54" s="390">
        <f>SUM(AH49:AH53)</f>
        <v>157057</v>
      </c>
      <c r="AI54" s="177">
        <f t="shared" si="25"/>
        <v>1.7326340003869983E-2</v>
      </c>
      <c r="AJ54" s="401">
        <f>SUM(AJ49:AJ53)</f>
        <v>406123</v>
      </c>
      <c r="AK54" s="105">
        <f t="shared" si="36"/>
        <v>6.6970213695439458E-3</v>
      </c>
      <c r="AL54" s="549">
        <f t="shared" si="26"/>
        <v>157067</v>
      </c>
      <c r="AM54" s="319">
        <f t="shared" si="51"/>
        <v>5.9411775272617676E-4</v>
      </c>
      <c r="AN54" s="480">
        <f t="shared" si="27"/>
        <v>716212</v>
      </c>
      <c r="AO54" s="140">
        <f t="shared" si="52"/>
        <v>4.5528720681611379E-4</v>
      </c>
      <c r="AP54" s="529">
        <f t="shared" si="28"/>
        <v>11548787</v>
      </c>
      <c r="AQ54" s="141">
        <f t="shared" si="53"/>
        <v>1.4169701233657872E-2</v>
      </c>
      <c r="AR54" s="428">
        <f t="shared" si="29"/>
        <v>97724556</v>
      </c>
      <c r="AS54" s="140">
        <f t="shared" si="54"/>
        <v>1.9788732506950558E-2</v>
      </c>
      <c r="AT54" s="529">
        <f>SUM(AT49:AT53)</f>
        <v>10558432</v>
      </c>
      <c r="AU54" s="141">
        <f t="shared" si="30"/>
        <v>1.1040725664259994E-2</v>
      </c>
      <c r="AV54" s="410">
        <f>SUM(AV49:AV53)</f>
        <v>69585125</v>
      </c>
      <c r="AW54" s="140">
        <f t="shared" si="31"/>
        <v>1.2439818441689957E-2</v>
      </c>
      <c r="AX54" s="529">
        <f t="shared" si="32"/>
        <v>990355</v>
      </c>
      <c r="AY54" s="141">
        <f t="shared" si="33"/>
        <v>1.0937975449384909</v>
      </c>
      <c r="AZ54" s="410">
        <f t="shared" si="34"/>
        <v>28139431</v>
      </c>
      <c r="BA54" s="140">
        <f t="shared" si="35"/>
        <v>1.4043885959822591</v>
      </c>
      <c r="BB54" s="11"/>
    </row>
    <row r="55" spans="1:54" ht="15.95" customHeight="1">
      <c r="A55" s="37" t="s">
        <v>47</v>
      </c>
      <c r="B55" s="710">
        <f>[6]本部!$I$55</f>
        <v>479364</v>
      </c>
      <c r="C55" s="258" t="str">
        <f t="shared" si="38"/>
        <v/>
      </c>
      <c r="D55" s="727">
        <f>[6]本部!$L$55</f>
        <v>3596740</v>
      </c>
      <c r="E55" s="118" t="str">
        <f t="shared" si="39"/>
        <v/>
      </c>
      <c r="F55" s="351">
        <f>[6]本社営業!$I$55</f>
        <v>294267</v>
      </c>
      <c r="G55" s="7">
        <f t="shared" si="40"/>
        <v>5.7116308792410633E-4</v>
      </c>
      <c r="H55" s="361">
        <f>[6]本社営業!$L$55</f>
        <v>1484169</v>
      </c>
      <c r="I55" s="120">
        <f t="shared" si="19"/>
        <v>4.7156465382110641E-4</v>
      </c>
      <c r="J55" s="744">
        <f>[6]東大阪!$I$55</f>
        <v>0</v>
      </c>
      <c r="K55" s="7">
        <f t="shared" si="20"/>
        <v>0</v>
      </c>
      <c r="L55" s="361">
        <f>[6]東大阪!$L$55</f>
        <v>0</v>
      </c>
      <c r="M55" s="120">
        <f t="shared" si="37"/>
        <v>0</v>
      </c>
      <c r="N55" s="402">
        <f>[6]南港工場!$I$55</f>
        <v>0</v>
      </c>
      <c r="O55" s="7">
        <f t="shared" si="41"/>
        <v>0</v>
      </c>
      <c r="P55" s="361">
        <f>[6]南港工場!$L$55</f>
        <v>0</v>
      </c>
      <c r="Q55" s="174">
        <f t="shared" si="42"/>
        <v>0</v>
      </c>
      <c r="R55" s="444">
        <f>[6]南港事務!$I$55</f>
        <v>0</v>
      </c>
      <c r="S55" s="7" t="str">
        <f t="shared" si="43"/>
        <v/>
      </c>
      <c r="T55" s="361">
        <f>[6]南港事務!$L$55</f>
        <v>0</v>
      </c>
      <c r="U55" s="203" t="str">
        <f t="shared" si="44"/>
        <v/>
      </c>
      <c r="V55" s="455">
        <f t="shared" si="21"/>
        <v>0</v>
      </c>
      <c r="W55" s="174">
        <f t="shared" si="45"/>
        <v>0</v>
      </c>
      <c r="X55" s="425">
        <f t="shared" si="22"/>
        <v>0</v>
      </c>
      <c r="Y55" s="224">
        <f t="shared" si="46"/>
        <v>0</v>
      </c>
      <c r="Z55" s="459">
        <f t="shared" si="23"/>
        <v>294267</v>
      </c>
      <c r="AA55" s="188">
        <f t="shared" si="47"/>
        <v>5.3438599361320957E-4</v>
      </c>
      <c r="AB55" s="563">
        <f t="shared" si="24"/>
        <v>1484169</v>
      </c>
      <c r="AC55" s="119">
        <f t="shared" si="48"/>
        <v>4.4102201662390875E-4</v>
      </c>
      <c r="AD55" s="351">
        <f>[6]東京事務!$I$55</f>
        <v>0</v>
      </c>
      <c r="AE55" s="7">
        <f t="shared" si="49"/>
        <v>0</v>
      </c>
      <c r="AF55" s="361">
        <f>[6]東京事務!$L$55</f>
        <v>0</v>
      </c>
      <c r="AG55" s="80">
        <f t="shared" si="50"/>
        <v>0</v>
      </c>
      <c r="AH55" s="387">
        <f>[6]東京工場!$I$55</f>
        <v>0</v>
      </c>
      <c r="AI55" s="174">
        <f t="shared" si="25"/>
        <v>0</v>
      </c>
      <c r="AJ55" s="361">
        <f>[6]東京工場!$L$55</f>
        <v>0</v>
      </c>
      <c r="AK55" s="102">
        <f t="shared" si="36"/>
        <v>0</v>
      </c>
      <c r="AL55" s="546">
        <f t="shared" si="26"/>
        <v>0</v>
      </c>
      <c r="AM55" s="313">
        <f t="shared" si="51"/>
        <v>0</v>
      </c>
      <c r="AN55" s="477">
        <f t="shared" si="27"/>
        <v>0</v>
      </c>
      <c r="AO55" s="119">
        <f t="shared" si="52"/>
        <v>0</v>
      </c>
      <c r="AP55" s="526">
        <f t="shared" si="28"/>
        <v>773631</v>
      </c>
      <c r="AQ55" s="282">
        <f t="shared" si="53"/>
        <v>9.49200997048086E-4</v>
      </c>
      <c r="AR55" s="486">
        <f t="shared" si="29"/>
        <v>5080909</v>
      </c>
      <c r="AS55" s="283">
        <f t="shared" si="54"/>
        <v>1.0288585920324635E-3</v>
      </c>
      <c r="AT55" s="583">
        <f>[6]全社合計!$G$55</f>
        <v>917238</v>
      </c>
      <c r="AU55" s="120">
        <f t="shared" si="30"/>
        <v>9.5913608449005566E-4</v>
      </c>
      <c r="AV55" s="577">
        <f>[6]全社合計!$N$55</f>
        <v>5034167</v>
      </c>
      <c r="AW55" s="121">
        <f t="shared" si="31"/>
        <v>8.9996423064767083E-4</v>
      </c>
      <c r="AX55" s="583">
        <f t="shared" si="32"/>
        <v>-143607</v>
      </c>
      <c r="AY55" s="120">
        <f t="shared" si="33"/>
        <v>0.843435400626664</v>
      </c>
      <c r="AZ55" s="577">
        <f t="shared" si="34"/>
        <v>46742</v>
      </c>
      <c r="BA55" s="121">
        <f t="shared" si="35"/>
        <v>1.0092849522075846</v>
      </c>
      <c r="BB55" s="11"/>
    </row>
    <row r="56" spans="1:54" ht="15.95" customHeight="1">
      <c r="A56" s="37" t="s">
        <v>97</v>
      </c>
      <c r="B56" s="711">
        <f>[6]本部!$I$56</f>
        <v>0</v>
      </c>
      <c r="C56" s="336" t="str">
        <f>IF(ISERR(B56/$B$11),"",B56/$B$11)</f>
        <v/>
      </c>
      <c r="D56" s="731">
        <f>[6]本部!$L$56</f>
        <v>0</v>
      </c>
      <c r="E56" s="337" t="str">
        <f>IF(ISERR(D56/$D$11),"",D56/$D$11)</f>
        <v/>
      </c>
      <c r="F56" s="365">
        <f>[6]本社営業!$I$56</f>
        <v>0</v>
      </c>
      <c r="G56" s="338">
        <f>IF(ISERR(F56/$F$11),"",F56/$F$11)</f>
        <v>0</v>
      </c>
      <c r="H56" s="366">
        <f>[6]本社営業!$L$56</f>
        <v>0</v>
      </c>
      <c r="I56" s="339">
        <f>IF(ISERR(H56/$H$11),"",H56/$H$11)</f>
        <v>0</v>
      </c>
      <c r="J56" s="751">
        <f>[6]東大阪!$I$56</f>
        <v>0</v>
      </c>
      <c r="K56" s="338">
        <f>IF(ISERR(J56/$J$11),"",J56/$J$11)</f>
        <v>0</v>
      </c>
      <c r="L56" s="366">
        <f>[6]東大阪!$L$56</f>
        <v>0</v>
      </c>
      <c r="M56" s="339">
        <f t="shared" si="37"/>
        <v>0</v>
      </c>
      <c r="N56" s="413">
        <f>[6]南港工場!$I$56</f>
        <v>0</v>
      </c>
      <c r="O56" s="338">
        <f>IF(ISERR(N56/$N$11),"",N56/$N$11)</f>
        <v>0</v>
      </c>
      <c r="P56" s="366">
        <f>[6]南港工場!$L$56</f>
        <v>0</v>
      </c>
      <c r="Q56" s="340">
        <f>IF(ISERR(P56/$P$11),"",P56/$P$11)</f>
        <v>0</v>
      </c>
      <c r="R56" s="447">
        <f>[6]南港事務!$I$56</f>
        <v>0</v>
      </c>
      <c r="S56" s="338" t="str">
        <f>IF(ISERR(R56/$R$11),"",R56/$R$11)</f>
        <v/>
      </c>
      <c r="T56" s="366">
        <f>[6]南港事務!$L$56</f>
        <v>0</v>
      </c>
      <c r="U56" s="341" t="str">
        <f>IF(ISERR(T56/$T$11),"",T56/$T$11)</f>
        <v/>
      </c>
      <c r="V56" s="491">
        <f>N56+R56</f>
        <v>0</v>
      </c>
      <c r="W56" s="340">
        <f>IF(ISERR(V56/$V$11),"",V56/$V$11)</f>
        <v>0</v>
      </c>
      <c r="X56" s="430">
        <f>P56+T56</f>
        <v>0</v>
      </c>
      <c r="Y56" s="342">
        <f>IF(ISERR(X56/$X$11),"",X56/$X$11)</f>
        <v>0</v>
      </c>
      <c r="Z56" s="570">
        <f>F56+J56+N56+R56</f>
        <v>0</v>
      </c>
      <c r="AA56" s="343">
        <f>IF(ISERR(Z56/$Z$11),"",Z56/$Z$11)</f>
        <v>0</v>
      </c>
      <c r="AB56" s="566">
        <f>H56+L56+P56+T56</f>
        <v>0</v>
      </c>
      <c r="AC56" s="344">
        <f>IF(ISERR(AB56/$AB$11),"",AB56/$AB$11)</f>
        <v>0</v>
      </c>
      <c r="AD56" s="365">
        <f>[6]東京事務!$I$56</f>
        <v>0</v>
      </c>
      <c r="AE56" s="338">
        <f>IF(ISERR(AD56/$AD$11),"",AD56/$AD$11)</f>
        <v>0</v>
      </c>
      <c r="AF56" s="366">
        <f>[6]東京事務!$L$56</f>
        <v>0</v>
      </c>
      <c r="AG56" s="345">
        <f>IF(ISERR(AF56/$AF$11),"",AF56/$AF$11)</f>
        <v>0</v>
      </c>
      <c r="AH56" s="393">
        <f>[6]東京工場!$I$56</f>
        <v>0</v>
      </c>
      <c r="AI56" s="340">
        <f>IF(ISERR(AH56/$AH$11),"",AH56/$AH$11)</f>
        <v>0</v>
      </c>
      <c r="AJ56" s="366">
        <f>[6]東京工場!$L$56</f>
        <v>0</v>
      </c>
      <c r="AK56" s="346">
        <f>IF(ISERR(AJ56/$AJ$11),"",AJ56/$AJ$11)</f>
        <v>0</v>
      </c>
      <c r="AL56" s="550">
        <f>AD56+AH56</f>
        <v>0</v>
      </c>
      <c r="AM56" s="347">
        <f>IF(ISERR(AL56/$AL$11),"",AL56/AL$11)</f>
        <v>0</v>
      </c>
      <c r="AN56" s="538">
        <f>AF56+AJ56</f>
        <v>0</v>
      </c>
      <c r="AO56" s="344">
        <f>IF(ISERR(AN56/$AN$11),"",AN56/$AN$11)</f>
        <v>0</v>
      </c>
      <c r="AP56" s="530">
        <f>B56+Z56+AL56</f>
        <v>0</v>
      </c>
      <c r="AQ56" s="348">
        <f>IF(ISERR(AP56/$AP$11),"",AP56/$AP$11)</f>
        <v>0</v>
      </c>
      <c r="AR56" s="518">
        <f>D56+AB56+AN56</f>
        <v>0</v>
      </c>
      <c r="AS56" s="349">
        <f>IF(ISERR(AR56/$AR$11),"",AR56/$AR$11)</f>
        <v>0</v>
      </c>
      <c r="AT56" s="587">
        <f>[6]全社合計!$G$56</f>
        <v>0</v>
      </c>
      <c r="AU56" s="339">
        <f>IF(ISERR(AT56/$AT$11),"",AT56/$AT$11)</f>
        <v>0</v>
      </c>
      <c r="AV56" s="598">
        <f>[6]全社合計!$N$56</f>
        <v>0</v>
      </c>
      <c r="AW56" s="350">
        <f>IF(ISERR(AV56/$AV$11),"",AV56/$AV$11)</f>
        <v>0</v>
      </c>
      <c r="AX56" s="587">
        <f>AP56-AT56</f>
        <v>0</v>
      </c>
      <c r="AY56" s="339" t="str">
        <f>IF(ISERROR(AP56/AT56),"",AP56/AT56)</f>
        <v/>
      </c>
      <c r="AZ56" s="598">
        <f>AR56-AV56</f>
        <v>0</v>
      </c>
      <c r="BA56" s="350" t="str">
        <f>IF(ISERROR(AR56/AV56),"",AR56/AV56)</f>
        <v/>
      </c>
      <c r="BB56" s="11"/>
    </row>
    <row r="57" spans="1:54" ht="15.95" customHeight="1">
      <c r="A57" s="37" t="s">
        <v>58</v>
      </c>
      <c r="B57" s="703">
        <f>[6]本部!$I$57</f>
        <v>0</v>
      </c>
      <c r="C57" s="259" t="str">
        <f>IF(ISERR(B57/$B$11),"",B57/$B$11)</f>
        <v/>
      </c>
      <c r="D57" s="728">
        <f>[6]本部!$L$57</f>
        <v>0</v>
      </c>
      <c r="E57" s="122" t="str">
        <f t="shared" si="39"/>
        <v/>
      </c>
      <c r="F57" s="352">
        <f>[6]本社営業!$I$57</f>
        <v>0</v>
      </c>
      <c r="G57" s="9">
        <f t="shared" si="40"/>
        <v>0</v>
      </c>
      <c r="H57" s="362">
        <f>[6]本社営業!$L$57</f>
        <v>0</v>
      </c>
      <c r="I57" s="124">
        <f t="shared" si="19"/>
        <v>0</v>
      </c>
      <c r="J57" s="745">
        <f>[6]東大阪!$I$57</f>
        <v>0</v>
      </c>
      <c r="K57" s="9">
        <f t="shared" si="20"/>
        <v>0</v>
      </c>
      <c r="L57" s="362">
        <f>[6]東大阪!$L$57</f>
        <v>0</v>
      </c>
      <c r="M57" s="124">
        <f t="shared" si="37"/>
        <v>0</v>
      </c>
      <c r="N57" s="403">
        <f>[6]南港工場!$I$57</f>
        <v>0</v>
      </c>
      <c r="O57" s="9">
        <f t="shared" si="41"/>
        <v>0</v>
      </c>
      <c r="P57" s="362">
        <f>[6]南港工場!$L$57</f>
        <v>0</v>
      </c>
      <c r="Q57" s="171">
        <f t="shared" si="42"/>
        <v>0</v>
      </c>
      <c r="R57" s="445">
        <f>[6]南港事務!$I$57</f>
        <v>0</v>
      </c>
      <c r="S57" s="9" t="str">
        <f t="shared" si="43"/>
        <v/>
      </c>
      <c r="T57" s="362">
        <f>[6]南港事務!$L$57</f>
        <v>0</v>
      </c>
      <c r="U57" s="204" t="str">
        <f t="shared" si="44"/>
        <v/>
      </c>
      <c r="V57" s="456">
        <f t="shared" si="21"/>
        <v>0</v>
      </c>
      <c r="W57" s="171">
        <f t="shared" si="45"/>
        <v>0</v>
      </c>
      <c r="X57" s="426">
        <f t="shared" si="22"/>
        <v>0</v>
      </c>
      <c r="Y57" s="225">
        <f t="shared" si="46"/>
        <v>0</v>
      </c>
      <c r="Z57" s="460">
        <f t="shared" si="23"/>
        <v>0</v>
      </c>
      <c r="AA57" s="189">
        <f t="shared" si="47"/>
        <v>0</v>
      </c>
      <c r="AB57" s="564">
        <f t="shared" si="24"/>
        <v>0</v>
      </c>
      <c r="AC57" s="123">
        <f t="shared" si="48"/>
        <v>0</v>
      </c>
      <c r="AD57" s="352">
        <f>[6]東京事務!$I$57</f>
        <v>0</v>
      </c>
      <c r="AE57" s="9">
        <f t="shared" si="49"/>
        <v>0</v>
      </c>
      <c r="AF57" s="362">
        <f>[6]東京事務!$L$57</f>
        <v>0</v>
      </c>
      <c r="AG57" s="81">
        <f t="shared" si="50"/>
        <v>0</v>
      </c>
      <c r="AH57" s="388">
        <f>[6]東京工場!$I$57</f>
        <v>0</v>
      </c>
      <c r="AI57" s="171">
        <f t="shared" si="25"/>
        <v>0</v>
      </c>
      <c r="AJ57" s="362">
        <f>[6]東京工場!$L$57</f>
        <v>0</v>
      </c>
      <c r="AK57" s="99">
        <f t="shared" si="36"/>
        <v>0</v>
      </c>
      <c r="AL57" s="547">
        <f t="shared" si="26"/>
        <v>0</v>
      </c>
      <c r="AM57" s="314">
        <f t="shared" si="51"/>
        <v>0</v>
      </c>
      <c r="AN57" s="478">
        <f t="shared" si="27"/>
        <v>0</v>
      </c>
      <c r="AO57" s="123">
        <f t="shared" si="52"/>
        <v>0</v>
      </c>
      <c r="AP57" s="527">
        <f>B57+Z57+AL57</f>
        <v>0</v>
      </c>
      <c r="AQ57" s="284">
        <f t="shared" si="53"/>
        <v>0</v>
      </c>
      <c r="AR57" s="487">
        <f t="shared" si="29"/>
        <v>0</v>
      </c>
      <c r="AS57" s="285">
        <f t="shared" si="54"/>
        <v>0</v>
      </c>
      <c r="AT57" s="584">
        <f>[6]全社合計!$G$57</f>
        <v>0</v>
      </c>
      <c r="AU57" s="124">
        <f t="shared" si="30"/>
        <v>0</v>
      </c>
      <c r="AV57" s="578">
        <f>[6]全社合計!$N$57</f>
        <v>0</v>
      </c>
      <c r="AW57" s="125">
        <f t="shared" si="31"/>
        <v>0</v>
      </c>
      <c r="AX57" s="584">
        <f t="shared" si="32"/>
        <v>0</v>
      </c>
      <c r="AY57" s="124" t="str">
        <f t="shared" si="33"/>
        <v/>
      </c>
      <c r="AZ57" s="578">
        <f t="shared" si="34"/>
        <v>0</v>
      </c>
      <c r="BA57" s="125" t="str">
        <f t="shared" si="35"/>
        <v/>
      </c>
      <c r="BB57" s="11"/>
    </row>
    <row r="58" spans="1:54" ht="15.95" customHeight="1">
      <c r="A58" s="37" t="s">
        <v>98</v>
      </c>
      <c r="B58" s="703">
        <f>[6]本部!$I$58</f>
        <v>0</v>
      </c>
      <c r="C58" s="259" t="str">
        <f t="shared" si="38"/>
        <v/>
      </c>
      <c r="D58" s="728">
        <f>[6]本部!$L$58</f>
        <v>0</v>
      </c>
      <c r="E58" s="122" t="str">
        <f t="shared" si="39"/>
        <v/>
      </c>
      <c r="F58" s="352">
        <f>[6]本社営業!$I$58</f>
        <v>0</v>
      </c>
      <c r="G58" s="9">
        <f t="shared" si="40"/>
        <v>0</v>
      </c>
      <c r="H58" s="362">
        <f>[6]本社営業!$L$58</f>
        <v>0</v>
      </c>
      <c r="I58" s="124">
        <f t="shared" si="19"/>
        <v>0</v>
      </c>
      <c r="J58" s="745">
        <f>[6]東大阪!$I$58</f>
        <v>0</v>
      </c>
      <c r="K58" s="9">
        <f t="shared" si="20"/>
        <v>0</v>
      </c>
      <c r="L58" s="362">
        <f>[6]東大阪!$L$58</f>
        <v>0</v>
      </c>
      <c r="M58" s="124">
        <f t="shared" si="37"/>
        <v>0</v>
      </c>
      <c r="N58" s="403">
        <f>[6]南港工場!$I$58</f>
        <v>0</v>
      </c>
      <c r="O58" s="9">
        <f t="shared" si="41"/>
        <v>0</v>
      </c>
      <c r="P58" s="362">
        <f>[6]南港工場!$L$58</f>
        <v>0</v>
      </c>
      <c r="Q58" s="171">
        <f t="shared" si="42"/>
        <v>0</v>
      </c>
      <c r="R58" s="445">
        <f>[6]南港事務!$I$58</f>
        <v>0</v>
      </c>
      <c r="S58" s="9" t="str">
        <f t="shared" si="43"/>
        <v/>
      </c>
      <c r="T58" s="362">
        <f>[6]南港事務!$L$58</f>
        <v>0</v>
      </c>
      <c r="U58" s="204" t="str">
        <f t="shared" si="44"/>
        <v/>
      </c>
      <c r="V58" s="456">
        <f t="shared" si="21"/>
        <v>0</v>
      </c>
      <c r="W58" s="171">
        <f t="shared" si="45"/>
        <v>0</v>
      </c>
      <c r="X58" s="426">
        <f t="shared" si="22"/>
        <v>0</v>
      </c>
      <c r="Y58" s="225">
        <f t="shared" si="46"/>
        <v>0</v>
      </c>
      <c r="Z58" s="460">
        <f>F58+J58+N58+R58</f>
        <v>0</v>
      </c>
      <c r="AA58" s="189">
        <f>IF(ISERR(Z58/$Z$11),"",Z58/$Z$11)</f>
        <v>0</v>
      </c>
      <c r="AB58" s="564">
        <f>H58+L58+P58+T58</f>
        <v>0</v>
      </c>
      <c r="AC58" s="123">
        <f>IF(ISERR(AB58/$AB$11),"",AB58/$AB$11)</f>
        <v>0</v>
      </c>
      <c r="AD58" s="352">
        <f>[6]東京事務!$I$58</f>
        <v>0</v>
      </c>
      <c r="AE58" s="9">
        <f>IF(ISERR(AD58/$AD$11),"",AD58/$AD$11)</f>
        <v>0</v>
      </c>
      <c r="AF58" s="362">
        <f>[6]東京事務!$L$58</f>
        <v>0</v>
      </c>
      <c r="AG58" s="81">
        <f>IF(ISERR(AF58/$AF$11),"",AF58/$AF$11)</f>
        <v>0</v>
      </c>
      <c r="AH58" s="388">
        <f>[6]東京工場!$I$58</f>
        <v>0</v>
      </c>
      <c r="AI58" s="171">
        <f>IF(ISERR(AH58/$AH$11),"",AH58/$AH$11)</f>
        <v>0</v>
      </c>
      <c r="AJ58" s="362">
        <f>[6]東京工場!$L$58</f>
        <v>0</v>
      </c>
      <c r="AK58" s="99">
        <f>IF(ISERR(AJ58/$AJ$11),"",AJ58/$AJ$11)</f>
        <v>0</v>
      </c>
      <c r="AL58" s="547">
        <f>AD58+AH58</f>
        <v>0</v>
      </c>
      <c r="AM58" s="314">
        <f>IF(ISERR(AL58/$AL$11),"",AL58/AL$11)</f>
        <v>0</v>
      </c>
      <c r="AN58" s="478">
        <f>AF58+AJ58</f>
        <v>0</v>
      </c>
      <c r="AO58" s="123">
        <f>IF(ISERR(AN58/$AN$11),"",AN58/$AN$11)</f>
        <v>0</v>
      </c>
      <c r="AP58" s="527">
        <f>B58+Z58+AL58</f>
        <v>0</v>
      </c>
      <c r="AQ58" s="284">
        <f>IF(ISERR(AP58/$AP$11),"",AP58/$AP$11)</f>
        <v>0</v>
      </c>
      <c r="AR58" s="487">
        <f>D58+AB58+AN58</f>
        <v>0</v>
      </c>
      <c r="AS58" s="285">
        <f>IF(ISERR(AR58/$AR$11),"",AR58/$AR$11)</f>
        <v>0</v>
      </c>
      <c r="AT58" s="584">
        <f>[6]全社合計!$G$58</f>
        <v>0</v>
      </c>
      <c r="AU58" s="124">
        <f>IF(ISERR(AT58/$AT$11),"",AT58/$AT$11)</f>
        <v>0</v>
      </c>
      <c r="AV58" s="578">
        <f>[6]全社合計!$N$58</f>
        <v>402213</v>
      </c>
      <c r="AW58" s="125">
        <f>IF(ISERR(AV58/$AV$11),"",AV58/$AV$11)</f>
        <v>7.1904113054154073E-5</v>
      </c>
      <c r="AX58" s="584">
        <f t="shared" si="32"/>
        <v>0</v>
      </c>
      <c r="AY58" s="124" t="str">
        <f>IF(ISERROR(AP58/AT58),"",AP58/AT58)</f>
        <v/>
      </c>
      <c r="AZ58" s="578">
        <f>AR58-AV58</f>
        <v>-402213</v>
      </c>
      <c r="BA58" s="125">
        <f>IF(ISERROR(AR58/AV58),"",AR58/AV58)</f>
        <v>0</v>
      </c>
      <c r="BB58" s="11"/>
    </row>
    <row r="59" spans="1:54" ht="15.95" customHeight="1">
      <c r="A59" s="37" t="s">
        <v>95</v>
      </c>
      <c r="B59" s="703">
        <f>[6]本部!$I$59</f>
        <v>0</v>
      </c>
      <c r="C59" s="259" t="str">
        <f t="shared" si="38"/>
        <v/>
      </c>
      <c r="D59" s="728">
        <f>[6]本部!$L$59</f>
        <v>0</v>
      </c>
      <c r="E59" s="122" t="str">
        <f t="shared" si="39"/>
        <v/>
      </c>
      <c r="F59" s="352">
        <f>[6]本社営業!$I$59</f>
        <v>0</v>
      </c>
      <c r="G59" s="9">
        <f t="shared" si="40"/>
        <v>0</v>
      </c>
      <c r="H59" s="362">
        <f>[6]本社営業!$L$59</f>
        <v>0</v>
      </c>
      <c r="I59" s="124">
        <f t="shared" si="19"/>
        <v>0</v>
      </c>
      <c r="J59" s="745">
        <f>[6]東大阪!$I$59</f>
        <v>0</v>
      </c>
      <c r="K59" s="9">
        <f t="shared" si="20"/>
        <v>0</v>
      </c>
      <c r="L59" s="362">
        <f>[6]東大阪!$L$59</f>
        <v>0</v>
      </c>
      <c r="M59" s="124">
        <f t="shared" si="37"/>
        <v>0</v>
      </c>
      <c r="N59" s="403">
        <f>[6]南港工場!$I$59</f>
        <v>0</v>
      </c>
      <c r="O59" s="9">
        <f t="shared" si="41"/>
        <v>0</v>
      </c>
      <c r="P59" s="362">
        <f>[6]南港工場!$L$59</f>
        <v>0</v>
      </c>
      <c r="Q59" s="171">
        <f t="shared" si="42"/>
        <v>0</v>
      </c>
      <c r="R59" s="445">
        <f>[6]南港事務!$I$59</f>
        <v>0</v>
      </c>
      <c r="S59" s="9" t="str">
        <f t="shared" si="43"/>
        <v/>
      </c>
      <c r="T59" s="362">
        <f>[6]南港事務!$L$59</f>
        <v>0</v>
      </c>
      <c r="U59" s="204" t="str">
        <f t="shared" si="44"/>
        <v/>
      </c>
      <c r="V59" s="456">
        <f t="shared" si="21"/>
        <v>0</v>
      </c>
      <c r="W59" s="171">
        <f t="shared" si="45"/>
        <v>0</v>
      </c>
      <c r="X59" s="426">
        <f t="shared" si="22"/>
        <v>0</v>
      </c>
      <c r="Y59" s="225">
        <f t="shared" si="46"/>
        <v>0</v>
      </c>
      <c r="Z59" s="460">
        <f>F59+J59+N59+R59</f>
        <v>0</v>
      </c>
      <c r="AA59" s="189">
        <f>IF(ISERR(Z59/$Z$11),"",Z59/$Z$11)</f>
        <v>0</v>
      </c>
      <c r="AB59" s="564">
        <f>H59+L59+P59+T59</f>
        <v>0</v>
      </c>
      <c r="AC59" s="123">
        <f>IF(ISERR(AB59/$AB$11),"",AB59/$AB$11)</f>
        <v>0</v>
      </c>
      <c r="AD59" s="352">
        <f>[6]東京事務!$I$59</f>
        <v>0</v>
      </c>
      <c r="AE59" s="9">
        <f>IF(ISERR(AD59/$AD$11),"",AD59/$AD$11)</f>
        <v>0</v>
      </c>
      <c r="AF59" s="362">
        <f>[6]東京事務!$L$59</f>
        <v>0</v>
      </c>
      <c r="AG59" s="81">
        <f>IF(ISERR(AF59/$AF$11),"",AF59/$AF$11)</f>
        <v>0</v>
      </c>
      <c r="AH59" s="388">
        <f>[6]東京工場!$I$59</f>
        <v>0</v>
      </c>
      <c r="AI59" s="171">
        <f>IF(ISERR(AH59/$AH$11),"",AH59/$AH$11)</f>
        <v>0</v>
      </c>
      <c r="AJ59" s="362">
        <f>[6]東京工場!$L$59</f>
        <v>0</v>
      </c>
      <c r="AK59" s="99">
        <f>IF(ISERR(AJ59/$AJ$11),"",AJ59/$AJ$11)</f>
        <v>0</v>
      </c>
      <c r="AL59" s="547">
        <f>AD59+AH59</f>
        <v>0</v>
      </c>
      <c r="AM59" s="314">
        <f>IF(ISERR(AL59/$AL$11),"",AL59/AL$11)</f>
        <v>0</v>
      </c>
      <c r="AN59" s="478">
        <f>AF59+AJ59</f>
        <v>0</v>
      </c>
      <c r="AO59" s="123">
        <f>IF(ISERR(AN59/$AN$11),"",AN59/$AN$11)</f>
        <v>0</v>
      </c>
      <c r="AP59" s="527">
        <f>B59+Z59+AL59</f>
        <v>0</v>
      </c>
      <c r="AQ59" s="284">
        <f>IF(ISERR(AP59/$AP$11),"",AP59/$AP$11)</f>
        <v>0</v>
      </c>
      <c r="AR59" s="487">
        <f>D59+AB59+AN59</f>
        <v>0</v>
      </c>
      <c r="AS59" s="285">
        <f>IF(ISERR(AR59/$AR$11),"",AR59/$AR$11)</f>
        <v>0</v>
      </c>
      <c r="AT59" s="584">
        <f>[6]全社合計!$G$59</f>
        <v>0</v>
      </c>
      <c r="AU59" s="124">
        <f>IF(ISERR(AT59/$AT$11),"",AT59/$AT$11)</f>
        <v>0</v>
      </c>
      <c r="AV59" s="578">
        <f>[6]全社合計!$N$59</f>
        <v>0</v>
      </c>
      <c r="AW59" s="125">
        <f>IF(ISERR(AV59/$AV$11),"",AV59/$AV$11)</f>
        <v>0</v>
      </c>
      <c r="AX59" s="584">
        <f t="shared" si="32"/>
        <v>0</v>
      </c>
      <c r="AY59" s="124" t="str">
        <f>IF(ISERROR(AP59/AT59),"",AP59/AT59)</f>
        <v/>
      </c>
      <c r="AZ59" s="578">
        <f>AR59-AV59</f>
        <v>0</v>
      </c>
      <c r="BA59" s="125" t="str">
        <f>IF(ISERROR(AR59/AV59),"",AR59/AV59)</f>
        <v/>
      </c>
      <c r="BB59" s="11"/>
    </row>
    <row r="60" spans="1:54" ht="15.95" customHeight="1">
      <c r="A60" s="37" t="s">
        <v>93</v>
      </c>
      <c r="B60" s="703">
        <f>[6]本部!$I$60</f>
        <v>500000</v>
      </c>
      <c r="C60" s="259" t="str">
        <f>IF(ISERR(B60/$B$11),"",B60/$B$11)</f>
        <v/>
      </c>
      <c r="D60" s="728">
        <f>[6]本部!$L$60</f>
        <v>3000000</v>
      </c>
      <c r="E60" s="122" t="str">
        <f t="shared" si="39"/>
        <v/>
      </c>
      <c r="F60" s="352">
        <f>[6]本社営業!$I$60</f>
        <v>0</v>
      </c>
      <c r="G60" s="9">
        <f t="shared" si="40"/>
        <v>0</v>
      </c>
      <c r="H60" s="362">
        <f>[6]本社営業!$L$60</f>
        <v>0</v>
      </c>
      <c r="I60" s="124">
        <f t="shared" si="19"/>
        <v>0</v>
      </c>
      <c r="J60" s="745">
        <f>[6]東大阪!$I$60</f>
        <v>0</v>
      </c>
      <c r="K60" s="9">
        <f t="shared" si="20"/>
        <v>0</v>
      </c>
      <c r="L60" s="362">
        <f>[6]東大阪!$L$60</f>
        <v>0</v>
      </c>
      <c r="M60" s="124">
        <f t="shared" si="37"/>
        <v>0</v>
      </c>
      <c r="N60" s="403">
        <f>[6]南港工場!$I$60</f>
        <v>0</v>
      </c>
      <c r="O60" s="9">
        <f t="shared" si="41"/>
        <v>0</v>
      </c>
      <c r="P60" s="362">
        <f>[6]南港工場!$L$60</f>
        <v>0</v>
      </c>
      <c r="Q60" s="171">
        <f t="shared" si="42"/>
        <v>0</v>
      </c>
      <c r="R60" s="445">
        <f>[6]南港事務!$I$60</f>
        <v>0</v>
      </c>
      <c r="S60" s="9" t="str">
        <f t="shared" si="43"/>
        <v/>
      </c>
      <c r="T60" s="362">
        <f>[6]南港事務!$L$60</f>
        <v>0</v>
      </c>
      <c r="U60" s="204" t="str">
        <f t="shared" si="44"/>
        <v/>
      </c>
      <c r="V60" s="456">
        <f t="shared" si="21"/>
        <v>0</v>
      </c>
      <c r="W60" s="171">
        <f t="shared" si="45"/>
        <v>0</v>
      </c>
      <c r="X60" s="426">
        <f t="shared" si="22"/>
        <v>0</v>
      </c>
      <c r="Y60" s="225">
        <f t="shared" si="46"/>
        <v>0</v>
      </c>
      <c r="Z60" s="460">
        <f t="shared" si="23"/>
        <v>0</v>
      </c>
      <c r="AA60" s="189">
        <f t="shared" si="47"/>
        <v>0</v>
      </c>
      <c r="AB60" s="564">
        <f t="shared" si="24"/>
        <v>0</v>
      </c>
      <c r="AC60" s="123">
        <f t="shared" si="48"/>
        <v>0</v>
      </c>
      <c r="AD60" s="352">
        <f>[6]東京事務!$I$60</f>
        <v>0</v>
      </c>
      <c r="AE60" s="9">
        <f t="shared" si="49"/>
        <v>0</v>
      </c>
      <c r="AF60" s="362">
        <f>[6]東京事務!$L$60</f>
        <v>0</v>
      </c>
      <c r="AG60" s="81">
        <f t="shared" si="50"/>
        <v>0</v>
      </c>
      <c r="AH60" s="388">
        <f>[6]東京工場!$I$60</f>
        <v>0</v>
      </c>
      <c r="AI60" s="171">
        <f t="shared" si="25"/>
        <v>0</v>
      </c>
      <c r="AJ60" s="362">
        <f>[6]東京工場!$L$60</f>
        <v>0</v>
      </c>
      <c r="AK60" s="99">
        <f t="shared" si="36"/>
        <v>0</v>
      </c>
      <c r="AL60" s="547">
        <f t="shared" si="26"/>
        <v>0</v>
      </c>
      <c r="AM60" s="314">
        <f t="shared" si="51"/>
        <v>0</v>
      </c>
      <c r="AN60" s="478">
        <f t="shared" si="27"/>
        <v>0</v>
      </c>
      <c r="AO60" s="123">
        <f t="shared" si="52"/>
        <v>0</v>
      </c>
      <c r="AP60" s="527">
        <f>B60+Z60+AL60</f>
        <v>500000</v>
      </c>
      <c r="AQ60" s="284">
        <f t="shared" si="53"/>
        <v>6.1347140758842783E-4</v>
      </c>
      <c r="AR60" s="487">
        <f t="shared" si="29"/>
        <v>3000000</v>
      </c>
      <c r="AS60" s="285">
        <f t="shared" si="54"/>
        <v>6.0748495517187794E-4</v>
      </c>
      <c r="AT60" s="584">
        <f>[6]全社合計!$G$60</f>
        <v>500000</v>
      </c>
      <c r="AU60" s="124">
        <f t="shared" si="30"/>
        <v>5.2283926553961773E-4</v>
      </c>
      <c r="AV60" s="578">
        <f>[6]全社合計!$N$60</f>
        <v>3000000</v>
      </c>
      <c r="AW60" s="125">
        <f t="shared" si="31"/>
        <v>5.3631369240293627E-4</v>
      </c>
      <c r="AX60" s="584">
        <f t="shared" si="32"/>
        <v>0</v>
      </c>
      <c r="AY60" s="124">
        <f t="shared" si="33"/>
        <v>1</v>
      </c>
      <c r="AZ60" s="578">
        <f t="shared" si="34"/>
        <v>0</v>
      </c>
      <c r="BA60" s="125">
        <f t="shared" si="35"/>
        <v>1</v>
      </c>
      <c r="BB60" s="11"/>
    </row>
    <row r="61" spans="1:54" ht="15.95" customHeight="1">
      <c r="A61" s="35" t="s">
        <v>48</v>
      </c>
      <c r="B61" s="704">
        <f>[6]本部!$I$61</f>
        <v>0</v>
      </c>
      <c r="C61" s="260" t="str">
        <f t="shared" si="38"/>
        <v/>
      </c>
      <c r="D61" s="729">
        <f>[6]本部!$L$61</f>
        <v>7001</v>
      </c>
      <c r="E61" s="126" t="str">
        <f t="shared" si="39"/>
        <v/>
      </c>
      <c r="F61" s="353">
        <f>[6]本社営業!$I$61</f>
        <v>8</v>
      </c>
      <c r="G61" s="12">
        <f t="shared" si="40"/>
        <v>1.5527750999578107E-8</v>
      </c>
      <c r="H61" s="363">
        <f>[6]本社営業!$L$61</f>
        <v>195045</v>
      </c>
      <c r="I61" s="128">
        <f t="shared" si="19"/>
        <v>6.1971600204921198E-5</v>
      </c>
      <c r="J61" s="746">
        <f>[6]東大阪!$I$61</f>
        <v>0</v>
      </c>
      <c r="K61" s="12">
        <f t="shared" si="20"/>
        <v>0</v>
      </c>
      <c r="L61" s="363">
        <f>[6]東大阪!$L$61</f>
        <v>0</v>
      </c>
      <c r="M61" s="128">
        <f t="shared" si="37"/>
        <v>0</v>
      </c>
      <c r="N61" s="404">
        <f>[6]南港工場!$I$61</f>
        <v>1</v>
      </c>
      <c r="O61" s="12">
        <f t="shared" si="41"/>
        <v>3.8161263623237202E-8</v>
      </c>
      <c r="P61" s="363">
        <f>[6]南港工場!$L$61</f>
        <v>5</v>
      </c>
      <c r="Q61" s="172">
        <f t="shared" si="42"/>
        <v>3.0715067535614765E-8</v>
      </c>
      <c r="R61" s="446">
        <f>[6]南港事務!$I$61</f>
        <v>0</v>
      </c>
      <c r="S61" s="12" t="str">
        <f t="shared" si="43"/>
        <v/>
      </c>
      <c r="T61" s="363">
        <f>[6]南港事務!$L$61</f>
        <v>0</v>
      </c>
      <c r="U61" s="205" t="str">
        <f t="shared" si="44"/>
        <v/>
      </c>
      <c r="V61" s="457">
        <f t="shared" si="21"/>
        <v>1</v>
      </c>
      <c r="W61" s="172">
        <f t="shared" si="45"/>
        <v>3.8161263623237202E-8</v>
      </c>
      <c r="X61" s="427">
        <f t="shared" si="22"/>
        <v>5</v>
      </c>
      <c r="Y61" s="226">
        <f t="shared" si="46"/>
        <v>3.0715067535614765E-8</v>
      </c>
      <c r="Z61" s="461">
        <f t="shared" si="23"/>
        <v>9</v>
      </c>
      <c r="AA61" s="190">
        <f t="shared" si="47"/>
        <v>1.6343911966067846E-8</v>
      </c>
      <c r="AB61" s="565">
        <f t="shared" si="24"/>
        <v>195050</v>
      </c>
      <c r="AC61" s="127">
        <f t="shared" si="48"/>
        <v>5.7959264977568863E-5</v>
      </c>
      <c r="AD61" s="353">
        <f>[6]東京事務!$I$61</f>
        <v>3</v>
      </c>
      <c r="AE61" s="12">
        <f t="shared" si="49"/>
        <v>1.1750627570662762E-8</v>
      </c>
      <c r="AF61" s="363">
        <f>[6]東京事務!$L$61</f>
        <v>152</v>
      </c>
      <c r="AG61" s="82">
        <f t="shared" si="50"/>
        <v>1.0049872512176952E-7</v>
      </c>
      <c r="AH61" s="389">
        <f>[6]東京工場!$I$61</f>
        <v>0</v>
      </c>
      <c r="AI61" s="172">
        <f t="shared" si="25"/>
        <v>0</v>
      </c>
      <c r="AJ61" s="363">
        <f>[6]東京工場!$L$61</f>
        <v>0</v>
      </c>
      <c r="AK61" s="100">
        <f t="shared" si="36"/>
        <v>0</v>
      </c>
      <c r="AL61" s="548">
        <f t="shared" si="26"/>
        <v>3</v>
      </c>
      <c r="AM61" s="315">
        <f t="shared" si="51"/>
        <v>1.1347725863348317E-8</v>
      </c>
      <c r="AN61" s="479">
        <f t="shared" si="27"/>
        <v>152</v>
      </c>
      <c r="AO61" s="127">
        <f t="shared" si="52"/>
        <v>9.6624540549515079E-8</v>
      </c>
      <c r="AP61" s="528">
        <f t="shared" si="28"/>
        <v>12</v>
      </c>
      <c r="AQ61" s="286">
        <f t="shared" si="53"/>
        <v>1.4723313782122268E-8</v>
      </c>
      <c r="AR61" s="488">
        <f t="shared" si="29"/>
        <v>202203</v>
      </c>
      <c r="AS61" s="287">
        <f t="shared" si="54"/>
        <v>4.0945093463539739E-5</v>
      </c>
      <c r="AT61" s="585">
        <f>[6]全社合計!$G$61</f>
        <v>5829</v>
      </c>
      <c r="AU61" s="128">
        <f t="shared" si="30"/>
        <v>6.0952601576608628E-6</v>
      </c>
      <c r="AV61" s="579">
        <f>[6]全社合計!$N$61</f>
        <v>1505131</v>
      </c>
      <c r="AW61" s="129">
        <f t="shared" si="31"/>
        <v>2.6907412138670793E-4</v>
      </c>
      <c r="AX61" s="585">
        <f t="shared" si="32"/>
        <v>-5817</v>
      </c>
      <c r="AY61" s="128">
        <f>IF(ISERROR(AP61/AT61),"",AP61/AT61)</f>
        <v>2.0586721564590841E-3</v>
      </c>
      <c r="AZ61" s="579">
        <f t="shared" si="34"/>
        <v>-1302928</v>
      </c>
      <c r="BA61" s="129">
        <f t="shared" si="35"/>
        <v>0.13434245922780144</v>
      </c>
      <c r="BB61" s="14"/>
    </row>
    <row r="62" spans="1:54" ht="15.95" customHeight="1">
      <c r="A62" s="62" t="s">
        <v>49</v>
      </c>
      <c r="B62" s="708">
        <f>SUM(B55:B61)</f>
        <v>979364</v>
      </c>
      <c r="C62" s="141" t="str">
        <f t="shared" si="38"/>
        <v/>
      </c>
      <c r="D62" s="401">
        <f>SUM(D55:D61)</f>
        <v>6603741</v>
      </c>
      <c r="E62" s="139" t="str">
        <f t="shared" si="39"/>
        <v/>
      </c>
      <c r="F62" s="466">
        <f>SUM(F55:F61)</f>
        <v>294275</v>
      </c>
      <c r="G62" s="64">
        <f t="shared" si="40"/>
        <v>5.7117861567510583E-4</v>
      </c>
      <c r="H62" s="401">
        <f>SUM(H55:H61)</f>
        <v>1679214</v>
      </c>
      <c r="I62" s="141">
        <f t="shared" si="19"/>
        <v>5.3353625402602757E-4</v>
      </c>
      <c r="J62" s="747">
        <f>SUM(J55:J61)</f>
        <v>0</v>
      </c>
      <c r="K62" s="64">
        <f t="shared" si="20"/>
        <v>0</v>
      </c>
      <c r="L62" s="401">
        <f>SUM(L55:L61)</f>
        <v>0</v>
      </c>
      <c r="M62" s="141">
        <f t="shared" si="37"/>
        <v>0</v>
      </c>
      <c r="N62" s="405">
        <f>SUM(N55:N61)</f>
        <v>1</v>
      </c>
      <c r="O62" s="64">
        <f t="shared" si="41"/>
        <v>3.8161263623237202E-8</v>
      </c>
      <c r="P62" s="401">
        <f>SUM(P55:P61)</f>
        <v>5</v>
      </c>
      <c r="Q62" s="177">
        <f t="shared" si="42"/>
        <v>3.0715067535614765E-8</v>
      </c>
      <c r="R62" s="442">
        <f>SUM(R55:R61)</f>
        <v>0</v>
      </c>
      <c r="S62" s="64" t="str">
        <f t="shared" si="43"/>
        <v/>
      </c>
      <c r="T62" s="401">
        <f>SUM(T55:T61)</f>
        <v>0</v>
      </c>
      <c r="U62" s="209" t="str">
        <f t="shared" si="44"/>
        <v/>
      </c>
      <c r="V62" s="458">
        <f t="shared" si="21"/>
        <v>1</v>
      </c>
      <c r="W62" s="177">
        <f t="shared" si="45"/>
        <v>3.8161263623237202E-8</v>
      </c>
      <c r="X62" s="428">
        <f t="shared" si="22"/>
        <v>5</v>
      </c>
      <c r="Y62" s="230">
        <f t="shared" si="46"/>
        <v>3.0715067535614765E-8</v>
      </c>
      <c r="Z62" s="458">
        <f t="shared" si="23"/>
        <v>294276</v>
      </c>
      <c r="AA62" s="194">
        <f t="shared" si="47"/>
        <v>5.3440233752517568E-4</v>
      </c>
      <c r="AB62" s="428">
        <f t="shared" si="24"/>
        <v>1679219</v>
      </c>
      <c r="AC62" s="140">
        <f t="shared" si="48"/>
        <v>4.9898128160147761E-4</v>
      </c>
      <c r="AD62" s="466">
        <f>SUM(AD55:AD61)</f>
        <v>3</v>
      </c>
      <c r="AE62" s="64">
        <f t="shared" si="49"/>
        <v>1.1750627570662762E-8</v>
      </c>
      <c r="AF62" s="401">
        <f>SUM(AF55:AF61)</f>
        <v>152</v>
      </c>
      <c r="AG62" s="85">
        <f t="shared" si="50"/>
        <v>1.0049872512176952E-7</v>
      </c>
      <c r="AH62" s="390">
        <f>SUM(AH55:AH61)</f>
        <v>0</v>
      </c>
      <c r="AI62" s="177">
        <f t="shared" si="25"/>
        <v>0</v>
      </c>
      <c r="AJ62" s="401">
        <f>SUM(AJ55:AJ61)</f>
        <v>0</v>
      </c>
      <c r="AK62" s="105">
        <f t="shared" si="36"/>
        <v>0</v>
      </c>
      <c r="AL62" s="549">
        <f t="shared" si="26"/>
        <v>3</v>
      </c>
      <c r="AM62" s="319">
        <f t="shared" si="51"/>
        <v>1.1347725863348317E-8</v>
      </c>
      <c r="AN62" s="480">
        <f t="shared" si="27"/>
        <v>152</v>
      </c>
      <c r="AO62" s="140">
        <f t="shared" si="52"/>
        <v>9.6624540549515079E-8</v>
      </c>
      <c r="AP62" s="529">
        <f t="shared" si="28"/>
        <v>1273643</v>
      </c>
      <c r="AQ62" s="141">
        <f t="shared" si="53"/>
        <v>1.5626871279502959E-3</v>
      </c>
      <c r="AR62" s="428">
        <f t="shared" si="29"/>
        <v>8283112</v>
      </c>
      <c r="AS62" s="140">
        <f t="shared" si="54"/>
        <v>1.6772886406678812E-3</v>
      </c>
      <c r="AT62" s="529">
        <f>SUM(AT55:AT61)</f>
        <v>1423067</v>
      </c>
      <c r="AU62" s="141">
        <f t="shared" si="30"/>
        <v>1.4880706101873342E-3</v>
      </c>
      <c r="AV62" s="410">
        <f>SUM(AV55:AV61)</f>
        <v>9941511</v>
      </c>
      <c r="AW62" s="140">
        <f t="shared" si="31"/>
        <v>1.7772561574914691E-3</v>
      </c>
      <c r="AX62" s="529">
        <f t="shared" si="32"/>
        <v>-149424</v>
      </c>
      <c r="AY62" s="141">
        <f t="shared" si="33"/>
        <v>0.89499861917956081</v>
      </c>
      <c r="AZ62" s="410">
        <f t="shared" si="34"/>
        <v>-1658399</v>
      </c>
      <c r="BA62" s="140">
        <f t="shared" si="35"/>
        <v>0.83318441230915496</v>
      </c>
      <c r="BB62" s="11"/>
    </row>
    <row r="63" spans="1:54" ht="15.95" customHeight="1">
      <c r="A63" s="38" t="s">
        <v>59</v>
      </c>
      <c r="B63" s="712">
        <f>[6]本部!$I$63</f>
        <v>-8010657</v>
      </c>
      <c r="C63" s="221" t="str">
        <f t="shared" si="38"/>
        <v/>
      </c>
      <c r="D63" s="732">
        <f>[6]本部!$L$63</f>
        <v>-48658982</v>
      </c>
      <c r="E63" s="142" t="str">
        <f t="shared" si="39"/>
        <v/>
      </c>
      <c r="F63" s="365">
        <f>[6]本社営業!$I$63</f>
        <v>3869147</v>
      </c>
      <c r="G63" s="15">
        <f t="shared" si="40"/>
        <v>7.5098938995955787E-3</v>
      </c>
      <c r="H63" s="367">
        <f>[6]本社営業!$L$63</f>
        <v>23801858</v>
      </c>
      <c r="I63" s="144">
        <f t="shared" si="19"/>
        <v>7.5625585280848289E-3</v>
      </c>
      <c r="J63" s="751">
        <f>[6]東大阪!$I$63</f>
        <v>520693</v>
      </c>
      <c r="K63" s="15">
        <f t="shared" si="20"/>
        <v>5.6275542247050898E-2</v>
      </c>
      <c r="L63" s="367">
        <f>[6]東大阪!$L$63</f>
        <v>2996239</v>
      </c>
      <c r="M63" s="144">
        <f t="shared" si="37"/>
        <v>5.4300098832432586E-2</v>
      </c>
      <c r="N63" s="413">
        <f>[6]南港工場!$I$63</f>
        <v>1201599</v>
      </c>
      <c r="O63" s="15">
        <f t="shared" si="41"/>
        <v>4.5854536208418201E-2</v>
      </c>
      <c r="P63" s="367">
        <f>[6]南港工場!$L$63</f>
        <v>7204252</v>
      </c>
      <c r="Q63" s="178">
        <f t="shared" si="42"/>
        <v>4.4255817344717549E-2</v>
      </c>
      <c r="R63" s="447">
        <f>[6]南港事務!$I$63</f>
        <v>232309</v>
      </c>
      <c r="S63" s="15" t="str">
        <f t="shared" si="43"/>
        <v/>
      </c>
      <c r="T63" s="367">
        <f>[6]南港事務!$L$63</f>
        <v>1410919</v>
      </c>
      <c r="U63" s="210" t="str">
        <f t="shared" si="44"/>
        <v/>
      </c>
      <c r="V63" s="491">
        <f t="shared" si="21"/>
        <v>1433908</v>
      </c>
      <c r="W63" s="178">
        <f t="shared" si="45"/>
        <v>5.4719741199468812E-2</v>
      </c>
      <c r="X63" s="431">
        <f t="shared" si="22"/>
        <v>8615171</v>
      </c>
      <c r="Y63" s="231">
        <f t="shared" si="46"/>
        <v>5.292311181917396E-2</v>
      </c>
      <c r="Z63" s="570">
        <f t="shared" si="23"/>
        <v>5823748</v>
      </c>
      <c r="AA63" s="195">
        <f t="shared" si="47"/>
        <v>1.0575869402729298E-2</v>
      </c>
      <c r="AB63" s="567">
        <f t="shared" si="24"/>
        <v>35413268</v>
      </c>
      <c r="AC63" s="143">
        <f t="shared" si="48"/>
        <v>1.0523081177819329E-2</v>
      </c>
      <c r="AD63" s="365">
        <f>[6]東京事務!$I$63</f>
        <v>1610142</v>
      </c>
      <c r="AE63" s="15">
        <f t="shared" si="49"/>
        <v>6.3067263259606928E-3</v>
      </c>
      <c r="AF63" s="367">
        <f>[6]東京事務!$L$63</f>
        <v>9622479</v>
      </c>
      <c r="AG63" s="86">
        <f t="shared" si="50"/>
        <v>6.3621504737565769E-3</v>
      </c>
      <c r="AH63" s="393">
        <f>[6]東京工場!$I$63</f>
        <v>576767</v>
      </c>
      <c r="AI63" s="178">
        <f t="shared" si="25"/>
        <v>6.3628244172574788E-2</v>
      </c>
      <c r="AJ63" s="367">
        <f>[6]東京工場!$L$63</f>
        <v>3623235</v>
      </c>
      <c r="AK63" s="106">
        <f t="shared" si="36"/>
        <v>5.9747618878712994E-2</v>
      </c>
      <c r="AL63" s="551">
        <f t="shared" si="26"/>
        <v>2186909</v>
      </c>
      <c r="AM63" s="320">
        <f t="shared" si="51"/>
        <v>8.2721479400297351E-3</v>
      </c>
      <c r="AN63" s="538">
        <f t="shared" si="27"/>
        <v>13245714</v>
      </c>
      <c r="AO63" s="143">
        <f t="shared" si="52"/>
        <v>8.420138351975524E-3</v>
      </c>
      <c r="AP63" s="531">
        <f t="shared" si="28"/>
        <v>0</v>
      </c>
      <c r="AQ63" s="288">
        <f t="shared" si="53"/>
        <v>0</v>
      </c>
      <c r="AR63" s="518">
        <f t="shared" si="29"/>
        <v>0</v>
      </c>
      <c r="AS63" s="289">
        <f t="shared" si="54"/>
        <v>0</v>
      </c>
      <c r="AT63" s="588">
        <f>[6]全社合計!$G$63</f>
        <v>0</v>
      </c>
      <c r="AU63" s="144">
        <f t="shared" si="30"/>
        <v>0</v>
      </c>
      <c r="AV63" s="598">
        <f>[6]全社合計!$N$63</f>
        <v>0</v>
      </c>
      <c r="AW63" s="145">
        <f t="shared" si="31"/>
        <v>0</v>
      </c>
      <c r="AX63" s="588">
        <f t="shared" si="32"/>
        <v>0</v>
      </c>
      <c r="AY63" s="144" t="str">
        <f t="shared" si="33"/>
        <v/>
      </c>
      <c r="AZ63" s="598">
        <f t="shared" si="34"/>
        <v>0</v>
      </c>
      <c r="BA63" s="145" t="str">
        <f t="shared" si="35"/>
        <v/>
      </c>
      <c r="BB63" s="11"/>
    </row>
    <row r="64" spans="1:54" ht="19.899999999999999" customHeight="1">
      <c r="A64" s="57" t="s">
        <v>50</v>
      </c>
      <c r="B64" s="713">
        <f>+B48+B54-B62-B63</f>
        <v>0</v>
      </c>
      <c r="C64" s="146" t="str">
        <f t="shared" si="38"/>
        <v/>
      </c>
      <c r="D64" s="376">
        <f>D48+D54-D62-D63</f>
        <v>0</v>
      </c>
      <c r="E64" s="136" t="str">
        <f t="shared" si="39"/>
        <v/>
      </c>
      <c r="F64" s="375">
        <f>F48+F54-F62-F63</f>
        <v>37813218</v>
      </c>
      <c r="G64" s="56">
        <f t="shared" si="40"/>
        <v>7.3394279199595597E-2</v>
      </c>
      <c r="H64" s="376">
        <f>H48+H54-H62-H63</f>
        <v>281454858</v>
      </c>
      <c r="I64" s="146">
        <f t="shared" si="19"/>
        <v>8.9426583279288721E-2</v>
      </c>
      <c r="J64" s="374">
        <f>J48+J54-J62-J63</f>
        <v>2697985</v>
      </c>
      <c r="K64" s="56">
        <f t="shared" si="20"/>
        <v>0.29159325907859263</v>
      </c>
      <c r="L64" s="376">
        <f>L48+L54-L62-L63</f>
        <v>14221409</v>
      </c>
      <c r="M64" s="146">
        <f t="shared" si="37"/>
        <v>0.25773108027645536</v>
      </c>
      <c r="N64" s="412">
        <f>N48+N54-N62-N63</f>
        <v>-3130338</v>
      </c>
      <c r="O64" s="56">
        <f t="shared" si="41"/>
        <v>-0.1194576536478371</v>
      </c>
      <c r="P64" s="376">
        <f>P48+P54-P62-P63</f>
        <v>8686484</v>
      </c>
      <c r="Q64" s="176">
        <f t="shared" si="42"/>
        <v>5.3361188541407416E-2</v>
      </c>
      <c r="R64" s="443">
        <f>R48+R54-R62-R63</f>
        <v>-3969953</v>
      </c>
      <c r="S64" s="56" t="str">
        <f t="shared" si="43"/>
        <v/>
      </c>
      <c r="T64" s="376">
        <f>T48+T54-T62-T63</f>
        <v>-25399952</v>
      </c>
      <c r="U64" s="211" t="str">
        <f t="shared" si="44"/>
        <v/>
      </c>
      <c r="V64" s="490">
        <f t="shared" si="21"/>
        <v>-7100291</v>
      </c>
      <c r="W64" s="176">
        <f t="shared" si="45"/>
        <v>-0.2709560766526985</v>
      </c>
      <c r="X64" s="424">
        <f t="shared" si="22"/>
        <v>-16713468</v>
      </c>
      <c r="Y64" s="232">
        <f t="shared" si="46"/>
        <v>-0.10267105967486725</v>
      </c>
      <c r="Z64" s="490">
        <f t="shared" si="23"/>
        <v>33410912</v>
      </c>
      <c r="AA64" s="193">
        <f t="shared" si="47"/>
        <v>6.0673889381559973E-2</v>
      </c>
      <c r="AB64" s="424">
        <f t="shared" si="24"/>
        <v>278962799</v>
      </c>
      <c r="AC64" s="185">
        <f t="shared" si="48"/>
        <v>8.2894020949117062E-2</v>
      </c>
      <c r="AD64" s="375">
        <f>AD48+AD54-AD62-AD63</f>
        <v>9431149</v>
      </c>
      <c r="AE64" s="56">
        <f t="shared" si="49"/>
        <v>3.6940639820809508E-2</v>
      </c>
      <c r="AF64" s="376">
        <f>AF48+AF54-AF62-AF63</f>
        <v>48557984</v>
      </c>
      <c r="AG64" s="87">
        <f t="shared" si="50"/>
        <v>3.2105365042653176E-2</v>
      </c>
      <c r="AH64" s="392">
        <f>AH48+AH54-AH62-AH63</f>
        <v>1925110</v>
      </c>
      <c r="AI64" s="176">
        <f t="shared" si="25"/>
        <v>0.21237582791502541</v>
      </c>
      <c r="AJ64" s="376">
        <f>AJ48+AJ54-AJ62-AJ63</f>
        <v>13640286</v>
      </c>
      <c r="AK64" s="104">
        <f t="shared" si="36"/>
        <v>0.22493009957252139</v>
      </c>
      <c r="AL64" s="545">
        <f t="shared" si="26"/>
        <v>11356259</v>
      </c>
      <c r="AM64" s="321">
        <f t="shared" si="51"/>
        <v>4.2955904655060696E-2</v>
      </c>
      <c r="AN64" s="537">
        <f t="shared" si="27"/>
        <v>62198270</v>
      </c>
      <c r="AO64" s="137">
        <f t="shared" si="52"/>
        <v>3.9538679353451886E-2</v>
      </c>
      <c r="AP64" s="525">
        <f t="shared" si="28"/>
        <v>44767171</v>
      </c>
      <c r="AQ64" s="303">
        <f t="shared" si="53"/>
        <v>5.4926758814243692E-2</v>
      </c>
      <c r="AR64" s="517">
        <f t="shared" si="29"/>
        <v>341161069</v>
      </c>
      <c r="AS64" s="304">
        <f t="shared" si="54"/>
        <v>6.9083405569284981E-2</v>
      </c>
      <c r="AT64" s="582">
        <f>AT48+AT54-AT62-AT63</f>
        <v>68718140</v>
      </c>
      <c r="AU64" s="146">
        <f t="shared" si="30"/>
        <v>7.1857083693697241E-2</v>
      </c>
      <c r="AV64" s="597">
        <f>AV48+AV54-AV62-AV63</f>
        <v>433611588</v>
      </c>
      <c r="AW64" s="137">
        <f t="shared" si="31"/>
        <v>7.7517277276326915E-2</v>
      </c>
      <c r="AX64" s="582">
        <f t="shared" si="32"/>
        <v>-23950969</v>
      </c>
      <c r="AY64" s="146">
        <f t="shared" si="33"/>
        <v>0.65146074966522671</v>
      </c>
      <c r="AZ64" s="597">
        <f t="shared" si="34"/>
        <v>-92450519</v>
      </c>
      <c r="BA64" s="137">
        <f t="shared" si="35"/>
        <v>0.78678955646360627</v>
      </c>
      <c r="BB64" s="11"/>
    </row>
    <row r="65" spans="1:54" ht="15.95" customHeight="1">
      <c r="A65" s="39" t="s">
        <v>51</v>
      </c>
      <c r="B65" s="714">
        <f>[6]本部!$I$65</f>
        <v>0</v>
      </c>
      <c r="C65" s="261" t="str">
        <f t="shared" si="38"/>
        <v/>
      </c>
      <c r="D65" s="733">
        <f>[6]本部!$L$65</f>
        <v>0</v>
      </c>
      <c r="E65" s="142" t="str">
        <f t="shared" si="39"/>
        <v/>
      </c>
      <c r="F65" s="368">
        <f>[6]本社営業!$I$65</f>
        <v>0</v>
      </c>
      <c r="G65" s="15">
        <f t="shared" si="40"/>
        <v>0</v>
      </c>
      <c r="H65" s="370">
        <f>[6]本社営業!$L$65</f>
        <v>0</v>
      </c>
      <c r="I65" s="144">
        <f t="shared" si="19"/>
        <v>0</v>
      </c>
      <c r="J65" s="752">
        <f>[6]東大阪!$I$65</f>
        <v>0</v>
      </c>
      <c r="K65" s="15">
        <f t="shared" si="20"/>
        <v>0</v>
      </c>
      <c r="L65" s="370">
        <f>[6]東大阪!$L$65</f>
        <v>0</v>
      </c>
      <c r="M65" s="144">
        <f t="shared" si="37"/>
        <v>0</v>
      </c>
      <c r="N65" s="414">
        <f>[6]南港工場!$I$65</f>
        <v>0</v>
      </c>
      <c r="O65" s="15">
        <f t="shared" si="41"/>
        <v>0</v>
      </c>
      <c r="P65" s="370">
        <f>[6]南港工場!$L$65</f>
        <v>0</v>
      </c>
      <c r="Q65" s="178">
        <f t="shared" si="42"/>
        <v>0</v>
      </c>
      <c r="R65" s="448">
        <f>[6]南港事務!$I$65</f>
        <v>0</v>
      </c>
      <c r="S65" s="15" t="str">
        <f t="shared" si="43"/>
        <v/>
      </c>
      <c r="T65" s="370">
        <f>[6]南港事務!$L$65</f>
        <v>0</v>
      </c>
      <c r="U65" s="210" t="str">
        <f t="shared" si="44"/>
        <v/>
      </c>
      <c r="V65" s="492">
        <f t="shared" si="21"/>
        <v>0</v>
      </c>
      <c r="W65" s="178">
        <f t="shared" si="45"/>
        <v>0</v>
      </c>
      <c r="X65" s="432">
        <f t="shared" si="22"/>
        <v>0</v>
      </c>
      <c r="Y65" s="231">
        <f t="shared" si="46"/>
        <v>0</v>
      </c>
      <c r="Z65" s="571">
        <f t="shared" si="23"/>
        <v>0</v>
      </c>
      <c r="AA65" s="195">
        <f t="shared" si="47"/>
        <v>0</v>
      </c>
      <c r="AB65" s="568">
        <f t="shared" si="24"/>
        <v>0</v>
      </c>
      <c r="AC65" s="143">
        <f t="shared" si="48"/>
        <v>0</v>
      </c>
      <c r="AD65" s="368">
        <f>[6]東京事務!$I$65</f>
        <v>0</v>
      </c>
      <c r="AE65" s="15">
        <f t="shared" si="49"/>
        <v>0</v>
      </c>
      <c r="AF65" s="370">
        <f>[6]東京事務!$L$65</f>
        <v>0</v>
      </c>
      <c r="AG65" s="86">
        <f t="shared" si="50"/>
        <v>0</v>
      </c>
      <c r="AH65" s="394">
        <f>[6]東京工場!$I$65</f>
        <v>0</v>
      </c>
      <c r="AI65" s="178">
        <f t="shared" si="25"/>
        <v>0</v>
      </c>
      <c r="AJ65" s="370">
        <f>[6]東京工場!$L$65</f>
        <v>0</v>
      </c>
      <c r="AK65" s="106">
        <f t="shared" si="36"/>
        <v>0</v>
      </c>
      <c r="AL65" s="552">
        <f t="shared" si="26"/>
        <v>0</v>
      </c>
      <c r="AM65" s="320">
        <f t="shared" si="51"/>
        <v>0</v>
      </c>
      <c r="AN65" s="539">
        <f t="shared" si="27"/>
        <v>0</v>
      </c>
      <c r="AO65" s="143">
        <f t="shared" si="52"/>
        <v>0</v>
      </c>
      <c r="AP65" s="532">
        <f t="shared" si="28"/>
        <v>0</v>
      </c>
      <c r="AQ65" s="288">
        <f t="shared" si="53"/>
        <v>0</v>
      </c>
      <c r="AR65" s="519">
        <f t="shared" si="29"/>
        <v>0</v>
      </c>
      <c r="AS65" s="289">
        <f t="shared" si="54"/>
        <v>0</v>
      </c>
      <c r="AT65" s="589">
        <f>[6]全社合計!$G$65</f>
        <v>0</v>
      </c>
      <c r="AU65" s="144">
        <f t="shared" si="30"/>
        <v>0</v>
      </c>
      <c r="AV65" s="599">
        <f>[6]全社合計!$N$65</f>
        <v>0</v>
      </c>
      <c r="AW65" s="145">
        <f t="shared" si="31"/>
        <v>0</v>
      </c>
      <c r="AX65" s="589">
        <f t="shared" si="32"/>
        <v>0</v>
      </c>
      <c r="AY65" s="144" t="str">
        <f t="shared" si="33"/>
        <v/>
      </c>
      <c r="AZ65" s="599">
        <f t="shared" si="34"/>
        <v>0</v>
      </c>
      <c r="BA65" s="145" t="str">
        <f t="shared" si="35"/>
        <v/>
      </c>
      <c r="BB65" s="11"/>
    </row>
    <row r="66" spans="1:54" ht="15.95" customHeight="1">
      <c r="A66" s="40" t="s">
        <v>52</v>
      </c>
      <c r="B66" s="715">
        <f>[6]本部!$I$66</f>
        <v>0</v>
      </c>
      <c r="C66" s="262" t="str">
        <f t="shared" si="38"/>
        <v/>
      </c>
      <c r="D66" s="734">
        <f>[6]本部!$L$66</f>
        <v>0</v>
      </c>
      <c r="E66" s="147" t="str">
        <f t="shared" si="39"/>
        <v/>
      </c>
      <c r="F66" s="369">
        <f>[6]本社営業!$I$66</f>
        <v>0</v>
      </c>
      <c r="G66" s="16">
        <f t="shared" si="40"/>
        <v>0</v>
      </c>
      <c r="H66" s="371">
        <f>[6]本社営業!$L$66</f>
        <v>0</v>
      </c>
      <c r="I66" s="149">
        <f t="shared" si="19"/>
        <v>0</v>
      </c>
      <c r="J66" s="753">
        <f>[6]東大阪!$I$66</f>
        <v>0</v>
      </c>
      <c r="K66" s="16">
        <f>IF(ISERR(J66/$J$11),"",J66/$J$11)</f>
        <v>0</v>
      </c>
      <c r="L66" s="371">
        <f>[6]東大阪!$L$66</f>
        <v>0</v>
      </c>
      <c r="M66" s="149">
        <f t="shared" si="37"/>
        <v>0</v>
      </c>
      <c r="N66" s="415">
        <f>[6]南港工場!$I$66</f>
        <v>0</v>
      </c>
      <c r="O66" s="16">
        <f t="shared" si="41"/>
        <v>0</v>
      </c>
      <c r="P66" s="371">
        <f>[6]南港工場!$L$66</f>
        <v>0</v>
      </c>
      <c r="Q66" s="179">
        <f t="shared" si="42"/>
        <v>0</v>
      </c>
      <c r="R66" s="449">
        <f>[6]南港事務!$I$66</f>
        <v>0</v>
      </c>
      <c r="S66" s="16" t="str">
        <f t="shared" si="43"/>
        <v/>
      </c>
      <c r="T66" s="371">
        <f>[6]南港事務!$L$66</f>
        <v>0</v>
      </c>
      <c r="U66" s="212" t="str">
        <f t="shared" si="44"/>
        <v/>
      </c>
      <c r="V66" s="493">
        <f t="shared" si="21"/>
        <v>0</v>
      </c>
      <c r="W66" s="179">
        <f t="shared" si="45"/>
        <v>0</v>
      </c>
      <c r="X66" s="433">
        <f t="shared" si="22"/>
        <v>0</v>
      </c>
      <c r="Y66" s="233">
        <f t="shared" si="46"/>
        <v>0</v>
      </c>
      <c r="Z66" s="572">
        <f t="shared" si="23"/>
        <v>0</v>
      </c>
      <c r="AA66" s="196">
        <f t="shared" si="47"/>
        <v>0</v>
      </c>
      <c r="AB66" s="569">
        <f t="shared" si="24"/>
        <v>0</v>
      </c>
      <c r="AC66" s="148">
        <f t="shared" si="48"/>
        <v>0</v>
      </c>
      <c r="AD66" s="369">
        <f>[6]東京事務!$I$66</f>
        <v>0</v>
      </c>
      <c r="AE66" s="16">
        <f t="shared" si="49"/>
        <v>0</v>
      </c>
      <c r="AF66" s="371">
        <f>[6]東京事務!$L$66</f>
        <v>0</v>
      </c>
      <c r="AG66" s="88">
        <f t="shared" si="50"/>
        <v>0</v>
      </c>
      <c r="AH66" s="395">
        <f>[6]東京工場!$I$66</f>
        <v>0</v>
      </c>
      <c r="AI66" s="179">
        <f t="shared" si="25"/>
        <v>0</v>
      </c>
      <c r="AJ66" s="371">
        <f>[6]東京工場!$L$66</f>
        <v>0</v>
      </c>
      <c r="AK66" s="107">
        <f t="shared" si="36"/>
        <v>0</v>
      </c>
      <c r="AL66" s="553">
        <f t="shared" si="26"/>
        <v>0</v>
      </c>
      <c r="AM66" s="322">
        <f t="shared" si="51"/>
        <v>0</v>
      </c>
      <c r="AN66" s="540">
        <f t="shared" si="27"/>
        <v>0</v>
      </c>
      <c r="AO66" s="148">
        <f t="shared" si="52"/>
        <v>0</v>
      </c>
      <c r="AP66" s="533">
        <f t="shared" si="28"/>
        <v>0</v>
      </c>
      <c r="AQ66" s="290">
        <f t="shared" si="53"/>
        <v>0</v>
      </c>
      <c r="AR66" s="520">
        <f t="shared" si="29"/>
        <v>0</v>
      </c>
      <c r="AS66" s="291">
        <f t="shared" si="54"/>
        <v>0</v>
      </c>
      <c r="AT66" s="590">
        <f>[6]全社合計!$G$66</f>
        <v>0</v>
      </c>
      <c r="AU66" s="149">
        <f t="shared" si="30"/>
        <v>0</v>
      </c>
      <c r="AV66" s="600">
        <f>[6]全社合計!$N$66</f>
        <v>0</v>
      </c>
      <c r="AW66" s="150">
        <f t="shared" si="31"/>
        <v>0</v>
      </c>
      <c r="AX66" s="590">
        <f t="shared" si="32"/>
        <v>0</v>
      </c>
      <c r="AY66" s="149" t="str">
        <f t="shared" si="33"/>
        <v/>
      </c>
      <c r="AZ66" s="600">
        <f t="shared" si="34"/>
        <v>0</v>
      </c>
      <c r="BA66" s="150" t="str">
        <f t="shared" si="35"/>
        <v/>
      </c>
      <c r="BB66" s="11"/>
    </row>
    <row r="67" spans="1:54" ht="18" customHeight="1">
      <c r="A67" s="68" t="s">
        <v>60</v>
      </c>
      <c r="B67" s="716">
        <f>+B64+B65-B66</f>
        <v>0</v>
      </c>
      <c r="C67" s="152" t="str">
        <f t="shared" si="38"/>
        <v/>
      </c>
      <c r="D67" s="377">
        <f>D64+D65-D66</f>
        <v>0</v>
      </c>
      <c r="E67" s="218" t="str">
        <f t="shared" si="39"/>
        <v/>
      </c>
      <c r="F67" s="372">
        <f>F64+F65-F66</f>
        <v>37813218</v>
      </c>
      <c r="G67" s="69">
        <f t="shared" si="40"/>
        <v>7.3394279199595597E-2</v>
      </c>
      <c r="H67" s="377">
        <f>H64+H65-H66</f>
        <v>281454858</v>
      </c>
      <c r="I67" s="152">
        <f t="shared" si="19"/>
        <v>8.9426583279288721E-2</v>
      </c>
      <c r="J67" s="754">
        <f>J64+J65-J66</f>
        <v>2697985</v>
      </c>
      <c r="K67" s="69">
        <f>IF(ISERR(J67/$J$11),"",J67/$J$11)</f>
        <v>0.29159325907859263</v>
      </c>
      <c r="L67" s="377">
        <f>L64+L65-L66</f>
        <v>14221409</v>
      </c>
      <c r="M67" s="152">
        <f t="shared" si="37"/>
        <v>0.25773108027645536</v>
      </c>
      <c r="N67" s="416">
        <f>N64+N65-N66</f>
        <v>-3130338</v>
      </c>
      <c r="O67" s="69">
        <f t="shared" si="41"/>
        <v>-0.1194576536478371</v>
      </c>
      <c r="P67" s="377">
        <f>P64+P65-P66</f>
        <v>8686484</v>
      </c>
      <c r="Q67" s="180">
        <f t="shared" si="42"/>
        <v>5.3361188541407416E-2</v>
      </c>
      <c r="R67" s="450">
        <f>R64+R65-R66</f>
        <v>-3969953</v>
      </c>
      <c r="S67" s="69" t="str">
        <f t="shared" si="43"/>
        <v/>
      </c>
      <c r="T67" s="377">
        <f>T64+T65-T66</f>
        <v>-25399952</v>
      </c>
      <c r="U67" s="213" t="str">
        <f t="shared" si="44"/>
        <v/>
      </c>
      <c r="V67" s="494">
        <f t="shared" si="21"/>
        <v>-7100291</v>
      </c>
      <c r="W67" s="180">
        <f t="shared" si="45"/>
        <v>-0.2709560766526985</v>
      </c>
      <c r="X67" s="434">
        <f t="shared" si="22"/>
        <v>-16713468</v>
      </c>
      <c r="Y67" s="234">
        <f t="shared" si="46"/>
        <v>-0.10267105967486725</v>
      </c>
      <c r="Z67" s="494">
        <f t="shared" si="23"/>
        <v>33410912</v>
      </c>
      <c r="AA67" s="197">
        <f t="shared" si="47"/>
        <v>6.0673889381559973E-2</v>
      </c>
      <c r="AB67" s="434">
        <f t="shared" si="24"/>
        <v>278962799</v>
      </c>
      <c r="AC67" s="186">
        <f t="shared" si="48"/>
        <v>8.2894020949117062E-2</v>
      </c>
      <c r="AD67" s="372">
        <f>AD64+AD65-AD66</f>
        <v>9431149</v>
      </c>
      <c r="AE67" s="69">
        <f t="shared" si="49"/>
        <v>3.6940639820809508E-2</v>
      </c>
      <c r="AF67" s="377">
        <f>AF64+AF65-AF66</f>
        <v>48557984</v>
      </c>
      <c r="AG67" s="89">
        <f t="shared" si="50"/>
        <v>3.2105365042653176E-2</v>
      </c>
      <c r="AH67" s="396">
        <f>AH64+AH65-AH66</f>
        <v>1925110</v>
      </c>
      <c r="AI67" s="180">
        <f t="shared" si="25"/>
        <v>0.21237582791502541</v>
      </c>
      <c r="AJ67" s="377">
        <f>AJ64+AJ65-AJ66</f>
        <v>13640286</v>
      </c>
      <c r="AK67" s="108">
        <f t="shared" si="36"/>
        <v>0.22493009957252139</v>
      </c>
      <c r="AL67" s="554">
        <f t="shared" si="26"/>
        <v>11356259</v>
      </c>
      <c r="AM67" s="323">
        <f t="shared" si="51"/>
        <v>4.2955904655060696E-2</v>
      </c>
      <c r="AN67" s="541">
        <f t="shared" si="27"/>
        <v>62198270</v>
      </c>
      <c r="AO67" s="151">
        <f t="shared" si="52"/>
        <v>3.9538679353451886E-2</v>
      </c>
      <c r="AP67" s="534">
        <f t="shared" si="28"/>
        <v>44767171</v>
      </c>
      <c r="AQ67" s="152">
        <f t="shared" si="53"/>
        <v>5.4926758814243692E-2</v>
      </c>
      <c r="AR67" s="521">
        <f t="shared" si="29"/>
        <v>341161069</v>
      </c>
      <c r="AS67" s="151">
        <f t="shared" si="54"/>
        <v>6.9083405569284981E-2</v>
      </c>
      <c r="AT67" s="534">
        <f>AT64+AT65-AT66</f>
        <v>68718140</v>
      </c>
      <c r="AU67" s="152">
        <f t="shared" si="30"/>
        <v>7.1857083693697241E-2</v>
      </c>
      <c r="AV67" s="601">
        <f>AV64+AV65-AV66</f>
        <v>433611588</v>
      </c>
      <c r="AW67" s="151">
        <f t="shared" si="31"/>
        <v>7.7517277276326915E-2</v>
      </c>
      <c r="AX67" s="534">
        <f t="shared" si="32"/>
        <v>-23950969</v>
      </c>
      <c r="AY67" s="152">
        <f t="shared" si="33"/>
        <v>0.65146074966522671</v>
      </c>
      <c r="AZ67" s="601">
        <f t="shared" si="34"/>
        <v>-92450519</v>
      </c>
      <c r="BA67" s="151">
        <f t="shared" si="35"/>
        <v>0.78678955646360627</v>
      </c>
      <c r="BB67" s="11"/>
    </row>
    <row r="68" spans="1:54" ht="18" customHeight="1">
      <c r="A68" s="70" t="s">
        <v>61</v>
      </c>
      <c r="B68" s="717"/>
      <c r="C68" s="155" t="str">
        <f t="shared" si="38"/>
        <v/>
      </c>
      <c r="D68" s="378"/>
      <c r="E68" s="153" t="str">
        <f t="shared" si="39"/>
        <v/>
      </c>
      <c r="F68" s="373"/>
      <c r="G68" s="71">
        <f t="shared" si="40"/>
        <v>0</v>
      </c>
      <c r="H68" s="378"/>
      <c r="I68" s="155">
        <f t="shared" si="19"/>
        <v>0</v>
      </c>
      <c r="J68" s="755"/>
      <c r="K68" s="71">
        <f t="shared" si="20"/>
        <v>0</v>
      </c>
      <c r="L68" s="378"/>
      <c r="M68" s="155">
        <f t="shared" si="37"/>
        <v>0</v>
      </c>
      <c r="N68" s="417"/>
      <c r="O68" s="71">
        <f t="shared" si="41"/>
        <v>0</v>
      </c>
      <c r="P68" s="378"/>
      <c r="Q68" s="181">
        <f t="shared" si="42"/>
        <v>0</v>
      </c>
      <c r="R68" s="451"/>
      <c r="S68" s="71" t="str">
        <f t="shared" si="43"/>
        <v/>
      </c>
      <c r="T68" s="378"/>
      <c r="U68" s="214" t="str">
        <f t="shared" si="44"/>
        <v/>
      </c>
      <c r="V68" s="495">
        <f t="shared" si="21"/>
        <v>0</v>
      </c>
      <c r="W68" s="181">
        <f t="shared" si="45"/>
        <v>0</v>
      </c>
      <c r="X68" s="435">
        <f t="shared" si="22"/>
        <v>0</v>
      </c>
      <c r="Y68" s="235">
        <f t="shared" si="46"/>
        <v>0</v>
      </c>
      <c r="Z68" s="495">
        <f t="shared" si="23"/>
        <v>0</v>
      </c>
      <c r="AA68" s="198">
        <f t="shared" si="47"/>
        <v>0</v>
      </c>
      <c r="AB68" s="435">
        <f t="shared" si="24"/>
        <v>0</v>
      </c>
      <c r="AC68" s="154">
        <f t="shared" si="48"/>
        <v>0</v>
      </c>
      <c r="AD68" s="373"/>
      <c r="AE68" s="71">
        <f t="shared" si="49"/>
        <v>0</v>
      </c>
      <c r="AF68" s="378"/>
      <c r="AG68" s="90">
        <f t="shared" si="50"/>
        <v>0</v>
      </c>
      <c r="AH68" s="561"/>
      <c r="AI68" s="181">
        <f t="shared" si="25"/>
        <v>0</v>
      </c>
      <c r="AJ68" s="378"/>
      <c r="AK68" s="109">
        <f t="shared" si="36"/>
        <v>0</v>
      </c>
      <c r="AL68" s="555">
        <f t="shared" si="26"/>
        <v>0</v>
      </c>
      <c r="AM68" s="324"/>
      <c r="AN68" s="542">
        <f t="shared" si="27"/>
        <v>0</v>
      </c>
      <c r="AO68" s="154">
        <f t="shared" si="52"/>
        <v>0</v>
      </c>
      <c r="AP68" s="535">
        <f t="shared" si="28"/>
        <v>0</v>
      </c>
      <c r="AQ68" s="293">
        <f t="shared" si="53"/>
        <v>0</v>
      </c>
      <c r="AR68" s="522">
        <f t="shared" si="29"/>
        <v>0</v>
      </c>
      <c r="AS68" s="292">
        <f t="shared" si="54"/>
        <v>0</v>
      </c>
      <c r="AT68" s="591"/>
      <c r="AU68" s="155">
        <f t="shared" si="30"/>
        <v>0</v>
      </c>
      <c r="AV68" s="602"/>
      <c r="AW68" s="154">
        <f t="shared" si="31"/>
        <v>0</v>
      </c>
      <c r="AX68" s="591">
        <f t="shared" si="32"/>
        <v>0</v>
      </c>
      <c r="AY68" s="155" t="str">
        <f t="shared" si="33"/>
        <v/>
      </c>
      <c r="AZ68" s="602">
        <f t="shared" si="34"/>
        <v>0</v>
      </c>
      <c r="BA68" s="154" t="str">
        <f t="shared" si="35"/>
        <v/>
      </c>
      <c r="BB68" s="11"/>
    </row>
    <row r="69" spans="1:54" ht="18" customHeight="1">
      <c r="A69" s="58" t="s">
        <v>62</v>
      </c>
      <c r="B69" s="718">
        <f>+B67-B68</f>
        <v>0</v>
      </c>
      <c r="C69" s="157" t="str">
        <f t="shared" si="38"/>
        <v/>
      </c>
      <c r="D69" s="376">
        <f>D67-D68</f>
        <v>0</v>
      </c>
      <c r="E69" s="219" t="str">
        <f t="shared" si="39"/>
        <v/>
      </c>
      <c r="F69" s="374">
        <f>F67-F68</f>
        <v>37813218</v>
      </c>
      <c r="G69" s="59">
        <f t="shared" si="40"/>
        <v>7.3394279199595597E-2</v>
      </c>
      <c r="H69" s="376">
        <f>H67-H68</f>
        <v>281454858</v>
      </c>
      <c r="I69" s="157">
        <f t="shared" si="19"/>
        <v>8.9426583279288721E-2</v>
      </c>
      <c r="J69" s="374">
        <f>J67-J68</f>
        <v>2697985</v>
      </c>
      <c r="K69" s="59">
        <f t="shared" si="20"/>
        <v>0.29159325907859263</v>
      </c>
      <c r="L69" s="376">
        <f>L67-L68</f>
        <v>14221409</v>
      </c>
      <c r="M69" s="157">
        <f t="shared" si="37"/>
        <v>0.25773108027645536</v>
      </c>
      <c r="N69" s="418">
        <f>N67-N68</f>
        <v>-3130338</v>
      </c>
      <c r="O69" s="59">
        <f t="shared" si="41"/>
        <v>-0.1194576536478371</v>
      </c>
      <c r="P69" s="376">
        <f>P67-P68</f>
        <v>8686484</v>
      </c>
      <c r="Q69" s="182">
        <f t="shared" si="42"/>
        <v>5.3361188541407416E-2</v>
      </c>
      <c r="R69" s="443">
        <f>R67-R68</f>
        <v>-3969953</v>
      </c>
      <c r="S69" s="59" t="str">
        <f t="shared" si="43"/>
        <v/>
      </c>
      <c r="T69" s="376">
        <f>T67-T68</f>
        <v>-25399952</v>
      </c>
      <c r="U69" s="215" t="str">
        <f t="shared" si="44"/>
        <v/>
      </c>
      <c r="V69" s="496">
        <f t="shared" si="21"/>
        <v>-7100291</v>
      </c>
      <c r="W69" s="182">
        <f t="shared" si="45"/>
        <v>-0.2709560766526985</v>
      </c>
      <c r="X69" s="424">
        <f t="shared" si="22"/>
        <v>-16713468</v>
      </c>
      <c r="Y69" s="236">
        <f t="shared" si="46"/>
        <v>-0.10267105967486725</v>
      </c>
      <c r="Z69" s="490">
        <f t="shared" si="23"/>
        <v>33410912</v>
      </c>
      <c r="AA69" s="199">
        <f t="shared" si="47"/>
        <v>6.0673889381559973E-2</v>
      </c>
      <c r="AB69" s="424">
        <f t="shared" si="24"/>
        <v>278962799</v>
      </c>
      <c r="AC69" s="187">
        <f t="shared" si="48"/>
        <v>8.2894020949117062E-2</v>
      </c>
      <c r="AD69" s="374">
        <f>AD67-AD68</f>
        <v>9431149</v>
      </c>
      <c r="AE69" s="59">
        <f t="shared" si="49"/>
        <v>3.6940639820809508E-2</v>
      </c>
      <c r="AF69" s="376">
        <f>AF67-AF68</f>
        <v>48557984</v>
      </c>
      <c r="AG69" s="91">
        <f t="shared" si="50"/>
        <v>3.2105365042653176E-2</v>
      </c>
      <c r="AH69" s="398">
        <f>+AH67-AH68</f>
        <v>1925110</v>
      </c>
      <c r="AI69" s="182">
        <f t="shared" si="25"/>
        <v>0.21237582791502541</v>
      </c>
      <c r="AJ69" s="376">
        <f>AJ67-AJ68</f>
        <v>13640286</v>
      </c>
      <c r="AK69" s="110">
        <f t="shared" si="36"/>
        <v>0.22493009957252139</v>
      </c>
      <c r="AL69" s="545">
        <f t="shared" si="26"/>
        <v>11356259</v>
      </c>
      <c r="AM69" s="325"/>
      <c r="AN69" s="543">
        <f t="shared" si="27"/>
        <v>62198270</v>
      </c>
      <c r="AO69" s="156">
        <f t="shared" si="52"/>
        <v>3.9538679353451886E-2</v>
      </c>
      <c r="AP69" s="525">
        <f t="shared" si="28"/>
        <v>44767171</v>
      </c>
      <c r="AQ69" s="152">
        <f t="shared" si="53"/>
        <v>5.4926758814243692E-2</v>
      </c>
      <c r="AR69" s="523">
        <f t="shared" si="29"/>
        <v>341161069</v>
      </c>
      <c r="AS69" s="151">
        <f t="shared" si="54"/>
        <v>6.9083405569284981E-2</v>
      </c>
      <c r="AT69" s="582">
        <f>AT67-AT68</f>
        <v>68718140</v>
      </c>
      <c r="AU69" s="157">
        <f t="shared" si="30"/>
        <v>7.1857083693697241E-2</v>
      </c>
      <c r="AV69" s="603">
        <f>AV67-AV68</f>
        <v>433611588</v>
      </c>
      <c r="AW69" s="156">
        <f t="shared" si="31"/>
        <v>7.7517277276326915E-2</v>
      </c>
      <c r="AX69" s="582">
        <f t="shared" si="32"/>
        <v>-23950969</v>
      </c>
      <c r="AY69" s="157">
        <f t="shared" si="33"/>
        <v>0.65146074966522671</v>
      </c>
      <c r="AZ69" s="603">
        <f t="shared" si="34"/>
        <v>-92450519</v>
      </c>
      <c r="BA69" s="156">
        <f t="shared" si="35"/>
        <v>0.78678955646360627</v>
      </c>
      <c r="BB69" s="11"/>
    </row>
    <row r="70" spans="1:54" ht="15.95" customHeight="1" thickBot="1">
      <c r="A70" s="41" t="s">
        <v>84</v>
      </c>
      <c r="B70" s="263">
        <f>[6]本部!$I$68</f>
        <v>6</v>
      </c>
      <c r="C70" s="264"/>
      <c r="D70" s="248">
        <f>[6]本部!$L$68</f>
        <v>6</v>
      </c>
      <c r="E70" s="46"/>
      <c r="F70" s="28">
        <f>[6]本社営業!$I$68</f>
        <v>19</v>
      </c>
      <c r="G70" s="19"/>
      <c r="H70" s="249">
        <f>[6]本社営業!$L$68</f>
        <v>19</v>
      </c>
      <c r="I70" s="20"/>
      <c r="J70" s="756">
        <f>[6]東大阪!$I$68</f>
        <v>15</v>
      </c>
      <c r="K70" s="19"/>
      <c r="L70" s="249">
        <f>J70</f>
        <v>15</v>
      </c>
      <c r="M70" s="20"/>
      <c r="N70" s="237">
        <f>[6]南港工場!$I$68</f>
        <v>17</v>
      </c>
      <c r="O70" s="19"/>
      <c r="P70" s="249">
        <f>N70</f>
        <v>17</v>
      </c>
      <c r="Q70" s="246"/>
      <c r="R70" s="247">
        <f>[6]南港事務!$I$68</f>
        <v>6</v>
      </c>
      <c r="S70" s="19"/>
      <c r="T70" s="249">
        <f>R70</f>
        <v>6</v>
      </c>
      <c r="U70" s="73"/>
      <c r="V70" s="18">
        <f t="shared" si="21"/>
        <v>23</v>
      </c>
      <c r="W70" s="19"/>
      <c r="X70" s="250">
        <f t="shared" si="22"/>
        <v>23</v>
      </c>
      <c r="Y70" s="238"/>
      <c r="Z70" s="53">
        <f t="shared" si="23"/>
        <v>57</v>
      </c>
      <c r="AA70" s="75"/>
      <c r="AB70" s="251">
        <f t="shared" si="24"/>
        <v>57</v>
      </c>
      <c r="AC70" s="333"/>
      <c r="AD70" s="28">
        <f>[6]東京事務!$I$68</f>
        <v>8</v>
      </c>
      <c r="AE70" s="19"/>
      <c r="AF70" s="249">
        <f>AD70</f>
        <v>8</v>
      </c>
      <c r="AG70" s="32"/>
      <c r="AH70" s="31">
        <f>[6]東京工場!$I$68</f>
        <v>11</v>
      </c>
      <c r="AI70" s="19"/>
      <c r="AJ70" s="249">
        <f>AH70</f>
        <v>11</v>
      </c>
      <c r="AK70" s="45"/>
      <c r="AL70" s="48">
        <f t="shared" si="26"/>
        <v>19</v>
      </c>
      <c r="AM70" s="326"/>
      <c r="AN70" s="252">
        <f t="shared" si="27"/>
        <v>19</v>
      </c>
      <c r="AO70" s="54"/>
      <c r="AP70" s="294">
        <f t="shared" si="28"/>
        <v>82</v>
      </c>
      <c r="AQ70" s="295"/>
      <c r="AR70" s="296">
        <f t="shared" si="29"/>
        <v>82</v>
      </c>
      <c r="AS70" s="297"/>
      <c r="AT70" s="17">
        <f>[6]全社合計!$G$68</f>
        <v>81</v>
      </c>
      <c r="AU70" s="20"/>
      <c r="AV70" s="257">
        <f>[6]全社合計!$N$68</f>
        <v>81</v>
      </c>
      <c r="AW70" s="34"/>
      <c r="AX70" s="17">
        <f t="shared" si="32"/>
        <v>1</v>
      </c>
      <c r="AY70" s="311"/>
      <c r="AZ70" s="257">
        <f t="shared" si="34"/>
        <v>1</v>
      </c>
      <c r="BA70" s="34"/>
      <c r="BB70" s="11"/>
    </row>
    <row r="71" spans="1:54" ht="16.149999999999999" customHeight="1" thickTop="1">
      <c r="A71" s="42" t="s">
        <v>63</v>
      </c>
      <c r="B71" s="705">
        <f>[6]本部!$I$71</f>
        <v>850000</v>
      </c>
      <c r="C71" s="265" t="str">
        <f t="shared" ref="C71:C79" si="55">IF(ISERR(B71/$B$11),"",B71/$B$11)</f>
        <v/>
      </c>
      <c r="D71" s="725">
        <f>[6]本部!$L$71</f>
        <v>5100000</v>
      </c>
      <c r="E71" s="158" t="str">
        <f t="shared" ref="E71:E76" si="56">IF(ISERR(D72/$D$11),"",D72/$D$11)</f>
        <v/>
      </c>
      <c r="F71" s="379">
        <f>[6]本社営業!$I$71</f>
        <v>2050000</v>
      </c>
      <c r="G71" s="307">
        <f t="shared" ref="G71:G78" si="57">IF(ISERR(F71/$F$11),"",F71/$F$11)</f>
        <v>3.9789861936418893E-3</v>
      </c>
      <c r="H71" s="360">
        <f>[6]本社営業!$L$71</f>
        <v>12300000</v>
      </c>
      <c r="I71" s="160">
        <f t="shared" si="19"/>
        <v>3.9080759953884015E-3</v>
      </c>
      <c r="J71" s="757">
        <f>[6]東大阪!$I$71</f>
        <v>750000</v>
      </c>
      <c r="K71" s="308">
        <f t="shared" si="20"/>
        <v>8.1058621270668457E-2</v>
      </c>
      <c r="L71" s="360">
        <f>[6]東大阪!$L$71</f>
        <v>2703000</v>
      </c>
      <c r="M71" s="160">
        <f t="shared" si="37"/>
        <v>4.8985800913767322E-2</v>
      </c>
      <c r="N71" s="419">
        <f>[6]南港工場!$I$71</f>
        <v>1550000</v>
      </c>
      <c r="O71" s="79">
        <f t="shared" ref="O71:O78" si="58">IF(ISERR(N71/$N$11),"",N71/$N$11)</f>
        <v>5.9149958616017663E-2</v>
      </c>
      <c r="P71" s="360">
        <f>[6]南港工場!$L$71</f>
        <v>9300000</v>
      </c>
      <c r="Q71" s="169">
        <f t="shared" ref="Q71:Q79" si="59">IF(ISERR(P71/$P$11),"",P71/$P$11)</f>
        <v>5.7130025616243467E-2</v>
      </c>
      <c r="R71" s="452">
        <f>[6]南港事務!$I$71</f>
        <v>520000</v>
      </c>
      <c r="S71" s="21" t="str">
        <f t="shared" ref="S71:S78" si="60">IF(ISERR(R71/$R$11),"",R71/$R$11)</f>
        <v/>
      </c>
      <c r="T71" s="360">
        <f>[6]南港事務!$L$71</f>
        <v>3120000</v>
      </c>
      <c r="U71" s="216" t="str">
        <f t="shared" ref="U71:U79" si="61">IF(ISERR(T71/$T$11),"",T71/$T$11)</f>
        <v/>
      </c>
      <c r="V71" s="497">
        <f t="shared" si="21"/>
        <v>2070000</v>
      </c>
      <c r="W71" s="21">
        <f t="shared" ref="W71:W78" si="62">IF(ISERR(V71/$V$11),"",V71/$V$11)</f>
        <v>7.8993815700101014E-2</v>
      </c>
      <c r="X71" s="421">
        <f t="shared" si="22"/>
        <v>12420000</v>
      </c>
      <c r="Y71" s="239">
        <f t="shared" ref="Y71:Y79" si="63">IF(ISERR(X71/$X$11),"",X71/$X$11)</f>
        <v>7.6296227758467075E-2</v>
      </c>
      <c r="Z71" s="500">
        <f t="shared" si="23"/>
        <v>4870000</v>
      </c>
      <c r="AA71" s="200">
        <f t="shared" ref="AA71:AA78" si="64">IF(ISERR(Z71/$Z$11),"",Z71/$Z$11)</f>
        <v>8.8438723638611556E-3</v>
      </c>
      <c r="AB71" s="502">
        <f t="shared" si="24"/>
        <v>27423000</v>
      </c>
      <c r="AC71" s="334">
        <f t="shared" ref="AC71:AC79" si="65">IF(ISERR(AB71/$AB$11),"",AB71/$AB$11)</f>
        <v>8.1487665905145903E-3</v>
      </c>
      <c r="AD71" s="379">
        <f>[6]東京事務!$I$71</f>
        <v>750000</v>
      </c>
      <c r="AE71" s="22">
        <f t="shared" ref="AE71:AE79" si="66">IF(ISERR(AD71/$AD$11),"",AD71/$AD$11)</f>
        <v>2.9376568926656904E-3</v>
      </c>
      <c r="AF71" s="360">
        <f>[6]東京事務!$L$71</f>
        <v>4500000</v>
      </c>
      <c r="AG71" s="92">
        <f t="shared" ref="AG71:AG79" si="67">IF(ISERR(AF71/$AF$11),"",AF71/$AF$11)</f>
        <v>2.9752912042629136E-3</v>
      </c>
      <c r="AH71" s="399">
        <f>[6]東京工場!$I$71</f>
        <v>920000</v>
      </c>
      <c r="AI71" s="183">
        <f t="shared" si="25"/>
        <v>0.10149329736057855</v>
      </c>
      <c r="AJ71" s="360">
        <f>[6]東京工場!$L$71</f>
        <v>5520000</v>
      </c>
      <c r="AK71" s="111">
        <f t="shared" si="36"/>
        <v>9.1025521725887432E-2</v>
      </c>
      <c r="AL71" s="506">
        <f t="shared" si="26"/>
        <v>1670000</v>
      </c>
      <c r="AM71" s="327">
        <f t="shared" ref="AM71:AM79" si="68">IF(ISERR(AL71/$AL$11),"",AL71/AL$11)</f>
        <v>6.3169007305972297E-3</v>
      </c>
      <c r="AN71" s="508">
        <f t="shared" si="27"/>
        <v>10020000</v>
      </c>
      <c r="AO71" s="159">
        <f t="shared" ref="AO71:AO78" si="69">IF(ISERR(AN71/$AN$11),"",AN71/$AN$11)</f>
        <v>6.3695914230667179E-3</v>
      </c>
      <c r="AP71" s="511">
        <f t="shared" si="28"/>
        <v>7390000</v>
      </c>
      <c r="AQ71" s="298">
        <f t="shared" ref="AQ71:AQ79" si="70">IF(ISERR(AP71/$AP$11),"",AP71/$AP$11)</f>
        <v>9.0671074041569627E-3</v>
      </c>
      <c r="AR71" s="513">
        <f t="shared" si="29"/>
        <v>42543000</v>
      </c>
      <c r="AS71" s="310">
        <f t="shared" ref="AS71:AS78" si="71">IF(ISERR(AR71/$AR$11),"",AR71/$AR$11)</f>
        <v>8.6147441492924002E-3</v>
      </c>
      <c r="AT71" s="592">
        <f>[6]全社合計!$G$71</f>
        <v>7095000</v>
      </c>
      <c r="AU71" s="160">
        <f t="shared" si="30"/>
        <v>7.4190891780071752E-3</v>
      </c>
      <c r="AV71" s="594">
        <f>[6]全社合計!$N$71</f>
        <v>40552000</v>
      </c>
      <c r="AW71" s="306">
        <f t="shared" si="31"/>
        <v>7.24953095144129E-3</v>
      </c>
      <c r="AX71" s="592">
        <f t="shared" si="32"/>
        <v>295000</v>
      </c>
      <c r="AY71" s="160">
        <f t="shared" si="33"/>
        <v>1.0415785764622973</v>
      </c>
      <c r="AZ71" s="594">
        <f t="shared" si="34"/>
        <v>1991000</v>
      </c>
      <c r="BA71" s="306">
        <f t="shared" si="35"/>
        <v>1.049097455119353</v>
      </c>
      <c r="BB71" s="11"/>
    </row>
    <row r="72" spans="1:54" ht="16.149999999999999" customHeight="1">
      <c r="A72" s="43" t="s">
        <v>64</v>
      </c>
      <c r="B72" s="706">
        <f>[6]本部!$I$72</f>
        <v>115000</v>
      </c>
      <c r="C72" s="266" t="str">
        <f t="shared" si="55"/>
        <v/>
      </c>
      <c r="D72" s="723">
        <f>[6]本部!$L$72</f>
        <v>690000</v>
      </c>
      <c r="E72" s="161" t="str">
        <f t="shared" si="56"/>
        <v/>
      </c>
      <c r="F72" s="352">
        <f>[6]本社営業!$I$72</f>
        <v>55000</v>
      </c>
      <c r="G72" s="10">
        <f t="shared" si="57"/>
        <v>1.0675328812209947E-4</v>
      </c>
      <c r="H72" s="356">
        <f>[6]本社営業!$L$72</f>
        <v>330000</v>
      </c>
      <c r="I72" s="163">
        <f t="shared" si="19"/>
        <v>1.0485081938846931E-4</v>
      </c>
      <c r="J72" s="745">
        <f>[6]東大阪!$I$72</f>
        <v>440000</v>
      </c>
      <c r="K72" s="77">
        <f t="shared" si="20"/>
        <v>4.7554391145458834E-2</v>
      </c>
      <c r="L72" s="356">
        <f>[6]東大阪!$L$72</f>
        <v>2640000</v>
      </c>
      <c r="M72" s="163">
        <f t="shared" si="37"/>
        <v>4.7844067485144554E-2</v>
      </c>
      <c r="N72" s="403">
        <f>[6]南港工場!$I$72</f>
        <v>525000</v>
      </c>
      <c r="O72" s="77">
        <f t="shared" si="58"/>
        <v>2.0034663402199532E-2</v>
      </c>
      <c r="P72" s="356">
        <f>[6]南港工場!$L$72</f>
        <v>3150000</v>
      </c>
      <c r="Q72" s="170">
        <f t="shared" si="59"/>
        <v>1.9350492547437301E-2</v>
      </c>
      <c r="R72" s="445">
        <f>[6]南港事務!$I$72</f>
        <v>20000</v>
      </c>
      <c r="S72" s="10" t="str">
        <f t="shared" si="60"/>
        <v/>
      </c>
      <c r="T72" s="356">
        <f>[6]南港事務!$L$72</f>
        <v>120000</v>
      </c>
      <c r="U72" s="217" t="str">
        <f t="shared" si="61"/>
        <v/>
      </c>
      <c r="V72" s="456">
        <f t="shared" si="21"/>
        <v>545000</v>
      </c>
      <c r="W72" s="170">
        <f t="shared" si="62"/>
        <v>2.0797888674664276E-2</v>
      </c>
      <c r="X72" s="408">
        <f t="shared" si="22"/>
        <v>3270000</v>
      </c>
      <c r="Y72" s="240">
        <f t="shared" si="63"/>
        <v>2.0087654168292057E-2</v>
      </c>
      <c r="Z72" s="460">
        <f t="shared" si="23"/>
        <v>1040000</v>
      </c>
      <c r="AA72" s="201">
        <f t="shared" si="64"/>
        <v>1.8886298271900621E-3</v>
      </c>
      <c r="AB72" s="464">
        <f t="shared" si="24"/>
        <v>6240000</v>
      </c>
      <c r="AC72" s="162">
        <f t="shared" si="65"/>
        <v>1.8542210379904112E-3</v>
      </c>
      <c r="AD72" s="352">
        <f>[6]東京事務!$I$72</f>
        <v>55000</v>
      </c>
      <c r="AE72" s="10">
        <f t="shared" si="66"/>
        <v>2.1542817212881729E-4</v>
      </c>
      <c r="AF72" s="356">
        <f>[6]東京事務!$L$72</f>
        <v>330000</v>
      </c>
      <c r="AG72" s="93">
        <f t="shared" si="67"/>
        <v>2.1818802164594699E-4</v>
      </c>
      <c r="AH72" s="388">
        <f>[6]東京工場!$I$72</f>
        <v>325000</v>
      </c>
      <c r="AI72" s="170">
        <f t="shared" si="25"/>
        <v>3.5853610480639161E-2</v>
      </c>
      <c r="AJ72" s="356">
        <f>[6]東京工場!$L$72</f>
        <v>1950000</v>
      </c>
      <c r="AK72" s="98">
        <f t="shared" si="36"/>
        <v>3.2155754957514583E-2</v>
      </c>
      <c r="AL72" s="474">
        <f t="shared" si="26"/>
        <v>380000</v>
      </c>
      <c r="AM72" s="328">
        <f t="shared" si="68"/>
        <v>1.4373786093574536E-3</v>
      </c>
      <c r="AN72" s="478">
        <f t="shared" si="27"/>
        <v>2280000</v>
      </c>
      <c r="AO72" s="162">
        <f t="shared" si="69"/>
        <v>1.4493681082427261E-3</v>
      </c>
      <c r="AP72" s="483">
        <f t="shared" si="28"/>
        <v>1535000</v>
      </c>
      <c r="AQ72" s="299">
        <f t="shared" si="70"/>
        <v>1.8833572212964733E-3</v>
      </c>
      <c r="AR72" s="487">
        <f t="shared" si="29"/>
        <v>9210000</v>
      </c>
      <c r="AS72" s="300">
        <f t="shared" si="71"/>
        <v>1.8649788123776651E-3</v>
      </c>
      <c r="AT72" s="575">
        <f>[6]全社合計!$G$72</f>
        <v>1495000</v>
      </c>
      <c r="AU72" s="163">
        <f t="shared" si="30"/>
        <v>1.5632894039634569E-3</v>
      </c>
      <c r="AV72" s="578">
        <f>[6]全社合計!$N$72</f>
        <v>8970000</v>
      </c>
      <c r="AW72" s="164">
        <f t="shared" si="31"/>
        <v>1.6035779402847794E-3</v>
      </c>
      <c r="AX72" s="575">
        <f t="shared" si="32"/>
        <v>40000</v>
      </c>
      <c r="AY72" s="163">
        <f t="shared" si="33"/>
        <v>1.0267558528428093</v>
      </c>
      <c r="AZ72" s="578">
        <f t="shared" si="34"/>
        <v>240000</v>
      </c>
      <c r="BA72" s="164">
        <f t="shared" si="35"/>
        <v>1.0267558528428093</v>
      </c>
      <c r="BB72" s="11"/>
    </row>
    <row r="73" spans="1:54" ht="16.149999999999999" customHeight="1">
      <c r="A73" s="43" t="s">
        <v>65</v>
      </c>
      <c r="B73" s="706">
        <f>[6]本部!$I$70</f>
        <v>0</v>
      </c>
      <c r="C73" s="266" t="str">
        <f t="shared" si="55"/>
        <v/>
      </c>
      <c r="D73" s="723">
        <f>[6]本部!$L$70</f>
        <v>6542720</v>
      </c>
      <c r="E73" s="161" t="str">
        <f t="shared" si="56"/>
        <v/>
      </c>
      <c r="F73" s="352">
        <f>[6]本社営業!$I$70</f>
        <v>0</v>
      </c>
      <c r="G73" s="10">
        <f t="shared" si="57"/>
        <v>0</v>
      </c>
      <c r="H73" s="356">
        <f>[6]本社営業!$L$70</f>
        <v>2665396</v>
      </c>
      <c r="I73" s="163">
        <f t="shared" si="19"/>
        <v>8.468756199840865E-4</v>
      </c>
      <c r="J73" s="745">
        <f>[6]東大阪!$I$70</f>
        <v>0</v>
      </c>
      <c r="K73" s="77">
        <f t="shared" si="20"/>
        <v>0</v>
      </c>
      <c r="L73" s="356">
        <f>[6]東大阪!$L$70</f>
        <v>1954492</v>
      </c>
      <c r="M73" s="163">
        <f t="shared" si="37"/>
        <v>3.5420775434536041E-2</v>
      </c>
      <c r="N73" s="403">
        <f>[6]南港工場!$I$70</f>
        <v>0</v>
      </c>
      <c r="O73" s="77">
        <f t="shared" si="58"/>
        <v>0</v>
      </c>
      <c r="P73" s="356">
        <f>[6]南港工場!$L$70</f>
        <v>2840318</v>
      </c>
      <c r="Q73" s="170">
        <f t="shared" si="59"/>
        <v>1.7448111838524454E-2</v>
      </c>
      <c r="R73" s="445">
        <f>[6]南港事務!$I$70</f>
        <v>0</v>
      </c>
      <c r="S73" s="10" t="str">
        <f t="shared" si="60"/>
        <v/>
      </c>
      <c r="T73" s="356">
        <f>[6]南港事務!$L$70</f>
        <v>1097612</v>
      </c>
      <c r="U73" s="217" t="str">
        <f t="shared" si="61"/>
        <v/>
      </c>
      <c r="V73" s="456">
        <f t="shared" si="21"/>
        <v>0</v>
      </c>
      <c r="W73" s="170">
        <f t="shared" si="62"/>
        <v>0</v>
      </c>
      <c r="X73" s="408">
        <f t="shared" si="22"/>
        <v>3937930</v>
      </c>
      <c r="Y73" s="240">
        <f t="shared" si="63"/>
        <v>2.4190757180104692E-2</v>
      </c>
      <c r="Z73" s="460">
        <f t="shared" si="23"/>
        <v>0</v>
      </c>
      <c r="AA73" s="201">
        <f t="shared" si="64"/>
        <v>0</v>
      </c>
      <c r="AB73" s="464">
        <f t="shared" si="24"/>
        <v>8557818</v>
      </c>
      <c r="AC73" s="162">
        <f t="shared" si="65"/>
        <v>2.5429625280277285E-3</v>
      </c>
      <c r="AD73" s="352">
        <f>[6]東京事務!$I$70</f>
        <v>0</v>
      </c>
      <c r="AE73" s="10">
        <f t="shared" si="66"/>
        <v>0</v>
      </c>
      <c r="AF73" s="356">
        <f>[6]東京事務!$L$70</f>
        <v>1312573</v>
      </c>
      <c r="AG73" s="93">
        <f t="shared" si="67"/>
        <v>8.6784153374510785E-4</v>
      </c>
      <c r="AH73" s="388">
        <f>[6]東京工場!$I$70</f>
        <v>0</v>
      </c>
      <c r="AI73" s="170">
        <f t="shared" si="25"/>
        <v>0</v>
      </c>
      <c r="AJ73" s="356">
        <f>[6]東京工場!$L$70</f>
        <v>1708695</v>
      </c>
      <c r="AK73" s="98">
        <f t="shared" si="36"/>
        <v>2.8176603957502756E-2</v>
      </c>
      <c r="AL73" s="474">
        <f t="shared" si="26"/>
        <v>0</v>
      </c>
      <c r="AM73" s="328">
        <f t="shared" si="68"/>
        <v>0</v>
      </c>
      <c r="AN73" s="478">
        <f t="shared" si="27"/>
        <v>3021268</v>
      </c>
      <c r="AO73" s="162">
        <f t="shared" si="69"/>
        <v>1.9205831077431074E-3</v>
      </c>
      <c r="AP73" s="483">
        <f t="shared" si="28"/>
        <v>0</v>
      </c>
      <c r="AQ73" s="299">
        <f t="shared" si="70"/>
        <v>0</v>
      </c>
      <c r="AR73" s="487">
        <f t="shared" si="29"/>
        <v>18121806</v>
      </c>
      <c r="AS73" s="300">
        <f t="shared" si="71"/>
        <v>3.6695748351811561E-3</v>
      </c>
      <c r="AT73" s="575">
        <f>[6]全社合計!$G$70</f>
        <v>0</v>
      </c>
      <c r="AU73" s="163">
        <f t="shared" si="30"/>
        <v>0</v>
      </c>
      <c r="AV73" s="578">
        <f>[6]全社合計!$N$70</f>
        <v>17260983</v>
      </c>
      <c r="AW73" s="164">
        <f t="shared" si="31"/>
        <v>3.0857671757447704E-3</v>
      </c>
      <c r="AX73" s="575">
        <f t="shared" si="32"/>
        <v>0</v>
      </c>
      <c r="AY73" s="163" t="str">
        <f t="shared" si="33"/>
        <v/>
      </c>
      <c r="AZ73" s="578">
        <f t="shared" si="34"/>
        <v>860823</v>
      </c>
      <c r="BA73" s="164">
        <f t="shared" si="35"/>
        <v>1.049871029940763</v>
      </c>
      <c r="BB73" s="11"/>
    </row>
    <row r="74" spans="1:54" ht="16.149999999999999" customHeight="1">
      <c r="A74" s="43" t="s">
        <v>66</v>
      </c>
      <c r="B74" s="706">
        <f>[6]本部!$I$74</f>
        <v>0</v>
      </c>
      <c r="C74" s="266" t="str">
        <f t="shared" si="55"/>
        <v/>
      </c>
      <c r="D74" s="723">
        <f>[6]本部!$L$74</f>
        <v>0</v>
      </c>
      <c r="E74" s="161" t="str">
        <f t="shared" si="56"/>
        <v/>
      </c>
      <c r="F74" s="352">
        <f>[6]本社営業!$I$74</f>
        <v>0</v>
      </c>
      <c r="G74" s="10">
        <f t="shared" si="57"/>
        <v>0</v>
      </c>
      <c r="H74" s="356">
        <f>[6]本社営業!$L$74</f>
        <v>0</v>
      </c>
      <c r="I74" s="163">
        <f t="shared" ref="I74:I79" si="72">IF(ISERR(H74/$H$11),"",H74/$H$11)</f>
        <v>0</v>
      </c>
      <c r="J74" s="745">
        <f>[6]東大阪!$I$74</f>
        <v>0</v>
      </c>
      <c r="K74" s="77">
        <f t="shared" ref="K74:K79" si="73">IF(ISERR(J74/$J$11),"",J74/$J$11)</f>
        <v>0</v>
      </c>
      <c r="L74" s="356">
        <f>[6]東大阪!$L$74</f>
        <v>1189000</v>
      </c>
      <c r="M74" s="163">
        <f t="shared" si="37"/>
        <v>2.1547953121150331E-2</v>
      </c>
      <c r="N74" s="403">
        <f>[6]南港工場!$I$74</f>
        <v>0</v>
      </c>
      <c r="O74" s="77">
        <f t="shared" si="58"/>
        <v>0</v>
      </c>
      <c r="P74" s="356">
        <f>[6]南港工場!$L$74</f>
        <v>0</v>
      </c>
      <c r="Q74" s="170">
        <f t="shared" si="59"/>
        <v>0</v>
      </c>
      <c r="R74" s="445">
        <f>[6]南港事務!$I$74</f>
        <v>0</v>
      </c>
      <c r="S74" s="10" t="str">
        <f t="shared" si="60"/>
        <v/>
      </c>
      <c r="T74" s="356">
        <f>[6]南港事務!$L$74</f>
        <v>0</v>
      </c>
      <c r="U74" s="217" t="str">
        <f t="shared" si="61"/>
        <v/>
      </c>
      <c r="V74" s="456">
        <f t="shared" ref="V74:V79" si="74">N74+R74</f>
        <v>0</v>
      </c>
      <c r="W74" s="170">
        <f t="shared" si="62"/>
        <v>0</v>
      </c>
      <c r="X74" s="408">
        <f t="shared" ref="X74:X79" si="75">P74+T74</f>
        <v>0</v>
      </c>
      <c r="Y74" s="240">
        <f t="shared" si="63"/>
        <v>0</v>
      </c>
      <c r="Z74" s="460">
        <f>F74+J74+N74+R74</f>
        <v>0</v>
      </c>
      <c r="AA74" s="201">
        <f t="shared" si="64"/>
        <v>0</v>
      </c>
      <c r="AB74" s="464">
        <f t="shared" ref="AB74:AB79" si="76">H74+L74+P74+T74</f>
        <v>1189000</v>
      </c>
      <c r="AC74" s="162">
        <f t="shared" si="65"/>
        <v>3.5331230996323704E-4</v>
      </c>
      <c r="AD74" s="352">
        <f>[6]東京事務!$I$74</f>
        <v>0</v>
      </c>
      <c r="AE74" s="10">
        <f t="shared" si="66"/>
        <v>0</v>
      </c>
      <c r="AF74" s="356">
        <f>[6]東京事務!$L$74</f>
        <v>760000</v>
      </c>
      <c r="AG74" s="93">
        <f t="shared" si="67"/>
        <v>5.0249362560884762E-4</v>
      </c>
      <c r="AH74" s="388">
        <f>[6]東京工場!$I$74</f>
        <v>0</v>
      </c>
      <c r="AI74" s="170">
        <f t="shared" ref="AI74:AI79" si="77">IF(ISERR(AH74/$AH$11),"",AH74/$AH$11)</f>
        <v>0</v>
      </c>
      <c r="AJ74" s="356">
        <f>[6]東京工場!$L$74</f>
        <v>0</v>
      </c>
      <c r="AK74" s="98">
        <f t="shared" si="36"/>
        <v>0</v>
      </c>
      <c r="AL74" s="474">
        <f t="shared" ref="AL74:AL79" si="78">AD74+AH74</f>
        <v>0</v>
      </c>
      <c r="AM74" s="328">
        <f t="shared" si="68"/>
        <v>0</v>
      </c>
      <c r="AN74" s="478">
        <f t="shared" ref="AN74:AN79" si="79">AF74+AJ74</f>
        <v>760000</v>
      </c>
      <c r="AO74" s="162">
        <f t="shared" si="69"/>
        <v>4.8312270274757541E-4</v>
      </c>
      <c r="AP74" s="483">
        <f t="shared" ref="AP74:AP79" si="80">B74+Z74+AL74</f>
        <v>0</v>
      </c>
      <c r="AQ74" s="299">
        <f t="shared" si="70"/>
        <v>0</v>
      </c>
      <c r="AR74" s="487">
        <f t="shared" ref="AR74:AR79" si="81">D74+AB74+AN74</f>
        <v>1949000</v>
      </c>
      <c r="AS74" s="300">
        <f t="shared" si="71"/>
        <v>3.9466272587666335E-4</v>
      </c>
      <c r="AT74" s="575">
        <f>[6]全社合計!$G$74</f>
        <v>0</v>
      </c>
      <c r="AU74" s="163">
        <f t="shared" ref="AU74:AU79" si="82">IF(ISERR(AT74/$AT$11),"",AT74/$AT$11)</f>
        <v>0</v>
      </c>
      <c r="AV74" s="578">
        <f>[6]全社合計!$N$74</f>
        <v>1949000</v>
      </c>
      <c r="AW74" s="164">
        <f t="shared" ref="AW74:AW79" si="83">IF(ISERR(AV74/$AV$11),"",AV74/$AV$11)</f>
        <v>3.4842512883110759E-4</v>
      </c>
      <c r="AX74" s="575">
        <f t="shared" ref="AX74:AX79" si="84">AP74-AT74</f>
        <v>0</v>
      </c>
      <c r="AY74" s="163" t="str">
        <f t="shared" ref="AY74:AY79" si="85">IF(ISERROR(AP74/AT74),"",AP74/AT74)</f>
        <v/>
      </c>
      <c r="AZ74" s="578">
        <f t="shared" ref="AZ74:AZ79" si="86">AR74-AV74</f>
        <v>0</v>
      </c>
      <c r="BA74" s="164">
        <f t="shared" ref="BA74:BA79" si="87">IF(ISERROR(AR74/AV74),"",AR74/AV74)</f>
        <v>1</v>
      </c>
      <c r="BB74" s="11"/>
    </row>
    <row r="75" spans="1:54" ht="16.149999999999999" customHeight="1">
      <c r="A75" s="43" t="s">
        <v>67</v>
      </c>
      <c r="B75" s="706">
        <f>[6]本部!$I$73</f>
        <v>0</v>
      </c>
      <c r="C75" s="266" t="str">
        <f t="shared" si="55"/>
        <v/>
      </c>
      <c r="D75" s="723">
        <f>[6]本部!$L$73</f>
        <v>12000</v>
      </c>
      <c r="E75" s="161" t="str">
        <f t="shared" si="56"/>
        <v/>
      </c>
      <c r="F75" s="352">
        <f>[6]本社営業!$I$73</f>
        <v>169600</v>
      </c>
      <c r="G75" s="10">
        <f t="shared" si="57"/>
        <v>3.2918832119105586E-4</v>
      </c>
      <c r="H75" s="356">
        <f>[6]本社営業!$L$73</f>
        <v>615650</v>
      </c>
      <c r="I75" s="163">
        <f t="shared" si="72"/>
        <v>1.9561032411063981E-4</v>
      </c>
      <c r="J75" s="745">
        <f>[6]東大阪!$I$73</f>
        <v>0</v>
      </c>
      <c r="K75" s="77">
        <f t="shared" si="73"/>
        <v>0</v>
      </c>
      <c r="L75" s="356">
        <f>[6]東大阪!$L$73</f>
        <v>0</v>
      </c>
      <c r="M75" s="163">
        <f t="shared" si="37"/>
        <v>0</v>
      </c>
      <c r="N75" s="403">
        <f>[6]南港工場!$I$73</f>
        <v>0</v>
      </c>
      <c r="O75" s="77">
        <f t="shared" si="58"/>
        <v>0</v>
      </c>
      <c r="P75" s="356">
        <f>[6]南港工場!$L$73</f>
        <v>0</v>
      </c>
      <c r="Q75" s="170">
        <f t="shared" si="59"/>
        <v>0</v>
      </c>
      <c r="R75" s="445">
        <f>[6]南港事務!$I$73</f>
        <v>0</v>
      </c>
      <c r="S75" s="10" t="str">
        <f t="shared" si="60"/>
        <v/>
      </c>
      <c r="T75" s="356">
        <f>[6]南港事務!$L$73</f>
        <v>24400</v>
      </c>
      <c r="U75" s="217" t="str">
        <f t="shared" si="61"/>
        <v/>
      </c>
      <c r="V75" s="456">
        <f t="shared" si="74"/>
        <v>0</v>
      </c>
      <c r="W75" s="170">
        <f t="shared" si="62"/>
        <v>0</v>
      </c>
      <c r="X75" s="408">
        <f t="shared" si="75"/>
        <v>24400</v>
      </c>
      <c r="Y75" s="240">
        <f t="shared" si="63"/>
        <v>1.4988952957380007E-4</v>
      </c>
      <c r="Z75" s="460">
        <f>F75+J75+N75+R75</f>
        <v>169600</v>
      </c>
      <c r="AA75" s="201">
        <f t="shared" si="64"/>
        <v>3.0799194104945627E-4</v>
      </c>
      <c r="AB75" s="464">
        <f t="shared" si="76"/>
        <v>640050</v>
      </c>
      <c r="AC75" s="162">
        <f t="shared" si="65"/>
        <v>1.9019137425733376E-4</v>
      </c>
      <c r="AD75" s="352">
        <f>[6]東京事務!$I$73</f>
        <v>199495</v>
      </c>
      <c r="AE75" s="10">
        <f t="shared" si="66"/>
        <v>7.8139714906978915E-4</v>
      </c>
      <c r="AF75" s="356">
        <f>[6]東京事務!$L$73</f>
        <v>545416</v>
      </c>
      <c r="AG75" s="93">
        <f t="shared" si="67"/>
        <v>3.6061587276983584E-4</v>
      </c>
      <c r="AH75" s="388">
        <f>[6]東京工場!$I$73</f>
        <v>0</v>
      </c>
      <c r="AI75" s="170">
        <f t="shared" si="77"/>
        <v>0</v>
      </c>
      <c r="AJ75" s="356">
        <f>[6]東京工場!$L$73</f>
        <v>0</v>
      </c>
      <c r="AK75" s="98">
        <f t="shared" si="36"/>
        <v>0</v>
      </c>
      <c r="AL75" s="474">
        <f t="shared" si="78"/>
        <v>199495</v>
      </c>
      <c r="AM75" s="328">
        <f t="shared" si="68"/>
        <v>7.5460485703622419E-4</v>
      </c>
      <c r="AN75" s="478">
        <f t="shared" si="79"/>
        <v>545416</v>
      </c>
      <c r="AO75" s="162">
        <f t="shared" si="69"/>
        <v>3.4671427900233103E-4</v>
      </c>
      <c r="AP75" s="483">
        <f t="shared" si="80"/>
        <v>369095</v>
      </c>
      <c r="AQ75" s="299">
        <f t="shared" si="70"/>
        <v>4.5285845836770154E-4</v>
      </c>
      <c r="AR75" s="487">
        <f t="shared" si="81"/>
        <v>1197466</v>
      </c>
      <c r="AS75" s="300">
        <f t="shared" si="71"/>
        <v>2.4248085977661597E-4</v>
      </c>
      <c r="AT75" s="575">
        <f>[6]全社合計!$G$73</f>
        <v>215328</v>
      </c>
      <c r="AU75" s="163">
        <f t="shared" si="82"/>
        <v>2.251638667402296E-4</v>
      </c>
      <c r="AV75" s="578">
        <f>[6]全社合計!$N$73</f>
        <v>1102356</v>
      </c>
      <c r="AW75" s="164">
        <f t="shared" si="83"/>
        <v>1.9706953890084373E-4</v>
      </c>
      <c r="AX75" s="575">
        <f t="shared" si="84"/>
        <v>153767</v>
      </c>
      <c r="AY75" s="163">
        <f t="shared" si="85"/>
        <v>1.7141059221281023</v>
      </c>
      <c r="AZ75" s="578">
        <f t="shared" si="86"/>
        <v>95110</v>
      </c>
      <c r="BA75" s="164">
        <f t="shared" si="87"/>
        <v>1.0862788427694865</v>
      </c>
      <c r="BB75" s="11"/>
    </row>
    <row r="76" spans="1:54" ht="16.149999999999999" customHeight="1">
      <c r="A76" s="43" t="s">
        <v>68</v>
      </c>
      <c r="B76" s="706"/>
      <c r="C76" s="266" t="str">
        <f t="shared" si="55"/>
        <v/>
      </c>
      <c r="D76" s="723">
        <f>B76</f>
        <v>0</v>
      </c>
      <c r="E76" s="161" t="str">
        <f t="shared" si="56"/>
        <v/>
      </c>
      <c r="F76" s="352"/>
      <c r="G76" s="10">
        <f t="shared" si="57"/>
        <v>0</v>
      </c>
      <c r="H76" s="356">
        <f>F76</f>
        <v>0</v>
      </c>
      <c r="I76" s="163">
        <f t="shared" si="72"/>
        <v>0</v>
      </c>
      <c r="J76" s="745"/>
      <c r="K76" s="77">
        <f t="shared" si="73"/>
        <v>0</v>
      </c>
      <c r="L76" s="356">
        <f>J76</f>
        <v>0</v>
      </c>
      <c r="M76" s="163">
        <f t="shared" si="37"/>
        <v>0</v>
      </c>
      <c r="N76" s="403"/>
      <c r="O76" s="77">
        <f t="shared" si="58"/>
        <v>0</v>
      </c>
      <c r="P76" s="356">
        <f>N76</f>
        <v>0</v>
      </c>
      <c r="Q76" s="170">
        <f t="shared" si="59"/>
        <v>0</v>
      </c>
      <c r="R76" s="445"/>
      <c r="S76" s="10" t="str">
        <f t="shared" si="60"/>
        <v/>
      </c>
      <c r="T76" s="356">
        <f>R76</f>
        <v>0</v>
      </c>
      <c r="U76" s="217" t="str">
        <f t="shared" si="61"/>
        <v/>
      </c>
      <c r="V76" s="456">
        <f t="shared" si="74"/>
        <v>0</v>
      </c>
      <c r="W76" s="170">
        <f t="shared" si="62"/>
        <v>0</v>
      </c>
      <c r="X76" s="408">
        <f t="shared" si="75"/>
        <v>0</v>
      </c>
      <c r="Y76" s="240">
        <f t="shared" si="63"/>
        <v>0</v>
      </c>
      <c r="Z76" s="460">
        <f>F76+J76+N76+R76</f>
        <v>0</v>
      </c>
      <c r="AA76" s="201">
        <f t="shared" si="64"/>
        <v>0</v>
      </c>
      <c r="AB76" s="464">
        <f t="shared" si="76"/>
        <v>0</v>
      </c>
      <c r="AC76" s="162">
        <f t="shared" si="65"/>
        <v>0</v>
      </c>
      <c r="AD76" s="352"/>
      <c r="AE76" s="10">
        <f t="shared" si="66"/>
        <v>0</v>
      </c>
      <c r="AF76" s="356">
        <f>AD76</f>
        <v>0</v>
      </c>
      <c r="AG76" s="93">
        <f t="shared" si="67"/>
        <v>0</v>
      </c>
      <c r="AH76" s="388"/>
      <c r="AI76" s="170">
        <f t="shared" si="77"/>
        <v>0</v>
      </c>
      <c r="AJ76" s="356">
        <f>AH76</f>
        <v>0</v>
      </c>
      <c r="AK76" s="98">
        <f t="shared" si="36"/>
        <v>0</v>
      </c>
      <c r="AL76" s="474">
        <f t="shared" si="78"/>
        <v>0</v>
      </c>
      <c r="AM76" s="328">
        <f t="shared" si="68"/>
        <v>0</v>
      </c>
      <c r="AN76" s="478">
        <f t="shared" si="79"/>
        <v>0</v>
      </c>
      <c r="AO76" s="162">
        <f t="shared" si="69"/>
        <v>0</v>
      </c>
      <c r="AP76" s="483">
        <f t="shared" si="80"/>
        <v>0</v>
      </c>
      <c r="AQ76" s="299">
        <f t="shared" si="70"/>
        <v>0</v>
      </c>
      <c r="AR76" s="487">
        <f t="shared" si="81"/>
        <v>0</v>
      </c>
      <c r="AS76" s="300">
        <f t="shared" si="71"/>
        <v>0</v>
      </c>
      <c r="AT76" s="575">
        <v>0</v>
      </c>
      <c r="AU76" s="163">
        <f t="shared" si="82"/>
        <v>0</v>
      </c>
      <c r="AV76" s="578">
        <f>AT76</f>
        <v>0</v>
      </c>
      <c r="AW76" s="164">
        <f t="shared" si="83"/>
        <v>0</v>
      </c>
      <c r="AX76" s="575">
        <f t="shared" si="84"/>
        <v>0</v>
      </c>
      <c r="AY76" s="163" t="str">
        <f t="shared" si="85"/>
        <v/>
      </c>
      <c r="AZ76" s="578">
        <f t="shared" si="86"/>
        <v>0</v>
      </c>
      <c r="BA76" s="164" t="str">
        <f t="shared" si="87"/>
        <v/>
      </c>
      <c r="BB76" s="11"/>
    </row>
    <row r="77" spans="1:54" ht="16.149999999999999" customHeight="1">
      <c r="A77" s="43" t="s">
        <v>69</v>
      </c>
      <c r="B77" s="706"/>
      <c r="C77" s="266" t="str">
        <f t="shared" si="55"/>
        <v/>
      </c>
      <c r="D77" s="723">
        <f>[6]本部!$L$75</f>
        <v>0</v>
      </c>
      <c r="E77" s="161" t="str">
        <f>IF(ISERR(#REF!/$D$11),"",#REF!/$D$11)</f>
        <v/>
      </c>
      <c r="F77" s="352">
        <f>[6]本社営業!$I$75</f>
        <v>0</v>
      </c>
      <c r="G77" s="10">
        <f t="shared" si="57"/>
        <v>0</v>
      </c>
      <c r="H77" s="356">
        <f>[6]本社営業!$L$75</f>
        <v>672000</v>
      </c>
      <c r="I77" s="163">
        <f t="shared" si="72"/>
        <v>2.1351439584561024E-4</v>
      </c>
      <c r="J77" s="745"/>
      <c r="K77" s="77">
        <f t="shared" si="73"/>
        <v>0</v>
      </c>
      <c r="L77" s="356">
        <f>[6]東大阪!$L$75</f>
        <v>0</v>
      </c>
      <c r="M77" s="163">
        <f t="shared" si="37"/>
        <v>0</v>
      </c>
      <c r="N77" s="403"/>
      <c r="O77" s="77">
        <f t="shared" si="58"/>
        <v>0</v>
      </c>
      <c r="P77" s="356">
        <f>[6]南港工場!$L$75</f>
        <v>0</v>
      </c>
      <c r="Q77" s="170">
        <f t="shared" si="59"/>
        <v>0</v>
      </c>
      <c r="R77" s="445"/>
      <c r="S77" s="10" t="str">
        <f t="shared" si="60"/>
        <v/>
      </c>
      <c r="T77" s="356">
        <f>[6]南港事務!$L$75</f>
        <v>0</v>
      </c>
      <c r="U77" s="217" t="str">
        <f t="shared" si="61"/>
        <v/>
      </c>
      <c r="V77" s="456">
        <f t="shared" si="74"/>
        <v>0</v>
      </c>
      <c r="W77" s="170">
        <f t="shared" si="62"/>
        <v>0</v>
      </c>
      <c r="X77" s="408">
        <f t="shared" si="75"/>
        <v>0</v>
      </c>
      <c r="Y77" s="240">
        <f t="shared" si="63"/>
        <v>0</v>
      </c>
      <c r="Z77" s="460">
        <f>F77+J77+N77+R77</f>
        <v>0</v>
      </c>
      <c r="AA77" s="201">
        <f t="shared" si="64"/>
        <v>0</v>
      </c>
      <c r="AB77" s="464">
        <f t="shared" si="76"/>
        <v>672000</v>
      </c>
      <c r="AC77" s="162">
        <f t="shared" si="65"/>
        <v>1.9968534255281352E-4</v>
      </c>
      <c r="AD77" s="352"/>
      <c r="AE77" s="10">
        <f t="shared" si="66"/>
        <v>0</v>
      </c>
      <c r="AF77" s="356">
        <f>[6]東京事務!$L$75</f>
        <v>0</v>
      </c>
      <c r="AG77" s="93">
        <f t="shared" si="67"/>
        <v>0</v>
      </c>
      <c r="AH77" s="388"/>
      <c r="AI77" s="170">
        <f t="shared" si="77"/>
        <v>0</v>
      </c>
      <c r="AJ77" s="356">
        <f>[6]東京工場!$L$75</f>
        <v>0</v>
      </c>
      <c r="AK77" s="98">
        <f t="shared" si="36"/>
        <v>0</v>
      </c>
      <c r="AL77" s="474">
        <f t="shared" si="78"/>
        <v>0</v>
      </c>
      <c r="AM77" s="328">
        <f t="shared" si="68"/>
        <v>0</v>
      </c>
      <c r="AN77" s="478">
        <f t="shared" si="79"/>
        <v>0</v>
      </c>
      <c r="AO77" s="162">
        <f t="shared" si="69"/>
        <v>0</v>
      </c>
      <c r="AP77" s="483">
        <f t="shared" si="80"/>
        <v>0</v>
      </c>
      <c r="AQ77" s="299">
        <f t="shared" si="70"/>
        <v>0</v>
      </c>
      <c r="AR77" s="487">
        <f t="shared" si="81"/>
        <v>672000</v>
      </c>
      <c r="AS77" s="300">
        <f t="shared" si="71"/>
        <v>1.3607662995850065E-4</v>
      </c>
      <c r="AT77" s="575">
        <f>[6]全社合計!$G$75</f>
        <v>0</v>
      </c>
      <c r="AU77" s="163">
        <f t="shared" si="82"/>
        <v>0</v>
      </c>
      <c r="AV77" s="578">
        <f>[6]全社合計!$N$75</f>
        <v>672000</v>
      </c>
      <c r="AW77" s="164">
        <f t="shared" si="83"/>
        <v>1.2013426709825772E-4</v>
      </c>
      <c r="AX77" s="575">
        <f t="shared" si="84"/>
        <v>0</v>
      </c>
      <c r="AY77" s="163" t="str">
        <f t="shared" si="85"/>
        <v/>
      </c>
      <c r="AZ77" s="578">
        <f t="shared" si="86"/>
        <v>0</v>
      </c>
      <c r="BA77" s="164">
        <f t="shared" si="87"/>
        <v>1</v>
      </c>
      <c r="BB77" s="11"/>
    </row>
    <row r="78" spans="1:54" ht="16.149999999999999" customHeight="1" thickBot="1">
      <c r="A78" s="44"/>
      <c r="B78" s="707"/>
      <c r="C78" s="267" t="str">
        <f t="shared" si="55"/>
        <v/>
      </c>
      <c r="D78" s="735">
        <f>B78</f>
        <v>0</v>
      </c>
      <c r="E78" s="165" t="str">
        <f>IF(ISERR(#REF!/$D$11),"",#REF!/$D$11)</f>
        <v/>
      </c>
      <c r="F78" s="380"/>
      <c r="G78" s="23">
        <f t="shared" si="57"/>
        <v>0</v>
      </c>
      <c r="H78" s="381">
        <f>F78</f>
        <v>0</v>
      </c>
      <c r="I78" s="167">
        <f t="shared" si="72"/>
        <v>0</v>
      </c>
      <c r="J78" s="758"/>
      <c r="K78" s="78">
        <f t="shared" si="73"/>
        <v>0</v>
      </c>
      <c r="L78" s="381">
        <f>J78</f>
        <v>0</v>
      </c>
      <c r="M78" s="167">
        <f t="shared" si="37"/>
        <v>0</v>
      </c>
      <c r="N78" s="420"/>
      <c r="O78" s="241">
        <f t="shared" si="58"/>
        <v>0</v>
      </c>
      <c r="P78" s="381">
        <f>N78</f>
        <v>0</v>
      </c>
      <c r="Q78" s="244">
        <f t="shared" si="59"/>
        <v>0</v>
      </c>
      <c r="R78" s="453"/>
      <c r="S78" s="243" t="str">
        <f t="shared" si="60"/>
        <v/>
      </c>
      <c r="T78" s="381">
        <f>R78</f>
        <v>0</v>
      </c>
      <c r="U78" s="242" t="str">
        <f t="shared" si="61"/>
        <v/>
      </c>
      <c r="V78" s="498">
        <f t="shared" si="74"/>
        <v>0</v>
      </c>
      <c r="W78" s="244">
        <f t="shared" si="62"/>
        <v>0</v>
      </c>
      <c r="X78" s="422">
        <f t="shared" si="75"/>
        <v>0</v>
      </c>
      <c r="Y78" s="245">
        <f t="shared" si="63"/>
        <v>0</v>
      </c>
      <c r="Z78" s="501">
        <f>F78+J78+N78+R78</f>
        <v>0</v>
      </c>
      <c r="AA78" s="202">
        <f t="shared" si="64"/>
        <v>0</v>
      </c>
      <c r="AB78" s="503">
        <f t="shared" si="76"/>
        <v>0</v>
      </c>
      <c r="AC78" s="166">
        <f t="shared" si="65"/>
        <v>0</v>
      </c>
      <c r="AD78" s="380"/>
      <c r="AE78" s="23">
        <f t="shared" si="66"/>
        <v>0</v>
      </c>
      <c r="AF78" s="381">
        <f>AD78</f>
        <v>0</v>
      </c>
      <c r="AG78" s="94">
        <f t="shared" si="67"/>
        <v>0</v>
      </c>
      <c r="AH78" s="400"/>
      <c r="AI78" s="184">
        <f t="shared" si="77"/>
        <v>0</v>
      </c>
      <c r="AJ78" s="381">
        <f>AH78</f>
        <v>0</v>
      </c>
      <c r="AK78" s="112">
        <f>IF(ISERR(AJ78/$AJ$11),"",AJ78/$AJ$11)</f>
        <v>0</v>
      </c>
      <c r="AL78" s="507">
        <f t="shared" si="78"/>
        <v>0</v>
      </c>
      <c r="AM78" s="329">
        <f t="shared" si="68"/>
        <v>0</v>
      </c>
      <c r="AN78" s="509">
        <f t="shared" si="79"/>
        <v>0</v>
      </c>
      <c r="AO78" s="166">
        <f t="shared" si="69"/>
        <v>0</v>
      </c>
      <c r="AP78" s="512">
        <f t="shared" si="80"/>
        <v>0</v>
      </c>
      <c r="AQ78" s="301">
        <f t="shared" si="70"/>
        <v>0</v>
      </c>
      <c r="AR78" s="514">
        <f t="shared" si="81"/>
        <v>0</v>
      </c>
      <c r="AS78" s="302">
        <f t="shared" si="71"/>
        <v>0</v>
      </c>
      <c r="AT78" s="593">
        <v>0</v>
      </c>
      <c r="AU78" s="167">
        <f t="shared" si="82"/>
        <v>0</v>
      </c>
      <c r="AV78" s="595">
        <f>AT78</f>
        <v>0</v>
      </c>
      <c r="AW78" s="168">
        <f t="shared" si="83"/>
        <v>0</v>
      </c>
      <c r="AX78" s="593">
        <f t="shared" si="84"/>
        <v>0</v>
      </c>
      <c r="AY78" s="167" t="str">
        <f t="shared" si="85"/>
        <v/>
      </c>
      <c r="AZ78" s="595">
        <f t="shared" si="86"/>
        <v>0</v>
      </c>
      <c r="BA78" s="168" t="str">
        <f t="shared" si="87"/>
        <v/>
      </c>
      <c r="BB78" s="11"/>
    </row>
    <row r="79" spans="1:54" s="25" customFormat="1" ht="15.75" thickTop="1">
      <c r="A79" s="24" t="s">
        <v>70</v>
      </c>
      <c r="B79" s="737">
        <f>+B18-B67</f>
        <v>0</v>
      </c>
      <c r="C79" s="220" t="str">
        <f t="shared" si="55"/>
        <v/>
      </c>
      <c r="D79" s="736">
        <f>D18-D67</f>
        <v>0</v>
      </c>
      <c r="E79" s="220" t="str">
        <f>IF(ISERR(#REF!/$D$11),"",#REF!/$D$11)</f>
        <v/>
      </c>
      <c r="F79" s="382">
        <f>F18-F67</f>
        <v>27110356</v>
      </c>
      <c r="G79" s="309">
        <f>IF(ISERR(F79/$F$11),"",F79/$F$11)</f>
        <v>5.2620357184739786E-2</v>
      </c>
      <c r="H79" s="383">
        <f>H18-H67</f>
        <v>134632137</v>
      </c>
      <c r="I79" s="95">
        <f t="shared" si="72"/>
        <v>4.2776636001426234E-2</v>
      </c>
      <c r="J79" s="382">
        <f>J18-J67</f>
        <v>6055113</v>
      </c>
      <c r="K79" s="309">
        <f t="shared" si="73"/>
        <v>0.65442548189080152</v>
      </c>
      <c r="L79" s="383">
        <f>L18-L67</f>
        <v>37810025</v>
      </c>
      <c r="M79" s="95">
        <f>IF(ISERR(L79/$L$11),"",L79/$L$11)</f>
        <v>0.68522173777083439</v>
      </c>
      <c r="N79" s="382">
        <f>N18-N67</f>
        <v>27588280</v>
      </c>
      <c r="O79" s="95">
        <f>IF(ISERR(N79/$N$11),"",N79/$N$11)</f>
        <v>1.0528036259916824</v>
      </c>
      <c r="P79" s="383">
        <f>P18-P67</f>
        <v>143457760</v>
      </c>
      <c r="Q79" s="95">
        <f t="shared" si="59"/>
        <v>0.88126295738160287</v>
      </c>
      <c r="R79" s="382">
        <f>R18-R67</f>
        <v>3969953</v>
      </c>
      <c r="S79" s="113"/>
      <c r="T79" s="383">
        <f>T18-T67</f>
        <v>25399952</v>
      </c>
      <c r="U79" s="95" t="str">
        <f t="shared" si="61"/>
        <v/>
      </c>
      <c r="V79" s="499">
        <f t="shared" si="74"/>
        <v>31558233</v>
      </c>
      <c r="W79" s="95">
        <f>IF(ISERR(V79/$V$11),"",V79/$V$11)</f>
        <v>1.2043020489965439</v>
      </c>
      <c r="X79" s="383">
        <f t="shared" si="75"/>
        <v>168857712</v>
      </c>
      <c r="Y79" s="95">
        <f t="shared" si="63"/>
        <v>1.0372952055978775</v>
      </c>
      <c r="Z79" s="499">
        <f>F79+J79+V79</f>
        <v>64723702</v>
      </c>
      <c r="AA79" s="95">
        <f>IF(ISERR(Z79/$Z$11),"",Z79/$Z$11)</f>
        <v>0.11753760973400104</v>
      </c>
      <c r="AB79" s="383">
        <f t="shared" si="76"/>
        <v>341299874</v>
      </c>
      <c r="AC79" s="95">
        <f t="shared" si="65"/>
        <v>0.1014175331144674</v>
      </c>
      <c r="AD79" s="382">
        <f>AD18-AD67</f>
        <v>13117987</v>
      </c>
      <c r="AE79" s="309">
        <f t="shared" si="66"/>
        <v>5.1381526571265226E-2</v>
      </c>
      <c r="AF79" s="383">
        <f>AF18-AF67</f>
        <v>83222691</v>
      </c>
      <c r="AG79" s="95">
        <f t="shared" si="67"/>
        <v>5.5024831228308965E-2</v>
      </c>
      <c r="AH79" s="382">
        <f>AH18-AH67</f>
        <v>7139528</v>
      </c>
      <c r="AI79" s="309">
        <f t="shared" si="77"/>
        <v>0.78762417208497459</v>
      </c>
      <c r="AJ79" s="383">
        <f>AJ18-AJ67</f>
        <v>47002047</v>
      </c>
      <c r="AK79" s="309">
        <f>IF(ISERR(AJ79/$AJ$11),"",AJ79/$AJ$11)</f>
        <v>0.77506990042747859</v>
      </c>
      <c r="AL79" s="382">
        <f t="shared" si="78"/>
        <v>20257515</v>
      </c>
      <c r="AM79" s="95">
        <f t="shared" si="68"/>
        <v>7.6625575630888829E-2</v>
      </c>
      <c r="AN79" s="510">
        <f t="shared" si="79"/>
        <v>130224738</v>
      </c>
      <c r="AO79" s="113"/>
      <c r="AP79" s="382">
        <f t="shared" si="80"/>
        <v>84981217</v>
      </c>
      <c r="AQ79" s="95">
        <f t="shared" si="70"/>
        <v>0.10426709362313526</v>
      </c>
      <c r="AR79" s="515">
        <f t="shared" si="81"/>
        <v>471524612</v>
      </c>
      <c r="AS79" s="95">
        <f>IF(ISERR(AR79/$AR$11),"",AR79/$AR$11)</f>
        <v>9.5481369261085705E-2</v>
      </c>
      <c r="AT79" s="382">
        <f>AT18-AT67</f>
        <v>84824825</v>
      </c>
      <c r="AU79" s="95">
        <f t="shared" si="82"/>
        <v>8.8699498405053201E-2</v>
      </c>
      <c r="AV79" s="383">
        <f>AT79</f>
        <v>84824825</v>
      </c>
      <c r="AW79" s="309">
        <f t="shared" si="83"/>
        <v>1.5164238367727633E-2</v>
      </c>
      <c r="AX79" s="382">
        <f t="shared" si="84"/>
        <v>156392</v>
      </c>
      <c r="AY79" s="95">
        <f t="shared" si="85"/>
        <v>1.0018437055425697</v>
      </c>
      <c r="AZ79" s="383">
        <f t="shared" si="86"/>
        <v>386699787</v>
      </c>
      <c r="BA79" s="309">
        <f t="shared" si="87"/>
        <v>5.5588044183999203</v>
      </c>
    </row>
    <row r="80" spans="1:54">
      <c r="A80" s="26"/>
      <c r="B80" s="26"/>
    </row>
    <row r="81" spans="1:53" s="268" customFormat="1">
      <c r="A81" s="270" t="s">
        <v>85</v>
      </c>
      <c r="B81" s="271"/>
      <c r="C81" s="272"/>
      <c r="D81" s="824"/>
      <c r="E81" s="825"/>
      <c r="F81" s="773">
        <f>'10月'!F83</f>
        <v>6229118</v>
      </c>
      <c r="G81" s="774"/>
      <c r="H81" s="669">
        <f>'6月'!H81</f>
        <v>6712201</v>
      </c>
      <c r="I81" s="670"/>
      <c r="J81" s="667"/>
      <c r="K81" s="668"/>
      <c r="L81" s="669">
        <f>+J81</f>
        <v>0</v>
      </c>
      <c r="M81" s="670"/>
      <c r="N81" s="667"/>
      <c r="O81" s="668"/>
      <c r="P81" s="669">
        <f>+N81</f>
        <v>0</v>
      </c>
      <c r="Q81" s="670"/>
      <c r="R81" s="671"/>
      <c r="S81" s="672"/>
      <c r="T81" s="669">
        <f>+R81</f>
        <v>0</v>
      </c>
      <c r="U81" s="670"/>
      <c r="V81" s="667">
        <f>N81+R81</f>
        <v>0</v>
      </c>
      <c r="W81" s="668"/>
      <c r="X81" s="673">
        <f>P81+T81</f>
        <v>0</v>
      </c>
      <c r="Y81" s="674"/>
      <c r="Z81" s="667">
        <f>F81+J81+N81+R81</f>
        <v>6229118</v>
      </c>
      <c r="AA81" s="668"/>
      <c r="AB81" s="675">
        <f>H81+L81+P81+T81</f>
        <v>6712201</v>
      </c>
      <c r="AC81" s="676"/>
      <c r="AD81" s="671">
        <f>'10月'!AD83</f>
        <v>3655245</v>
      </c>
      <c r="AE81" s="672"/>
      <c r="AF81" s="669">
        <f>'6月'!AF81</f>
        <v>4214746</v>
      </c>
      <c r="AG81" s="670"/>
      <c r="AH81" s="671"/>
      <c r="AI81" s="672"/>
      <c r="AJ81" s="669">
        <f>+AH81</f>
        <v>0</v>
      </c>
      <c r="AK81" s="670"/>
      <c r="AL81" s="671">
        <f>+AD81+AH81</f>
        <v>3655245</v>
      </c>
      <c r="AM81" s="672"/>
      <c r="AN81" s="669">
        <f>AF81+AJ81</f>
        <v>4214746</v>
      </c>
      <c r="AO81" s="670"/>
      <c r="AP81" s="671">
        <f>+AB81+AL81</f>
        <v>10367446</v>
      </c>
      <c r="AQ81" s="672"/>
      <c r="AR81" s="669">
        <f>D81+AB81+AN81</f>
        <v>10926947</v>
      </c>
      <c r="AS81" s="670"/>
      <c r="AT81" s="671">
        <f>'10月'!AT83</f>
        <v>11085127</v>
      </c>
      <c r="AU81" s="672"/>
      <c r="AV81" s="669">
        <f>'6月'!AV81</f>
        <v>10388772</v>
      </c>
      <c r="AW81" s="670"/>
      <c r="AX81" s="671">
        <f>AP81-AT81</f>
        <v>-717681</v>
      </c>
      <c r="AY81" s="677">
        <f>IF(ISERROR(AP81/AT81),"",AP81/AT81)</f>
        <v>0.93525730467499379</v>
      </c>
      <c r="AZ81" s="669">
        <f>AR81-AV81</f>
        <v>538175</v>
      </c>
      <c r="BA81" s="678">
        <f>IF(ISERROR(AR81/AV81),"",AR81/AV81)</f>
        <v>1.051803524035372</v>
      </c>
    </row>
    <row r="82" spans="1:53" s="268" customFormat="1">
      <c r="A82" s="269" t="s">
        <v>86</v>
      </c>
      <c r="B82" s="273"/>
      <c r="C82" s="274"/>
      <c r="D82" s="826"/>
      <c r="E82" s="827"/>
      <c r="F82" s="771">
        <v>2480925</v>
      </c>
      <c r="G82" s="772"/>
      <c r="H82" s="685">
        <f>F82+'10月'!H82</f>
        <v>14578025</v>
      </c>
      <c r="I82" s="686"/>
      <c r="J82" s="683">
        <v>29780</v>
      </c>
      <c r="K82" s="684"/>
      <c r="L82" s="685">
        <f>J82+'10月'!L82</f>
        <v>187676</v>
      </c>
      <c r="M82" s="686"/>
      <c r="N82" s="683">
        <v>61715</v>
      </c>
      <c r="O82" s="684"/>
      <c r="P82" s="685">
        <f>N82+'10月'!P82</f>
        <v>386410</v>
      </c>
      <c r="Q82" s="686"/>
      <c r="R82" s="683"/>
      <c r="S82" s="684"/>
      <c r="T82" s="685">
        <f>R82+'10月'!T82</f>
        <v>0</v>
      </c>
      <c r="U82" s="686"/>
      <c r="V82" s="683">
        <f>N82+R82</f>
        <v>61715</v>
      </c>
      <c r="W82" s="684"/>
      <c r="X82" s="687">
        <f>P82+T82</f>
        <v>386410</v>
      </c>
      <c r="Y82" s="688"/>
      <c r="Z82" s="683">
        <f>F82+J82+N82+R82</f>
        <v>2572420</v>
      </c>
      <c r="AA82" s="684"/>
      <c r="AB82" s="687">
        <f>H82+L82+P82+T82</f>
        <v>15152111</v>
      </c>
      <c r="AC82" s="688"/>
      <c r="AD82" s="683">
        <v>1010006</v>
      </c>
      <c r="AE82" s="684"/>
      <c r="AF82" s="685">
        <f>AD82+'10月'!AF82</f>
        <v>5668913</v>
      </c>
      <c r="AG82" s="686"/>
      <c r="AH82" s="683"/>
      <c r="AI82" s="684"/>
      <c r="AJ82" s="685">
        <f>AH82+'10月'!AJ82</f>
        <v>0</v>
      </c>
      <c r="AK82" s="686"/>
      <c r="AL82" s="683">
        <f>+AD82+AH82</f>
        <v>1010006</v>
      </c>
      <c r="AM82" s="684"/>
      <c r="AN82" s="685">
        <f>AF82+AJ82</f>
        <v>5668913</v>
      </c>
      <c r="AO82" s="686"/>
      <c r="AP82" s="683">
        <f>+AL82+Z82</f>
        <v>3582426</v>
      </c>
      <c r="AQ82" s="684"/>
      <c r="AR82" s="685">
        <f>D82+AB82+AN82</f>
        <v>20821024</v>
      </c>
      <c r="AS82" s="686"/>
      <c r="AT82" s="683">
        <v>3928333</v>
      </c>
      <c r="AU82" s="684"/>
      <c r="AV82" s="685">
        <f>AT82+'10月'!AV82</f>
        <v>24074424</v>
      </c>
      <c r="AW82" s="686"/>
      <c r="AX82" s="683">
        <f>AP82-AT82</f>
        <v>-345907</v>
      </c>
      <c r="AY82" s="689">
        <f>IF(ISERROR(AP82/AT82),"",AP82/AT82)</f>
        <v>0.91194560135304215</v>
      </c>
      <c r="AZ82" s="685">
        <f>AR82-AV82</f>
        <v>-3253400</v>
      </c>
      <c r="BA82" s="690">
        <f>IF(ISERROR(AR82/AV82),"",AR82/AV82)</f>
        <v>0.86486073353198401</v>
      </c>
    </row>
    <row r="83" spans="1:53" s="268" customFormat="1" ht="14.25" thickBot="1">
      <c r="A83" s="275" t="s">
        <v>87</v>
      </c>
      <c r="B83" s="276"/>
      <c r="C83" s="277"/>
      <c r="D83" s="828"/>
      <c r="E83" s="829"/>
      <c r="F83" s="769">
        <f>[6]本社営業!$I$13</f>
        <v>6269628</v>
      </c>
      <c r="G83" s="770"/>
      <c r="H83" s="696">
        <f>+F83</f>
        <v>6269628</v>
      </c>
      <c r="I83" s="697"/>
      <c r="J83" s="694"/>
      <c r="K83" s="695"/>
      <c r="L83" s="696">
        <f>+J83</f>
        <v>0</v>
      </c>
      <c r="M83" s="697"/>
      <c r="N83" s="694"/>
      <c r="O83" s="695"/>
      <c r="P83" s="696">
        <f>+N83</f>
        <v>0</v>
      </c>
      <c r="Q83" s="697"/>
      <c r="R83" s="694"/>
      <c r="S83" s="695"/>
      <c r="T83" s="696">
        <f>+R83</f>
        <v>0</v>
      </c>
      <c r="U83" s="697"/>
      <c r="V83" s="694">
        <f>N83+R83</f>
        <v>0</v>
      </c>
      <c r="W83" s="695"/>
      <c r="X83" s="698">
        <f>P83+T83</f>
        <v>0</v>
      </c>
      <c r="Y83" s="699"/>
      <c r="Z83" s="694">
        <f>F83+J83+N83+R83</f>
        <v>6269628</v>
      </c>
      <c r="AA83" s="695"/>
      <c r="AB83" s="698">
        <f>H83+L83+P83+T83</f>
        <v>6269628</v>
      </c>
      <c r="AC83" s="699"/>
      <c r="AD83" s="694">
        <f>[6]東京事務!$I$13</f>
        <v>3565271</v>
      </c>
      <c r="AE83" s="695"/>
      <c r="AF83" s="696">
        <f>+AD83</f>
        <v>3565271</v>
      </c>
      <c r="AG83" s="697"/>
      <c r="AH83" s="694"/>
      <c r="AI83" s="695"/>
      <c r="AJ83" s="696">
        <f>+AH83</f>
        <v>0</v>
      </c>
      <c r="AK83" s="697"/>
      <c r="AL83" s="694">
        <f>+AD83+AH83</f>
        <v>3565271</v>
      </c>
      <c r="AM83" s="695"/>
      <c r="AN83" s="696">
        <f>AF83+AJ83</f>
        <v>3565271</v>
      </c>
      <c r="AO83" s="697"/>
      <c r="AP83" s="694">
        <f>+AB83+AL83</f>
        <v>9834899</v>
      </c>
      <c r="AQ83" s="695"/>
      <c r="AR83" s="696">
        <f>D83+AB83+AN83</f>
        <v>9834899</v>
      </c>
      <c r="AS83" s="697"/>
      <c r="AT83" s="694">
        <f>[6]全社合計!$G$13</f>
        <v>11210155</v>
      </c>
      <c r="AU83" s="695"/>
      <c r="AV83" s="696">
        <f>AT83</f>
        <v>11210155</v>
      </c>
      <c r="AW83" s="697"/>
      <c r="AX83" s="694">
        <f>AP83-AT83</f>
        <v>-1375256</v>
      </c>
      <c r="AY83" s="700">
        <f>IF(ISERROR(AP83/AT83),"",AP83/AT83)</f>
        <v>0.87732051876178341</v>
      </c>
      <c r="AZ83" s="696">
        <f>AR83-AV83</f>
        <v>-1375256</v>
      </c>
      <c r="BA83" s="701">
        <f>IF(ISERROR(AR83/AV83),"",AR83/AV83)</f>
        <v>0.87732051876178341</v>
      </c>
    </row>
    <row r="84" spans="1:53" ht="14.25" thickTop="1">
      <c r="D84" s="26"/>
      <c r="H84" s="26"/>
      <c r="L84" s="26"/>
      <c r="P84" s="26"/>
      <c r="T84" s="26"/>
      <c r="AL84" s="26"/>
      <c r="AP84" s="26"/>
      <c r="AT84" s="26"/>
      <c r="AX84" s="26"/>
    </row>
    <row r="85" spans="1:53">
      <c r="AL85" s="26"/>
    </row>
    <row r="89" spans="1:53">
      <c r="B89" s="27"/>
      <c r="D89" s="27"/>
      <c r="H89" s="27"/>
      <c r="L89" s="27"/>
      <c r="P89" s="27"/>
      <c r="T89" s="27"/>
      <c r="X89" s="27"/>
      <c r="AB89" s="27"/>
      <c r="AF89" s="27"/>
      <c r="AL89" s="27"/>
      <c r="AP89" s="27"/>
      <c r="AT89" s="27"/>
      <c r="AX89" s="27"/>
    </row>
    <row r="90" spans="1:53">
      <c r="B90" s="27"/>
      <c r="D90" s="27"/>
      <c r="H90" s="27"/>
      <c r="L90" s="27"/>
      <c r="P90" s="27"/>
      <c r="T90" s="27"/>
      <c r="X90" s="27"/>
      <c r="AB90" s="27"/>
      <c r="AF90" s="27"/>
      <c r="AL90" s="27"/>
      <c r="AP90" s="27"/>
      <c r="AT90" s="27"/>
      <c r="AX90" s="27"/>
    </row>
    <row r="91" spans="1:53">
      <c r="B91" s="27"/>
      <c r="D91" s="27"/>
      <c r="H91" s="27"/>
      <c r="L91" s="27"/>
      <c r="P91" s="27"/>
      <c r="T91" s="27"/>
      <c r="X91" s="27"/>
      <c r="AB91" s="27"/>
      <c r="AF91" s="27"/>
      <c r="AL91" s="27"/>
      <c r="AP91" s="27"/>
      <c r="AT91" s="27"/>
      <c r="AX91" s="27"/>
    </row>
    <row r="92" spans="1:53">
      <c r="B92" s="27"/>
      <c r="D92" s="27"/>
      <c r="H92" s="27"/>
      <c r="L92" s="27"/>
      <c r="P92" s="27"/>
      <c r="T92" s="27"/>
      <c r="X92" s="27"/>
      <c r="AB92" s="27"/>
      <c r="AF92" s="27"/>
      <c r="AL92" s="27"/>
      <c r="AP92" s="27"/>
      <c r="AT92" s="27"/>
      <c r="AX92" s="27"/>
    </row>
    <row r="93" spans="1:53">
      <c r="B93" s="27"/>
      <c r="D93" s="27"/>
      <c r="H93" s="27"/>
      <c r="L93" s="27"/>
      <c r="P93" s="27"/>
      <c r="T93" s="27"/>
      <c r="X93" s="27"/>
      <c r="AB93" s="27"/>
      <c r="AF93" s="27"/>
      <c r="AL93" s="27"/>
      <c r="AP93" s="27"/>
      <c r="AT93" s="27"/>
      <c r="AX93" s="27"/>
    </row>
    <row r="94" spans="1:53">
      <c r="B94" s="27"/>
    </row>
    <row r="95" spans="1:53">
      <c r="B95" s="27"/>
    </row>
  </sheetData>
  <mergeCells count="48">
    <mergeCell ref="A2:A5"/>
    <mergeCell ref="B2:E3"/>
    <mergeCell ref="F2:AC2"/>
    <mergeCell ref="AD2:AO2"/>
    <mergeCell ref="AP2:AS3"/>
    <mergeCell ref="B4:C4"/>
    <mergeCell ref="D4:E4"/>
    <mergeCell ref="F4:G4"/>
    <mergeCell ref="H4:I4"/>
    <mergeCell ref="AD4:AE4"/>
    <mergeCell ref="J4:K4"/>
    <mergeCell ref="L4:M4"/>
    <mergeCell ref="N4:O4"/>
    <mergeCell ref="P4:Q4"/>
    <mergeCell ref="R4:S4"/>
    <mergeCell ref="T4:U4"/>
    <mergeCell ref="AX2:BA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T2:AW3"/>
    <mergeCell ref="AX4:AY4"/>
    <mergeCell ref="AZ4:BA4"/>
    <mergeCell ref="D81:E81"/>
    <mergeCell ref="F81:G81"/>
    <mergeCell ref="AH4:AI4"/>
    <mergeCell ref="AJ4:AK4"/>
    <mergeCell ref="AL4:AM4"/>
    <mergeCell ref="AN4:AO4"/>
    <mergeCell ref="AP4:AQ4"/>
    <mergeCell ref="AR4:AS4"/>
    <mergeCell ref="AV4:AW4"/>
    <mergeCell ref="AF4:AG4"/>
    <mergeCell ref="D82:E82"/>
    <mergeCell ref="F82:G82"/>
    <mergeCell ref="D83:E83"/>
    <mergeCell ref="F83:G83"/>
    <mergeCell ref="AT4:AU4"/>
    <mergeCell ref="V4:W4"/>
    <mergeCell ref="X4:Y4"/>
    <mergeCell ref="Z4:AA4"/>
    <mergeCell ref="AB4:AC4"/>
  </mergeCells>
  <phoneticPr fontId="34"/>
  <dataValidations count="2">
    <dataValidation imeMode="off" allowBlank="1" showInputMessage="1" showErrorMessage="1" sqref="B1 AP1 AR1:AT1 AZ1:BA1 AV1:AX1 B6:BA65536" xr:uid="{740902F6-4028-4734-B7C9-D784FF602940}"/>
    <dataValidation imeMode="on" allowBlank="1" showInputMessage="1" showErrorMessage="1" sqref="A2:BA5" xr:uid="{91DDFB9A-863D-47F9-B011-AADDEBA8D0C1}"/>
  </dataValidations>
  <printOptions gridLinesSet="0"/>
  <pageMargins left="0.39370078740157483" right="0.19685039370078741" top="0.39370078740157483" bottom="0.19685039370078741" header="0" footer="0"/>
  <pageSetup paperSize="8" scale="68" orientation="landscape" r:id="rId1"/>
  <headerFooter alignWithMargins="0">
    <oddHeader>&amp;L&amp;D&amp;T&amp;C&amp;"明朝,太字"&amp;16&amp;F&amp;R&amp;"明朝,太字"&amp;A</oddHeader>
    <oddFooter>&amp;C&amp;"明朝,太字"&amp;14&amp;F&amp;R&amp;"明朝,太字"&amp;14&amp;A</oddFooter>
  </headerFooter>
  <colBreaks count="1" manualBreakCount="1">
    <brk id="29" min="1" max="7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792E-CECF-4FB5-A3D6-D5F1D589D7A4}">
  <dimension ref="A1:BB95"/>
  <sheetViews>
    <sheetView view="pageBreakPreview" zoomScale="80" zoomScaleNormal="80" zoomScaleSheetLayoutView="80" workbookViewId="0">
      <pane xSplit="1" ySplit="5" topLeftCell="B6" activePane="bottomRight" state="frozen"/>
      <selection activeCell="B4" sqref="A4:XFD4"/>
      <selection pane="topRight" activeCell="B4" sqref="A4:XFD4"/>
      <selection pane="bottomLeft" activeCell="B4" sqref="A4:XFD4"/>
      <selection pane="bottomRight" activeCell="N14" sqref="N14"/>
    </sheetView>
  </sheetViews>
  <sheetFormatPr defaultRowHeight="13.5"/>
  <cols>
    <col min="1" max="1" width="23.75" style="1" customWidth="1"/>
    <col min="2" max="2" width="11.375" style="1" bestFit="1" customWidth="1"/>
    <col min="3" max="3" width="7.875" style="1" customWidth="1"/>
    <col min="4" max="4" width="12.625" style="1" customWidth="1"/>
    <col min="5" max="5" width="8.25" style="1" customWidth="1"/>
    <col min="6" max="6" width="11.625" style="1" customWidth="1"/>
    <col min="7" max="7" width="8.375" style="1" customWidth="1"/>
    <col min="8" max="8" width="12.625" style="1" customWidth="1"/>
    <col min="9" max="9" width="7.375" style="1" customWidth="1"/>
    <col min="10" max="10" width="11.625" style="1" customWidth="1"/>
    <col min="11" max="11" width="8.375" style="1" customWidth="1"/>
    <col min="12" max="12" width="12.625" style="1" customWidth="1"/>
    <col min="13" max="13" width="7.625" style="1" customWidth="1"/>
    <col min="14" max="14" width="11.625" style="1" customWidth="1"/>
    <col min="15" max="15" width="8.375" style="1" customWidth="1"/>
    <col min="16" max="16" width="12.625" style="1" customWidth="1"/>
    <col min="17" max="17" width="8.625" style="1" customWidth="1"/>
    <col min="18" max="18" width="11.625" style="1" customWidth="1"/>
    <col min="19" max="19" width="8.375" style="1" customWidth="1"/>
    <col min="20" max="20" width="12.625" style="1" customWidth="1"/>
    <col min="21" max="21" width="7.25" style="1" customWidth="1"/>
    <col min="22" max="22" width="11.625" style="1" customWidth="1"/>
    <col min="23" max="23" width="8.375" style="1" customWidth="1"/>
    <col min="24" max="24" width="12.625" style="1" customWidth="1"/>
    <col min="25" max="25" width="7.375" style="1" customWidth="1"/>
    <col min="26" max="26" width="11.625" style="1" customWidth="1"/>
    <col min="27" max="27" width="8.375" style="1" customWidth="1"/>
    <col min="28" max="28" width="12.625" style="1" customWidth="1"/>
    <col min="29" max="29" width="7.375" style="1" customWidth="1"/>
    <col min="30" max="30" width="11.625" style="1" customWidth="1"/>
    <col min="31" max="31" width="8.375" style="1" customWidth="1"/>
    <col min="32" max="32" width="12.625" style="1" customWidth="1"/>
    <col min="33" max="33" width="7.375" style="1" customWidth="1"/>
    <col min="34" max="34" width="11.625" style="1" customWidth="1"/>
    <col min="35" max="35" width="8.375" style="1" customWidth="1"/>
    <col min="36" max="36" width="12.625" style="1" customWidth="1"/>
    <col min="37" max="37" width="8.375" style="1" customWidth="1"/>
    <col min="38" max="38" width="11.625" style="1" customWidth="1"/>
    <col min="39" max="39" width="7.375" style="1" customWidth="1"/>
    <col min="40" max="40" width="12.625" style="1" customWidth="1"/>
    <col min="41" max="41" width="8.375" style="1" customWidth="1"/>
    <col min="42" max="42" width="13.625" style="1" customWidth="1"/>
    <col min="43" max="43" width="7.375" style="1" customWidth="1"/>
    <col min="44" max="44" width="13.625" style="1" customWidth="1"/>
    <col min="45" max="45" width="8.375" style="1" customWidth="1"/>
    <col min="46" max="46" width="13.625" style="1" customWidth="1"/>
    <col min="47" max="47" width="7.375" style="1" customWidth="1"/>
    <col min="48" max="48" width="13.625" style="1" customWidth="1"/>
    <col min="49" max="49" width="8.375" style="1" customWidth="1"/>
    <col min="50" max="50" width="13.625" style="1" customWidth="1"/>
    <col min="51" max="51" width="7.375" style="1" customWidth="1"/>
    <col min="52" max="52" width="13.625" style="1" customWidth="1"/>
    <col min="53" max="53" width="8.375" style="1" customWidth="1"/>
  </cols>
  <sheetData>
    <row r="1" spans="1:54" ht="10.5" customHeight="1" thickBot="1"/>
    <row r="2" spans="1:54" ht="14.25" customHeight="1" thickTop="1">
      <c r="A2" s="798" t="s">
        <v>0</v>
      </c>
      <c r="B2" s="759" t="s">
        <v>71</v>
      </c>
      <c r="C2" s="760"/>
      <c r="D2" s="760"/>
      <c r="E2" s="761"/>
      <c r="F2" s="812" t="s">
        <v>82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4"/>
      <c r="AD2" s="807" t="s">
        <v>83</v>
      </c>
      <c r="AE2" s="808"/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759" t="s">
        <v>81</v>
      </c>
      <c r="AQ2" s="760"/>
      <c r="AR2" s="760"/>
      <c r="AS2" s="761"/>
      <c r="AT2" s="759" t="s">
        <v>88</v>
      </c>
      <c r="AU2" s="760"/>
      <c r="AV2" s="760"/>
      <c r="AW2" s="761"/>
      <c r="AX2" s="759" t="s">
        <v>89</v>
      </c>
      <c r="AY2" s="760"/>
      <c r="AZ2" s="760"/>
      <c r="BA2" s="761"/>
    </row>
    <row r="3" spans="1:54">
      <c r="A3" s="799"/>
      <c r="B3" s="762"/>
      <c r="C3" s="763"/>
      <c r="D3" s="763"/>
      <c r="E3" s="764"/>
      <c r="F3" s="784" t="s">
        <v>73</v>
      </c>
      <c r="G3" s="785"/>
      <c r="H3" s="785"/>
      <c r="I3" s="823"/>
      <c r="J3" s="787" t="s">
        <v>74</v>
      </c>
      <c r="K3" s="787"/>
      <c r="L3" s="787"/>
      <c r="M3" s="787"/>
      <c r="N3" s="788" t="s">
        <v>92</v>
      </c>
      <c r="O3" s="789"/>
      <c r="P3" s="789"/>
      <c r="Q3" s="790"/>
      <c r="R3" s="820" t="s">
        <v>75</v>
      </c>
      <c r="S3" s="789"/>
      <c r="T3" s="789"/>
      <c r="U3" s="790"/>
      <c r="V3" s="789" t="s">
        <v>76</v>
      </c>
      <c r="W3" s="789"/>
      <c r="X3" s="789"/>
      <c r="Y3" s="821"/>
      <c r="Z3" s="816" t="s">
        <v>79</v>
      </c>
      <c r="AA3" s="817"/>
      <c r="AB3" s="817"/>
      <c r="AC3" s="818"/>
      <c r="AD3" s="819" t="s">
        <v>77</v>
      </c>
      <c r="AE3" s="805"/>
      <c r="AF3" s="805"/>
      <c r="AG3" s="805"/>
      <c r="AH3" s="804" t="s">
        <v>78</v>
      </c>
      <c r="AI3" s="805"/>
      <c r="AJ3" s="805"/>
      <c r="AK3" s="806"/>
      <c r="AL3" s="805" t="s">
        <v>80</v>
      </c>
      <c r="AM3" s="805"/>
      <c r="AN3" s="805"/>
      <c r="AO3" s="811"/>
      <c r="AP3" s="762"/>
      <c r="AQ3" s="763"/>
      <c r="AR3" s="763"/>
      <c r="AS3" s="764"/>
      <c r="AT3" s="762"/>
      <c r="AU3" s="763"/>
      <c r="AV3" s="763"/>
      <c r="AW3" s="764"/>
      <c r="AX3" s="762"/>
      <c r="AY3" s="763"/>
      <c r="AZ3" s="763"/>
      <c r="BA3" s="764"/>
    </row>
    <row r="4" spans="1:54" ht="15.95" customHeight="1">
      <c r="A4" s="799"/>
      <c r="B4" s="779">
        <v>46021</v>
      </c>
      <c r="C4" s="776"/>
      <c r="D4" s="780" t="s">
        <v>72</v>
      </c>
      <c r="E4" s="781"/>
      <c r="F4" s="765">
        <v>46021</v>
      </c>
      <c r="G4" s="766"/>
      <c r="H4" s="767" t="s">
        <v>72</v>
      </c>
      <c r="I4" s="822"/>
      <c r="J4" s="797">
        <v>46021</v>
      </c>
      <c r="K4" s="766"/>
      <c r="L4" s="767" t="s">
        <v>72</v>
      </c>
      <c r="M4" s="782"/>
      <c r="N4" s="795">
        <v>46021</v>
      </c>
      <c r="O4" s="766"/>
      <c r="P4" s="767" t="s">
        <v>72</v>
      </c>
      <c r="Q4" s="783"/>
      <c r="R4" s="796">
        <v>46021</v>
      </c>
      <c r="S4" s="766"/>
      <c r="T4" s="767" t="s">
        <v>72</v>
      </c>
      <c r="U4" s="783"/>
      <c r="V4" s="797">
        <v>46021</v>
      </c>
      <c r="W4" s="766"/>
      <c r="X4" s="767" t="s">
        <v>72</v>
      </c>
      <c r="Y4" s="793"/>
      <c r="Z4" s="775">
        <v>46021</v>
      </c>
      <c r="AA4" s="815"/>
      <c r="AB4" s="780" t="s">
        <v>72</v>
      </c>
      <c r="AC4" s="781"/>
      <c r="AD4" s="765">
        <v>46021</v>
      </c>
      <c r="AE4" s="766"/>
      <c r="AF4" s="791" t="s">
        <v>72</v>
      </c>
      <c r="AG4" s="792"/>
      <c r="AH4" s="797">
        <v>46021</v>
      </c>
      <c r="AI4" s="766"/>
      <c r="AJ4" s="767" t="s">
        <v>72</v>
      </c>
      <c r="AK4" s="810"/>
      <c r="AL4" s="775">
        <v>46021</v>
      </c>
      <c r="AM4" s="776"/>
      <c r="AN4" s="780" t="s">
        <v>72</v>
      </c>
      <c r="AO4" s="803"/>
      <c r="AP4" s="777">
        <v>46021</v>
      </c>
      <c r="AQ4" s="778"/>
      <c r="AR4" s="801" t="s">
        <v>72</v>
      </c>
      <c r="AS4" s="802"/>
      <c r="AT4" s="765">
        <v>45656</v>
      </c>
      <c r="AU4" s="766"/>
      <c r="AV4" s="767" t="s">
        <v>72</v>
      </c>
      <c r="AW4" s="768"/>
      <c r="AX4" s="765" t="s">
        <v>90</v>
      </c>
      <c r="AY4" s="766"/>
      <c r="AZ4" s="767" t="s">
        <v>91</v>
      </c>
      <c r="BA4" s="768"/>
    </row>
    <row r="5" spans="1:54" ht="15.95" customHeight="1">
      <c r="A5" s="800"/>
      <c r="B5" s="49" t="s">
        <v>1</v>
      </c>
      <c r="C5" s="50" t="s">
        <v>2</v>
      </c>
      <c r="D5" s="47" t="s">
        <v>1</v>
      </c>
      <c r="E5" s="51" t="s">
        <v>2</v>
      </c>
      <c r="F5" s="2" t="s">
        <v>1</v>
      </c>
      <c r="G5" s="4" t="s">
        <v>2</v>
      </c>
      <c r="H5" s="29" t="s">
        <v>1</v>
      </c>
      <c r="I5" s="335" t="s">
        <v>2</v>
      </c>
      <c r="J5" s="3" t="s">
        <v>1</v>
      </c>
      <c r="K5" s="4" t="s">
        <v>2</v>
      </c>
      <c r="L5" s="29" t="s">
        <v>1</v>
      </c>
      <c r="M5" s="5" t="s">
        <v>2</v>
      </c>
      <c r="N5" s="222" t="s">
        <v>1</v>
      </c>
      <c r="O5" s="4" t="s">
        <v>2</v>
      </c>
      <c r="P5" s="33" t="s">
        <v>1</v>
      </c>
      <c r="Q5" s="72" t="s">
        <v>2</v>
      </c>
      <c r="R5" s="67" t="s">
        <v>1</v>
      </c>
      <c r="S5" s="4" t="s">
        <v>2</v>
      </c>
      <c r="T5" s="33" t="s">
        <v>1</v>
      </c>
      <c r="U5" s="72" t="s">
        <v>2</v>
      </c>
      <c r="V5" s="3" t="s">
        <v>1</v>
      </c>
      <c r="W5" s="4" t="s">
        <v>2</v>
      </c>
      <c r="X5" s="33" t="s">
        <v>1</v>
      </c>
      <c r="Y5" s="223" t="s">
        <v>2</v>
      </c>
      <c r="Z5" s="52" t="s">
        <v>1</v>
      </c>
      <c r="AA5" s="74" t="s">
        <v>2</v>
      </c>
      <c r="AB5" s="76" t="s">
        <v>1</v>
      </c>
      <c r="AC5" s="332" t="s">
        <v>2</v>
      </c>
      <c r="AD5" s="2" t="s">
        <v>1</v>
      </c>
      <c r="AE5" s="4" t="s">
        <v>2</v>
      </c>
      <c r="AF5" s="29" t="s">
        <v>1</v>
      </c>
      <c r="AG5" s="6" t="s">
        <v>2</v>
      </c>
      <c r="AH5" s="3" t="s">
        <v>1</v>
      </c>
      <c r="AI5" s="4" t="s">
        <v>2</v>
      </c>
      <c r="AJ5" s="33" t="s">
        <v>1</v>
      </c>
      <c r="AK5" s="96" t="s">
        <v>2</v>
      </c>
      <c r="AL5" s="114" t="s">
        <v>1</v>
      </c>
      <c r="AM5" s="312" t="s">
        <v>2</v>
      </c>
      <c r="AN5" s="52" t="s">
        <v>1</v>
      </c>
      <c r="AO5" s="115" t="s">
        <v>2</v>
      </c>
      <c r="AP5" s="278" t="s">
        <v>1</v>
      </c>
      <c r="AQ5" s="279" t="s">
        <v>2</v>
      </c>
      <c r="AR5" s="280" t="s">
        <v>1</v>
      </c>
      <c r="AS5" s="281" t="s">
        <v>2</v>
      </c>
      <c r="AT5" s="116" t="s">
        <v>1</v>
      </c>
      <c r="AU5" s="5" t="s">
        <v>2</v>
      </c>
      <c r="AV5" s="33" t="s">
        <v>1</v>
      </c>
      <c r="AW5" s="117" t="s">
        <v>2</v>
      </c>
      <c r="AX5" s="116" t="s">
        <v>1</v>
      </c>
      <c r="AY5" s="5" t="s">
        <v>2</v>
      </c>
      <c r="AZ5" s="33" t="s">
        <v>1</v>
      </c>
      <c r="BA5" s="117" t="s">
        <v>2</v>
      </c>
    </row>
    <row r="6" spans="1:54" ht="15.95" customHeight="1">
      <c r="A6" s="253" t="s">
        <v>3</v>
      </c>
      <c r="B6" s="721"/>
      <c r="C6" s="258" t="str">
        <f t="shared" ref="C6:C11" si="0">IF(ISERR(B6/$B$11),"",B6/$B$11)</f>
        <v/>
      </c>
      <c r="D6" s="723"/>
      <c r="E6" s="118" t="str">
        <f t="shared" ref="E6:E11" si="1">IF(ISERR(D6/$D$11),"",D6/$D$11)</f>
        <v/>
      </c>
      <c r="F6" s="351">
        <f>[7]本社営業!$I$5</f>
        <v>392950770</v>
      </c>
      <c r="G6" s="7">
        <f t="shared" ref="G6:G11" si="2">IF(ISERR(F6/$F$11),"",F6/$F$11)</f>
        <v>0.76991945494441261</v>
      </c>
      <c r="H6" s="354">
        <f>[7]本社営業!$L$5</f>
        <v>2922919006</v>
      </c>
      <c r="I6" s="120">
        <f>IF(ISERR(H6/$H$11),"",H6/$H$11)</f>
        <v>0.79911221525834997</v>
      </c>
      <c r="J6" s="744">
        <f>[7]東大阪!$I$5</f>
        <v>562335</v>
      </c>
      <c r="K6" s="7">
        <f>IF(ISERR(J6/$J$11),"",J6/$J$11)</f>
        <v>6.2897861818318482E-2</v>
      </c>
      <c r="L6" s="354">
        <f>[7]東大阪!$L$5</f>
        <v>3294360</v>
      </c>
      <c r="M6" s="120">
        <f t="shared" ref="M6:M11" si="3">IF(ISERR(L6/$L$11),"",L6/$L$11)</f>
        <v>5.1378279955200043E-2</v>
      </c>
      <c r="N6" s="402">
        <f>[7]南港工場!$I$5</f>
        <v>3368320</v>
      </c>
      <c r="O6" s="7">
        <f t="shared" ref="O6:O11" si="4">IF(ISERR(N6/$N$11),"",N6/$N$11)</f>
        <v>0.12255182953262889</v>
      </c>
      <c r="P6" s="354">
        <f>[7]南港工場!$L$5</f>
        <v>24178077</v>
      </c>
      <c r="Q6" s="203">
        <f t="shared" ref="Q6:Q11" si="5">IF(ISERR(P6/$P$11),"",P6/$P$11)</f>
        <v>0.12707151518266682</v>
      </c>
      <c r="R6" s="436"/>
      <c r="S6" s="7" t="str">
        <f t="shared" ref="S6:S11" si="6">IF(ISERR(R6/$R$11),"",R6/$R$11)</f>
        <v/>
      </c>
      <c r="T6" s="354">
        <f>[7]南港事務!$L$5</f>
        <v>0</v>
      </c>
      <c r="U6" s="203" t="str">
        <f t="shared" ref="U6:U11" si="7">IF(ISERR(T6/$T$11),"",T6/$T$11)</f>
        <v/>
      </c>
      <c r="V6" s="455">
        <f>N6+R6</f>
        <v>3368320</v>
      </c>
      <c r="W6" s="174">
        <f t="shared" ref="W6:W11" si="8">IF(ISERR(V6/$V$11),"",V6/$V$11)</f>
        <v>0.12255182953262889</v>
      </c>
      <c r="X6" s="406">
        <f>P6+T6</f>
        <v>24178077</v>
      </c>
      <c r="Y6" s="224">
        <f t="shared" ref="Y6:Y11" si="9">IF(ISERR(X6/$X$11),"",X6/$X$11)</f>
        <v>0.12707151518266682</v>
      </c>
      <c r="Z6" s="459">
        <f>F6+J6+N6+R6</f>
        <v>396881425</v>
      </c>
      <c r="AA6" s="188">
        <f t="shared" ref="AA6:AA11" si="10">IF(ISERR(Z6/$Z$11),"",Z6/$Z$11)</f>
        <v>0.72581977403395703</v>
      </c>
      <c r="AB6" s="462">
        <f>H6+L6+P6+T6</f>
        <v>2950391443</v>
      </c>
      <c r="AC6" s="119">
        <f t="shared" ref="AC6:AC11" si="11">IF(ISERR(AB6/$AB$11),"",AB6/$AB$11)</f>
        <v>0.75417096646205328</v>
      </c>
      <c r="AD6" s="351">
        <f>[7]東京事務!$I$5</f>
        <v>142461751</v>
      </c>
      <c r="AE6" s="7">
        <f t="shared" ref="AE6:AE11" si="12">IF(ISERR(AD6/$AD$11),"",AD6/$AD$11)</f>
        <v>0.65063500140636543</v>
      </c>
      <c r="AF6" s="354">
        <f>[7]東京事務!$L$5</f>
        <v>1099080299</v>
      </c>
      <c r="AG6" s="80">
        <f t="shared" ref="AG6:AG11" si="13">IF(ISERR(AF6/$AF$11),"",AF6/$AF$11)</f>
        <v>0.63478732068475952</v>
      </c>
      <c r="AH6" s="467">
        <f>[7]東京工場!$I$5</f>
        <v>0</v>
      </c>
      <c r="AI6" s="169">
        <f>IF(ISERR(AH6/$AH$11),"",AH6/$AH$11)</f>
        <v>0</v>
      </c>
      <c r="AJ6" s="354">
        <f>[7]東京工場!$L$5</f>
        <v>0</v>
      </c>
      <c r="AK6" s="97">
        <f t="shared" ref="AK6:AK11" si="14">IF(ISERR(AJ6/$AJ$11),"",AJ6/$AJ$11)</f>
        <v>0</v>
      </c>
      <c r="AL6" s="472">
        <f>AD6+AH6</f>
        <v>142461751</v>
      </c>
      <c r="AM6" s="313">
        <f t="shared" ref="AM6:AM11" si="15">IF(ISERR(AL6/$AL$11),"",AL6/AL$11)</f>
        <v>0.62435039880779031</v>
      </c>
      <c r="AN6" s="477">
        <f>AF6+AJ6</f>
        <v>1099080299</v>
      </c>
      <c r="AO6" s="119">
        <f t="shared" ref="AO6:AO11" si="16">IF(ISERR(AN6/$AN$11),"",AN6/$AN$11)</f>
        <v>0.61016786590691974</v>
      </c>
      <c r="AP6" s="481">
        <f>B6+Z6+AL6</f>
        <v>539343176</v>
      </c>
      <c r="AQ6" s="282">
        <f t="shared" ref="AQ6:AQ11" si="17">IF(ISERR(AP6/$AP$11),"",AP6/$AP$11)</f>
        <v>0.69594434222607948</v>
      </c>
      <c r="AR6" s="486">
        <f>D6+AB6+AN6</f>
        <v>4049471742</v>
      </c>
      <c r="AS6" s="283">
        <f t="shared" ref="AS6:AS11" si="18">IF(ISERR(AR6/$AR$11),"",AR6/$AR$11)</f>
        <v>0.70877061005264252</v>
      </c>
      <c r="AT6" s="573">
        <f>[7]全社合計!$G$5</f>
        <v>609112609</v>
      </c>
      <c r="AU6" s="120">
        <f>IF(ISERR(AT6/$AT$11),"",AT6/$AT$11)</f>
        <v>0.73857498709988056</v>
      </c>
      <c r="AV6" s="577">
        <f>[7]全社合計!$N$5</f>
        <v>4682296264</v>
      </c>
      <c r="AW6" s="121">
        <f>IF(ISERR(AV6/$AV$11),"",AV6/$AV$11)</f>
        <v>0.72950525179987113</v>
      </c>
      <c r="AX6" s="573">
        <f>AP6-AT6</f>
        <v>-69769433</v>
      </c>
      <c r="AY6" s="120">
        <f>IF(ISERROR(AP6/AT6),"",AP6/AT6)</f>
        <v>0.88545725048354729</v>
      </c>
      <c r="AZ6" s="577">
        <f>AR6-AV6</f>
        <v>-632824522</v>
      </c>
      <c r="BA6" s="121">
        <f>IF(ISERROR(AR6/AV6),"",AR6/AV6)</f>
        <v>0.8648473983020909</v>
      </c>
      <c r="BB6" s="8"/>
    </row>
    <row r="7" spans="1:54" ht="15.95" customHeight="1">
      <c r="A7" s="254" t="s">
        <v>53</v>
      </c>
      <c r="B7" s="719"/>
      <c r="C7" s="259" t="str">
        <f t="shared" si="0"/>
        <v/>
      </c>
      <c r="D7" s="723"/>
      <c r="E7" s="122" t="str">
        <f t="shared" si="1"/>
        <v/>
      </c>
      <c r="F7" s="352">
        <f>[7]本社営業!$I$6</f>
        <v>51041649</v>
      </c>
      <c r="G7" s="9">
        <f t="shared" si="2"/>
        <v>0.10000733317698809</v>
      </c>
      <c r="H7" s="355">
        <f>[7]本社営業!$L$6</f>
        <v>284412409</v>
      </c>
      <c r="I7" s="124">
        <f t="shared" ref="I7:I73" si="19">IF(ISERR(H7/$H$11),"",H7/$H$11)</f>
        <v>7.7757005834377155E-2</v>
      </c>
      <c r="J7" s="745">
        <f>[7]東大阪!$I$6</f>
        <v>0</v>
      </c>
      <c r="K7" s="9">
        <f t="shared" ref="K7:K73" si="20">IF(ISERR(J7/$J$11),"",J7/$J$11)</f>
        <v>0</v>
      </c>
      <c r="L7" s="355">
        <f>[7]東大阪!$L$6</f>
        <v>0</v>
      </c>
      <c r="M7" s="124">
        <f t="shared" si="3"/>
        <v>0</v>
      </c>
      <c r="N7" s="403">
        <f>[7]南港工場!$I$6</f>
        <v>0</v>
      </c>
      <c r="O7" s="9">
        <f>IF(ISERR(N7/$N$11),"",N7/$N$11)</f>
        <v>0</v>
      </c>
      <c r="P7" s="355">
        <f>[7]南港工場!$L$6</f>
        <v>0</v>
      </c>
      <c r="Q7" s="204">
        <f t="shared" si="5"/>
        <v>0</v>
      </c>
      <c r="R7" s="437"/>
      <c r="S7" s="9" t="str">
        <f t="shared" si="6"/>
        <v/>
      </c>
      <c r="T7" s="355">
        <f>[7]南港事務!$L$6</f>
        <v>0</v>
      </c>
      <c r="U7" s="204" t="str">
        <f t="shared" si="7"/>
        <v/>
      </c>
      <c r="V7" s="456">
        <f t="shared" ref="V7:V73" si="21">N7+R7</f>
        <v>0</v>
      </c>
      <c r="W7" s="171">
        <f t="shared" si="8"/>
        <v>0</v>
      </c>
      <c r="X7" s="407">
        <f t="shared" ref="X7:X73" si="22">P7+T7</f>
        <v>0</v>
      </c>
      <c r="Y7" s="225">
        <f t="shared" si="9"/>
        <v>0</v>
      </c>
      <c r="Z7" s="460">
        <f t="shared" ref="Z7:Z73" si="23">F7+J7+N7+R7</f>
        <v>51041649</v>
      </c>
      <c r="AA7" s="189">
        <f t="shared" si="10"/>
        <v>9.334535659737804E-2</v>
      </c>
      <c r="AB7" s="463">
        <f t="shared" ref="AB7:AB73" si="24">H7+L7+P7+T7</f>
        <v>284412409</v>
      </c>
      <c r="AC7" s="123">
        <f t="shared" si="11"/>
        <v>7.2700719722542523E-2</v>
      </c>
      <c r="AD7" s="352">
        <f>[7]東京事務!$I$6</f>
        <v>0</v>
      </c>
      <c r="AE7" s="9">
        <f t="shared" si="12"/>
        <v>0</v>
      </c>
      <c r="AF7" s="355">
        <f>[7]東京事務!$L$6</f>
        <v>0</v>
      </c>
      <c r="AG7" s="81">
        <f t="shared" si="13"/>
        <v>0</v>
      </c>
      <c r="AH7" s="468">
        <f>[7]東京工場!$I$6</f>
        <v>0</v>
      </c>
      <c r="AI7" s="170">
        <f t="shared" ref="AI7:AI73" si="25">IF(ISERR(AH7/$AH$11),"",AH7/$AH$11)</f>
        <v>0</v>
      </c>
      <c r="AJ7" s="355">
        <f>[7]東京工場!$L$6</f>
        <v>0</v>
      </c>
      <c r="AK7" s="98">
        <f t="shared" si="14"/>
        <v>0</v>
      </c>
      <c r="AL7" s="473">
        <f t="shared" ref="AL7:AL73" si="26">AD7+AH7</f>
        <v>0</v>
      </c>
      <c r="AM7" s="314">
        <f t="shared" si="15"/>
        <v>0</v>
      </c>
      <c r="AN7" s="478">
        <f t="shared" ref="AN7:AN73" si="27">AF7+AJ7</f>
        <v>0</v>
      </c>
      <c r="AO7" s="123">
        <f t="shared" si="16"/>
        <v>0</v>
      </c>
      <c r="AP7" s="482">
        <f t="shared" ref="AP7:AP73" si="28">B7+Z7+AL7</f>
        <v>51041649</v>
      </c>
      <c r="AQ7" s="284">
        <f t="shared" si="17"/>
        <v>6.5861863874661183E-2</v>
      </c>
      <c r="AR7" s="487">
        <f t="shared" ref="AR7:AR73" si="29">D7+AB7+AN7</f>
        <v>284412409</v>
      </c>
      <c r="AS7" s="285">
        <f t="shared" si="18"/>
        <v>4.9780111944653663E-2</v>
      </c>
      <c r="AT7" s="574">
        <f>[7]全社合計!$G$6</f>
        <v>25998086</v>
      </c>
      <c r="AU7" s="124">
        <f t="shared" ref="AU7:AU73" si="30">IF(ISERR(AT7/$AT$11),"",AT7/$AT$11)</f>
        <v>3.1523786814387854E-2</v>
      </c>
      <c r="AV7" s="578">
        <f>[7]全社合計!$N$6</f>
        <v>208200349</v>
      </c>
      <c r="AW7" s="125">
        <f t="shared" ref="AW7:AW73" si="31">IF(ISERR(AV7/$AV$11),"",AV7/$AV$11)</f>
        <v>3.243776973059688E-2</v>
      </c>
      <c r="AX7" s="574">
        <f t="shared" ref="AX7:AX73" si="32">AP7-AT7</f>
        <v>25043563</v>
      </c>
      <c r="AY7" s="124">
        <f t="shared" ref="AY7:AY73" si="33">IF(ISERROR(AP7/AT7),"",AP7/AT7)</f>
        <v>1.9632848741249644</v>
      </c>
      <c r="AZ7" s="578">
        <f t="shared" ref="AZ7:AZ73" si="34">AR7-AV7</f>
        <v>76212060</v>
      </c>
      <c r="BA7" s="125">
        <f t="shared" ref="BA7:BA73" si="35">IF(ISERROR(AR7/AV7),"",AR7/AV7)</f>
        <v>1.3660515477810271</v>
      </c>
      <c r="BB7" s="8"/>
    </row>
    <row r="8" spans="1:54" ht="15.95" customHeight="1">
      <c r="A8" s="255" t="s">
        <v>4</v>
      </c>
      <c r="B8" s="706"/>
      <c r="C8" s="259" t="str">
        <f t="shared" si="0"/>
        <v/>
      </c>
      <c r="D8" s="723"/>
      <c r="E8" s="122" t="str">
        <f t="shared" si="1"/>
        <v/>
      </c>
      <c r="F8" s="352">
        <f>[7]本社営業!$I$7</f>
        <v>3361709</v>
      </c>
      <c r="G8" s="9">
        <f t="shared" si="2"/>
        <v>6.5866906456544831E-3</v>
      </c>
      <c r="H8" s="356">
        <f>[7]本社営業!$L$7</f>
        <v>13733023</v>
      </c>
      <c r="I8" s="124">
        <f t="shared" si="19"/>
        <v>3.7545434578230225E-3</v>
      </c>
      <c r="J8" s="745">
        <f>[7]東大阪!$I$7</f>
        <v>0</v>
      </c>
      <c r="K8" s="9">
        <f t="shared" si="20"/>
        <v>0</v>
      </c>
      <c r="L8" s="356">
        <f>[7]東大阪!$L$7</f>
        <v>0</v>
      </c>
      <c r="M8" s="124">
        <f t="shared" si="3"/>
        <v>0</v>
      </c>
      <c r="N8" s="403">
        <f>[7]南港工場!$I$7</f>
        <v>15036005</v>
      </c>
      <c r="O8" s="9">
        <f t="shared" si="4"/>
        <v>0.54706498242796275</v>
      </c>
      <c r="P8" s="356">
        <f>[7]南港工場!$L$7</f>
        <v>99880218</v>
      </c>
      <c r="Q8" s="204">
        <f t="shared" si="5"/>
        <v>0.52493548755077057</v>
      </c>
      <c r="R8" s="437"/>
      <c r="S8" s="9" t="str">
        <f t="shared" si="6"/>
        <v/>
      </c>
      <c r="T8" s="356">
        <f>[7]南港事務!$L$7</f>
        <v>0</v>
      </c>
      <c r="U8" s="204" t="str">
        <f t="shared" si="7"/>
        <v/>
      </c>
      <c r="V8" s="456">
        <f t="shared" si="21"/>
        <v>15036005</v>
      </c>
      <c r="W8" s="171">
        <f t="shared" si="8"/>
        <v>0.54706498242796275</v>
      </c>
      <c r="X8" s="408">
        <f t="shared" si="22"/>
        <v>99880218</v>
      </c>
      <c r="Y8" s="225">
        <f t="shared" si="9"/>
        <v>0.52493548755077057</v>
      </c>
      <c r="Z8" s="460">
        <f t="shared" si="23"/>
        <v>18397714</v>
      </c>
      <c r="AA8" s="189">
        <f t="shared" si="10"/>
        <v>3.3645879542539357E-2</v>
      </c>
      <c r="AB8" s="464">
        <f t="shared" si="24"/>
        <v>113613241</v>
      </c>
      <c r="AC8" s="123">
        <f t="shared" si="11"/>
        <v>2.9041504974245607E-2</v>
      </c>
      <c r="AD8" s="352">
        <f>[7]東京事務!$I$7</f>
        <v>116584</v>
      </c>
      <c r="AE8" s="9">
        <f t="shared" si="12"/>
        <v>5.3244909929514844E-4</v>
      </c>
      <c r="AF8" s="356">
        <f>[7]東京事務!$L$7</f>
        <v>1519800</v>
      </c>
      <c r="AG8" s="81">
        <f t="shared" si="13"/>
        <v>8.7777914939834393E-4</v>
      </c>
      <c r="AH8" s="468">
        <f>[7]東京工場!$I$7</f>
        <v>0</v>
      </c>
      <c r="AI8" s="171">
        <f t="shared" si="25"/>
        <v>0</v>
      </c>
      <c r="AJ8" s="356">
        <f>[7]東京工場!$L$7</f>
        <v>0</v>
      </c>
      <c r="AK8" s="99">
        <f t="shared" si="14"/>
        <v>0</v>
      </c>
      <c r="AL8" s="474">
        <f t="shared" si="26"/>
        <v>116584</v>
      </c>
      <c r="AM8" s="314">
        <f t="shared" si="15"/>
        <v>5.109390161476214E-4</v>
      </c>
      <c r="AN8" s="478">
        <f t="shared" si="27"/>
        <v>1519800</v>
      </c>
      <c r="AO8" s="123">
        <f t="shared" si="16"/>
        <v>8.4373555185100855E-4</v>
      </c>
      <c r="AP8" s="483">
        <f t="shared" si="28"/>
        <v>18514298</v>
      </c>
      <c r="AQ8" s="284">
        <f t="shared" si="17"/>
        <v>2.3890023118393212E-2</v>
      </c>
      <c r="AR8" s="487">
        <f t="shared" si="29"/>
        <v>115133041</v>
      </c>
      <c r="AS8" s="285">
        <f t="shared" si="18"/>
        <v>2.0151496517539079E-2</v>
      </c>
      <c r="AT8" s="575">
        <f>[7]全社合計!$G$7</f>
        <v>16433292</v>
      </c>
      <c r="AU8" s="124">
        <f t="shared" si="30"/>
        <v>1.992606662146534E-2</v>
      </c>
      <c r="AV8" s="578">
        <f>[7]全社合計!$N$7</f>
        <v>114197105</v>
      </c>
      <c r="AW8" s="125">
        <f t="shared" si="31"/>
        <v>1.7791994171396864E-2</v>
      </c>
      <c r="AX8" s="575">
        <f t="shared" si="32"/>
        <v>2081006</v>
      </c>
      <c r="AY8" s="124">
        <f t="shared" si="33"/>
        <v>1.1266335436624628</v>
      </c>
      <c r="AZ8" s="578">
        <f t="shared" si="34"/>
        <v>935936</v>
      </c>
      <c r="BA8" s="125">
        <f t="shared" si="35"/>
        <v>1.00819579445556</v>
      </c>
      <c r="BB8" s="11"/>
    </row>
    <row r="9" spans="1:54" ht="15.95" customHeight="1">
      <c r="A9" s="255" t="s">
        <v>5</v>
      </c>
      <c r="B9" s="706"/>
      <c r="C9" s="259" t="str">
        <f t="shared" si="0"/>
        <v/>
      </c>
      <c r="D9" s="723"/>
      <c r="E9" s="122" t="str">
        <f t="shared" si="1"/>
        <v/>
      </c>
      <c r="F9" s="352">
        <f>[7]本社営業!$I$8</f>
        <v>734500</v>
      </c>
      <c r="G9" s="9">
        <f t="shared" si="2"/>
        <v>1.4391264321906559E-3</v>
      </c>
      <c r="H9" s="356">
        <f>[7]本社営業!$L$8</f>
        <v>7399581</v>
      </c>
      <c r="I9" s="124">
        <f>IF(ISERR(H9/$H$11),"",H9/$H$11)</f>
        <v>2.0230104059522466E-3</v>
      </c>
      <c r="J9" s="745">
        <f>[7]東大阪!$I$8</f>
        <v>0</v>
      </c>
      <c r="K9" s="9">
        <f>IF(ISERR(J9/$J$11),"",J9/$J$11)</f>
        <v>0</v>
      </c>
      <c r="L9" s="356">
        <f>[7]東大阪!$L$8</f>
        <v>0</v>
      </c>
      <c r="M9" s="124">
        <f t="shared" si="3"/>
        <v>0</v>
      </c>
      <c r="N9" s="403">
        <f>[7]南港工場!$I$8</f>
        <v>4321162</v>
      </c>
      <c r="O9" s="9">
        <f t="shared" si="4"/>
        <v>0.15721971451847619</v>
      </c>
      <c r="P9" s="356">
        <f>[7]南港工場!$L$8</f>
        <v>30544509</v>
      </c>
      <c r="Q9" s="204">
        <f t="shared" si="5"/>
        <v>0.16053125478674765</v>
      </c>
      <c r="R9" s="437"/>
      <c r="S9" s="9" t="str">
        <f t="shared" si="6"/>
        <v/>
      </c>
      <c r="T9" s="356">
        <f>[7]南港事務!$L$8</f>
        <v>0</v>
      </c>
      <c r="U9" s="204" t="str">
        <f t="shared" si="7"/>
        <v/>
      </c>
      <c r="V9" s="456">
        <f t="shared" si="21"/>
        <v>4321162</v>
      </c>
      <c r="W9" s="171">
        <f t="shared" si="8"/>
        <v>0.15721971451847619</v>
      </c>
      <c r="X9" s="408">
        <f t="shared" si="22"/>
        <v>30544509</v>
      </c>
      <c r="Y9" s="225">
        <f t="shared" si="9"/>
        <v>0.16053125478674765</v>
      </c>
      <c r="Z9" s="460">
        <f t="shared" si="23"/>
        <v>5055662</v>
      </c>
      <c r="AA9" s="189">
        <f t="shared" si="10"/>
        <v>9.2458331866553424E-3</v>
      </c>
      <c r="AB9" s="464">
        <f t="shared" si="24"/>
        <v>37944090</v>
      </c>
      <c r="AC9" s="123">
        <f t="shared" si="11"/>
        <v>9.6991641887781647E-3</v>
      </c>
      <c r="AD9" s="352">
        <f>[7]東京事務!$I$8</f>
        <v>10000</v>
      </c>
      <c r="AE9" s="9">
        <f t="shared" si="12"/>
        <v>4.5670855288474269E-5</v>
      </c>
      <c r="AF9" s="356">
        <f>[7]東京事務!$L$8</f>
        <v>101380</v>
      </c>
      <c r="AG9" s="81">
        <f t="shared" si="13"/>
        <v>5.8553263696541721E-5</v>
      </c>
      <c r="AH9" s="468">
        <f>[7]東京工場!$I$8</f>
        <v>0</v>
      </c>
      <c r="AI9" s="171">
        <f t="shared" si="25"/>
        <v>0</v>
      </c>
      <c r="AJ9" s="356">
        <f>[7]東京工場!$L$8</f>
        <v>0</v>
      </c>
      <c r="AK9" s="99">
        <f t="shared" si="14"/>
        <v>0</v>
      </c>
      <c r="AL9" s="474">
        <f t="shared" si="26"/>
        <v>10000</v>
      </c>
      <c r="AM9" s="314">
        <f t="shared" si="15"/>
        <v>4.3825826541173864E-5</v>
      </c>
      <c r="AN9" s="478">
        <f t="shared" si="27"/>
        <v>101380</v>
      </c>
      <c r="AO9" s="123">
        <f t="shared" si="16"/>
        <v>5.6282346523657886E-5</v>
      </c>
      <c r="AP9" s="483">
        <f t="shared" si="28"/>
        <v>5065662</v>
      </c>
      <c r="AQ9" s="284">
        <f t="shared" si="17"/>
        <v>6.5365039652038655E-3</v>
      </c>
      <c r="AR9" s="487">
        <f t="shared" si="29"/>
        <v>38045470</v>
      </c>
      <c r="AS9" s="285">
        <f t="shared" si="18"/>
        <v>6.6590194226967174E-3</v>
      </c>
      <c r="AT9" s="575">
        <f>[7]全社合計!$G$8</f>
        <v>5704189</v>
      </c>
      <c r="AU9" s="124">
        <f t="shared" si="30"/>
        <v>6.9165721655423491E-3</v>
      </c>
      <c r="AV9" s="578">
        <f>[7]全社合計!$N$8</f>
        <v>40141302</v>
      </c>
      <c r="AW9" s="125">
        <f t="shared" si="31"/>
        <v>6.2540448045183047E-3</v>
      </c>
      <c r="AX9" s="575">
        <f t="shared" si="32"/>
        <v>-638527</v>
      </c>
      <c r="AY9" s="124">
        <f t="shared" si="33"/>
        <v>0.88805998538968467</v>
      </c>
      <c r="AZ9" s="578">
        <f t="shared" si="34"/>
        <v>-2095832</v>
      </c>
      <c r="BA9" s="125">
        <f t="shared" si="35"/>
        <v>0.94778863924244405</v>
      </c>
      <c r="BB9" s="11"/>
    </row>
    <row r="10" spans="1:54" ht="15.95" customHeight="1">
      <c r="A10" s="256" t="s">
        <v>6</v>
      </c>
      <c r="B10" s="720"/>
      <c r="C10" s="260" t="str">
        <f t="shared" si="0"/>
        <v/>
      </c>
      <c r="D10" s="724"/>
      <c r="E10" s="126" t="str">
        <f t="shared" si="1"/>
        <v/>
      </c>
      <c r="F10" s="353">
        <f>[7]本社営業!$I$9</f>
        <v>62290435</v>
      </c>
      <c r="G10" s="12">
        <f t="shared" si="2"/>
        <v>0.1220473948007542</v>
      </c>
      <c r="H10" s="357">
        <f>[7]本社営業!$L$9</f>
        <v>429243810</v>
      </c>
      <c r="I10" s="128">
        <f>IF(ISERR(H10/$H$11),"",H10/$H$11)</f>
        <v>0.11735322504349759</v>
      </c>
      <c r="J10" s="746">
        <f>[7]東大阪!$I$9</f>
        <v>8378112</v>
      </c>
      <c r="K10" s="12">
        <f t="shared" si="20"/>
        <v>0.93710213818168153</v>
      </c>
      <c r="L10" s="357">
        <f>[7]東大阪!$L$9</f>
        <v>60825342</v>
      </c>
      <c r="M10" s="128">
        <f t="shared" si="3"/>
        <v>0.94862172004479994</v>
      </c>
      <c r="N10" s="404">
        <f>[7]南港工場!$I$9</f>
        <v>4759374</v>
      </c>
      <c r="O10" s="12">
        <f t="shared" si="4"/>
        <v>0.17316347352093212</v>
      </c>
      <c r="P10" s="357">
        <f>[7]南港工場!$L$9</f>
        <v>35668611</v>
      </c>
      <c r="Q10" s="205">
        <f t="shared" si="5"/>
        <v>0.18746174247981495</v>
      </c>
      <c r="R10" s="438"/>
      <c r="S10" s="12" t="str">
        <f t="shared" si="6"/>
        <v/>
      </c>
      <c r="T10" s="357">
        <f>[7]南港事務!$L$9</f>
        <v>0</v>
      </c>
      <c r="U10" s="205" t="str">
        <f t="shared" si="7"/>
        <v/>
      </c>
      <c r="V10" s="457">
        <f t="shared" si="21"/>
        <v>4759374</v>
      </c>
      <c r="W10" s="172">
        <f t="shared" si="8"/>
        <v>0.17316347352093212</v>
      </c>
      <c r="X10" s="409">
        <f t="shared" si="22"/>
        <v>35668611</v>
      </c>
      <c r="Y10" s="226">
        <f t="shared" si="9"/>
        <v>0.18746174247981495</v>
      </c>
      <c r="Z10" s="461">
        <f t="shared" si="23"/>
        <v>75427921</v>
      </c>
      <c r="AA10" s="190">
        <f t="shared" si="10"/>
        <v>0.13794315663947024</v>
      </c>
      <c r="AB10" s="465">
        <f t="shared" si="24"/>
        <v>525737763</v>
      </c>
      <c r="AC10" s="127">
        <f t="shared" si="11"/>
        <v>0.13438764465238043</v>
      </c>
      <c r="AD10" s="353">
        <f>[7]東京事務!$I$9</f>
        <v>76369684</v>
      </c>
      <c r="AE10" s="12">
        <f t="shared" si="12"/>
        <v>0.34878687863905089</v>
      </c>
      <c r="AF10" s="357">
        <f>[7]東京事務!$L$9</f>
        <v>630713537</v>
      </c>
      <c r="AG10" s="82">
        <f t="shared" si="13"/>
        <v>0.36427634690214561</v>
      </c>
      <c r="AH10" s="469">
        <f>[7]東京工場!$I$9</f>
        <v>9217940</v>
      </c>
      <c r="AI10" s="172">
        <f t="shared" si="25"/>
        <v>1</v>
      </c>
      <c r="AJ10" s="357">
        <f>[7]東京工場!$L$9</f>
        <v>69860273</v>
      </c>
      <c r="AK10" s="100">
        <f t="shared" si="14"/>
        <v>1</v>
      </c>
      <c r="AL10" s="475">
        <f t="shared" si="26"/>
        <v>85587624</v>
      </c>
      <c r="AM10" s="315">
        <f t="shared" si="15"/>
        <v>0.37509483634952095</v>
      </c>
      <c r="AN10" s="479">
        <f t="shared" si="27"/>
        <v>700573810</v>
      </c>
      <c r="AO10" s="127">
        <f t="shared" si="16"/>
        <v>0.38893211619470563</v>
      </c>
      <c r="AP10" s="484">
        <f t="shared" si="28"/>
        <v>161015545</v>
      </c>
      <c r="AQ10" s="286">
        <f t="shared" si="17"/>
        <v>0.20776726681566227</v>
      </c>
      <c r="AR10" s="488">
        <f t="shared" si="29"/>
        <v>1226311573</v>
      </c>
      <c r="AS10" s="287">
        <f t="shared" si="18"/>
        <v>0.21463876206246799</v>
      </c>
      <c r="AT10" s="576">
        <f>[7]全社合計!$G$9</f>
        <v>167465116</v>
      </c>
      <c r="AU10" s="128">
        <f t="shared" si="30"/>
        <v>0.20305858729872392</v>
      </c>
      <c r="AV10" s="579">
        <f>[7]全社合計!$N$9</f>
        <v>1373619477</v>
      </c>
      <c r="AW10" s="129">
        <f t="shared" si="31"/>
        <v>0.21401093949361685</v>
      </c>
      <c r="AX10" s="576">
        <f t="shared" si="32"/>
        <v>-6449571</v>
      </c>
      <c r="AY10" s="128">
        <f t="shared" si="33"/>
        <v>0.96148707770279751</v>
      </c>
      <c r="AZ10" s="579">
        <f t="shared" si="34"/>
        <v>-147307904</v>
      </c>
      <c r="BA10" s="129">
        <f t="shared" si="35"/>
        <v>0.89275930745993637</v>
      </c>
      <c r="BB10" s="11"/>
    </row>
    <row r="11" spans="1:54" ht="19.899999999999999" customHeight="1">
      <c r="A11" s="62" t="s">
        <v>7</v>
      </c>
      <c r="B11" s="722"/>
      <c r="C11" s="132" t="str">
        <f t="shared" si="0"/>
        <v/>
      </c>
      <c r="D11" s="359"/>
      <c r="E11" s="130" t="str">
        <f t="shared" si="1"/>
        <v/>
      </c>
      <c r="F11" s="358">
        <f>SUM(F6:F10)</f>
        <v>510379063</v>
      </c>
      <c r="G11" s="63">
        <f t="shared" si="2"/>
        <v>1</v>
      </c>
      <c r="H11" s="359">
        <f>SUM(H6:H10)</f>
        <v>3657707829</v>
      </c>
      <c r="I11" s="132">
        <f>IF(ISERR(H11/$H$11),"",H11/$H$11)</f>
        <v>1</v>
      </c>
      <c r="J11" s="747">
        <f>SUM(J6:J10)</f>
        <v>8940447</v>
      </c>
      <c r="K11" s="63">
        <f t="shared" si="20"/>
        <v>1</v>
      </c>
      <c r="L11" s="359">
        <f>SUM(L6:L10)</f>
        <v>64119702</v>
      </c>
      <c r="M11" s="132">
        <f t="shared" si="3"/>
        <v>1</v>
      </c>
      <c r="N11" s="405">
        <f>SUM(N6:N10)</f>
        <v>27484861</v>
      </c>
      <c r="O11" s="63">
        <f t="shared" si="4"/>
        <v>1</v>
      </c>
      <c r="P11" s="359">
        <f>SUM(P6:P10)</f>
        <v>190271415</v>
      </c>
      <c r="Q11" s="206">
        <f t="shared" si="5"/>
        <v>1</v>
      </c>
      <c r="R11" s="439">
        <f>SUM(R6:R10)</f>
        <v>0</v>
      </c>
      <c r="S11" s="63" t="str">
        <f t="shared" si="6"/>
        <v/>
      </c>
      <c r="T11" s="359">
        <f>SUM(T6:T10)</f>
        <v>0</v>
      </c>
      <c r="U11" s="206" t="str">
        <f t="shared" si="7"/>
        <v/>
      </c>
      <c r="V11" s="458">
        <f t="shared" si="21"/>
        <v>27484861</v>
      </c>
      <c r="W11" s="173">
        <f t="shared" si="8"/>
        <v>1</v>
      </c>
      <c r="X11" s="410">
        <f t="shared" si="22"/>
        <v>190271415</v>
      </c>
      <c r="Y11" s="227">
        <f t="shared" si="9"/>
        <v>1</v>
      </c>
      <c r="Z11" s="458">
        <f t="shared" si="23"/>
        <v>546804371</v>
      </c>
      <c r="AA11" s="191">
        <f t="shared" si="10"/>
        <v>1</v>
      </c>
      <c r="AB11" s="410">
        <f t="shared" si="24"/>
        <v>3912098946</v>
      </c>
      <c r="AC11" s="131">
        <f t="shared" si="11"/>
        <v>1</v>
      </c>
      <c r="AD11" s="466">
        <f>SUM(AD6:AD10)</f>
        <v>218958019</v>
      </c>
      <c r="AE11" s="63">
        <f t="shared" si="12"/>
        <v>1</v>
      </c>
      <c r="AF11" s="359">
        <f>SUM(AF6:AF10)</f>
        <v>1731415016</v>
      </c>
      <c r="AG11" s="83">
        <f t="shared" si="13"/>
        <v>1</v>
      </c>
      <c r="AH11" s="470">
        <f>SUM(AH6:AH10)</f>
        <v>9217940</v>
      </c>
      <c r="AI11" s="173">
        <f t="shared" si="25"/>
        <v>1</v>
      </c>
      <c r="AJ11" s="359">
        <f>SUM(AJ6:AJ10)</f>
        <v>69860273</v>
      </c>
      <c r="AK11" s="101">
        <f t="shared" si="14"/>
        <v>1</v>
      </c>
      <c r="AL11" s="476">
        <f t="shared" si="26"/>
        <v>228175959</v>
      </c>
      <c r="AM11" s="316">
        <f t="shared" si="15"/>
        <v>1</v>
      </c>
      <c r="AN11" s="480">
        <f t="shared" si="27"/>
        <v>1801275289</v>
      </c>
      <c r="AO11" s="131">
        <f t="shared" si="16"/>
        <v>1</v>
      </c>
      <c r="AP11" s="485">
        <f t="shared" si="28"/>
        <v>774980330</v>
      </c>
      <c r="AQ11" s="132">
        <f t="shared" si="17"/>
        <v>1</v>
      </c>
      <c r="AR11" s="428">
        <f t="shared" si="29"/>
        <v>5713374235</v>
      </c>
      <c r="AS11" s="131">
        <f t="shared" si="18"/>
        <v>1</v>
      </c>
      <c r="AT11" s="485">
        <f>SUM(AT6:AT10)</f>
        <v>824713292</v>
      </c>
      <c r="AU11" s="132">
        <f t="shared" si="30"/>
        <v>1</v>
      </c>
      <c r="AV11" s="410">
        <f>SUM(AV6:AV10)</f>
        <v>6418454497</v>
      </c>
      <c r="AW11" s="131">
        <f t="shared" si="31"/>
        <v>1</v>
      </c>
      <c r="AX11" s="485">
        <f t="shared" si="32"/>
        <v>-49732962</v>
      </c>
      <c r="AY11" s="132">
        <f t="shared" si="33"/>
        <v>0.93969666491079185</v>
      </c>
      <c r="AZ11" s="410">
        <f t="shared" si="34"/>
        <v>-705080262</v>
      </c>
      <c r="BA11" s="131">
        <f t="shared" si="35"/>
        <v>0.89014796905866422</v>
      </c>
      <c r="BB11" s="13"/>
    </row>
    <row r="12" spans="1:54" ht="15.95" customHeight="1">
      <c r="A12" s="65" t="s">
        <v>8</v>
      </c>
      <c r="B12" s="606"/>
      <c r="C12" s="607"/>
      <c r="D12" s="608"/>
      <c r="E12" s="609"/>
      <c r="F12" s="386">
        <f>[7]本社営業!$I$11</f>
        <v>2597237</v>
      </c>
      <c r="G12" s="610"/>
      <c r="H12" s="608">
        <f>[7]本社営業!$L$11</f>
        <v>17644733</v>
      </c>
      <c r="I12" s="607"/>
      <c r="J12" s="748">
        <f>[7]東大阪!$I$11</f>
        <v>16850</v>
      </c>
      <c r="K12" s="610"/>
      <c r="L12" s="608">
        <f>[7]東大阪!$L$11</f>
        <v>204526</v>
      </c>
      <c r="M12" s="607"/>
      <c r="N12" s="612">
        <f>[7]南港工場!$I$11</f>
        <v>82813</v>
      </c>
      <c r="O12" s="610"/>
      <c r="P12" s="608">
        <f>[7]南港工場!$L$11</f>
        <v>613508</v>
      </c>
      <c r="Q12" s="614"/>
      <c r="R12" s="615"/>
      <c r="S12" s="610"/>
      <c r="T12" s="608">
        <f>[7]南港事務!$L$11</f>
        <v>0</v>
      </c>
      <c r="U12" s="614"/>
      <c r="V12" s="616">
        <f t="shared" si="21"/>
        <v>82813</v>
      </c>
      <c r="W12" s="617"/>
      <c r="X12" s="613">
        <f t="shared" si="22"/>
        <v>613508</v>
      </c>
      <c r="Y12" s="618"/>
      <c r="Z12" s="616">
        <f t="shared" si="23"/>
        <v>2696900</v>
      </c>
      <c r="AA12" s="619"/>
      <c r="AB12" s="613">
        <f t="shared" si="24"/>
        <v>18462767</v>
      </c>
      <c r="AC12" s="620"/>
      <c r="AD12" s="386">
        <f>[7]東京事務!$I$11</f>
        <v>899299</v>
      </c>
      <c r="AE12" s="610"/>
      <c r="AF12" s="608">
        <f>[7]東京事務!$L$11</f>
        <v>7316086</v>
      </c>
      <c r="AG12" s="621"/>
      <c r="AH12" s="622"/>
      <c r="AI12" s="617">
        <f t="shared" si="25"/>
        <v>0</v>
      </c>
      <c r="AJ12" s="608">
        <f>[7]東京工場!$L$11</f>
        <v>0</v>
      </c>
      <c r="AK12" s="623"/>
      <c r="AL12" s="624">
        <f t="shared" si="26"/>
        <v>899299</v>
      </c>
      <c r="AM12" s="625"/>
      <c r="AN12" s="626">
        <f t="shared" si="27"/>
        <v>7316086</v>
      </c>
      <c r="AO12" s="620"/>
      <c r="AP12" s="627">
        <f t="shared" si="28"/>
        <v>3596199</v>
      </c>
      <c r="AQ12" s="628"/>
      <c r="AR12" s="629">
        <f t="shared" si="29"/>
        <v>25778853</v>
      </c>
      <c r="AS12" s="630"/>
      <c r="AT12" s="631">
        <f>[7]全社合計!$G$11</f>
        <v>3264785</v>
      </c>
      <c r="AU12" s="607"/>
      <c r="AV12" s="632">
        <f>[7]全社合計!$N$11</f>
        <v>26664412</v>
      </c>
      <c r="AW12" s="620"/>
      <c r="AX12" s="631">
        <f t="shared" si="32"/>
        <v>331414</v>
      </c>
      <c r="AY12" s="607"/>
      <c r="AZ12" s="632">
        <f t="shared" si="34"/>
        <v>-885559</v>
      </c>
      <c r="BA12" s="620"/>
      <c r="BB12" s="11"/>
    </row>
    <row r="13" spans="1:54" ht="15.95" customHeight="1">
      <c r="A13" s="66" t="s">
        <v>9</v>
      </c>
      <c r="B13" s="636"/>
      <c r="C13" s="637"/>
      <c r="D13" s="638"/>
      <c r="E13" s="639"/>
      <c r="F13" s="640"/>
      <c r="G13" s="641"/>
      <c r="H13" s="638">
        <f>[7]本社営業!$N$12</f>
        <v>0</v>
      </c>
      <c r="I13" s="637"/>
      <c r="J13" s="749"/>
      <c r="K13" s="641"/>
      <c r="L13" s="638">
        <f>[7]東大阪!$L$12</f>
        <v>0</v>
      </c>
      <c r="M13" s="637"/>
      <c r="N13" s="643">
        <f>[7]南港工場!$I$12</f>
        <v>3936133</v>
      </c>
      <c r="O13" s="641"/>
      <c r="P13" s="638">
        <f>[7]南港工場!$L$12</f>
        <v>23115454</v>
      </c>
      <c r="Q13" s="645"/>
      <c r="R13" s="646"/>
      <c r="S13" s="641"/>
      <c r="T13" s="638">
        <f>[7]南港事務!$N$12</f>
        <v>0</v>
      </c>
      <c r="U13" s="645"/>
      <c r="V13" s="647">
        <f t="shared" si="21"/>
        <v>3936133</v>
      </c>
      <c r="W13" s="648"/>
      <c r="X13" s="644">
        <f t="shared" si="22"/>
        <v>23115454</v>
      </c>
      <c r="Y13" s="649"/>
      <c r="Z13" s="647">
        <f t="shared" si="23"/>
        <v>3936133</v>
      </c>
      <c r="AA13" s="650"/>
      <c r="AB13" s="644">
        <f t="shared" si="24"/>
        <v>23115454</v>
      </c>
      <c r="AC13" s="651"/>
      <c r="AD13" s="640"/>
      <c r="AE13" s="641"/>
      <c r="AF13" s="638">
        <f>[7]東京事務!$L$12</f>
        <v>0</v>
      </c>
      <c r="AG13" s="652"/>
      <c r="AH13" s="653"/>
      <c r="AI13" s="648">
        <f t="shared" si="25"/>
        <v>0</v>
      </c>
      <c r="AJ13" s="638">
        <f>[7]東京工場!$L$12</f>
        <v>0</v>
      </c>
      <c r="AK13" s="654"/>
      <c r="AL13" s="655">
        <f t="shared" si="26"/>
        <v>0</v>
      </c>
      <c r="AM13" s="656"/>
      <c r="AN13" s="657">
        <f t="shared" si="27"/>
        <v>0</v>
      </c>
      <c r="AO13" s="651"/>
      <c r="AP13" s="658">
        <f t="shared" si="28"/>
        <v>3936133</v>
      </c>
      <c r="AQ13" s="659"/>
      <c r="AR13" s="660">
        <f t="shared" si="29"/>
        <v>23115454</v>
      </c>
      <c r="AS13" s="661"/>
      <c r="AT13" s="662">
        <f>[7]全社合計!$G$12</f>
        <v>3916802</v>
      </c>
      <c r="AU13" s="637"/>
      <c r="AV13" s="663">
        <f>[7]全社合計!$N$12</f>
        <v>27627662</v>
      </c>
      <c r="AW13" s="651"/>
      <c r="AX13" s="662">
        <f t="shared" si="32"/>
        <v>19331</v>
      </c>
      <c r="AY13" s="637"/>
      <c r="AZ13" s="663">
        <f t="shared" si="34"/>
        <v>-4512208</v>
      </c>
      <c r="BA13" s="651"/>
      <c r="BB13" s="11"/>
    </row>
    <row r="14" spans="1:54" ht="15.95" customHeight="1">
      <c r="A14" s="35" t="s">
        <v>10</v>
      </c>
      <c r="B14" s="705"/>
      <c r="C14" s="258" t="str">
        <f>IF(ISERR(B14/$B$11),"",B14/$B$11)</f>
        <v/>
      </c>
      <c r="D14" s="725"/>
      <c r="E14" s="118" t="str">
        <f>IF(ISERR(D14/$D$11),"",D14/$D$11)</f>
        <v/>
      </c>
      <c r="F14" s="351">
        <f>[7]本社営業!$I$14</f>
        <v>1126191021</v>
      </c>
      <c r="G14" s="7">
        <f>IF(ISERR(F14/$F$11),"",F14/$F$11)</f>
        <v>2.2065776256186278</v>
      </c>
      <c r="H14" s="360">
        <f>[7]本社営業!$L$14</f>
        <v>1205973702</v>
      </c>
      <c r="I14" s="120">
        <f>IF(ISERR(H14/$H$11),"",H14/$H$11)</f>
        <v>0.32970749944500283</v>
      </c>
      <c r="J14" s="744"/>
      <c r="K14" s="7">
        <f t="shared" si="20"/>
        <v>0</v>
      </c>
      <c r="L14" s="360">
        <f>[7]東大阪!$L$14</f>
        <v>0</v>
      </c>
      <c r="M14" s="203">
        <f>IF(ISERR(L14/$L$11),"",L14/$L$11)</f>
        <v>0</v>
      </c>
      <c r="N14" s="402"/>
      <c r="O14" s="7">
        <f>IF(ISERR(N14/$N$11),"",N14/$N$11)</f>
        <v>0</v>
      </c>
      <c r="P14" s="360">
        <f>[7]南港工場!$L$14</f>
        <v>0</v>
      </c>
      <c r="Q14" s="203">
        <f>IF(ISERR(P14/$P$11),"",P14/$P$11)</f>
        <v>0</v>
      </c>
      <c r="R14" s="436"/>
      <c r="S14" s="7" t="str">
        <f>IF(ISERR(R14/$R$11),"",R14/$R$11)</f>
        <v/>
      </c>
      <c r="T14" s="360">
        <f>[7]南港事務!$L$14</f>
        <v>0</v>
      </c>
      <c r="U14" s="203" t="str">
        <f>IF(ISERR(T14/$T$11),"",T14/$T$11)</f>
        <v/>
      </c>
      <c r="V14" s="455">
        <f t="shared" si="21"/>
        <v>0</v>
      </c>
      <c r="W14" s="174">
        <f>IF(ISERR(V14/$V$11),"",V14/$V$11)</f>
        <v>0</v>
      </c>
      <c r="X14" s="421">
        <f t="shared" si="22"/>
        <v>0</v>
      </c>
      <c r="Y14" s="224">
        <f>IF(ISERR(X14/$X$11),"",X14/$X$11)</f>
        <v>0</v>
      </c>
      <c r="Z14" s="459">
        <f t="shared" si="23"/>
        <v>1126191021</v>
      </c>
      <c r="AA14" s="188">
        <f>IF(ISERR(Z14/$Z$11),"",Z14/$Z$11)</f>
        <v>2.0595867200922577</v>
      </c>
      <c r="AB14" s="502">
        <f t="shared" si="24"/>
        <v>1205973702</v>
      </c>
      <c r="AC14" s="119">
        <f>IF(ISERR(AB14/$AB$11),"",AB14/$AB$11)</f>
        <v>0.30826768919867703</v>
      </c>
      <c r="AD14" s="351">
        <f>[7]東京事務!$I$14</f>
        <v>681694060</v>
      </c>
      <c r="AE14" s="7">
        <f>IF(ISERR(AD14/$AD$11),"",AD14/$AD$11)</f>
        <v>3.1133550765272497</v>
      </c>
      <c r="AF14" s="360">
        <f>[7]東京事務!$L$14</f>
        <v>804499700</v>
      </c>
      <c r="AG14" s="80">
        <f>IF(ISERR(AF14/$AF$11),"",AF14/$AF$11)</f>
        <v>0.46464867900856877</v>
      </c>
      <c r="AH14" s="467"/>
      <c r="AI14" s="174">
        <f t="shared" si="25"/>
        <v>0</v>
      </c>
      <c r="AJ14" s="360">
        <f>[7]東京工場!$L$14</f>
        <v>0</v>
      </c>
      <c r="AK14" s="102">
        <f t="shared" ref="AK14:AK77" si="36">IF(ISERR(AJ14/$AJ$11),"",AJ14/$AJ$11)</f>
        <v>0</v>
      </c>
      <c r="AL14" s="506">
        <f t="shared" si="26"/>
        <v>681694060</v>
      </c>
      <c r="AM14" s="313">
        <f>IF(ISERR(AL14/$AL$11),"",AL14/AL$11)</f>
        <v>2.9875805627708569</v>
      </c>
      <c r="AN14" s="477">
        <f>AF14+AJ14</f>
        <v>804499700</v>
      </c>
      <c r="AO14" s="119">
        <f>IF(ISERR(AN14/$AN$11),"",AN14/$AN$11)</f>
        <v>0.44662784467921496</v>
      </c>
      <c r="AP14" s="511">
        <f>B14+Z14+AL14</f>
        <v>1807885081</v>
      </c>
      <c r="AQ14" s="282">
        <f>IF(ISERR(AP14/$AP$11),"",AP14/$AP$11)</f>
        <v>2.3328141515540142</v>
      </c>
      <c r="AR14" s="486">
        <f>D14+AB14+AN14</f>
        <v>2010473402</v>
      </c>
      <c r="AS14" s="283">
        <f>IF(ISERR(AR14/$AR$11),"",AR14/$AR$11)</f>
        <v>0.3518889747644896</v>
      </c>
      <c r="AT14" s="580">
        <f>[7]全社合計!$G$14</f>
        <v>1956303000</v>
      </c>
      <c r="AU14" s="120">
        <f t="shared" si="30"/>
        <v>2.3721007275823074</v>
      </c>
      <c r="AV14" s="577">
        <f>[7]全社合計!$N$14</f>
        <v>1816376496</v>
      </c>
      <c r="AW14" s="121">
        <f t="shared" si="31"/>
        <v>0.28299281343335508</v>
      </c>
      <c r="AX14" s="592">
        <f t="shared" si="32"/>
        <v>-148417919</v>
      </c>
      <c r="AY14" s="120">
        <f t="shared" si="33"/>
        <v>0.9241334706331279</v>
      </c>
      <c r="AZ14" s="577">
        <f t="shared" si="34"/>
        <v>194096906</v>
      </c>
      <c r="BA14" s="121">
        <f t="shared" si="35"/>
        <v>1.1068594019067288</v>
      </c>
      <c r="BB14" s="13"/>
    </row>
    <row r="15" spans="1:54" ht="15.95" customHeight="1">
      <c r="A15" s="35" t="s">
        <v>11</v>
      </c>
      <c r="B15" s="719"/>
      <c r="C15" s="259" t="str">
        <f>IF(ISERR(B15/$B$11),"",B15/$B$11)</f>
        <v/>
      </c>
      <c r="D15" s="726"/>
      <c r="E15" s="122" t="str">
        <f>IF(ISERR(D15/$D$11),"",D15/$D$11)</f>
        <v/>
      </c>
      <c r="F15" s="352">
        <f>[7]本社営業!$I$15</f>
        <v>396639499</v>
      </c>
      <c r="G15" s="9">
        <f>IF(ISERR(F15/$F$11),"",F15/$F$11)</f>
        <v>0.77714688503983553</v>
      </c>
      <c r="H15" s="355">
        <f>[7]本社営業!$L$15</f>
        <v>3048098589</v>
      </c>
      <c r="I15" s="124">
        <f t="shared" si="19"/>
        <v>0.83333572048408677</v>
      </c>
      <c r="J15" s="745">
        <f>[7]東大阪!$I$15</f>
        <v>545485</v>
      </c>
      <c r="K15" s="9">
        <f>IF(ISERR(J15/$J$11),"",J15/$J$11)</f>
        <v>6.1013168580944556E-2</v>
      </c>
      <c r="L15" s="355">
        <f>[7]東大阪!$L$15</f>
        <v>3693306</v>
      </c>
      <c r="M15" s="124">
        <f>IF(ISERR(L15/$L$11),"",L15/$L$11)</f>
        <v>5.7600174124327649E-2</v>
      </c>
      <c r="N15" s="403">
        <f>[7]南港工場!$I$15</f>
        <v>1869468</v>
      </c>
      <c r="O15" s="9">
        <f>IF(ISERR(N15/$N$11),"",N15/$N$11)</f>
        <v>6.8018099127370515E-2</v>
      </c>
      <c r="P15" s="355">
        <f>[7]南港工場!$L$15</f>
        <v>12511778</v>
      </c>
      <c r="Q15" s="204">
        <f>IF(ISERR(P15/$P$11),"",P15/$P$11)</f>
        <v>6.5757528528391923E-2</v>
      </c>
      <c r="R15" s="437"/>
      <c r="S15" s="9" t="str">
        <f>IF(ISERR(R15/$R$11),"",R15/$R$11)</f>
        <v/>
      </c>
      <c r="T15" s="355">
        <f>[7]南港事務!$L$15</f>
        <v>0</v>
      </c>
      <c r="U15" s="204" t="str">
        <f>IF(ISERR(T15/$T$11),"",T15/$T$11)</f>
        <v/>
      </c>
      <c r="V15" s="456">
        <f t="shared" si="21"/>
        <v>1869468</v>
      </c>
      <c r="W15" s="171">
        <f>IF(ISERR(V15/$V$11),"",V15/$V$11)</f>
        <v>6.8018099127370515E-2</v>
      </c>
      <c r="X15" s="407">
        <f t="shared" si="22"/>
        <v>12511778</v>
      </c>
      <c r="Y15" s="225">
        <f>IF(ISERR(X15/$X$11),"",X15/$X$11)</f>
        <v>6.5757528528391923E-2</v>
      </c>
      <c r="Z15" s="460">
        <f t="shared" si="23"/>
        <v>399054452</v>
      </c>
      <c r="AA15" s="189">
        <f>IF(ISERR(Z15/$Z$11),"",Z15/$Z$11)</f>
        <v>0.72979382236869506</v>
      </c>
      <c r="AB15" s="463">
        <f t="shared" si="24"/>
        <v>3064303673</v>
      </c>
      <c r="AC15" s="123">
        <f>IF(ISERR(AB15/$AB$11),"",AB15/$AB$11)</f>
        <v>0.78328889818422298</v>
      </c>
      <c r="AD15" s="352">
        <f>[7]東京事務!$I$15</f>
        <v>197651406</v>
      </c>
      <c r="AE15" s="9">
        <f>IF(ISERR(AD15/$AD$11),"",AD15/$AD$11)</f>
        <v>0.90269087609894749</v>
      </c>
      <c r="AF15" s="355">
        <f>[7]東京事務!$L$15</f>
        <v>1455522088</v>
      </c>
      <c r="AG15" s="81">
        <f>IF(ISERR(AF15/$AF$11),"",AF15/$AF$11)</f>
        <v>0.84065465214840207</v>
      </c>
      <c r="AH15" s="468">
        <f>[7]東京工場!$I$15</f>
        <v>0</v>
      </c>
      <c r="AI15" s="171">
        <f t="shared" si="25"/>
        <v>0</v>
      </c>
      <c r="AJ15" s="355">
        <f>[7]東京工場!$L$15</f>
        <v>0</v>
      </c>
      <c r="AK15" s="99">
        <f t="shared" si="36"/>
        <v>0</v>
      </c>
      <c r="AL15" s="473">
        <f t="shared" si="26"/>
        <v>197651406</v>
      </c>
      <c r="AM15" s="314">
        <f>IF(ISERR(AL15/$AL$11),"",AL15/AL$11)</f>
        <v>0.86622362349751314</v>
      </c>
      <c r="AN15" s="478">
        <f t="shared" si="27"/>
        <v>1455522088</v>
      </c>
      <c r="AO15" s="123">
        <f>IF(ISERR(AN15/$AN$11),"",AN15/$AN$11)</f>
        <v>0.8080508831096278</v>
      </c>
      <c r="AP15" s="482">
        <f t="shared" si="28"/>
        <v>596705858</v>
      </c>
      <c r="AQ15" s="284">
        <f>IF(ISERR(AP15/$AP$11),"",AP15/$AP$11)</f>
        <v>0.76996258472779566</v>
      </c>
      <c r="AR15" s="487">
        <f t="shared" si="29"/>
        <v>4519825761</v>
      </c>
      <c r="AS15" s="285">
        <f>IF(ISERR(AR15/$AR$11),"",AR15/$AR$11)</f>
        <v>0.79109569495932031</v>
      </c>
      <c r="AT15" s="574">
        <f>[7]全社合計!$G$15</f>
        <v>737411328</v>
      </c>
      <c r="AU15" s="124">
        <f t="shared" si="30"/>
        <v>0.89414264951606959</v>
      </c>
      <c r="AV15" s="578">
        <f>[7]全社合計!$N$15</f>
        <v>5561405981</v>
      </c>
      <c r="AW15" s="125">
        <f t="shared" si="31"/>
        <v>0.86647120168872638</v>
      </c>
      <c r="AX15" s="574">
        <f t="shared" si="32"/>
        <v>-140705470</v>
      </c>
      <c r="AY15" s="124">
        <f t="shared" si="33"/>
        <v>0.80918998033076051</v>
      </c>
      <c r="AZ15" s="578">
        <f t="shared" si="34"/>
        <v>-1041580220</v>
      </c>
      <c r="BA15" s="125">
        <f t="shared" si="35"/>
        <v>0.81271278817650483</v>
      </c>
      <c r="BB15" s="11"/>
    </row>
    <row r="16" spans="1:54" ht="15.95" customHeight="1">
      <c r="A16" s="36" t="s">
        <v>12</v>
      </c>
      <c r="B16" s="720"/>
      <c r="C16" s="260" t="str">
        <f>IF(ISERR(B16/$B$11),"",B16/$B$11)</f>
        <v/>
      </c>
      <c r="D16" s="724"/>
      <c r="E16" s="126" t="str">
        <f>IF(ISERR(D16/$D$11),"",D16/$D$11)</f>
        <v/>
      </c>
      <c r="F16" s="353">
        <f>[7]本社営業!$I$16</f>
        <v>1079439128</v>
      </c>
      <c r="G16" s="12">
        <f>IF(ISERR(F16/$F$11),"",F16/$F$11)</f>
        <v>2.1149753315801672</v>
      </c>
      <c r="H16" s="357">
        <f>[7]本社営業!$L$16</f>
        <v>1079439128</v>
      </c>
      <c r="I16" s="128">
        <f t="shared" si="19"/>
        <v>0.29511354609619367</v>
      </c>
      <c r="J16" s="746"/>
      <c r="K16" s="12">
        <f t="shared" si="20"/>
        <v>0</v>
      </c>
      <c r="L16" s="357">
        <f>[7]東大阪!$L$16</f>
        <v>0</v>
      </c>
      <c r="M16" s="128">
        <f t="shared" ref="M16:M78" si="37">IF(ISERR(L16/$L$11),"",L16/$L$11)</f>
        <v>0</v>
      </c>
      <c r="N16" s="404"/>
      <c r="O16" s="12">
        <f>IF(ISERR(N16/$N$11),"",N16/$N$11)</f>
        <v>0</v>
      </c>
      <c r="P16" s="357">
        <f>[7]南港工場!$L$16</f>
        <v>0</v>
      </c>
      <c r="Q16" s="205">
        <f>IF(ISERR(P16/$P$11),"",P16/$P$11)</f>
        <v>0</v>
      </c>
      <c r="R16" s="438"/>
      <c r="S16" s="12" t="str">
        <f>IF(ISERR(R16/$R$11),"",R16/$R$11)</f>
        <v/>
      </c>
      <c r="T16" s="357">
        <f>[7]南港事務!$L$16</f>
        <v>0</v>
      </c>
      <c r="U16" s="205" t="str">
        <f>IF(ISERR(T16/$T$11),"",T16/$T$11)</f>
        <v/>
      </c>
      <c r="V16" s="457">
        <f t="shared" si="21"/>
        <v>0</v>
      </c>
      <c r="W16" s="172">
        <f>IF(ISERR(V16/$V$11),"",V16/$V$11)</f>
        <v>0</v>
      </c>
      <c r="X16" s="409">
        <f t="shared" si="22"/>
        <v>0</v>
      </c>
      <c r="Y16" s="226">
        <f>IF(ISERR(X16/$X$11),"",X16/$X$11)</f>
        <v>0</v>
      </c>
      <c r="Z16" s="461">
        <f t="shared" si="23"/>
        <v>1079439128</v>
      </c>
      <c r="AA16" s="190">
        <f>IF(ISERR(Z16/$Z$11),"",Z16/$Z$11)</f>
        <v>1.9740865019529992</v>
      </c>
      <c r="AB16" s="465">
        <f t="shared" si="24"/>
        <v>1079439128</v>
      </c>
      <c r="AC16" s="127">
        <f>IF(ISERR(AB16/$AB$11),"",AB16/$AB$11)</f>
        <v>0.27592326853176685</v>
      </c>
      <c r="AD16" s="353">
        <f>[7]東京事務!$I$16</f>
        <v>680214956</v>
      </c>
      <c r="AE16" s="12">
        <f>IF(ISERR(AD16/$AD$11),"",AD16/$AD$11)</f>
        <v>3.1065998820531893</v>
      </c>
      <c r="AF16" s="357">
        <f>[7]東京事務!$L$16</f>
        <v>680214956</v>
      </c>
      <c r="AG16" s="82">
        <f>IF(ISERR(AF16/$AF$11),"",AF16/$AF$11)</f>
        <v>0.39286649920102112</v>
      </c>
      <c r="AH16" s="469"/>
      <c r="AI16" s="172">
        <f t="shared" si="25"/>
        <v>0</v>
      </c>
      <c r="AJ16" s="357">
        <f>[7]東京工場!$L$16</f>
        <v>0</v>
      </c>
      <c r="AK16" s="100">
        <f t="shared" si="36"/>
        <v>0</v>
      </c>
      <c r="AL16" s="475">
        <f t="shared" si="26"/>
        <v>680214956</v>
      </c>
      <c r="AM16" s="315">
        <f>IF(ISERR(AL16/$AL$11),"",AL16/AL$11)</f>
        <v>2.9810982672368214</v>
      </c>
      <c r="AN16" s="479">
        <f t="shared" si="27"/>
        <v>680214956</v>
      </c>
      <c r="AO16" s="127">
        <f>IF(ISERR(AN16/$AN$11),"",AN16/$AN$11)</f>
        <v>0.37762964947885874</v>
      </c>
      <c r="AP16" s="484">
        <f t="shared" si="28"/>
        <v>1759654084</v>
      </c>
      <c r="AQ16" s="286">
        <f>IF(ISERR(AP16/$AP$11),"",AP16/$AP$11)</f>
        <v>2.2705790274702844</v>
      </c>
      <c r="AR16" s="488">
        <f t="shared" si="29"/>
        <v>1759654084</v>
      </c>
      <c r="AS16" s="287">
        <f>IF(ISERR(AR16/$AR$11),"",AR16/$AR$11)</f>
        <v>0.30798859161376113</v>
      </c>
      <c r="AT16" s="581">
        <f>[7]全社合計!$G$16</f>
        <v>2010505336</v>
      </c>
      <c r="AU16" s="128">
        <f t="shared" si="30"/>
        <v>2.4378233690454452</v>
      </c>
      <c r="AV16" s="579">
        <f>[7]全社合計!$N$16</f>
        <v>2010505336</v>
      </c>
      <c r="AW16" s="129">
        <f t="shared" si="31"/>
        <v>0.31323823156177466</v>
      </c>
      <c r="AX16" s="576">
        <f t="shared" si="32"/>
        <v>-250851252</v>
      </c>
      <c r="AY16" s="128">
        <f t="shared" si="33"/>
        <v>0.87522975069587183</v>
      </c>
      <c r="AZ16" s="579">
        <f t="shared" si="34"/>
        <v>-250851252</v>
      </c>
      <c r="BA16" s="129">
        <f t="shared" si="35"/>
        <v>0.87522975069587183</v>
      </c>
      <c r="BB16" s="11"/>
    </row>
    <row r="17" spans="1:54" ht="19.899999999999999" customHeight="1">
      <c r="A17" s="60" t="s">
        <v>13</v>
      </c>
      <c r="B17" s="524"/>
      <c r="C17" s="135" t="str">
        <f>IF(ISERR(B17/$B$11),"",B17/$B$11)</f>
        <v/>
      </c>
      <c r="D17" s="385"/>
      <c r="E17" s="133" t="str">
        <f>IF(ISERR(D17/$D$11),"",D17/$D$11)</f>
        <v/>
      </c>
      <c r="F17" s="384">
        <f>F14+F15-F16</f>
        <v>443391392</v>
      </c>
      <c r="G17" s="61">
        <f>IF(ISERR(F17/$F$11),"",F17/$F$11)</f>
        <v>0.86874917907829619</v>
      </c>
      <c r="H17" s="385">
        <f>H14+H15-H16</f>
        <v>3174633163</v>
      </c>
      <c r="I17" s="135">
        <f>IF(ISERR(H17/$H$11),"",H17/$H$11)</f>
        <v>0.86792967383289599</v>
      </c>
      <c r="J17" s="750">
        <f>J14+J15-J16</f>
        <v>545485</v>
      </c>
      <c r="K17" s="61">
        <f t="shared" si="20"/>
        <v>6.1013168580944556E-2</v>
      </c>
      <c r="L17" s="385">
        <f>L14+L15-L16</f>
        <v>3693306</v>
      </c>
      <c r="M17" s="135">
        <f t="shared" si="37"/>
        <v>5.7600174124327649E-2</v>
      </c>
      <c r="N17" s="411">
        <f>N14+N15-N16</f>
        <v>1869468</v>
      </c>
      <c r="O17" s="61">
        <f>IF(ISERR(N17/$N$11),"",N17/$N$11)</f>
        <v>6.8018099127370515E-2</v>
      </c>
      <c r="P17" s="385">
        <f>P14+P15-P16</f>
        <v>12511778</v>
      </c>
      <c r="Q17" s="207">
        <f>IF(ISERR(P17/$P$11),"",P17/$P$11)</f>
        <v>6.5757528528391923E-2</v>
      </c>
      <c r="R17" s="440">
        <f>R14+R15-R16</f>
        <v>0</v>
      </c>
      <c r="S17" s="61" t="str">
        <f>IF(ISERR(R17/$R$11),"",R17/$R$11)</f>
        <v/>
      </c>
      <c r="T17" s="385">
        <f>T14+T15-T16</f>
        <v>0</v>
      </c>
      <c r="U17" s="207" t="str">
        <f>IF(ISERR(T17/$T$11),"",T17/$T$11)</f>
        <v/>
      </c>
      <c r="V17" s="489">
        <f t="shared" si="21"/>
        <v>1869468</v>
      </c>
      <c r="W17" s="175">
        <f>IF(ISERR(V17/$V$11),"",V17/$V$11)</f>
        <v>6.8018099127370515E-2</v>
      </c>
      <c r="X17" s="423">
        <f t="shared" si="22"/>
        <v>12511778</v>
      </c>
      <c r="Y17" s="228">
        <f>IF(ISERR(X17/$X$11),"",X17/$X$11)</f>
        <v>6.5757528528391923E-2</v>
      </c>
      <c r="Z17" s="489">
        <f t="shared" si="23"/>
        <v>445806345</v>
      </c>
      <c r="AA17" s="192">
        <f>IF(ISERR(Z17/$Z$11),"",Z17/$Z$11)</f>
        <v>0.8152940405079534</v>
      </c>
      <c r="AB17" s="423">
        <f t="shared" si="24"/>
        <v>3190838247</v>
      </c>
      <c r="AC17" s="134">
        <f>IF(ISERR(AB17/$AB$11),"",AB17/$AB$11)</f>
        <v>0.81563331885113322</v>
      </c>
      <c r="AD17" s="384">
        <f>AD14+AD15-AD16</f>
        <v>199130510</v>
      </c>
      <c r="AE17" s="331">
        <f>IF(ISERR(AD17/$AD$11),"",AD17/$AD$11)</f>
        <v>0.90944607057300786</v>
      </c>
      <c r="AF17" s="385">
        <f>AF14+AF15-AF16</f>
        <v>1579806832</v>
      </c>
      <c r="AG17" s="330">
        <f>IF(ISERR(AF17/$AF$11),"",AF17/$AF$11)</f>
        <v>0.91243683195594971</v>
      </c>
      <c r="AH17" s="489">
        <f>AH14+AH15-AH16</f>
        <v>0</v>
      </c>
      <c r="AI17" s="194">
        <f t="shared" si="25"/>
        <v>0</v>
      </c>
      <c r="AJ17" s="385">
        <f>AJ14+AJ15-AJ16</f>
        <v>0</v>
      </c>
      <c r="AK17" s="103">
        <f t="shared" si="36"/>
        <v>0</v>
      </c>
      <c r="AL17" s="544">
        <f t="shared" si="26"/>
        <v>199130510</v>
      </c>
      <c r="AM17" s="317">
        <f>IF(ISERR(AL17/$AL$11),"",AL17/AL$11)</f>
        <v>0.87270591903154882</v>
      </c>
      <c r="AN17" s="536">
        <f t="shared" si="27"/>
        <v>1579806832</v>
      </c>
      <c r="AO17" s="134">
        <f>IF(ISERR(AN17/$AN$11),"",AN17/$AN$11)</f>
        <v>0.87704907830998402</v>
      </c>
      <c r="AP17" s="524">
        <f t="shared" si="28"/>
        <v>644936855</v>
      </c>
      <c r="AQ17" s="135">
        <f>IF(ISERR(AP17/$AP$11),"",AP17/$AP$11)</f>
        <v>0.83219770881152555</v>
      </c>
      <c r="AR17" s="516">
        <f t="shared" si="29"/>
        <v>4770645079</v>
      </c>
      <c r="AS17" s="134">
        <f>IF(ISERR(AR17/$AR$11),"",AR17/$AR$11)</f>
        <v>0.83499607811004872</v>
      </c>
      <c r="AT17" s="524">
        <f>AT14+AT15-AT16</f>
        <v>683208992</v>
      </c>
      <c r="AU17" s="135">
        <f t="shared" si="30"/>
        <v>0.82842000805293192</v>
      </c>
      <c r="AV17" s="596">
        <f>AV14+AV15-AV16</f>
        <v>5367277141</v>
      </c>
      <c r="AW17" s="134">
        <f t="shared" si="31"/>
        <v>0.83622578356030686</v>
      </c>
      <c r="AX17" s="524">
        <f t="shared" si="32"/>
        <v>-38272137</v>
      </c>
      <c r="AY17" s="135">
        <f t="shared" si="33"/>
        <v>0.94398180139877319</v>
      </c>
      <c r="AZ17" s="596">
        <f t="shared" si="34"/>
        <v>-596632062</v>
      </c>
      <c r="BA17" s="134">
        <f t="shared" si="35"/>
        <v>0.88883896874964818</v>
      </c>
      <c r="BB17" s="11"/>
    </row>
    <row r="18" spans="1:54" ht="19.899999999999999" customHeight="1">
      <c r="A18" s="55" t="s">
        <v>14</v>
      </c>
      <c r="B18" s="709"/>
      <c r="C18" s="138" t="str">
        <f>IF(ISERR(B18/$B$11),"",B18/$B$11)</f>
        <v/>
      </c>
      <c r="D18" s="376"/>
      <c r="E18" s="136" t="str">
        <f>IF(ISERR(D18/$D$11),"",D18/$D$11)</f>
        <v/>
      </c>
      <c r="F18" s="375">
        <f>F11-F17</f>
        <v>66987671</v>
      </c>
      <c r="G18" s="56">
        <f>IF(ISERR(F18/$F$11),"",F18/$F$11)</f>
        <v>0.13125082092170384</v>
      </c>
      <c r="H18" s="376">
        <f>H11-H17</f>
        <v>483074666</v>
      </c>
      <c r="I18" s="138">
        <f t="shared" si="19"/>
        <v>0.13207032616710404</v>
      </c>
      <c r="J18" s="374">
        <f>J11-J17</f>
        <v>8394962</v>
      </c>
      <c r="K18" s="56">
        <f t="shared" si="20"/>
        <v>0.93898683141905548</v>
      </c>
      <c r="L18" s="376">
        <f>L11-L17</f>
        <v>60426396</v>
      </c>
      <c r="M18" s="138">
        <f t="shared" si="37"/>
        <v>0.94239982587567239</v>
      </c>
      <c r="N18" s="412">
        <f>N11-N17</f>
        <v>25615393</v>
      </c>
      <c r="O18" s="56">
        <f>IF(ISERR(N18/$N$11),"",N18/$N$11)</f>
        <v>0.93198190087262944</v>
      </c>
      <c r="P18" s="376">
        <f>P11-P17</f>
        <v>177759637</v>
      </c>
      <c r="Q18" s="208">
        <f>IF(ISERR(P18/$P$11),"",P18/$P$11)</f>
        <v>0.9342424714716081</v>
      </c>
      <c r="R18" s="441">
        <f>R11-R17</f>
        <v>0</v>
      </c>
      <c r="S18" s="56" t="str">
        <f>IF(ISERR(R18/$R$11),"",R18/$R$11)</f>
        <v/>
      </c>
      <c r="T18" s="376">
        <f>T11-T17</f>
        <v>0</v>
      </c>
      <c r="U18" s="208" t="str">
        <f>IF(ISERR(T18/$T$11),"",T18/$T$11)</f>
        <v/>
      </c>
      <c r="V18" s="490">
        <f t="shared" si="21"/>
        <v>25615393</v>
      </c>
      <c r="W18" s="176">
        <f>IF(ISERR(V18/$V$11),"",V18/$V$11)</f>
        <v>0.93198190087262944</v>
      </c>
      <c r="X18" s="424">
        <f t="shared" si="22"/>
        <v>177759637</v>
      </c>
      <c r="Y18" s="229">
        <f>IF(ISERR(X18/$X$11),"",X18/$X$11)</f>
        <v>0.9342424714716081</v>
      </c>
      <c r="Z18" s="490">
        <f t="shared" si="23"/>
        <v>100998026</v>
      </c>
      <c r="AA18" s="193">
        <f>IF(ISERR(Z18/$Z$11),"",Z18/$Z$11)</f>
        <v>0.18470595949204657</v>
      </c>
      <c r="AB18" s="424">
        <f t="shared" si="24"/>
        <v>721260699</v>
      </c>
      <c r="AC18" s="137">
        <f>IF(ISERR(AB18/$AB$11),"",AB18/$AB$11)</f>
        <v>0.18436668114886684</v>
      </c>
      <c r="AD18" s="375">
        <f>AD11-AD17</f>
        <v>19827509</v>
      </c>
      <c r="AE18" s="56">
        <f>IF(ISERR(AD18/$AD$11),"",AD18/$AD$11)</f>
        <v>9.0553929426992127E-2</v>
      </c>
      <c r="AF18" s="376">
        <f>AF11-AF17</f>
        <v>151608184</v>
      </c>
      <c r="AG18" s="84">
        <f>IF(ISERR(AF18/$AF$11),"",AF18/$AF$11)</f>
        <v>8.7563168044050274E-2</v>
      </c>
      <c r="AH18" s="392">
        <f>AH11-AH17</f>
        <v>9217940</v>
      </c>
      <c r="AI18" s="176">
        <f t="shared" si="25"/>
        <v>1</v>
      </c>
      <c r="AJ18" s="376">
        <f>AJ11-AJ17</f>
        <v>69860273</v>
      </c>
      <c r="AK18" s="104">
        <f t="shared" si="36"/>
        <v>1</v>
      </c>
      <c r="AL18" s="545">
        <f t="shared" si="26"/>
        <v>29045449</v>
      </c>
      <c r="AM18" s="318">
        <f>IF(ISERR(AL18/$AL$11),"",AL18/AL$11)</f>
        <v>0.12729408096845118</v>
      </c>
      <c r="AN18" s="537">
        <f t="shared" si="27"/>
        <v>221468457</v>
      </c>
      <c r="AO18" s="137">
        <f>IF(ISERR(AN18/$AN$11),"",AN18/$AN$11)</f>
        <v>0.12295092169001604</v>
      </c>
      <c r="AP18" s="525">
        <f t="shared" si="28"/>
        <v>130043475</v>
      </c>
      <c r="AQ18" s="305">
        <f>IF(ISERR(AP18/$AP$11),"",AP18/$AP$11)</f>
        <v>0.16780229118847442</v>
      </c>
      <c r="AR18" s="517">
        <f t="shared" si="29"/>
        <v>942729156</v>
      </c>
      <c r="AS18" s="304">
        <f>IF(ISERR(AR18/$AR$11),"",AR18/$AR$11)</f>
        <v>0.16500392188995125</v>
      </c>
      <c r="AT18" s="582">
        <f>AT11-AT17</f>
        <v>141504300</v>
      </c>
      <c r="AU18" s="138">
        <f t="shared" si="30"/>
        <v>0.17157999194706808</v>
      </c>
      <c r="AV18" s="597">
        <f>AV11-AV17</f>
        <v>1051177356</v>
      </c>
      <c r="AW18" s="137">
        <f t="shared" si="31"/>
        <v>0.16377421643969317</v>
      </c>
      <c r="AX18" s="582">
        <f t="shared" si="32"/>
        <v>-11460825</v>
      </c>
      <c r="AY18" s="138">
        <f t="shared" si="33"/>
        <v>0.91900723158236186</v>
      </c>
      <c r="AZ18" s="597">
        <f t="shared" si="34"/>
        <v>-108448200</v>
      </c>
      <c r="BA18" s="137">
        <f t="shared" si="35"/>
        <v>0.89683168175095274</v>
      </c>
      <c r="BB18" s="13"/>
    </row>
    <row r="19" spans="1:54" ht="15.95" customHeight="1">
      <c r="A19" s="37" t="s">
        <v>15</v>
      </c>
      <c r="B19" s="702">
        <f>[7]本部!$I$19</f>
        <v>5756800</v>
      </c>
      <c r="C19" s="258" t="str">
        <f t="shared" ref="C19:C69" si="38">IF(ISERR(B19/$B$11),"",B19/$B$11)</f>
        <v/>
      </c>
      <c r="D19" s="727">
        <f>[7]本部!$L$19</f>
        <v>40297600</v>
      </c>
      <c r="E19" s="118" t="str">
        <f t="shared" ref="E19:E69" si="39">IF(ISERR(D19/$D$11),"",D19/$D$11)</f>
        <v/>
      </c>
      <c r="F19" s="351">
        <f>[7]本社営業!$I$19</f>
        <v>10296219</v>
      </c>
      <c r="G19" s="7">
        <f t="shared" ref="G19:G69" si="40">IF(ISERR(F19/$F$11),"",F19/$F$11)</f>
        <v>2.0173670407792572E-2</v>
      </c>
      <c r="H19" s="361">
        <f>[7]本社営業!$L$19</f>
        <v>71863239</v>
      </c>
      <c r="I19" s="120">
        <f t="shared" si="19"/>
        <v>1.9647069246546973E-2</v>
      </c>
      <c r="J19" s="744">
        <f>[7]東大阪!$I$19</f>
        <v>2012715</v>
      </c>
      <c r="K19" s="7">
        <f t="shared" si="20"/>
        <v>0.22512464980777808</v>
      </c>
      <c r="L19" s="361">
        <f>[7]東大阪!$L$19</f>
        <v>22910925</v>
      </c>
      <c r="M19" s="120">
        <f t="shared" si="37"/>
        <v>0.35731490143232419</v>
      </c>
      <c r="N19" s="402">
        <f>[7]南港工場!$I$19</f>
        <v>7264909</v>
      </c>
      <c r="O19" s="7">
        <f t="shared" ref="O19:O69" si="41">IF(ISERR(N19/$N$11),"",N19/$N$11)</f>
        <v>0.264324021867893</v>
      </c>
      <c r="P19" s="361">
        <f>[7]南港工場!$L$19</f>
        <v>50212846</v>
      </c>
      <c r="Q19" s="203">
        <f t="shared" ref="Q19:Q69" si="42">IF(ISERR(P19/$P$11),"",P19/$P$11)</f>
        <v>0.26390115404355402</v>
      </c>
      <c r="R19" s="436">
        <f>[7]南港事務!$I$19</f>
        <v>2818628</v>
      </c>
      <c r="S19" s="7" t="str">
        <f t="shared" ref="S19:S69" si="43">IF(ISERR(R19/$R$11),"",R19/$R$11)</f>
        <v/>
      </c>
      <c r="T19" s="361">
        <f>[7]南港事務!$L$19</f>
        <v>19603490</v>
      </c>
      <c r="U19" s="203" t="str">
        <f t="shared" ref="U19:U69" si="44">IF(ISERR(T19/$T$11),"",T19/$T$11)</f>
        <v/>
      </c>
      <c r="V19" s="455">
        <f t="shared" si="21"/>
        <v>10083537</v>
      </c>
      <c r="W19" s="174">
        <f t="shared" ref="W19:W69" si="45">IF(ISERR(V19/$V$11),"",V19/$V$11)</f>
        <v>0.36687604132325791</v>
      </c>
      <c r="X19" s="425">
        <f t="shared" si="22"/>
        <v>69816336</v>
      </c>
      <c r="Y19" s="224">
        <f t="shared" ref="Y19:Y69" si="46">IF(ISERR(X19/$X$11),"",X19/$X$11)</f>
        <v>0.36693024015194298</v>
      </c>
      <c r="Z19" s="459">
        <f t="shared" si="23"/>
        <v>22392471</v>
      </c>
      <c r="AA19" s="188">
        <f t="shared" ref="AA19:AA69" si="47">IF(ISERR(Z19/$Z$11),"",Z19/$Z$11)</f>
        <v>4.0951521581746829E-2</v>
      </c>
      <c r="AB19" s="563">
        <f t="shared" si="24"/>
        <v>164590500</v>
      </c>
      <c r="AC19" s="119">
        <f t="shared" ref="AC19:AC69" si="48">IF(ISERR(AB19/$AB$11),"",AB19/$AB$11)</f>
        <v>4.2072172067193929E-2</v>
      </c>
      <c r="AD19" s="351">
        <f>[7]東京事務!$I$19</f>
        <v>3770162</v>
      </c>
      <c r="AE19" s="7">
        <f t="shared" ref="AE19:AE69" si="49">IF(ISERR(AD19/$AD$11),"",AD19/$AD$11)</f>
        <v>1.7218652311610474E-2</v>
      </c>
      <c r="AF19" s="361">
        <f>[7]東京事務!$L$19</f>
        <v>27657455</v>
      </c>
      <c r="AG19" s="80">
        <f t="shared" ref="AG19:AG69" si="50">IF(ISERR(AF19/$AF$11),"",AF19/$AF$11)</f>
        <v>1.5973902700633619E-2</v>
      </c>
      <c r="AH19" s="387">
        <f>[7]東京工場!$I$19</f>
        <v>3938541</v>
      </c>
      <c r="AI19" s="174">
        <f t="shared" si="25"/>
        <v>0.42726910784839128</v>
      </c>
      <c r="AJ19" s="361">
        <f>[7]東京工場!$L$19</f>
        <v>30339016</v>
      </c>
      <c r="AK19" s="102">
        <f t="shared" si="36"/>
        <v>0.43428138335502925</v>
      </c>
      <c r="AL19" s="546">
        <f t="shared" si="26"/>
        <v>7708703</v>
      </c>
      <c r="AM19" s="313">
        <f t="shared" ref="AM19:AM67" si="51">IF(ISERR(AL19/$AL$11),"",AL19/AL$11)</f>
        <v>3.3784028053542664E-2</v>
      </c>
      <c r="AN19" s="477">
        <f t="shared" si="27"/>
        <v>57996471</v>
      </c>
      <c r="AO19" s="119">
        <f t="shared" ref="AO19:AO69" si="52">IF(ISERR(AN19/$AN$11),"",AN19/$AN$11)</f>
        <v>3.2197449970125025E-2</v>
      </c>
      <c r="AP19" s="526">
        <f t="shared" si="28"/>
        <v>35857974</v>
      </c>
      <c r="AQ19" s="282">
        <f t="shared" ref="AQ19:AQ69" si="53">IF(ISERR(AP19/$AP$11),"",AP19/$AP$11)</f>
        <v>4.626952789885648E-2</v>
      </c>
      <c r="AR19" s="486">
        <f t="shared" si="29"/>
        <v>262884571</v>
      </c>
      <c r="AS19" s="283">
        <f t="shared" ref="AS19:AS69" si="54">IF(ISERR(AR19/$AR$11),"",AR19/$AR$11)</f>
        <v>4.6012139269571234E-2</v>
      </c>
      <c r="AT19" s="583">
        <f>[7]全社合計!$G$19</f>
        <v>36286696</v>
      </c>
      <c r="AU19" s="120">
        <f t="shared" si="30"/>
        <v>4.3999164742454522E-2</v>
      </c>
      <c r="AV19" s="577">
        <f>[7]全社合計!$N$19</f>
        <v>260682751</v>
      </c>
      <c r="AW19" s="121">
        <f t="shared" si="31"/>
        <v>4.0614567123883748E-2</v>
      </c>
      <c r="AX19" s="583">
        <f t="shared" si="32"/>
        <v>-428722</v>
      </c>
      <c r="AY19" s="120">
        <f t="shared" si="33"/>
        <v>0.98818514642391253</v>
      </c>
      <c r="AZ19" s="577">
        <f t="shared" si="34"/>
        <v>2201820</v>
      </c>
      <c r="BA19" s="121">
        <f t="shared" si="35"/>
        <v>1.0084463586161863</v>
      </c>
      <c r="BB19" s="11"/>
    </row>
    <row r="20" spans="1:54" ht="15.95" customHeight="1">
      <c r="A20" s="37" t="s">
        <v>16</v>
      </c>
      <c r="B20" s="703">
        <f>[7]本部!$I$20</f>
        <v>56110</v>
      </c>
      <c r="C20" s="259" t="str">
        <f t="shared" si="38"/>
        <v/>
      </c>
      <c r="D20" s="728">
        <f>[7]本部!$L$20</f>
        <v>392770</v>
      </c>
      <c r="E20" s="122" t="str">
        <f t="shared" si="39"/>
        <v/>
      </c>
      <c r="F20" s="352">
        <f>[7]本社営業!$I$20</f>
        <v>259440</v>
      </c>
      <c r="G20" s="9">
        <f t="shared" si="40"/>
        <v>5.0832806203886152E-4</v>
      </c>
      <c r="H20" s="362">
        <f>[7]本社営業!$L$20</f>
        <v>1507026</v>
      </c>
      <c r="I20" s="124">
        <f t="shared" si="19"/>
        <v>4.1201377213663721E-4</v>
      </c>
      <c r="J20" s="745">
        <f>[7]東大阪!$I$20</f>
        <v>163642</v>
      </c>
      <c r="K20" s="9">
        <f t="shared" si="20"/>
        <v>1.8303559094975899E-2</v>
      </c>
      <c r="L20" s="362">
        <f>[7]東大阪!$L$20</f>
        <v>1145494</v>
      </c>
      <c r="M20" s="124">
        <f t="shared" si="37"/>
        <v>1.7864930189475929E-2</v>
      </c>
      <c r="N20" s="403">
        <f>[7]南港工場!$I$20</f>
        <v>241330</v>
      </c>
      <c r="O20" s="9">
        <f t="shared" si="41"/>
        <v>8.7804700922445994E-3</v>
      </c>
      <c r="P20" s="362">
        <f>[7]南港工場!$L$20</f>
        <v>1689310</v>
      </c>
      <c r="Q20" s="204">
        <f t="shared" si="42"/>
        <v>8.8784224367070581E-3</v>
      </c>
      <c r="R20" s="437">
        <f>[7]南港事務!$I$20</f>
        <v>88532</v>
      </c>
      <c r="S20" s="9" t="str">
        <f t="shared" si="43"/>
        <v/>
      </c>
      <c r="T20" s="362">
        <f>[7]南港事務!$L$20</f>
        <v>619724</v>
      </c>
      <c r="U20" s="204" t="str">
        <f t="shared" si="44"/>
        <v/>
      </c>
      <c r="V20" s="456">
        <f t="shared" si="21"/>
        <v>329862</v>
      </c>
      <c r="W20" s="171">
        <f t="shared" si="45"/>
        <v>1.200158880192263E-2</v>
      </c>
      <c r="X20" s="426">
        <f t="shared" si="22"/>
        <v>2309034</v>
      </c>
      <c r="Y20" s="225">
        <f t="shared" si="46"/>
        <v>1.2135475000277892E-2</v>
      </c>
      <c r="Z20" s="460">
        <f t="shared" si="23"/>
        <v>752944</v>
      </c>
      <c r="AA20" s="189">
        <f t="shared" si="47"/>
        <v>1.376989724173218E-3</v>
      </c>
      <c r="AB20" s="564">
        <f t="shared" si="24"/>
        <v>4961554</v>
      </c>
      <c r="AC20" s="123">
        <f t="shared" si="48"/>
        <v>1.268258821795148E-3</v>
      </c>
      <c r="AD20" s="352">
        <f>[7]東京事務!$I$20</f>
        <v>86532</v>
      </c>
      <c r="AE20" s="9">
        <f t="shared" si="49"/>
        <v>3.9519904498222557E-4</v>
      </c>
      <c r="AF20" s="362">
        <f>[7]東京事務!$L$20</f>
        <v>690990</v>
      </c>
      <c r="AG20" s="81">
        <f t="shared" si="50"/>
        <v>3.9908975815420558E-4</v>
      </c>
      <c r="AH20" s="388">
        <f>[7]東京工場!$I$20</f>
        <v>111220</v>
      </c>
      <c r="AI20" s="171">
        <f t="shared" si="25"/>
        <v>1.2065602509888326E-2</v>
      </c>
      <c r="AJ20" s="362">
        <f>[7]東京工場!$L$20</f>
        <v>784806</v>
      </c>
      <c r="AK20" s="99">
        <f t="shared" si="36"/>
        <v>1.1233938350054829E-2</v>
      </c>
      <c r="AL20" s="547">
        <f t="shared" si="26"/>
        <v>197752</v>
      </c>
      <c r="AM20" s="314">
        <f t="shared" si="51"/>
        <v>8.666644850170214E-4</v>
      </c>
      <c r="AN20" s="478">
        <f t="shared" si="27"/>
        <v>1475796</v>
      </c>
      <c r="AO20" s="123">
        <f t="shared" si="52"/>
        <v>8.1930619323563041E-4</v>
      </c>
      <c r="AP20" s="527">
        <f t="shared" si="28"/>
        <v>1006806</v>
      </c>
      <c r="AQ20" s="284">
        <f t="shared" si="53"/>
        <v>1.2991374890766582E-3</v>
      </c>
      <c r="AR20" s="487">
        <f t="shared" si="29"/>
        <v>6830120</v>
      </c>
      <c r="AS20" s="285">
        <f t="shared" si="54"/>
        <v>1.1954616867487589E-3</v>
      </c>
      <c r="AT20" s="584">
        <f>[7]全社合計!$G$20</f>
        <v>1046228</v>
      </c>
      <c r="AU20" s="124">
        <f t="shared" si="30"/>
        <v>1.2685960201548442E-3</v>
      </c>
      <c r="AV20" s="578">
        <f>[7]全社合計!$N$20</f>
        <v>7397996</v>
      </c>
      <c r="AW20" s="125">
        <f t="shared" si="31"/>
        <v>1.15261329708855E-3</v>
      </c>
      <c r="AX20" s="584">
        <f t="shared" si="32"/>
        <v>-39422</v>
      </c>
      <c r="AY20" s="124">
        <f t="shared" si="33"/>
        <v>0.96231987673814889</v>
      </c>
      <c r="AZ20" s="578">
        <f t="shared" si="34"/>
        <v>-567876</v>
      </c>
      <c r="BA20" s="125">
        <f t="shared" si="35"/>
        <v>0.92323921234885775</v>
      </c>
      <c r="BB20" s="11"/>
    </row>
    <row r="21" spans="1:54" ht="15.95" customHeight="1">
      <c r="A21" s="37" t="s">
        <v>17</v>
      </c>
      <c r="B21" s="703">
        <f>[7]本部!$I$21</f>
        <v>0</v>
      </c>
      <c r="C21" s="259" t="str">
        <f t="shared" si="38"/>
        <v/>
      </c>
      <c r="D21" s="728">
        <f>[7]本部!$L$21</f>
        <v>0</v>
      </c>
      <c r="E21" s="122" t="str">
        <f t="shared" si="39"/>
        <v/>
      </c>
      <c r="F21" s="352">
        <f>[7]本社営業!$I$21</f>
        <v>0</v>
      </c>
      <c r="G21" s="9">
        <f t="shared" si="40"/>
        <v>0</v>
      </c>
      <c r="H21" s="362">
        <f>[7]本社営業!$L$21</f>
        <v>0</v>
      </c>
      <c r="I21" s="124">
        <f t="shared" si="19"/>
        <v>0</v>
      </c>
      <c r="J21" s="745">
        <f>[7]東大阪!$I$21</f>
        <v>0</v>
      </c>
      <c r="K21" s="9">
        <f t="shared" si="20"/>
        <v>0</v>
      </c>
      <c r="L21" s="362">
        <f>[7]東大阪!$L$21</f>
        <v>0</v>
      </c>
      <c r="M21" s="124">
        <f t="shared" si="37"/>
        <v>0</v>
      </c>
      <c r="N21" s="403">
        <f>[7]南港工場!$I$21</f>
        <v>0</v>
      </c>
      <c r="O21" s="9">
        <f t="shared" si="41"/>
        <v>0</v>
      </c>
      <c r="P21" s="362">
        <f>[7]南港工場!$L$21</f>
        <v>0</v>
      </c>
      <c r="Q21" s="204">
        <f t="shared" si="42"/>
        <v>0</v>
      </c>
      <c r="R21" s="437">
        <f>[7]南港事務!$I$21</f>
        <v>0</v>
      </c>
      <c r="S21" s="9" t="str">
        <f t="shared" si="43"/>
        <v/>
      </c>
      <c r="T21" s="362">
        <f>[7]南港事務!$L$21</f>
        <v>0</v>
      </c>
      <c r="U21" s="204" t="str">
        <f t="shared" si="44"/>
        <v/>
      </c>
      <c r="V21" s="456">
        <f t="shared" si="21"/>
        <v>0</v>
      </c>
      <c r="W21" s="171">
        <f t="shared" si="45"/>
        <v>0</v>
      </c>
      <c r="X21" s="426">
        <f t="shared" si="22"/>
        <v>0</v>
      </c>
      <c r="Y21" s="225">
        <f t="shared" si="46"/>
        <v>0</v>
      </c>
      <c r="Z21" s="460">
        <f t="shared" si="23"/>
        <v>0</v>
      </c>
      <c r="AA21" s="189">
        <f t="shared" si="47"/>
        <v>0</v>
      </c>
      <c r="AB21" s="564">
        <f t="shared" si="24"/>
        <v>0</v>
      </c>
      <c r="AC21" s="123">
        <f t="shared" si="48"/>
        <v>0</v>
      </c>
      <c r="AD21" s="352">
        <f>[7]東京事務!$I$21</f>
        <v>0</v>
      </c>
      <c r="AE21" s="9">
        <f t="shared" si="49"/>
        <v>0</v>
      </c>
      <c r="AF21" s="362">
        <f>[7]東京事務!$L$21</f>
        <v>0</v>
      </c>
      <c r="AG21" s="81">
        <f t="shared" si="50"/>
        <v>0</v>
      </c>
      <c r="AH21" s="388">
        <f>[7]東京工場!$I$21</f>
        <v>0</v>
      </c>
      <c r="AI21" s="171">
        <f t="shared" si="25"/>
        <v>0</v>
      </c>
      <c r="AJ21" s="362">
        <f>[7]東京工場!$L$21</f>
        <v>0</v>
      </c>
      <c r="AK21" s="99">
        <f t="shared" si="36"/>
        <v>0</v>
      </c>
      <c r="AL21" s="547">
        <f t="shared" si="26"/>
        <v>0</v>
      </c>
      <c r="AM21" s="314">
        <f t="shared" si="51"/>
        <v>0</v>
      </c>
      <c r="AN21" s="478">
        <f t="shared" si="27"/>
        <v>0</v>
      </c>
      <c r="AO21" s="123">
        <f t="shared" si="52"/>
        <v>0</v>
      </c>
      <c r="AP21" s="527">
        <f t="shared" si="28"/>
        <v>0</v>
      </c>
      <c r="AQ21" s="284">
        <f t="shared" si="53"/>
        <v>0</v>
      </c>
      <c r="AR21" s="487">
        <f t="shared" si="29"/>
        <v>0</v>
      </c>
      <c r="AS21" s="285">
        <f t="shared" si="54"/>
        <v>0</v>
      </c>
      <c r="AT21" s="584">
        <f>[7]全社合計!$G$21</f>
        <v>1016010</v>
      </c>
      <c r="AU21" s="124">
        <f t="shared" si="30"/>
        <v>1.2319554078437237E-3</v>
      </c>
      <c r="AV21" s="578">
        <f>[7]全社合計!$N$21</f>
        <v>3051217</v>
      </c>
      <c r="AW21" s="125">
        <f t="shared" si="31"/>
        <v>4.7538188537850438E-4</v>
      </c>
      <c r="AX21" s="584">
        <f t="shared" si="32"/>
        <v>-1016010</v>
      </c>
      <c r="AY21" s="124">
        <f t="shared" si="33"/>
        <v>0</v>
      </c>
      <c r="AZ21" s="578">
        <f t="shared" si="34"/>
        <v>-3051217</v>
      </c>
      <c r="BA21" s="125">
        <f t="shared" si="35"/>
        <v>0</v>
      </c>
      <c r="BB21" s="11"/>
    </row>
    <row r="22" spans="1:54" ht="15.95" customHeight="1">
      <c r="A22" s="37" t="s">
        <v>18</v>
      </c>
      <c r="B22" s="703">
        <f>[7]本部!$I$22</f>
        <v>361534</v>
      </c>
      <c r="C22" s="259" t="str">
        <f t="shared" si="38"/>
        <v/>
      </c>
      <c r="D22" s="728">
        <f>[7]本部!$L$22</f>
        <v>2824244</v>
      </c>
      <c r="E22" s="122" t="str">
        <f t="shared" si="39"/>
        <v/>
      </c>
      <c r="F22" s="352">
        <f>[7]本社営業!$I$22</f>
        <v>1177272</v>
      </c>
      <c r="G22" s="9">
        <f t="shared" si="40"/>
        <v>2.3066620191667226E-3</v>
      </c>
      <c r="H22" s="362">
        <f>[7]本社営業!$L$22</f>
        <v>9660049</v>
      </c>
      <c r="I22" s="124">
        <f t="shared" si="19"/>
        <v>2.6410116530934105E-3</v>
      </c>
      <c r="J22" s="745">
        <f>[7]東大阪!$I$22</f>
        <v>669138</v>
      </c>
      <c r="K22" s="9">
        <f t="shared" si="20"/>
        <v>7.4843908811270843E-2</v>
      </c>
      <c r="L22" s="362">
        <f>[7]東大阪!$L$22</f>
        <v>5956576</v>
      </c>
      <c r="M22" s="124">
        <f t="shared" si="37"/>
        <v>9.289774927525396E-2</v>
      </c>
      <c r="N22" s="403">
        <f>[7]南港工場!$I$22</f>
        <v>887604</v>
      </c>
      <c r="O22" s="9">
        <f t="shared" si="41"/>
        <v>3.2294287389701554E-2</v>
      </c>
      <c r="P22" s="362">
        <f>[7]南港工場!$L$22</f>
        <v>8129078</v>
      </c>
      <c r="Q22" s="204">
        <f t="shared" si="42"/>
        <v>4.2723590403739839E-2</v>
      </c>
      <c r="R22" s="437">
        <f>[7]南港事務!$I$22</f>
        <v>370086</v>
      </c>
      <c r="S22" s="9" t="str">
        <f t="shared" si="43"/>
        <v/>
      </c>
      <c r="T22" s="362">
        <f>[7]南港事務!$L$22</f>
        <v>3307325</v>
      </c>
      <c r="U22" s="204" t="str">
        <f t="shared" si="44"/>
        <v/>
      </c>
      <c r="V22" s="456">
        <f t="shared" si="21"/>
        <v>1257690</v>
      </c>
      <c r="W22" s="171">
        <f t="shared" si="45"/>
        <v>4.5759372768885385E-2</v>
      </c>
      <c r="X22" s="426">
        <f t="shared" si="22"/>
        <v>11436403</v>
      </c>
      <c r="Y22" s="225">
        <f t="shared" si="46"/>
        <v>6.0105733696257005E-2</v>
      </c>
      <c r="Z22" s="460">
        <f t="shared" si="23"/>
        <v>3104100</v>
      </c>
      <c r="AA22" s="189">
        <f t="shared" si="47"/>
        <v>5.6768017313453406E-3</v>
      </c>
      <c r="AB22" s="564">
        <f t="shared" si="24"/>
        <v>27053028</v>
      </c>
      <c r="AC22" s="123">
        <f t="shared" si="48"/>
        <v>6.9152207992236193E-3</v>
      </c>
      <c r="AD22" s="352">
        <f>[7]東京事務!$I$22</f>
        <v>458706</v>
      </c>
      <c r="AE22" s="9">
        <f t="shared" si="49"/>
        <v>2.0949495345954877E-3</v>
      </c>
      <c r="AF22" s="362">
        <f>[7]東京事務!$L$22</f>
        <v>4159057</v>
      </c>
      <c r="AG22" s="81">
        <f t="shared" si="50"/>
        <v>2.4021144333196656E-3</v>
      </c>
      <c r="AH22" s="388">
        <f>[7]東京工場!$I$22</f>
        <v>497412</v>
      </c>
      <c r="AI22" s="171">
        <f t="shared" si="25"/>
        <v>5.3961297209571768E-2</v>
      </c>
      <c r="AJ22" s="362">
        <f>[7]東京工場!$L$22</f>
        <v>4753551</v>
      </c>
      <c r="AK22" s="99">
        <f t="shared" si="36"/>
        <v>6.8043693445057105E-2</v>
      </c>
      <c r="AL22" s="547">
        <f t="shared" si="26"/>
        <v>956118</v>
      </c>
      <c r="AM22" s="314">
        <f t="shared" si="51"/>
        <v>4.1902661620894077E-3</v>
      </c>
      <c r="AN22" s="478">
        <f t="shared" si="27"/>
        <v>8912608</v>
      </c>
      <c r="AO22" s="123">
        <f t="shared" si="52"/>
        <v>4.9479433012973506E-3</v>
      </c>
      <c r="AP22" s="527">
        <f t="shared" si="28"/>
        <v>4421752</v>
      </c>
      <c r="AQ22" s="284">
        <f t="shared" si="53"/>
        <v>5.7056312642154413E-3</v>
      </c>
      <c r="AR22" s="487">
        <f t="shared" si="29"/>
        <v>38789880</v>
      </c>
      <c r="AS22" s="285">
        <f t="shared" si="54"/>
        <v>6.7893119555120481E-3</v>
      </c>
      <c r="AT22" s="584">
        <f>[7]全社合計!$G$22</f>
        <v>4342415</v>
      </c>
      <c r="AU22" s="124">
        <f t="shared" si="30"/>
        <v>5.2653631778739416E-3</v>
      </c>
      <c r="AV22" s="578">
        <f>[7]全社合計!$N$22</f>
        <v>36696904</v>
      </c>
      <c r="AW22" s="125">
        <f t="shared" si="31"/>
        <v>5.717405025953244E-3</v>
      </c>
      <c r="AX22" s="584">
        <f t="shared" si="32"/>
        <v>79337</v>
      </c>
      <c r="AY22" s="124">
        <f t="shared" si="33"/>
        <v>1.0182702482374439</v>
      </c>
      <c r="AZ22" s="578">
        <f t="shared" si="34"/>
        <v>2092976</v>
      </c>
      <c r="BA22" s="125">
        <f t="shared" si="35"/>
        <v>1.0570341301816633</v>
      </c>
      <c r="BB22" s="11"/>
    </row>
    <row r="23" spans="1:54" ht="15.95" customHeight="1">
      <c r="A23" s="37" t="s">
        <v>19</v>
      </c>
      <c r="B23" s="703">
        <f>[7]本部!$I$23</f>
        <v>549063</v>
      </c>
      <c r="C23" s="259" t="str">
        <f t="shared" si="38"/>
        <v/>
      </c>
      <c r="D23" s="728">
        <f>[7]本部!$L$23</f>
        <v>3988305</v>
      </c>
      <c r="E23" s="122" t="str">
        <f t="shared" si="39"/>
        <v/>
      </c>
      <c r="F23" s="352">
        <f>[7]本社営業!$I$23</f>
        <v>131916</v>
      </c>
      <c r="G23" s="9">
        <f t="shared" si="40"/>
        <v>2.5846671535583739E-4</v>
      </c>
      <c r="H23" s="362">
        <f>[7]本社営業!$L$23</f>
        <v>2380694</v>
      </c>
      <c r="I23" s="124">
        <f t="shared" si="19"/>
        <v>6.5087046623154437E-4</v>
      </c>
      <c r="J23" s="745">
        <f>[7]東大阪!$I$23</f>
        <v>85137</v>
      </c>
      <c r="K23" s="9">
        <f t="shared" si="20"/>
        <v>9.5226782285046819E-3</v>
      </c>
      <c r="L23" s="362">
        <f>[7]東大阪!$L$23</f>
        <v>641446</v>
      </c>
      <c r="M23" s="124">
        <f t="shared" si="37"/>
        <v>1.000388304986196E-2</v>
      </c>
      <c r="N23" s="403">
        <f>[7]南港工場!$I$23</f>
        <v>71490</v>
      </c>
      <c r="O23" s="9">
        <f t="shared" si="41"/>
        <v>2.6010682753680289E-3</v>
      </c>
      <c r="P23" s="362">
        <f>[7]南港工場!$L$23</f>
        <v>591808</v>
      </c>
      <c r="Q23" s="204">
        <f t="shared" si="42"/>
        <v>3.1103358326315068E-3</v>
      </c>
      <c r="R23" s="437">
        <f>[7]南港事務!$I$23</f>
        <v>65104</v>
      </c>
      <c r="S23" s="9" t="str">
        <f t="shared" si="43"/>
        <v/>
      </c>
      <c r="T23" s="362">
        <f>[7]南港事務!$L$23</f>
        <v>473012</v>
      </c>
      <c r="U23" s="204" t="str">
        <f t="shared" si="44"/>
        <v/>
      </c>
      <c r="V23" s="456">
        <f t="shared" si="21"/>
        <v>136594</v>
      </c>
      <c r="W23" s="171">
        <f t="shared" si="45"/>
        <v>4.9697904602828448E-3</v>
      </c>
      <c r="X23" s="426">
        <f t="shared" si="22"/>
        <v>1064820</v>
      </c>
      <c r="Y23" s="225">
        <f t="shared" si="46"/>
        <v>5.5963214442905154E-3</v>
      </c>
      <c r="Z23" s="460">
        <f t="shared" si="23"/>
        <v>353647</v>
      </c>
      <c r="AA23" s="189">
        <f t="shared" si="47"/>
        <v>6.4675232817405553E-4</v>
      </c>
      <c r="AB23" s="564">
        <f t="shared" si="24"/>
        <v>4086960</v>
      </c>
      <c r="AC23" s="123">
        <f t="shared" si="48"/>
        <v>1.0446975029041099E-3</v>
      </c>
      <c r="AD23" s="352">
        <f>[7]東京事務!$I$23</f>
        <v>315163</v>
      </c>
      <c r="AE23" s="9">
        <f t="shared" si="49"/>
        <v>1.4393763765281416E-3</v>
      </c>
      <c r="AF23" s="362">
        <f>[7]東京事務!$L$23</f>
        <v>736569</v>
      </c>
      <c r="AG23" s="81">
        <f t="shared" si="50"/>
        <v>4.254144692019929E-4</v>
      </c>
      <c r="AH23" s="388">
        <f>[7]東京工場!$I$23</f>
        <v>71169</v>
      </c>
      <c r="AI23" s="171">
        <f t="shared" si="25"/>
        <v>7.7207054938522052E-3</v>
      </c>
      <c r="AJ23" s="362">
        <f>[7]東京工場!$L$23</f>
        <v>537503</v>
      </c>
      <c r="AK23" s="99">
        <f t="shared" si="36"/>
        <v>7.6939722236699535E-3</v>
      </c>
      <c r="AL23" s="547">
        <f t="shared" si="26"/>
        <v>386332</v>
      </c>
      <c r="AM23" s="314">
        <f t="shared" si="51"/>
        <v>1.6931319219304782E-3</v>
      </c>
      <c r="AN23" s="478">
        <f t="shared" si="27"/>
        <v>1274072</v>
      </c>
      <c r="AO23" s="123">
        <f t="shared" si="52"/>
        <v>7.073166482549798E-4</v>
      </c>
      <c r="AP23" s="527">
        <f t="shared" si="28"/>
        <v>1289042</v>
      </c>
      <c r="AQ23" s="284">
        <f t="shared" si="53"/>
        <v>1.663322216190958E-3</v>
      </c>
      <c r="AR23" s="487">
        <f t="shared" si="29"/>
        <v>9349337</v>
      </c>
      <c r="AS23" s="285">
        <f t="shared" si="54"/>
        <v>1.6363949945246324E-3</v>
      </c>
      <c r="AT23" s="584">
        <f>[7]全社合計!$G$23</f>
        <v>1258375</v>
      </c>
      <c r="AU23" s="124">
        <f t="shared" si="30"/>
        <v>1.5258332952877882E-3</v>
      </c>
      <c r="AV23" s="578">
        <f>[7]全社合計!$N$23</f>
        <v>9098855</v>
      </c>
      <c r="AW23" s="125">
        <f t="shared" si="31"/>
        <v>1.4176083984474494E-3</v>
      </c>
      <c r="AX23" s="584">
        <f t="shared" si="32"/>
        <v>30667</v>
      </c>
      <c r="AY23" s="124">
        <f t="shared" si="33"/>
        <v>1.0243703188636137</v>
      </c>
      <c r="AZ23" s="578">
        <f t="shared" si="34"/>
        <v>250482</v>
      </c>
      <c r="BA23" s="125">
        <f t="shared" si="35"/>
        <v>1.0275289583139857</v>
      </c>
      <c r="BB23" s="11"/>
    </row>
    <row r="24" spans="1:54" ht="15.95" customHeight="1">
      <c r="A24" s="37" t="s">
        <v>20</v>
      </c>
      <c r="B24" s="703">
        <f>[7]本部!$I$24</f>
        <v>45000</v>
      </c>
      <c r="C24" s="259" t="str">
        <f t="shared" si="38"/>
        <v/>
      </c>
      <c r="D24" s="728">
        <f>[7]本部!$L$24</f>
        <v>315000</v>
      </c>
      <c r="E24" s="122" t="str">
        <f t="shared" si="39"/>
        <v/>
      </c>
      <c r="F24" s="352">
        <f>[7]本社営業!$I$24</f>
        <v>181650</v>
      </c>
      <c r="G24" s="9">
        <f t="shared" si="40"/>
        <v>3.5591193520412886E-4</v>
      </c>
      <c r="H24" s="362">
        <f>[7]本社営業!$L$24</f>
        <v>1943550</v>
      </c>
      <c r="I24" s="124">
        <f t="shared" si="19"/>
        <v>5.313573666520427E-4</v>
      </c>
      <c r="J24" s="745">
        <f>[7]東大阪!$I$24</f>
        <v>96410</v>
      </c>
      <c r="K24" s="9">
        <f t="shared" si="20"/>
        <v>1.0783577152238585E-2</v>
      </c>
      <c r="L24" s="362">
        <f>[7]東大阪!$L$24</f>
        <v>674870</v>
      </c>
      <c r="M24" s="124">
        <f t="shared" si="37"/>
        <v>1.0525158086355423E-2</v>
      </c>
      <c r="N24" s="403">
        <f>[7]南港工場!$I$24</f>
        <v>28600</v>
      </c>
      <c r="O24" s="9">
        <f t="shared" si="41"/>
        <v>1.0405728448108216E-3</v>
      </c>
      <c r="P24" s="362">
        <f>[7]南港工場!$L$24</f>
        <v>200200</v>
      </c>
      <c r="Q24" s="204">
        <f t="shared" si="42"/>
        <v>1.052181169725363E-3</v>
      </c>
      <c r="R24" s="437">
        <f>[7]南港事務!$I$24</f>
        <v>0</v>
      </c>
      <c r="S24" s="9" t="str">
        <f t="shared" si="43"/>
        <v/>
      </c>
      <c r="T24" s="362">
        <f>[7]南港事務!$L$24</f>
        <v>0</v>
      </c>
      <c r="U24" s="204" t="str">
        <f t="shared" si="44"/>
        <v/>
      </c>
      <c r="V24" s="456">
        <f t="shared" si="21"/>
        <v>28600</v>
      </c>
      <c r="W24" s="171">
        <f t="shared" si="45"/>
        <v>1.0405728448108216E-3</v>
      </c>
      <c r="X24" s="426">
        <f t="shared" si="22"/>
        <v>200200</v>
      </c>
      <c r="Y24" s="225">
        <f t="shared" si="46"/>
        <v>1.052181169725363E-3</v>
      </c>
      <c r="Z24" s="460">
        <f t="shared" si="23"/>
        <v>306660</v>
      </c>
      <c r="AA24" s="189">
        <f t="shared" si="47"/>
        <v>5.6082214456182539E-4</v>
      </c>
      <c r="AB24" s="564">
        <f t="shared" si="24"/>
        <v>2818620</v>
      </c>
      <c r="AC24" s="123">
        <f t="shared" si="48"/>
        <v>7.2048791170835585E-4</v>
      </c>
      <c r="AD24" s="352">
        <f>[7]東京事務!$I$24</f>
        <v>166500</v>
      </c>
      <c r="AE24" s="9">
        <f t="shared" si="49"/>
        <v>7.6041974055309663E-4</v>
      </c>
      <c r="AF24" s="362">
        <f>[7]東京事務!$L$24</f>
        <v>1267500</v>
      </c>
      <c r="AG24" s="81">
        <f t="shared" si="50"/>
        <v>7.320601867761554E-4</v>
      </c>
      <c r="AH24" s="388">
        <f>[7]東京工場!$I$24</f>
        <v>0</v>
      </c>
      <c r="AI24" s="171">
        <f t="shared" si="25"/>
        <v>0</v>
      </c>
      <c r="AJ24" s="362">
        <f>[7]東京工場!$L$24</f>
        <v>0</v>
      </c>
      <c r="AK24" s="99">
        <f t="shared" si="36"/>
        <v>0</v>
      </c>
      <c r="AL24" s="547">
        <f t="shared" si="26"/>
        <v>166500</v>
      </c>
      <c r="AM24" s="314">
        <f t="shared" si="51"/>
        <v>7.2970001191054483E-4</v>
      </c>
      <c r="AN24" s="478">
        <f t="shared" si="27"/>
        <v>1267500</v>
      </c>
      <c r="AO24" s="123">
        <f t="shared" si="52"/>
        <v>7.0366812210235119E-4</v>
      </c>
      <c r="AP24" s="527">
        <f t="shared" si="28"/>
        <v>518160</v>
      </c>
      <c r="AQ24" s="284">
        <f t="shared" si="53"/>
        <v>6.6861051815340911E-4</v>
      </c>
      <c r="AR24" s="487">
        <f t="shared" si="29"/>
        <v>4401120</v>
      </c>
      <c r="AS24" s="285">
        <f t="shared" si="54"/>
        <v>7.7031887269677518E-4</v>
      </c>
      <c r="AT24" s="584">
        <f>[7]全社合計!$G$24</f>
        <v>495160</v>
      </c>
      <c r="AU24" s="124">
        <f t="shared" si="30"/>
        <v>6.0040259421452371E-4</v>
      </c>
      <c r="AV24" s="578">
        <f>[7]全社合計!$N$24</f>
        <v>4071723</v>
      </c>
      <c r="AW24" s="125">
        <f t="shared" si="31"/>
        <v>6.3437748166683E-4</v>
      </c>
      <c r="AX24" s="584">
        <f t="shared" si="32"/>
        <v>23000</v>
      </c>
      <c r="AY24" s="124">
        <f t="shared" si="33"/>
        <v>1.0464496324420389</v>
      </c>
      <c r="AZ24" s="578">
        <f t="shared" si="34"/>
        <v>329397</v>
      </c>
      <c r="BA24" s="125">
        <f t="shared" si="35"/>
        <v>1.0808986760641626</v>
      </c>
      <c r="BB24" s="11"/>
    </row>
    <row r="25" spans="1:54" ht="15.95" customHeight="1">
      <c r="A25" s="37" t="s">
        <v>54</v>
      </c>
      <c r="B25" s="703">
        <f>[7]本部!$I$25</f>
        <v>129379</v>
      </c>
      <c r="C25" s="259" t="str">
        <f t="shared" si="38"/>
        <v/>
      </c>
      <c r="D25" s="728">
        <f>[7]本部!$L$25</f>
        <v>905653</v>
      </c>
      <c r="E25" s="122" t="str">
        <f t="shared" si="39"/>
        <v/>
      </c>
      <c r="F25" s="352">
        <f>[7]本社営業!$I$25</f>
        <v>86370</v>
      </c>
      <c r="G25" s="9">
        <f t="shared" si="40"/>
        <v>1.6922716126386244E-4</v>
      </c>
      <c r="H25" s="362">
        <f>[7]本社営業!$L$25</f>
        <v>615510</v>
      </c>
      <c r="I25" s="124">
        <f t="shared" si="19"/>
        <v>1.6827751935787543E-4</v>
      </c>
      <c r="J25" s="745">
        <f>[7]東大阪!$I$25</f>
        <v>10180</v>
      </c>
      <c r="K25" s="9">
        <f t="shared" si="20"/>
        <v>1.1386455285736831E-3</v>
      </c>
      <c r="L25" s="362">
        <f>[7]東大阪!$L$25</f>
        <v>71260</v>
      </c>
      <c r="M25" s="124">
        <f t="shared" si="37"/>
        <v>1.111358876870638E-3</v>
      </c>
      <c r="N25" s="403">
        <f>[7]南港工場!$I$25</f>
        <v>0</v>
      </c>
      <c r="O25" s="9">
        <f t="shared" si="41"/>
        <v>0</v>
      </c>
      <c r="P25" s="362">
        <f>[7]南港工場!$L$25</f>
        <v>0</v>
      </c>
      <c r="Q25" s="204">
        <f t="shared" si="42"/>
        <v>0</v>
      </c>
      <c r="R25" s="437">
        <f>[7]南港事務!$I$25</f>
        <v>10180</v>
      </c>
      <c r="S25" s="9" t="str">
        <f t="shared" si="43"/>
        <v/>
      </c>
      <c r="T25" s="362">
        <f>[7]南港事務!$L$25</f>
        <v>95200</v>
      </c>
      <c r="U25" s="204" t="str">
        <f t="shared" si="44"/>
        <v/>
      </c>
      <c r="V25" s="456">
        <f t="shared" si="21"/>
        <v>10180</v>
      </c>
      <c r="W25" s="171">
        <f t="shared" si="45"/>
        <v>3.7038571888720848E-4</v>
      </c>
      <c r="X25" s="426">
        <f t="shared" si="22"/>
        <v>95200</v>
      </c>
      <c r="Y25" s="225">
        <f t="shared" si="46"/>
        <v>5.0033789889038249E-4</v>
      </c>
      <c r="Z25" s="460">
        <f t="shared" si="23"/>
        <v>106730</v>
      </c>
      <c r="AA25" s="189">
        <f t="shared" si="47"/>
        <v>1.9518863721738612E-4</v>
      </c>
      <c r="AB25" s="564">
        <f t="shared" si="24"/>
        <v>781970</v>
      </c>
      <c r="AC25" s="123">
        <f t="shared" si="48"/>
        <v>1.9988502611866199E-4</v>
      </c>
      <c r="AD25" s="352">
        <f>[7]東京事務!$I$25</f>
        <v>18542</v>
      </c>
      <c r="AE25" s="9">
        <f t="shared" si="49"/>
        <v>8.4682899875888987E-5</v>
      </c>
      <c r="AF25" s="362">
        <f>[7]東京事務!$L$25</f>
        <v>157334</v>
      </c>
      <c r="AG25" s="81">
        <f t="shared" si="50"/>
        <v>9.0870183373759078E-5</v>
      </c>
      <c r="AH25" s="388">
        <f>[7]東京工場!$I$25</f>
        <v>8300</v>
      </c>
      <c r="AI25" s="171">
        <f t="shared" si="25"/>
        <v>9.0041809775286022E-4</v>
      </c>
      <c r="AJ25" s="362">
        <f>[7]東京工場!$L$25</f>
        <v>58100</v>
      </c>
      <c r="AK25" s="99">
        <f t="shared" si="36"/>
        <v>8.3166007667905906E-4</v>
      </c>
      <c r="AL25" s="547">
        <f t="shared" si="26"/>
        <v>26842</v>
      </c>
      <c r="AM25" s="314">
        <f t="shared" si="51"/>
        <v>1.1763728360181889E-4</v>
      </c>
      <c r="AN25" s="478">
        <f t="shared" si="27"/>
        <v>215434</v>
      </c>
      <c r="AO25" s="123">
        <f t="shared" si="52"/>
        <v>1.1960081910611276E-4</v>
      </c>
      <c r="AP25" s="527">
        <f t="shared" si="28"/>
        <v>262951</v>
      </c>
      <c r="AQ25" s="284">
        <f t="shared" si="53"/>
        <v>3.3930022456182856E-4</v>
      </c>
      <c r="AR25" s="487">
        <f t="shared" si="29"/>
        <v>1903057</v>
      </c>
      <c r="AS25" s="285">
        <f t="shared" si="54"/>
        <v>3.330881055089856E-4</v>
      </c>
      <c r="AT25" s="584">
        <f>[7]全社合計!$G$25</f>
        <v>212181</v>
      </c>
      <c r="AU25" s="124">
        <f t="shared" si="30"/>
        <v>2.5727850158137138E-4</v>
      </c>
      <c r="AV25" s="578">
        <f>[7]全社合計!$N$25</f>
        <v>1683147</v>
      </c>
      <c r="AW25" s="125">
        <f t="shared" si="31"/>
        <v>2.6223555854243522E-4</v>
      </c>
      <c r="AX25" s="584">
        <f t="shared" si="32"/>
        <v>50770</v>
      </c>
      <c r="AY25" s="124">
        <f t="shared" si="33"/>
        <v>1.2392768438267328</v>
      </c>
      <c r="AZ25" s="578">
        <f t="shared" si="34"/>
        <v>219910</v>
      </c>
      <c r="BA25" s="125">
        <f t="shared" si="35"/>
        <v>1.13065406646003</v>
      </c>
      <c r="BB25" s="11"/>
    </row>
    <row r="26" spans="1:54" ht="15.95" customHeight="1">
      <c r="A26" s="37" t="s">
        <v>55</v>
      </c>
      <c r="B26" s="703">
        <f>[7]本部!$I$26</f>
        <v>348701</v>
      </c>
      <c r="C26" s="259" t="str">
        <f t="shared" si="38"/>
        <v/>
      </c>
      <c r="D26" s="728">
        <f>[7]本部!$L$26</f>
        <v>2400907</v>
      </c>
      <c r="E26" s="122" t="str">
        <f t="shared" si="39"/>
        <v/>
      </c>
      <c r="F26" s="352">
        <f>[7]本社営業!$I$26</f>
        <v>680</v>
      </c>
      <c r="G26" s="9">
        <f t="shared" si="40"/>
        <v>1.332343054989307E-6</v>
      </c>
      <c r="H26" s="362">
        <f>[7]本社営業!$L$26</f>
        <v>4760</v>
      </c>
      <c r="I26" s="124">
        <f t="shared" si="19"/>
        <v>1.3013614598357248E-6</v>
      </c>
      <c r="J26" s="745">
        <f>[7]東大阪!$I$26</f>
        <v>5520</v>
      </c>
      <c r="K26" s="9">
        <f t="shared" si="20"/>
        <v>6.1741879348985575E-4</v>
      </c>
      <c r="L26" s="362">
        <f>[7]東大阪!$L$26</f>
        <v>143796</v>
      </c>
      <c r="M26" s="124">
        <f t="shared" si="37"/>
        <v>2.2426180333776349E-3</v>
      </c>
      <c r="N26" s="403">
        <f>[7]南港工場!$I$26</f>
        <v>0</v>
      </c>
      <c r="O26" s="9">
        <f t="shared" si="41"/>
        <v>0</v>
      </c>
      <c r="P26" s="362">
        <f>[7]南港工場!$L$26</f>
        <v>156834</v>
      </c>
      <c r="Q26" s="204">
        <f t="shared" si="42"/>
        <v>8.2426464322031762E-4</v>
      </c>
      <c r="R26" s="437">
        <f>[7]南港事務!$I$26</f>
        <v>5520</v>
      </c>
      <c r="S26" s="9" t="str">
        <f t="shared" si="43"/>
        <v/>
      </c>
      <c r="T26" s="362">
        <f>[7]南港事務!$L$26</f>
        <v>38640</v>
      </c>
      <c r="U26" s="204" t="str">
        <f t="shared" si="44"/>
        <v/>
      </c>
      <c r="V26" s="456">
        <f>N26+R26</f>
        <v>5520</v>
      </c>
      <c r="W26" s="171">
        <f t="shared" si="45"/>
        <v>2.0083783578166904E-4</v>
      </c>
      <c r="X26" s="426">
        <f t="shared" si="22"/>
        <v>195474</v>
      </c>
      <c r="Y26" s="225">
        <f t="shared" si="46"/>
        <v>1.0273429668875905E-3</v>
      </c>
      <c r="Z26" s="460">
        <f t="shared" si="23"/>
        <v>11720</v>
      </c>
      <c r="AA26" s="189">
        <f t="shared" si="47"/>
        <v>2.1433625299238874E-5</v>
      </c>
      <c r="AB26" s="564">
        <f t="shared" si="24"/>
        <v>344030</v>
      </c>
      <c r="AC26" s="123">
        <f t="shared" si="48"/>
        <v>8.7940004777169561E-5</v>
      </c>
      <c r="AD26" s="352">
        <f>[7]東京事務!$I$26</f>
        <v>5520</v>
      </c>
      <c r="AE26" s="9">
        <f t="shared" si="49"/>
        <v>2.5210312119237798E-5</v>
      </c>
      <c r="AF26" s="362">
        <f>[7]東京事務!$L$26</f>
        <v>43590</v>
      </c>
      <c r="AG26" s="81">
        <f t="shared" si="50"/>
        <v>2.5175939677769317E-5</v>
      </c>
      <c r="AH26" s="388">
        <f>[7]東京工場!$I$26</f>
        <v>25000</v>
      </c>
      <c r="AI26" s="171">
        <f t="shared" si="25"/>
        <v>2.7121027040748801E-3</v>
      </c>
      <c r="AJ26" s="362">
        <f>[7]東京工場!$L$26</f>
        <v>163000</v>
      </c>
      <c r="AK26" s="99">
        <f t="shared" si="36"/>
        <v>2.3332287865522657E-3</v>
      </c>
      <c r="AL26" s="547">
        <f t="shared" si="26"/>
        <v>30520</v>
      </c>
      <c r="AM26" s="314">
        <f t="shared" si="51"/>
        <v>1.3375642260366263E-4</v>
      </c>
      <c r="AN26" s="478">
        <f t="shared" si="27"/>
        <v>206590</v>
      </c>
      <c r="AO26" s="123">
        <f t="shared" si="52"/>
        <v>1.1469096437485187E-4</v>
      </c>
      <c r="AP26" s="527">
        <f t="shared" si="28"/>
        <v>390941</v>
      </c>
      <c r="AQ26" s="284">
        <f t="shared" si="53"/>
        <v>5.0445280333760213E-4</v>
      </c>
      <c r="AR26" s="487">
        <f t="shared" si="29"/>
        <v>2951527</v>
      </c>
      <c r="AS26" s="285">
        <f t="shared" si="54"/>
        <v>5.1659962722536417E-4</v>
      </c>
      <c r="AT26" s="584">
        <f>[7]全社合計!$G$26</f>
        <v>452131</v>
      </c>
      <c r="AU26" s="124">
        <f t="shared" si="30"/>
        <v>5.4822809864449231E-4</v>
      </c>
      <c r="AV26" s="578">
        <f>[7]全社合計!$N$26</f>
        <v>3037867</v>
      </c>
      <c r="AW26" s="125">
        <f t="shared" si="31"/>
        <v>4.7330194541690771E-4</v>
      </c>
      <c r="AX26" s="584">
        <f t="shared" si="32"/>
        <v>-61190</v>
      </c>
      <c r="AY26" s="124">
        <f t="shared" si="33"/>
        <v>0.86466311754779035</v>
      </c>
      <c r="AZ26" s="578">
        <f t="shared" si="34"/>
        <v>-86340</v>
      </c>
      <c r="BA26" s="125">
        <f t="shared" si="35"/>
        <v>0.97157874258484656</v>
      </c>
      <c r="BB26" s="11"/>
    </row>
    <row r="27" spans="1:54" ht="15.95" customHeight="1">
      <c r="A27" s="37" t="s">
        <v>21</v>
      </c>
      <c r="B27" s="703">
        <f>[7]本部!$I$27</f>
        <v>0</v>
      </c>
      <c r="C27" s="259" t="str">
        <f t="shared" si="38"/>
        <v/>
      </c>
      <c r="D27" s="728">
        <f>[7]本部!$L$27</f>
        <v>0</v>
      </c>
      <c r="E27" s="122" t="str">
        <f t="shared" si="39"/>
        <v/>
      </c>
      <c r="F27" s="352">
        <f>[7]本社営業!$I$27</f>
        <v>0</v>
      </c>
      <c r="G27" s="9">
        <f t="shared" si="40"/>
        <v>0</v>
      </c>
      <c r="H27" s="362">
        <f>[7]本社営業!$L$27</f>
        <v>0</v>
      </c>
      <c r="I27" s="124">
        <f t="shared" si="19"/>
        <v>0</v>
      </c>
      <c r="J27" s="745">
        <f>[7]東大阪!$I$27</f>
        <v>0</v>
      </c>
      <c r="K27" s="9">
        <f t="shared" si="20"/>
        <v>0</v>
      </c>
      <c r="L27" s="362">
        <f>[7]東大阪!$L$27</f>
        <v>511720</v>
      </c>
      <c r="M27" s="124">
        <f t="shared" si="37"/>
        <v>7.9806983507190975E-3</v>
      </c>
      <c r="N27" s="403">
        <f>[7]南港工場!$I$27</f>
        <v>136440</v>
      </c>
      <c r="O27" s="9">
        <f t="shared" si="41"/>
        <v>4.9641873757338634E-3</v>
      </c>
      <c r="P27" s="362">
        <f>[7]南港工場!$L$27</f>
        <v>42011050</v>
      </c>
      <c r="Q27" s="204">
        <f t="shared" si="42"/>
        <v>0.22079538326868489</v>
      </c>
      <c r="R27" s="437">
        <f>[7]南港事務!$I$27</f>
        <v>0</v>
      </c>
      <c r="S27" s="9" t="str">
        <f t="shared" si="43"/>
        <v/>
      </c>
      <c r="T27" s="362">
        <f>[7]南港事務!$L$27</f>
        <v>0</v>
      </c>
      <c r="U27" s="204" t="str">
        <f t="shared" si="44"/>
        <v/>
      </c>
      <c r="V27" s="456">
        <f>N27+R27</f>
        <v>136440</v>
      </c>
      <c r="W27" s="171">
        <f t="shared" si="45"/>
        <v>4.9641873757338634E-3</v>
      </c>
      <c r="X27" s="426">
        <f t="shared" si="22"/>
        <v>42011050</v>
      </c>
      <c r="Y27" s="225">
        <f t="shared" si="46"/>
        <v>0.22079538326868489</v>
      </c>
      <c r="Z27" s="460">
        <f t="shared" si="23"/>
        <v>136440</v>
      </c>
      <c r="AA27" s="189">
        <f t="shared" si="47"/>
        <v>2.4952251158943278E-4</v>
      </c>
      <c r="AB27" s="564">
        <f t="shared" si="24"/>
        <v>42522770</v>
      </c>
      <c r="AC27" s="123">
        <f t="shared" si="48"/>
        <v>1.0869553809082005E-2</v>
      </c>
      <c r="AD27" s="352">
        <f>[7]東京事務!$I$27</f>
        <v>0</v>
      </c>
      <c r="AE27" s="9">
        <f t="shared" si="49"/>
        <v>0</v>
      </c>
      <c r="AF27" s="362">
        <f>[7]東京事務!$L$27</f>
        <v>0</v>
      </c>
      <c r="AG27" s="81">
        <f t="shared" si="50"/>
        <v>0</v>
      </c>
      <c r="AH27" s="388">
        <f>[7]東京工場!$I$27</f>
        <v>196869</v>
      </c>
      <c r="AI27" s="171">
        <f t="shared" si="25"/>
        <v>2.1357157889940703E-2</v>
      </c>
      <c r="AJ27" s="362">
        <f>[7]東京工場!$L$27</f>
        <v>1268229</v>
      </c>
      <c r="AK27" s="99">
        <f t="shared" si="36"/>
        <v>1.8153793930922656E-2</v>
      </c>
      <c r="AL27" s="547">
        <f t="shared" si="26"/>
        <v>196869</v>
      </c>
      <c r="AM27" s="314">
        <f t="shared" si="51"/>
        <v>8.6279466453343583E-4</v>
      </c>
      <c r="AN27" s="478">
        <f t="shared" si="27"/>
        <v>1268229</v>
      </c>
      <c r="AO27" s="123">
        <f t="shared" si="52"/>
        <v>7.0407283536547756E-4</v>
      </c>
      <c r="AP27" s="527">
        <f t="shared" si="28"/>
        <v>333309</v>
      </c>
      <c r="AQ27" s="284">
        <f t="shared" si="53"/>
        <v>4.3008704491893359E-4</v>
      </c>
      <c r="AR27" s="487">
        <f t="shared" si="29"/>
        <v>43790999</v>
      </c>
      <c r="AS27" s="285">
        <f t="shared" si="54"/>
        <v>7.6646474042847291E-3</v>
      </c>
      <c r="AT27" s="584">
        <f>[7]全社合計!$G$27</f>
        <v>519320</v>
      </c>
      <c r="AU27" s="124">
        <f t="shared" si="30"/>
        <v>6.2969762344996865E-4</v>
      </c>
      <c r="AV27" s="578">
        <f>[7]全社合計!$N$27</f>
        <v>14268934</v>
      </c>
      <c r="AW27" s="125">
        <f t="shared" si="31"/>
        <v>2.2231105644932641E-3</v>
      </c>
      <c r="AX27" s="584">
        <f t="shared" si="32"/>
        <v>-186011</v>
      </c>
      <c r="AY27" s="124">
        <f t="shared" si="33"/>
        <v>0.64181814680736349</v>
      </c>
      <c r="AZ27" s="578">
        <f t="shared" si="34"/>
        <v>29522065</v>
      </c>
      <c r="BA27" s="125">
        <f t="shared" si="35"/>
        <v>3.068974809190371</v>
      </c>
      <c r="BB27" s="11"/>
    </row>
    <row r="28" spans="1:54" ht="15.95" customHeight="1">
      <c r="A28" s="37" t="s">
        <v>22</v>
      </c>
      <c r="B28" s="703">
        <f>[7]本部!$I$28</f>
        <v>29080</v>
      </c>
      <c r="C28" s="259" t="str">
        <f t="shared" si="38"/>
        <v/>
      </c>
      <c r="D28" s="728">
        <f>[7]本部!$L$28</f>
        <v>1270398</v>
      </c>
      <c r="E28" s="122" t="str">
        <f t="shared" si="39"/>
        <v/>
      </c>
      <c r="F28" s="352">
        <f>[7]本社営業!$I$28</f>
        <v>114395</v>
      </c>
      <c r="G28" s="9">
        <f t="shared" si="40"/>
        <v>2.2413732908162026E-4</v>
      </c>
      <c r="H28" s="362">
        <f>[7]本社営業!$L$28</f>
        <v>766520</v>
      </c>
      <c r="I28" s="124">
        <f t="shared" si="19"/>
        <v>2.0956293827589914E-4</v>
      </c>
      <c r="J28" s="745">
        <f>[7]東大阪!$I$28</f>
        <v>18938</v>
      </c>
      <c r="K28" s="9">
        <f t="shared" si="20"/>
        <v>2.1182386070853058E-3</v>
      </c>
      <c r="L28" s="362">
        <f>[7]東大阪!$L$28</f>
        <v>134907</v>
      </c>
      <c r="M28" s="124">
        <f t="shared" si="37"/>
        <v>2.1039866966318715E-3</v>
      </c>
      <c r="N28" s="403">
        <f>[7]南港工場!$I$28</f>
        <v>60158</v>
      </c>
      <c r="O28" s="9">
        <f t="shared" si="41"/>
        <v>2.1887685733611678E-3</v>
      </c>
      <c r="P28" s="362">
        <f>[7]南港工場!$L$28</f>
        <v>60158</v>
      </c>
      <c r="Q28" s="204">
        <f t="shared" si="42"/>
        <v>3.1616940463705492E-4</v>
      </c>
      <c r="R28" s="437">
        <f>[7]南港事務!$I$28</f>
        <v>31669</v>
      </c>
      <c r="S28" s="9" t="str">
        <f t="shared" si="43"/>
        <v/>
      </c>
      <c r="T28" s="362">
        <f>[7]南港事務!$L$28</f>
        <v>188626</v>
      </c>
      <c r="U28" s="204" t="str">
        <f t="shared" si="44"/>
        <v/>
      </c>
      <c r="V28" s="456">
        <f>N28+R28</f>
        <v>91827</v>
      </c>
      <c r="W28" s="171">
        <f t="shared" si="45"/>
        <v>3.3410028888266889E-3</v>
      </c>
      <c r="X28" s="426">
        <f t="shared" si="22"/>
        <v>248784</v>
      </c>
      <c r="Y28" s="225">
        <f t="shared" si="46"/>
        <v>1.3075216789658079E-3</v>
      </c>
      <c r="Z28" s="460">
        <f t="shared" si="23"/>
        <v>225160</v>
      </c>
      <c r="AA28" s="189">
        <f t="shared" si="47"/>
        <v>4.1177432358162331E-4</v>
      </c>
      <c r="AB28" s="564">
        <f t="shared" si="24"/>
        <v>1150211</v>
      </c>
      <c r="AC28" s="123">
        <f t="shared" si="48"/>
        <v>2.9401378029460506E-4</v>
      </c>
      <c r="AD28" s="352">
        <f>[7]東京事務!$I$28</f>
        <v>18717</v>
      </c>
      <c r="AE28" s="9">
        <f t="shared" si="49"/>
        <v>8.5482139843437292E-5</v>
      </c>
      <c r="AF28" s="362">
        <f>[7]東京事務!$L$28</f>
        <v>122742</v>
      </c>
      <c r="AG28" s="81">
        <f t="shared" si="50"/>
        <v>7.0891149069253533E-5</v>
      </c>
      <c r="AH28" s="388">
        <f>[7]東京工場!$I$28</f>
        <v>4794</v>
      </c>
      <c r="AI28" s="171">
        <f t="shared" si="25"/>
        <v>5.2007281453339896E-4</v>
      </c>
      <c r="AJ28" s="362">
        <f>[7]東京工場!$L$28</f>
        <v>151990</v>
      </c>
      <c r="AK28" s="99">
        <f t="shared" si="36"/>
        <v>2.1756284863072321E-3</v>
      </c>
      <c r="AL28" s="547">
        <f t="shared" si="26"/>
        <v>23511</v>
      </c>
      <c r="AM28" s="314">
        <f t="shared" si="51"/>
        <v>1.0303890078095388E-4</v>
      </c>
      <c r="AN28" s="478">
        <f t="shared" si="27"/>
        <v>274732</v>
      </c>
      <c r="AO28" s="123">
        <f t="shared" si="52"/>
        <v>1.5252082881374608E-4</v>
      </c>
      <c r="AP28" s="527">
        <f t="shared" si="28"/>
        <v>277751</v>
      </c>
      <c r="AQ28" s="284">
        <f t="shared" si="53"/>
        <v>3.5839748345612847E-4</v>
      </c>
      <c r="AR28" s="487">
        <f t="shared" si="29"/>
        <v>2695341</v>
      </c>
      <c r="AS28" s="285">
        <f t="shared" si="54"/>
        <v>4.7175992489489009E-4</v>
      </c>
      <c r="AT28" s="584">
        <f>[7]全社合計!$G$28</f>
        <v>322253</v>
      </c>
      <c r="AU28" s="124">
        <f t="shared" si="30"/>
        <v>3.9074549073716153E-4</v>
      </c>
      <c r="AV28" s="578">
        <f>[7]全社合計!$N$28</f>
        <v>2223117</v>
      </c>
      <c r="AW28" s="125">
        <f t="shared" si="31"/>
        <v>3.4636328746103754E-4</v>
      </c>
      <c r="AX28" s="584">
        <f t="shared" si="32"/>
        <v>-44502</v>
      </c>
      <c r="AY28" s="124">
        <f t="shared" si="33"/>
        <v>0.86190353542092701</v>
      </c>
      <c r="AZ28" s="578">
        <f t="shared" si="34"/>
        <v>472224</v>
      </c>
      <c r="BA28" s="125">
        <f t="shared" si="35"/>
        <v>1.2124152709911353</v>
      </c>
      <c r="BB28" s="11"/>
    </row>
    <row r="29" spans="1:54" ht="15.95" customHeight="1">
      <c r="A29" s="37" t="s">
        <v>23</v>
      </c>
      <c r="B29" s="703">
        <f>[7]本部!$I$29</f>
        <v>0</v>
      </c>
      <c r="C29" s="259" t="str">
        <f t="shared" si="38"/>
        <v/>
      </c>
      <c r="D29" s="728">
        <f>[7]本部!$L$29</f>
        <v>0</v>
      </c>
      <c r="E29" s="122" t="str">
        <f t="shared" si="39"/>
        <v/>
      </c>
      <c r="F29" s="352">
        <f>[7]本社営業!$I$29</f>
        <v>19990</v>
      </c>
      <c r="G29" s="9">
        <f t="shared" si="40"/>
        <v>3.9166967160641543E-5</v>
      </c>
      <c r="H29" s="362">
        <f>[7]本社営業!$L$29</f>
        <v>161085</v>
      </c>
      <c r="I29" s="124">
        <f t="shared" si="19"/>
        <v>4.4039876209587758E-5</v>
      </c>
      <c r="J29" s="745">
        <f>[7]東大阪!$I$29</f>
        <v>290567</v>
      </c>
      <c r="K29" s="9">
        <f t="shared" si="20"/>
        <v>3.2500276552167917E-2</v>
      </c>
      <c r="L29" s="362">
        <f>[7]東大阪!$L$29</f>
        <v>3782460</v>
      </c>
      <c r="M29" s="124">
        <f t="shared" si="37"/>
        <v>5.8990604791020397E-2</v>
      </c>
      <c r="N29" s="403">
        <f>[7]南港工場!$I$29</f>
        <v>3331193</v>
      </c>
      <c r="O29" s="9">
        <f t="shared" si="41"/>
        <v>0.12120101316866766</v>
      </c>
      <c r="P29" s="362">
        <f>[7]南港工場!$L$29</f>
        <v>22744851</v>
      </c>
      <c r="Q29" s="204">
        <f t="shared" si="42"/>
        <v>0.1195389806713741</v>
      </c>
      <c r="R29" s="437">
        <f>[7]南港事務!$I$29</f>
        <v>0</v>
      </c>
      <c r="S29" s="9" t="str">
        <f t="shared" si="43"/>
        <v/>
      </c>
      <c r="T29" s="362">
        <f>[7]南港事務!$L$29</f>
        <v>18979</v>
      </c>
      <c r="U29" s="204" t="str">
        <f t="shared" si="44"/>
        <v/>
      </c>
      <c r="V29" s="456">
        <f t="shared" si="21"/>
        <v>3331193</v>
      </c>
      <c r="W29" s="171">
        <f t="shared" si="45"/>
        <v>0.12120101316866766</v>
      </c>
      <c r="X29" s="426">
        <f t="shared" si="22"/>
        <v>22763830</v>
      </c>
      <c r="Y29" s="225">
        <f t="shared" si="46"/>
        <v>0.11963872765649007</v>
      </c>
      <c r="Z29" s="460">
        <f t="shared" si="23"/>
        <v>3641750</v>
      </c>
      <c r="AA29" s="189">
        <f t="shared" si="47"/>
        <v>6.6600601479098274E-3</v>
      </c>
      <c r="AB29" s="564">
        <f t="shared" si="24"/>
        <v>26707375</v>
      </c>
      <c r="AC29" s="123">
        <f t="shared" si="48"/>
        <v>6.8268659276390399E-3</v>
      </c>
      <c r="AD29" s="352">
        <f>[7]東京事務!$I$29</f>
        <v>0</v>
      </c>
      <c r="AE29" s="9">
        <f t="shared" si="49"/>
        <v>0</v>
      </c>
      <c r="AF29" s="362">
        <f>[7]東京事務!$L$29</f>
        <v>27443</v>
      </c>
      <c r="AG29" s="81">
        <f t="shared" si="50"/>
        <v>1.5850041582404758E-5</v>
      </c>
      <c r="AH29" s="388">
        <f>[7]東京工場!$I$29</f>
        <v>586994</v>
      </c>
      <c r="AI29" s="171">
        <f t="shared" si="25"/>
        <v>6.3679520587029206E-2</v>
      </c>
      <c r="AJ29" s="362">
        <f>[7]東京工場!$L$29</f>
        <v>4484857</v>
      </c>
      <c r="AK29" s="99">
        <f t="shared" si="36"/>
        <v>6.4197530404726588E-2</v>
      </c>
      <c r="AL29" s="547">
        <f t="shared" si="26"/>
        <v>586994</v>
      </c>
      <c r="AM29" s="314">
        <f t="shared" si="51"/>
        <v>2.5725497224709814E-3</v>
      </c>
      <c r="AN29" s="478">
        <f t="shared" si="27"/>
        <v>4512300</v>
      </c>
      <c r="AO29" s="123">
        <f t="shared" si="52"/>
        <v>2.5050585146843703E-3</v>
      </c>
      <c r="AP29" s="527">
        <f t="shared" si="28"/>
        <v>4228744</v>
      </c>
      <c r="AQ29" s="284">
        <f t="shared" si="53"/>
        <v>5.4565823625484788E-3</v>
      </c>
      <c r="AR29" s="487">
        <f t="shared" si="29"/>
        <v>31219675</v>
      </c>
      <c r="AS29" s="285">
        <f t="shared" si="54"/>
        <v>5.464314731695499E-3</v>
      </c>
      <c r="AT29" s="584">
        <f>[7]全社合計!$G$29</f>
        <v>5461907</v>
      </c>
      <c r="AU29" s="124">
        <f t="shared" si="30"/>
        <v>6.622794919134152E-3</v>
      </c>
      <c r="AV29" s="578">
        <f>[7]全社合計!$N$29</f>
        <v>41307729</v>
      </c>
      <c r="AW29" s="125">
        <f t="shared" si="31"/>
        <v>6.4357750014909856E-3</v>
      </c>
      <c r="AX29" s="584">
        <f t="shared" si="32"/>
        <v>-1233163</v>
      </c>
      <c r="AY29" s="124">
        <f t="shared" si="33"/>
        <v>0.77422482660360203</v>
      </c>
      <c r="AZ29" s="578">
        <f t="shared" si="34"/>
        <v>-10088054</v>
      </c>
      <c r="BA29" s="125">
        <f t="shared" si="35"/>
        <v>0.75578289477012883</v>
      </c>
      <c r="BB29" s="11"/>
    </row>
    <row r="30" spans="1:54" ht="15.95" customHeight="1">
      <c r="A30" s="37" t="s">
        <v>24</v>
      </c>
      <c r="B30" s="703">
        <f>[7]本部!$I$30</f>
        <v>16910</v>
      </c>
      <c r="C30" s="259" t="str">
        <f t="shared" si="38"/>
        <v/>
      </c>
      <c r="D30" s="728">
        <f>[7]本部!$L$30</f>
        <v>125319</v>
      </c>
      <c r="E30" s="122" t="str">
        <f t="shared" si="39"/>
        <v/>
      </c>
      <c r="F30" s="352">
        <f>[7]本社営業!$I$30</f>
        <v>33819</v>
      </c>
      <c r="G30" s="9">
        <f t="shared" si="40"/>
        <v>6.6262514377475547E-5</v>
      </c>
      <c r="H30" s="362">
        <f>[7]本社営業!$L$30</f>
        <v>250637</v>
      </c>
      <c r="I30" s="124">
        <f t="shared" si="19"/>
        <v>6.852296895143835E-5</v>
      </c>
      <c r="J30" s="745">
        <f>[7]東大阪!$I$30</f>
        <v>284772</v>
      </c>
      <c r="K30" s="9">
        <f t="shared" si="20"/>
        <v>3.1852098670234273E-2</v>
      </c>
      <c r="L30" s="362">
        <f>[7]東大阪!$L$30</f>
        <v>2778210</v>
      </c>
      <c r="M30" s="124">
        <f t="shared" si="37"/>
        <v>4.3328492075649386E-2</v>
      </c>
      <c r="N30" s="403">
        <f>[7]南港工場!$I$30</f>
        <v>463237</v>
      </c>
      <c r="O30" s="9">
        <f t="shared" si="41"/>
        <v>1.6854260241665402E-2</v>
      </c>
      <c r="P30" s="362">
        <f>[7]南港工場!$L$30</f>
        <v>3891436</v>
      </c>
      <c r="Q30" s="204">
        <f t="shared" si="42"/>
        <v>2.0452026385571368E-2</v>
      </c>
      <c r="R30" s="437">
        <f>[7]南港事務!$I$30</f>
        <v>20552</v>
      </c>
      <c r="S30" s="9" t="str">
        <f t="shared" si="43"/>
        <v/>
      </c>
      <c r="T30" s="362">
        <f>[7]南港事務!$L$30</f>
        <v>162696</v>
      </c>
      <c r="U30" s="204" t="str">
        <f t="shared" si="44"/>
        <v/>
      </c>
      <c r="V30" s="456">
        <f t="shared" si="21"/>
        <v>483789</v>
      </c>
      <c r="W30" s="171">
        <f t="shared" si="45"/>
        <v>1.7602017343293096E-2</v>
      </c>
      <c r="X30" s="426">
        <f t="shared" si="22"/>
        <v>4054132</v>
      </c>
      <c r="Y30" s="225">
        <f t="shared" si="46"/>
        <v>2.1307099650254874E-2</v>
      </c>
      <c r="Z30" s="460">
        <f t="shared" si="23"/>
        <v>802380</v>
      </c>
      <c r="AA30" s="189">
        <f t="shared" si="47"/>
        <v>1.4673986576453318E-3</v>
      </c>
      <c r="AB30" s="564">
        <f t="shared" si="24"/>
        <v>7082979</v>
      </c>
      <c r="AC30" s="123">
        <f t="shared" si="48"/>
        <v>1.8105316603104138E-3</v>
      </c>
      <c r="AD30" s="352">
        <f>[7]東京事務!$I$30</f>
        <v>56989</v>
      </c>
      <c r="AE30" s="9">
        <f t="shared" si="49"/>
        <v>2.6027363720348604E-4</v>
      </c>
      <c r="AF30" s="362">
        <f>[7]東京事務!$L$30</f>
        <v>385804</v>
      </c>
      <c r="AG30" s="81">
        <f t="shared" si="50"/>
        <v>2.2282583692227837E-4</v>
      </c>
      <c r="AH30" s="388">
        <f>[7]東京工場!$I$30</f>
        <v>211630</v>
      </c>
      <c r="AI30" s="171">
        <f t="shared" si="25"/>
        <v>2.2958491810534675E-2</v>
      </c>
      <c r="AJ30" s="362">
        <f>[7]東京工場!$L$30</f>
        <v>1810110</v>
      </c>
      <c r="AK30" s="99">
        <f t="shared" si="36"/>
        <v>2.5910434103227738E-2</v>
      </c>
      <c r="AL30" s="547">
        <f t="shared" si="26"/>
        <v>268619</v>
      </c>
      <c r="AM30" s="314">
        <f t="shared" si="51"/>
        <v>1.1772449699663584E-3</v>
      </c>
      <c r="AN30" s="478">
        <f t="shared" si="27"/>
        <v>2195914</v>
      </c>
      <c r="AO30" s="123">
        <f t="shared" si="52"/>
        <v>1.2190885054660849E-3</v>
      </c>
      <c r="AP30" s="527">
        <f t="shared" si="28"/>
        <v>1087909</v>
      </c>
      <c r="AQ30" s="284">
        <f t="shared" si="53"/>
        <v>1.4037891774620912E-3</v>
      </c>
      <c r="AR30" s="487">
        <f t="shared" si="29"/>
        <v>9404212</v>
      </c>
      <c r="AS30" s="285">
        <f t="shared" si="54"/>
        <v>1.6459996515526697E-3</v>
      </c>
      <c r="AT30" s="584">
        <f>[7]全社合計!$G$30</f>
        <v>1396563</v>
      </c>
      <c r="AU30" s="124">
        <f t="shared" si="30"/>
        <v>1.6933921322078074E-3</v>
      </c>
      <c r="AV30" s="578">
        <f>[7]全社合計!$N$30</f>
        <v>10274450</v>
      </c>
      <c r="AW30" s="125">
        <f t="shared" si="31"/>
        <v>1.6007669766611729E-3</v>
      </c>
      <c r="AX30" s="584">
        <f t="shared" si="32"/>
        <v>-308654</v>
      </c>
      <c r="AY30" s="124">
        <f t="shared" si="33"/>
        <v>0.77899027827602474</v>
      </c>
      <c r="AZ30" s="578">
        <f t="shared" si="34"/>
        <v>-870238</v>
      </c>
      <c r="BA30" s="125">
        <f t="shared" si="35"/>
        <v>0.91530077035753743</v>
      </c>
      <c r="BB30" s="11"/>
    </row>
    <row r="31" spans="1:54" ht="15.95" customHeight="1">
      <c r="A31" s="37" t="s">
        <v>25</v>
      </c>
      <c r="B31" s="703">
        <f>[7]本部!$I$31</f>
        <v>1921312</v>
      </c>
      <c r="C31" s="259" t="str">
        <f t="shared" si="38"/>
        <v/>
      </c>
      <c r="D31" s="728">
        <f>[7]本部!$L$31</f>
        <v>2970715</v>
      </c>
      <c r="E31" s="122" t="str">
        <f t="shared" si="39"/>
        <v/>
      </c>
      <c r="F31" s="352">
        <f>[7]本社営業!$I$31</f>
        <v>1081519</v>
      </c>
      <c r="G31" s="9">
        <f t="shared" si="40"/>
        <v>2.1190504830720298E-3</v>
      </c>
      <c r="H31" s="362">
        <f>[7]本社営業!$L$31</f>
        <v>5987652</v>
      </c>
      <c r="I31" s="124">
        <f t="shared" si="19"/>
        <v>1.6369957033000625E-3</v>
      </c>
      <c r="J31" s="745">
        <f>[7]東大阪!$I$31</f>
        <v>116874</v>
      </c>
      <c r="K31" s="9">
        <f t="shared" si="20"/>
        <v>1.3072500737379238E-2</v>
      </c>
      <c r="L31" s="362">
        <f>[7]東大阪!$L$31</f>
        <v>801987</v>
      </c>
      <c r="M31" s="124">
        <f t="shared" si="37"/>
        <v>1.2507653263890715E-2</v>
      </c>
      <c r="N31" s="403">
        <f>[7]南港工場!$I$31</f>
        <v>265719</v>
      </c>
      <c r="O31" s="9">
        <f t="shared" si="41"/>
        <v>9.6678313199400935E-3</v>
      </c>
      <c r="P31" s="362">
        <f>[7]南港工場!$L$31</f>
        <v>1862653</v>
      </c>
      <c r="Q31" s="204">
        <f t="shared" si="42"/>
        <v>9.7894526090532303E-3</v>
      </c>
      <c r="R31" s="437">
        <f>[7]南港事務!$I$31</f>
        <v>141399</v>
      </c>
      <c r="S31" s="9" t="str">
        <f t="shared" si="43"/>
        <v/>
      </c>
      <c r="T31" s="362">
        <f>[7]南港事務!$L$31</f>
        <v>971723</v>
      </c>
      <c r="U31" s="204" t="str">
        <f t="shared" si="44"/>
        <v/>
      </c>
      <c r="V31" s="456">
        <f t="shared" si="21"/>
        <v>407118</v>
      </c>
      <c r="W31" s="171">
        <f t="shared" si="45"/>
        <v>1.4812445294884336E-2</v>
      </c>
      <c r="X31" s="426">
        <f t="shared" si="22"/>
        <v>2834376</v>
      </c>
      <c r="Y31" s="225">
        <f t="shared" si="46"/>
        <v>1.4896488786820658E-2</v>
      </c>
      <c r="Z31" s="460">
        <f t="shared" si="23"/>
        <v>1605511</v>
      </c>
      <c r="AA31" s="189">
        <f t="shared" si="47"/>
        <v>2.9361707498128248E-3</v>
      </c>
      <c r="AB31" s="564">
        <f t="shared" si="24"/>
        <v>9624015</v>
      </c>
      <c r="AC31" s="123">
        <f t="shared" si="48"/>
        <v>2.4600643114715331E-3</v>
      </c>
      <c r="AD31" s="352">
        <f>[7]東京事務!$I$31</f>
        <v>357268</v>
      </c>
      <c r="AE31" s="9">
        <f t="shared" si="49"/>
        <v>1.6316735127202627E-3</v>
      </c>
      <c r="AF31" s="362">
        <f>[7]東京事務!$L$31</f>
        <v>1948132</v>
      </c>
      <c r="AG31" s="81">
        <f t="shared" si="50"/>
        <v>1.1251675548596489E-3</v>
      </c>
      <c r="AH31" s="388">
        <f>[7]東京工場!$I$31</f>
        <v>118246</v>
      </c>
      <c r="AI31" s="171">
        <f t="shared" si="25"/>
        <v>1.282781185384153E-2</v>
      </c>
      <c r="AJ31" s="362">
        <f>[7]東京工場!$L$31</f>
        <v>966985</v>
      </c>
      <c r="AK31" s="99">
        <f t="shared" si="36"/>
        <v>1.3841700847633389E-2</v>
      </c>
      <c r="AL31" s="547">
        <f t="shared" si="26"/>
        <v>475514</v>
      </c>
      <c r="AM31" s="314">
        <f t="shared" si="51"/>
        <v>2.083979408189975E-3</v>
      </c>
      <c r="AN31" s="478">
        <f t="shared" si="27"/>
        <v>2915117</v>
      </c>
      <c r="AO31" s="123">
        <f t="shared" si="52"/>
        <v>1.618362844259282E-3</v>
      </c>
      <c r="AP31" s="527">
        <f t="shared" si="28"/>
        <v>4002337</v>
      </c>
      <c r="AQ31" s="284">
        <f t="shared" si="53"/>
        <v>5.1644368831916029E-3</v>
      </c>
      <c r="AR31" s="487">
        <f t="shared" si="29"/>
        <v>15509847</v>
      </c>
      <c r="AS31" s="285">
        <f t="shared" si="54"/>
        <v>2.7146562367623378E-3</v>
      </c>
      <c r="AT31" s="584">
        <f>[7]全社合計!$G$31</f>
        <v>1883384</v>
      </c>
      <c r="AU31" s="124">
        <f t="shared" si="30"/>
        <v>2.2836833336742197E-3</v>
      </c>
      <c r="AV31" s="578">
        <f>[7]全社合計!$N$31</f>
        <v>12072575</v>
      </c>
      <c r="AW31" s="125">
        <f t="shared" si="31"/>
        <v>1.8809161933986988E-3</v>
      </c>
      <c r="AX31" s="584">
        <f t="shared" si="32"/>
        <v>2118953</v>
      </c>
      <c r="AY31" s="124">
        <f t="shared" si="33"/>
        <v>2.1250775200383991</v>
      </c>
      <c r="AZ31" s="578">
        <f t="shared" si="34"/>
        <v>3437272</v>
      </c>
      <c r="BA31" s="125">
        <f t="shared" si="35"/>
        <v>1.2847173863073951</v>
      </c>
      <c r="BB31" s="11"/>
    </row>
    <row r="32" spans="1:54" ht="15.95" customHeight="1">
      <c r="A32" s="37" t="s">
        <v>26</v>
      </c>
      <c r="B32" s="703">
        <f>[7]本部!$I$32</f>
        <v>419550</v>
      </c>
      <c r="C32" s="259" t="str">
        <f t="shared" si="38"/>
        <v/>
      </c>
      <c r="D32" s="728">
        <f>[7]本部!$L$32</f>
        <v>3942740</v>
      </c>
      <c r="E32" s="122" t="str">
        <f t="shared" si="39"/>
        <v/>
      </c>
      <c r="F32" s="352">
        <f>[7]本社営業!$I$32</f>
        <v>474150</v>
      </c>
      <c r="G32" s="9">
        <f t="shared" si="40"/>
        <v>9.2901538165173522E-4</v>
      </c>
      <c r="H32" s="362">
        <f>[7]本社営業!$L$32</f>
        <v>8632017</v>
      </c>
      <c r="I32" s="124">
        <f t="shared" si="19"/>
        <v>2.359952572362772E-3</v>
      </c>
      <c r="J32" s="745">
        <f>[7]東大阪!$I$32</f>
        <v>699800</v>
      </c>
      <c r="K32" s="9">
        <f t="shared" si="20"/>
        <v>7.8273491247137866E-2</v>
      </c>
      <c r="L32" s="362">
        <f>[7]東大阪!$L$32</f>
        <v>1586818</v>
      </c>
      <c r="M32" s="124">
        <f t="shared" si="37"/>
        <v>2.4747744460821106E-2</v>
      </c>
      <c r="N32" s="403">
        <f>[7]南港工場!$I$32</f>
        <v>133250</v>
      </c>
      <c r="O32" s="9">
        <f t="shared" si="41"/>
        <v>4.8481234815049637E-3</v>
      </c>
      <c r="P32" s="362">
        <f>[7]南港工場!$L$32</f>
        <v>1250242</v>
      </c>
      <c r="Q32" s="204">
        <f t="shared" si="42"/>
        <v>6.5708346153835039E-3</v>
      </c>
      <c r="R32" s="437">
        <f>[7]南港事務!$I$32</f>
        <v>33000</v>
      </c>
      <c r="S32" s="9" t="str">
        <f t="shared" si="43"/>
        <v/>
      </c>
      <c r="T32" s="362">
        <f>[7]南港事務!$L$32</f>
        <v>262884</v>
      </c>
      <c r="U32" s="204" t="str">
        <f t="shared" si="44"/>
        <v/>
      </c>
      <c r="V32" s="456">
        <f t="shared" si="21"/>
        <v>166250</v>
      </c>
      <c r="W32" s="171">
        <f t="shared" si="45"/>
        <v>6.0487844562866809E-3</v>
      </c>
      <c r="X32" s="426">
        <f t="shared" si="22"/>
        <v>1513126</v>
      </c>
      <c r="Y32" s="225">
        <f t="shared" si="46"/>
        <v>7.9524609621471516E-3</v>
      </c>
      <c r="Z32" s="460">
        <f t="shared" si="23"/>
        <v>1340200</v>
      </c>
      <c r="AA32" s="189">
        <f t="shared" si="47"/>
        <v>2.4509679715051143E-3</v>
      </c>
      <c r="AB32" s="564">
        <f t="shared" si="24"/>
        <v>11731961</v>
      </c>
      <c r="AC32" s="123">
        <f t="shared" si="48"/>
        <v>2.9988916849855158E-3</v>
      </c>
      <c r="AD32" s="352">
        <f>[7]東京事務!$I$32</f>
        <v>84700</v>
      </c>
      <c r="AE32" s="9">
        <f t="shared" si="49"/>
        <v>3.8683214429337709E-4</v>
      </c>
      <c r="AF32" s="362">
        <f>[7]東京事務!$L$32</f>
        <v>581500</v>
      </c>
      <c r="AG32" s="81">
        <f t="shared" si="50"/>
        <v>3.3585246438685155E-4</v>
      </c>
      <c r="AH32" s="388">
        <f>[7]東京工場!$I$32</f>
        <v>84500</v>
      </c>
      <c r="AI32" s="171">
        <f t="shared" si="25"/>
        <v>9.1669071397730943E-3</v>
      </c>
      <c r="AJ32" s="362">
        <f>[7]東京工場!$L$32</f>
        <v>415826</v>
      </c>
      <c r="AK32" s="99">
        <f t="shared" si="36"/>
        <v>5.9522527202262726E-3</v>
      </c>
      <c r="AL32" s="547">
        <f t="shared" si="26"/>
        <v>169200</v>
      </c>
      <c r="AM32" s="314">
        <f t="shared" si="51"/>
        <v>7.4153298507666178E-4</v>
      </c>
      <c r="AN32" s="478">
        <f t="shared" si="27"/>
        <v>997326</v>
      </c>
      <c r="AO32" s="123">
        <f t="shared" si="52"/>
        <v>5.5367772271704108E-4</v>
      </c>
      <c r="AP32" s="527">
        <f t="shared" si="28"/>
        <v>1928950</v>
      </c>
      <c r="AQ32" s="284">
        <f t="shared" si="53"/>
        <v>2.4890309151459366E-3</v>
      </c>
      <c r="AR32" s="487">
        <f t="shared" si="29"/>
        <v>16672027</v>
      </c>
      <c r="AS32" s="285">
        <f t="shared" si="54"/>
        <v>2.9180701830920763E-3</v>
      </c>
      <c r="AT32" s="584">
        <f>[7]全社合計!$G$32</f>
        <v>2028703</v>
      </c>
      <c r="AU32" s="124">
        <f t="shared" si="30"/>
        <v>2.4598888118805779E-3</v>
      </c>
      <c r="AV32" s="578">
        <f>[7]全社合計!$N$32</f>
        <v>16093830</v>
      </c>
      <c r="AW32" s="125">
        <f t="shared" si="31"/>
        <v>2.5074307230069626E-3</v>
      </c>
      <c r="AX32" s="584">
        <f t="shared" si="32"/>
        <v>-99753</v>
      </c>
      <c r="AY32" s="124">
        <f t="shared" si="33"/>
        <v>0.95082917509364362</v>
      </c>
      <c r="AZ32" s="578">
        <f t="shared" si="34"/>
        <v>578197</v>
      </c>
      <c r="BA32" s="125">
        <f t="shared" si="35"/>
        <v>1.0359266252967751</v>
      </c>
      <c r="BB32" s="11"/>
    </row>
    <row r="33" spans="1:54" ht="15.95" customHeight="1">
      <c r="A33" s="37" t="s">
        <v>27</v>
      </c>
      <c r="B33" s="703">
        <f>[7]本部!$I$33</f>
        <v>135200</v>
      </c>
      <c r="C33" s="259" t="str">
        <f t="shared" si="38"/>
        <v/>
      </c>
      <c r="D33" s="728">
        <f>[7]本部!$L$33</f>
        <v>1497566</v>
      </c>
      <c r="E33" s="122" t="str">
        <f t="shared" si="39"/>
        <v/>
      </c>
      <c r="F33" s="352">
        <f>[7]本社営業!$I$33</f>
        <v>55200</v>
      </c>
      <c r="G33" s="9">
        <f t="shared" si="40"/>
        <v>1.0815490681677904E-4</v>
      </c>
      <c r="H33" s="362">
        <f>[7]本社営業!$L$33</f>
        <v>399820</v>
      </c>
      <c r="I33" s="124">
        <f t="shared" si="19"/>
        <v>1.0930889472090746E-4</v>
      </c>
      <c r="J33" s="745">
        <f>[7]東大阪!$I$33</f>
        <v>442000</v>
      </c>
      <c r="K33" s="9">
        <f t="shared" si="20"/>
        <v>4.9438243971470328E-2</v>
      </c>
      <c r="L33" s="362">
        <f>[7]東大阪!$L$33</f>
        <v>4321000</v>
      </c>
      <c r="M33" s="124">
        <f t="shared" si="37"/>
        <v>6.7389583314033497E-2</v>
      </c>
      <c r="N33" s="403">
        <f>[7]南港工場!$I$33</f>
        <v>525000</v>
      </c>
      <c r="O33" s="9">
        <f t="shared" si="41"/>
        <v>1.9101424598800047E-2</v>
      </c>
      <c r="P33" s="362">
        <f>[7]南港工場!$L$33</f>
        <v>3675000</v>
      </c>
      <c r="Q33" s="204">
        <f t="shared" si="42"/>
        <v>1.9314514479224321E-2</v>
      </c>
      <c r="R33" s="437">
        <f>[7]南港事務!$I$33</f>
        <v>20000</v>
      </c>
      <c r="S33" s="9" t="str">
        <f t="shared" si="43"/>
        <v/>
      </c>
      <c r="T33" s="362">
        <f>[7]南港事務!$L$33</f>
        <v>140000</v>
      </c>
      <c r="U33" s="204" t="str">
        <f t="shared" si="44"/>
        <v/>
      </c>
      <c r="V33" s="456">
        <f t="shared" si="21"/>
        <v>545000</v>
      </c>
      <c r="W33" s="171">
        <f t="shared" si="45"/>
        <v>1.9829097916849569E-2</v>
      </c>
      <c r="X33" s="426">
        <f t="shared" si="22"/>
        <v>3815000</v>
      </c>
      <c r="Y33" s="225">
        <f t="shared" si="46"/>
        <v>2.0050305507004297E-2</v>
      </c>
      <c r="Z33" s="460">
        <f t="shared" si="23"/>
        <v>1042200</v>
      </c>
      <c r="AA33" s="189">
        <f t="shared" si="47"/>
        <v>1.9059833009271976E-3</v>
      </c>
      <c r="AB33" s="564">
        <f t="shared" si="24"/>
        <v>8535820</v>
      </c>
      <c r="AC33" s="123">
        <f t="shared" si="48"/>
        <v>2.1819028909602634E-3</v>
      </c>
      <c r="AD33" s="352">
        <f>[7]東京事務!$I$33</f>
        <v>55000</v>
      </c>
      <c r="AE33" s="9">
        <f t="shared" si="49"/>
        <v>2.5118970408660848E-4</v>
      </c>
      <c r="AF33" s="362">
        <f>[7]東京事務!$L$33</f>
        <v>1145969</v>
      </c>
      <c r="AG33" s="81">
        <f t="shared" si="50"/>
        <v>6.6186846562499724E-4</v>
      </c>
      <c r="AH33" s="388">
        <f>[7]東京工場!$I$33</f>
        <v>325000</v>
      </c>
      <c r="AI33" s="171">
        <f t="shared" si="25"/>
        <v>3.525733515297344E-2</v>
      </c>
      <c r="AJ33" s="362">
        <f>[7]東京工場!$L$33</f>
        <v>2275000</v>
      </c>
      <c r="AK33" s="99">
        <f t="shared" si="36"/>
        <v>3.2565003002493279E-2</v>
      </c>
      <c r="AL33" s="547">
        <f t="shared" si="26"/>
        <v>380000</v>
      </c>
      <c r="AM33" s="314">
        <f t="shared" si="51"/>
        <v>1.6653814085646069E-3</v>
      </c>
      <c r="AN33" s="478">
        <f t="shared" si="27"/>
        <v>3420969</v>
      </c>
      <c r="AO33" s="123">
        <f t="shared" si="52"/>
        <v>1.8991927668641881E-3</v>
      </c>
      <c r="AP33" s="527">
        <f t="shared" si="28"/>
        <v>1557400</v>
      </c>
      <c r="AQ33" s="284">
        <f t="shared" si="53"/>
        <v>2.0095993920258596E-3</v>
      </c>
      <c r="AR33" s="487">
        <f t="shared" si="29"/>
        <v>13454355</v>
      </c>
      <c r="AS33" s="285">
        <f t="shared" si="54"/>
        <v>2.354887750495833E-3</v>
      </c>
      <c r="AT33" s="584">
        <f>[7]全社合計!$G$33</f>
        <v>1538614</v>
      </c>
      <c r="AU33" s="124">
        <f t="shared" si="30"/>
        <v>1.8656350211947355E-3</v>
      </c>
      <c r="AV33" s="578">
        <f>[7]全社合計!$N$33</f>
        <v>13335144</v>
      </c>
      <c r="AW33" s="125">
        <f t="shared" si="31"/>
        <v>2.0776253857112919E-3</v>
      </c>
      <c r="AX33" s="584">
        <f t="shared" si="32"/>
        <v>18786</v>
      </c>
      <c r="AY33" s="124">
        <f t="shared" si="33"/>
        <v>1.0122096900197191</v>
      </c>
      <c r="AZ33" s="578">
        <f t="shared" si="34"/>
        <v>119211</v>
      </c>
      <c r="BA33" s="125">
        <f t="shared" si="35"/>
        <v>1.0089396110008262</v>
      </c>
      <c r="BB33" s="11"/>
    </row>
    <row r="34" spans="1:54" ht="15.95" customHeight="1">
      <c r="A34" s="37" t="s">
        <v>28</v>
      </c>
      <c r="B34" s="703">
        <f>[7]本部!$I$34</f>
        <v>426546</v>
      </c>
      <c r="C34" s="259" t="str">
        <f t="shared" si="38"/>
        <v/>
      </c>
      <c r="D34" s="728">
        <f>[7]本部!$L$34</f>
        <v>1070006</v>
      </c>
      <c r="E34" s="122" t="str">
        <f t="shared" si="39"/>
        <v/>
      </c>
      <c r="F34" s="352">
        <f>[7]本社営業!$I$34</f>
        <v>954198</v>
      </c>
      <c r="G34" s="9">
        <f t="shared" si="40"/>
        <v>1.8695868799774805E-3</v>
      </c>
      <c r="H34" s="362">
        <f>[7]本社営業!$L$34</f>
        <v>3723450</v>
      </c>
      <c r="I34" s="124">
        <f t="shared" si="19"/>
        <v>1.0179735982406156E-3</v>
      </c>
      <c r="J34" s="745">
        <f>[7]東大阪!$I$34</f>
        <v>0</v>
      </c>
      <c r="K34" s="9">
        <f t="shared" si="20"/>
        <v>0</v>
      </c>
      <c r="L34" s="362">
        <f>[7]東大阪!$L$34</f>
        <v>0</v>
      </c>
      <c r="M34" s="124">
        <f t="shared" si="37"/>
        <v>0</v>
      </c>
      <c r="N34" s="403">
        <f>[7]南港工場!$I$34</f>
        <v>0</v>
      </c>
      <c r="O34" s="9">
        <f t="shared" si="41"/>
        <v>0</v>
      </c>
      <c r="P34" s="362">
        <f>[7]南港工場!$L$34</f>
        <v>0</v>
      </c>
      <c r="Q34" s="204">
        <f t="shared" si="42"/>
        <v>0</v>
      </c>
      <c r="R34" s="437">
        <f>[7]南港事務!$I$34</f>
        <v>16700</v>
      </c>
      <c r="S34" s="9" t="str">
        <f t="shared" si="43"/>
        <v/>
      </c>
      <c r="T34" s="362">
        <f>[7]南港事務!$L$34</f>
        <v>94667</v>
      </c>
      <c r="U34" s="204" t="str">
        <f t="shared" si="44"/>
        <v/>
      </c>
      <c r="V34" s="456">
        <f t="shared" si="21"/>
        <v>16700</v>
      </c>
      <c r="W34" s="171">
        <f t="shared" si="45"/>
        <v>6.0760722057135385E-4</v>
      </c>
      <c r="X34" s="426">
        <f t="shared" si="22"/>
        <v>94667</v>
      </c>
      <c r="Y34" s="225">
        <f t="shared" si="46"/>
        <v>4.9753663733462011E-4</v>
      </c>
      <c r="Z34" s="460">
        <f t="shared" si="23"/>
        <v>970898</v>
      </c>
      <c r="AA34" s="189">
        <f t="shared" si="47"/>
        <v>1.7755856600495245E-3</v>
      </c>
      <c r="AB34" s="564">
        <f t="shared" si="24"/>
        <v>3818117</v>
      </c>
      <c r="AC34" s="123">
        <f t="shared" si="48"/>
        <v>9.7597659279653607E-4</v>
      </c>
      <c r="AD34" s="352">
        <f>[7]東京事務!$I$34</f>
        <v>150497</v>
      </c>
      <c r="AE34" s="9">
        <f t="shared" si="49"/>
        <v>6.873326708349512E-4</v>
      </c>
      <c r="AF34" s="362">
        <f>[7]東京事務!$L$34</f>
        <v>2683272</v>
      </c>
      <c r="AG34" s="81">
        <f t="shared" si="50"/>
        <v>1.5497566875670437E-3</v>
      </c>
      <c r="AH34" s="388">
        <f>[7]東京工場!$I$34</f>
        <v>0</v>
      </c>
      <c r="AI34" s="171">
        <f t="shared" si="25"/>
        <v>0</v>
      </c>
      <c r="AJ34" s="362">
        <f>[7]東京工場!$L$34</f>
        <v>0</v>
      </c>
      <c r="AK34" s="99">
        <f t="shared" si="36"/>
        <v>0</v>
      </c>
      <c r="AL34" s="547">
        <f t="shared" si="26"/>
        <v>150497</v>
      </c>
      <c r="AM34" s="314">
        <f t="shared" si="51"/>
        <v>6.5956554169670429E-4</v>
      </c>
      <c r="AN34" s="478">
        <f t="shared" si="27"/>
        <v>2683272</v>
      </c>
      <c r="AO34" s="123">
        <f t="shared" si="52"/>
        <v>1.4896512578539015E-3</v>
      </c>
      <c r="AP34" s="527">
        <f t="shared" si="28"/>
        <v>1547941</v>
      </c>
      <c r="AQ34" s="284">
        <f t="shared" si="53"/>
        <v>1.9973939209528067E-3</v>
      </c>
      <c r="AR34" s="487">
        <f t="shared" si="29"/>
        <v>7571395</v>
      </c>
      <c r="AS34" s="285">
        <f t="shared" si="54"/>
        <v>1.3252055070395717E-3</v>
      </c>
      <c r="AT34" s="584">
        <f>[7]全社合計!$G$34</f>
        <v>1634528</v>
      </c>
      <c r="AU34" s="124">
        <f t="shared" si="30"/>
        <v>1.9819348322083308E-3</v>
      </c>
      <c r="AV34" s="578">
        <f>[7]全社合計!$N$34</f>
        <v>8086869</v>
      </c>
      <c r="AW34" s="125">
        <f t="shared" si="31"/>
        <v>1.2599402245166372E-3</v>
      </c>
      <c r="AX34" s="584">
        <f t="shared" si="32"/>
        <v>-86587</v>
      </c>
      <c r="AY34" s="124">
        <f t="shared" si="33"/>
        <v>0.94702629749995104</v>
      </c>
      <c r="AZ34" s="578">
        <f t="shared" si="34"/>
        <v>-515474</v>
      </c>
      <c r="BA34" s="125">
        <f t="shared" si="35"/>
        <v>0.93625790154384847</v>
      </c>
      <c r="BB34" s="11"/>
    </row>
    <row r="35" spans="1:54" ht="15.95" customHeight="1">
      <c r="A35" s="37" t="s">
        <v>29</v>
      </c>
      <c r="B35" s="703">
        <f>[7]本部!$I$35</f>
        <v>7061520</v>
      </c>
      <c r="C35" s="259" t="str">
        <f t="shared" si="38"/>
        <v/>
      </c>
      <c r="D35" s="728">
        <f>[7]本部!$L$35</f>
        <v>13158188</v>
      </c>
      <c r="E35" s="122" t="str">
        <f t="shared" si="39"/>
        <v/>
      </c>
      <c r="F35" s="352">
        <f>[7]本社営業!$I$35</f>
        <v>39531</v>
      </c>
      <c r="G35" s="9">
        <f t="shared" si="40"/>
        <v>7.7454196039385728E-5</v>
      </c>
      <c r="H35" s="362">
        <f>[7]本社営業!$L$35</f>
        <v>738432</v>
      </c>
      <c r="I35" s="124">
        <f t="shared" si="19"/>
        <v>2.0188381208180965E-4</v>
      </c>
      <c r="J35" s="745">
        <f>[7]東大阪!$I$35</f>
        <v>0</v>
      </c>
      <c r="K35" s="9">
        <f t="shared" si="20"/>
        <v>0</v>
      </c>
      <c r="L35" s="362">
        <f>[7]東大阪!$L$35</f>
        <v>60158</v>
      </c>
      <c r="M35" s="124">
        <f t="shared" si="37"/>
        <v>9.3821396736996692E-4</v>
      </c>
      <c r="N35" s="403">
        <f>[7]南港工場!$I$35</f>
        <v>0</v>
      </c>
      <c r="O35" s="9">
        <f t="shared" si="41"/>
        <v>0</v>
      </c>
      <c r="P35" s="362">
        <f>[7]南港工場!$L$35</f>
        <v>55439</v>
      </c>
      <c r="Q35" s="204">
        <f t="shared" si="42"/>
        <v>2.9136799135067137E-4</v>
      </c>
      <c r="R35" s="437">
        <f>[7]南港事務!$I$35</f>
        <v>0</v>
      </c>
      <c r="S35" s="9" t="str">
        <f t="shared" si="43"/>
        <v/>
      </c>
      <c r="T35" s="362">
        <f>[7]南港事務!$L$35</f>
        <v>42516</v>
      </c>
      <c r="U35" s="204" t="str">
        <f t="shared" si="44"/>
        <v/>
      </c>
      <c r="V35" s="456">
        <f t="shared" si="21"/>
        <v>0</v>
      </c>
      <c r="W35" s="171">
        <f t="shared" si="45"/>
        <v>0</v>
      </c>
      <c r="X35" s="426">
        <f t="shared" si="22"/>
        <v>97955</v>
      </c>
      <c r="Y35" s="225">
        <f t="shared" si="46"/>
        <v>5.1481721518705263E-4</v>
      </c>
      <c r="Z35" s="460">
        <f t="shared" si="23"/>
        <v>39531</v>
      </c>
      <c r="AA35" s="189">
        <f t="shared" si="47"/>
        <v>7.2294594002065874E-5</v>
      </c>
      <c r="AB35" s="564">
        <f t="shared" si="24"/>
        <v>896545</v>
      </c>
      <c r="AC35" s="123">
        <f t="shared" si="48"/>
        <v>2.2917237328996739E-4</v>
      </c>
      <c r="AD35" s="352">
        <f>[7]東京事務!$I$35</f>
        <v>0</v>
      </c>
      <c r="AE35" s="9">
        <f t="shared" si="49"/>
        <v>0</v>
      </c>
      <c r="AF35" s="362">
        <f>[7]東京事務!$L$35</f>
        <v>214852</v>
      </c>
      <c r="AG35" s="81">
        <f t="shared" si="50"/>
        <v>1.2409041045304185E-4</v>
      </c>
      <c r="AH35" s="388">
        <f>[7]東京工場!$I$35</f>
        <v>0</v>
      </c>
      <c r="AI35" s="171">
        <f t="shared" si="25"/>
        <v>0</v>
      </c>
      <c r="AJ35" s="362">
        <f>[7]東京工場!$L$35</f>
        <v>41853</v>
      </c>
      <c r="AK35" s="99">
        <f t="shared" si="36"/>
        <v>5.9909585523663781E-4</v>
      </c>
      <c r="AL35" s="547">
        <f t="shared" si="26"/>
        <v>0</v>
      </c>
      <c r="AM35" s="314">
        <f t="shared" si="51"/>
        <v>0</v>
      </c>
      <c r="AN35" s="478">
        <f t="shared" si="27"/>
        <v>256705</v>
      </c>
      <c r="AO35" s="123">
        <f t="shared" si="52"/>
        <v>1.4251291935643714E-4</v>
      </c>
      <c r="AP35" s="527">
        <f t="shared" si="28"/>
        <v>7101051</v>
      </c>
      <c r="AQ35" s="284">
        <f t="shared" si="53"/>
        <v>9.1628790113937476E-3</v>
      </c>
      <c r="AR35" s="487">
        <f t="shared" si="29"/>
        <v>14311438</v>
      </c>
      <c r="AS35" s="285">
        <f t="shared" si="54"/>
        <v>2.504901203973032E-3</v>
      </c>
      <c r="AT35" s="584">
        <f>[7]全社合計!$G$35</f>
        <v>6603669</v>
      </c>
      <c r="AU35" s="124">
        <f t="shared" si="30"/>
        <v>8.007229984114286E-3</v>
      </c>
      <c r="AV35" s="578">
        <f>[7]全社合計!$N$35</f>
        <v>13621243</v>
      </c>
      <c r="AW35" s="125">
        <f t="shared" si="31"/>
        <v>2.1221998233946506E-3</v>
      </c>
      <c r="AX35" s="584">
        <f t="shared" si="32"/>
        <v>497382</v>
      </c>
      <c r="AY35" s="124">
        <f t="shared" si="33"/>
        <v>1.0753190385526592</v>
      </c>
      <c r="AZ35" s="578">
        <f t="shared" si="34"/>
        <v>690195</v>
      </c>
      <c r="BA35" s="125">
        <f t="shared" si="35"/>
        <v>1.0506704857992768</v>
      </c>
      <c r="BB35" s="11"/>
    </row>
    <row r="36" spans="1:54" ht="15.95" customHeight="1">
      <c r="A36" s="37" t="s">
        <v>30</v>
      </c>
      <c r="B36" s="703">
        <f>[7]本部!$I$36</f>
        <v>56126</v>
      </c>
      <c r="C36" s="259" t="str">
        <f t="shared" si="38"/>
        <v/>
      </c>
      <c r="D36" s="728">
        <f>[7]本部!$L$36</f>
        <v>425059</v>
      </c>
      <c r="E36" s="122" t="str">
        <f t="shared" si="39"/>
        <v/>
      </c>
      <c r="F36" s="352">
        <f>[7]本社営業!$I$36</f>
        <v>78928</v>
      </c>
      <c r="G36" s="9">
        <f t="shared" si="40"/>
        <v>1.5464584212381769E-4</v>
      </c>
      <c r="H36" s="362">
        <f>[7]本社営業!$L$36</f>
        <v>567825</v>
      </c>
      <c r="I36" s="124">
        <f t="shared" si="19"/>
        <v>1.5524066616202112E-4</v>
      </c>
      <c r="J36" s="745">
        <f>[7]東大阪!$I$36</f>
        <v>25371</v>
      </c>
      <c r="K36" s="9">
        <f t="shared" si="20"/>
        <v>2.837777574208538E-3</v>
      </c>
      <c r="L36" s="362">
        <f>[7]東大阪!$L$36</f>
        <v>174803</v>
      </c>
      <c r="M36" s="124">
        <f t="shared" si="37"/>
        <v>2.7261979477072431E-3</v>
      </c>
      <c r="N36" s="403">
        <f>[7]南港工場!$I$36</f>
        <v>9896</v>
      </c>
      <c r="O36" s="9">
        <f t="shared" si="41"/>
        <v>3.6005275777090524E-4</v>
      </c>
      <c r="P36" s="362">
        <f>[7]南港工場!$L$36</f>
        <v>69248</v>
      </c>
      <c r="Q36" s="204">
        <f t="shared" si="42"/>
        <v>3.6394326494076896E-4</v>
      </c>
      <c r="R36" s="437">
        <f>[7]南港事務!$I$36</f>
        <v>37066</v>
      </c>
      <c r="S36" s="9" t="str">
        <f t="shared" si="43"/>
        <v/>
      </c>
      <c r="T36" s="362">
        <f>[7]南港事務!$L$36</f>
        <v>231972</v>
      </c>
      <c r="U36" s="204" t="str">
        <f t="shared" si="44"/>
        <v/>
      </c>
      <c r="V36" s="456">
        <f t="shared" si="21"/>
        <v>46962</v>
      </c>
      <c r="W36" s="171">
        <f t="shared" si="45"/>
        <v>1.7086497181120909E-3</v>
      </c>
      <c r="X36" s="426">
        <f t="shared" si="22"/>
        <v>301220</v>
      </c>
      <c r="Y36" s="225">
        <f t="shared" si="46"/>
        <v>1.5831069527705989E-3</v>
      </c>
      <c r="Z36" s="460">
        <f t="shared" si="23"/>
        <v>151261</v>
      </c>
      <c r="AA36" s="189">
        <f t="shared" si="47"/>
        <v>2.7662726931639687E-4</v>
      </c>
      <c r="AB36" s="564">
        <f t="shared" si="24"/>
        <v>1043848</v>
      </c>
      <c r="AC36" s="123">
        <f t="shared" si="48"/>
        <v>2.6682556203423799E-4</v>
      </c>
      <c r="AD36" s="352">
        <f>[7]東京事務!$I$36</f>
        <v>40053</v>
      </c>
      <c r="AE36" s="9">
        <f t="shared" si="49"/>
        <v>1.82925476686926E-4</v>
      </c>
      <c r="AF36" s="362">
        <f>[7]東京事務!$L$36</f>
        <v>219406</v>
      </c>
      <c r="AG36" s="81">
        <f t="shared" si="50"/>
        <v>1.2672062906493817E-4</v>
      </c>
      <c r="AH36" s="388">
        <f>[7]東京工場!$I$36</f>
        <v>3004</v>
      </c>
      <c r="AI36" s="171">
        <f t="shared" si="25"/>
        <v>3.258862609216376E-4</v>
      </c>
      <c r="AJ36" s="362">
        <f>[7]東京工場!$L$36</f>
        <v>21026</v>
      </c>
      <c r="AK36" s="99">
        <f t="shared" si="36"/>
        <v>3.0097219917820821E-4</v>
      </c>
      <c r="AL36" s="547">
        <f t="shared" si="26"/>
        <v>43057</v>
      </c>
      <c r="AM36" s="314">
        <f t="shared" si="51"/>
        <v>1.8870086133833232E-4</v>
      </c>
      <c r="AN36" s="478">
        <f t="shared" si="27"/>
        <v>240432</v>
      </c>
      <c r="AO36" s="123">
        <f t="shared" si="52"/>
        <v>1.33478764444428E-4</v>
      </c>
      <c r="AP36" s="527">
        <f t="shared" si="28"/>
        <v>250444</v>
      </c>
      <c r="AQ36" s="284">
        <f t="shared" si="53"/>
        <v>3.2316175044081439E-4</v>
      </c>
      <c r="AR36" s="487">
        <f t="shared" si="29"/>
        <v>1709339</v>
      </c>
      <c r="AS36" s="285">
        <f t="shared" si="54"/>
        <v>2.9918204719176774E-4</v>
      </c>
      <c r="AT36" s="584">
        <f>[7]全社合計!$G$36</f>
        <v>261153</v>
      </c>
      <c r="AU36" s="124">
        <f t="shared" si="30"/>
        <v>3.166591378279859E-4</v>
      </c>
      <c r="AV36" s="578">
        <f>[7]全社合計!$N$36</f>
        <v>1829065</v>
      </c>
      <c r="AW36" s="125">
        <f t="shared" si="31"/>
        <v>2.8496969182455201E-4</v>
      </c>
      <c r="AX36" s="584">
        <f t="shared" si="32"/>
        <v>-10709</v>
      </c>
      <c r="AY36" s="124">
        <f t="shared" si="33"/>
        <v>0.95899338701833792</v>
      </c>
      <c r="AZ36" s="578">
        <f t="shared" si="34"/>
        <v>-119726</v>
      </c>
      <c r="BA36" s="125">
        <f t="shared" si="35"/>
        <v>0.93454251215785111</v>
      </c>
      <c r="BB36" s="11"/>
    </row>
    <row r="37" spans="1:54" ht="15.95" customHeight="1">
      <c r="A37" s="37" t="s">
        <v>31</v>
      </c>
      <c r="B37" s="703">
        <f>[7]本部!$I$37</f>
        <v>0</v>
      </c>
      <c r="C37" s="259" t="str">
        <f t="shared" si="38"/>
        <v/>
      </c>
      <c r="D37" s="728">
        <f>[7]本部!$L$37</f>
        <v>0</v>
      </c>
      <c r="E37" s="122" t="str">
        <f t="shared" si="39"/>
        <v/>
      </c>
      <c r="F37" s="352">
        <f>[7]本社営業!$I$37</f>
        <v>0</v>
      </c>
      <c r="G37" s="9">
        <f t="shared" si="40"/>
        <v>0</v>
      </c>
      <c r="H37" s="362">
        <f>[7]本社営業!$L$37</f>
        <v>720678</v>
      </c>
      <c r="I37" s="124">
        <f t="shared" si="19"/>
        <v>1.9702995255283415E-4</v>
      </c>
      <c r="J37" s="745">
        <f>[7]東大阪!$I$37</f>
        <v>0</v>
      </c>
      <c r="K37" s="9">
        <f t="shared" si="20"/>
        <v>0</v>
      </c>
      <c r="L37" s="362">
        <f>[7]東大阪!$L$37</f>
        <v>108042</v>
      </c>
      <c r="M37" s="124">
        <f t="shared" si="37"/>
        <v>1.6850047119682497E-3</v>
      </c>
      <c r="N37" s="403">
        <f>[7]南港工場!$I$37</f>
        <v>0</v>
      </c>
      <c r="O37" s="9">
        <f t="shared" si="41"/>
        <v>0</v>
      </c>
      <c r="P37" s="362">
        <f>[7]南港工場!$L$37</f>
        <v>23095</v>
      </c>
      <c r="Q37" s="204">
        <f t="shared" si="42"/>
        <v>1.213792413327036E-4</v>
      </c>
      <c r="R37" s="437">
        <f>[7]南港事務!$I$37</f>
        <v>0</v>
      </c>
      <c r="S37" s="9" t="str">
        <f t="shared" si="43"/>
        <v/>
      </c>
      <c r="T37" s="362">
        <f>[7]南港事務!$L$37</f>
        <v>0</v>
      </c>
      <c r="U37" s="204" t="str">
        <f t="shared" si="44"/>
        <v/>
      </c>
      <c r="V37" s="456">
        <f t="shared" si="21"/>
        <v>0</v>
      </c>
      <c r="W37" s="171">
        <f t="shared" si="45"/>
        <v>0</v>
      </c>
      <c r="X37" s="426">
        <f t="shared" si="22"/>
        <v>23095</v>
      </c>
      <c r="Y37" s="225">
        <f t="shared" si="46"/>
        <v>1.213792413327036E-4</v>
      </c>
      <c r="Z37" s="460">
        <f t="shared" si="23"/>
        <v>0</v>
      </c>
      <c r="AA37" s="189">
        <f t="shared" si="47"/>
        <v>0</v>
      </c>
      <c r="AB37" s="564">
        <f t="shared" si="24"/>
        <v>851815</v>
      </c>
      <c r="AC37" s="123">
        <f t="shared" si="48"/>
        <v>2.1773861340367029E-4</v>
      </c>
      <c r="AD37" s="352">
        <f>[7]東京事務!$I$37</f>
        <v>0</v>
      </c>
      <c r="AE37" s="9">
        <f t="shared" si="49"/>
        <v>0</v>
      </c>
      <c r="AF37" s="362">
        <f>[7]東京事務!$L$37</f>
        <v>0</v>
      </c>
      <c r="AG37" s="81">
        <f t="shared" si="50"/>
        <v>0</v>
      </c>
      <c r="AH37" s="388">
        <f>[7]東京工場!$I$37</f>
        <v>35255</v>
      </c>
      <c r="AI37" s="171">
        <f t="shared" si="25"/>
        <v>3.8246072332863957E-3</v>
      </c>
      <c r="AJ37" s="362">
        <f>[7]東京工場!$L$37</f>
        <v>247767</v>
      </c>
      <c r="AK37" s="99">
        <f t="shared" si="36"/>
        <v>3.5466079555686821E-3</v>
      </c>
      <c r="AL37" s="547">
        <f t="shared" si="26"/>
        <v>35255</v>
      </c>
      <c r="AM37" s="314">
        <f t="shared" si="51"/>
        <v>1.5450795147090848E-4</v>
      </c>
      <c r="AN37" s="478">
        <f t="shared" si="27"/>
        <v>247767</v>
      </c>
      <c r="AO37" s="123">
        <f t="shared" si="52"/>
        <v>1.3755087937588421E-4</v>
      </c>
      <c r="AP37" s="527">
        <f t="shared" si="28"/>
        <v>35255</v>
      </c>
      <c r="AQ37" s="284">
        <f t="shared" si="53"/>
        <v>4.5491477183685424E-5</v>
      </c>
      <c r="AR37" s="487">
        <f t="shared" si="29"/>
        <v>1099582</v>
      </c>
      <c r="AS37" s="285">
        <f t="shared" si="54"/>
        <v>1.9245754868707634E-4</v>
      </c>
      <c r="AT37" s="584">
        <f>[7]全社合計!$G$37</f>
        <v>498093</v>
      </c>
      <c r="AU37" s="124">
        <f t="shared" si="30"/>
        <v>6.0395898166268433E-4</v>
      </c>
      <c r="AV37" s="578">
        <f>[7]全社合計!$N$37</f>
        <v>3135782</v>
      </c>
      <c r="AW37" s="125">
        <f t="shared" si="31"/>
        <v>4.8855717547980932E-4</v>
      </c>
      <c r="AX37" s="584">
        <f t="shared" si="32"/>
        <v>-462838</v>
      </c>
      <c r="AY37" s="124">
        <f t="shared" si="33"/>
        <v>7.0779954747406615E-2</v>
      </c>
      <c r="AZ37" s="578">
        <f t="shared" si="34"/>
        <v>-2036200</v>
      </c>
      <c r="BA37" s="125">
        <f t="shared" si="35"/>
        <v>0.35065639129250692</v>
      </c>
      <c r="BB37" s="11"/>
    </row>
    <row r="38" spans="1:54" ht="15.95" customHeight="1">
      <c r="A38" s="37" t="s">
        <v>32</v>
      </c>
      <c r="B38" s="703">
        <f>[7]本部!$I$38</f>
        <v>0</v>
      </c>
      <c r="C38" s="259" t="str">
        <f t="shared" si="38"/>
        <v/>
      </c>
      <c r="D38" s="728">
        <f>[7]本部!$L$38</f>
        <v>33096</v>
      </c>
      <c r="E38" s="122" t="str">
        <f t="shared" si="39"/>
        <v/>
      </c>
      <c r="F38" s="352">
        <f>[7]本社営業!$I$38</f>
        <v>166841</v>
      </c>
      <c r="G38" s="9">
        <f t="shared" si="40"/>
        <v>3.2689624652569262E-4</v>
      </c>
      <c r="H38" s="362">
        <f>[7]本社営業!$L$38</f>
        <v>1106742</v>
      </c>
      <c r="I38" s="124">
        <f>IF(ISERR(H38/$H$11),"",H38/$H$11)</f>
        <v>3.0257802201292226E-4</v>
      </c>
      <c r="J38" s="745">
        <f>[7]東大阪!$I$38</f>
        <v>5086</v>
      </c>
      <c r="K38" s="9">
        <f t="shared" si="20"/>
        <v>5.6887535936402285E-4</v>
      </c>
      <c r="L38" s="362">
        <f>[7]東大阪!$L$38</f>
        <v>5086</v>
      </c>
      <c r="M38" s="124">
        <f t="shared" si="37"/>
        <v>7.9320393597587214E-5</v>
      </c>
      <c r="N38" s="403">
        <f>[7]南港工場!$I$38</f>
        <v>4566</v>
      </c>
      <c r="O38" s="9">
        <f t="shared" si="41"/>
        <v>1.6612781851070669E-4</v>
      </c>
      <c r="P38" s="362">
        <f>[7]南港工場!$L$38</f>
        <v>4566</v>
      </c>
      <c r="Q38" s="204">
        <f t="shared" si="42"/>
        <v>2.3997298806024016E-5</v>
      </c>
      <c r="R38" s="437">
        <f>[7]南港事務!$I$38</f>
        <v>7337</v>
      </c>
      <c r="S38" s="9" t="str">
        <f t="shared" si="43"/>
        <v/>
      </c>
      <c r="T38" s="362">
        <f>[7]南港事務!$L$38</f>
        <v>61836</v>
      </c>
      <c r="U38" s="204" t="str">
        <f t="shared" si="44"/>
        <v/>
      </c>
      <c r="V38" s="456">
        <f t="shared" si="21"/>
        <v>11903</v>
      </c>
      <c r="W38" s="171">
        <f t="shared" si="45"/>
        <v>4.3307477523717511E-4</v>
      </c>
      <c r="X38" s="426">
        <f t="shared" si="22"/>
        <v>66402</v>
      </c>
      <c r="Y38" s="225">
        <f t="shared" si="46"/>
        <v>3.4898568447604177E-4</v>
      </c>
      <c r="Z38" s="460">
        <f t="shared" si="23"/>
        <v>183830</v>
      </c>
      <c r="AA38" s="189">
        <f t="shared" si="47"/>
        <v>3.3618970467227667E-4</v>
      </c>
      <c r="AB38" s="564">
        <f t="shared" si="24"/>
        <v>1178230</v>
      </c>
      <c r="AC38" s="123">
        <f t="shared" si="48"/>
        <v>3.011759202063904E-4</v>
      </c>
      <c r="AD38" s="352">
        <f>[7]東京事務!$I$38</f>
        <v>28398</v>
      </c>
      <c r="AE38" s="9">
        <f t="shared" si="49"/>
        <v>1.2969609484820923E-4</v>
      </c>
      <c r="AF38" s="362">
        <f>[7]東京事務!$L$38</f>
        <v>280407</v>
      </c>
      <c r="AG38" s="81">
        <f t="shared" si="50"/>
        <v>1.6195250555687684E-4</v>
      </c>
      <c r="AH38" s="388">
        <f>[7]東京工場!$I$38</f>
        <v>146765</v>
      </c>
      <c r="AI38" s="171">
        <f t="shared" si="25"/>
        <v>1.5921670134541991E-2</v>
      </c>
      <c r="AJ38" s="362">
        <f>[7]東京工場!$L$38</f>
        <v>180015</v>
      </c>
      <c r="AK38" s="99">
        <f t="shared" si="36"/>
        <v>2.5767863804368471E-3</v>
      </c>
      <c r="AL38" s="547">
        <f t="shared" si="26"/>
        <v>175163</v>
      </c>
      <c r="AM38" s="314">
        <f t="shared" si="51"/>
        <v>7.6766632544316381E-4</v>
      </c>
      <c r="AN38" s="478">
        <f t="shared" si="27"/>
        <v>460422</v>
      </c>
      <c r="AO38" s="123">
        <f t="shared" si="52"/>
        <v>2.5560890265452366E-4</v>
      </c>
      <c r="AP38" s="527">
        <f t="shared" si="28"/>
        <v>358993</v>
      </c>
      <c r="AQ38" s="284">
        <f t="shared" si="53"/>
        <v>4.6322853123252817E-4</v>
      </c>
      <c r="AR38" s="487">
        <f t="shared" si="29"/>
        <v>1671748</v>
      </c>
      <c r="AS38" s="285">
        <f t="shared" si="54"/>
        <v>2.9260257270719464E-4</v>
      </c>
      <c r="AT38" s="584">
        <f>[7]全社合計!$G$38</f>
        <v>597763</v>
      </c>
      <c r="AU38" s="124">
        <f t="shared" si="30"/>
        <v>7.2481310268490251E-4</v>
      </c>
      <c r="AV38" s="578">
        <f>[7]全社合計!$N$38</f>
        <v>2245957</v>
      </c>
      <c r="AW38" s="125">
        <f t="shared" si="31"/>
        <v>3.4992177650394892E-4</v>
      </c>
      <c r="AX38" s="584">
        <f t="shared" si="32"/>
        <v>-238770</v>
      </c>
      <c r="AY38" s="124">
        <f t="shared" si="33"/>
        <v>0.60056075735701275</v>
      </c>
      <c r="AZ38" s="578">
        <f t="shared" si="34"/>
        <v>-574209</v>
      </c>
      <c r="BA38" s="125">
        <f t="shared" si="35"/>
        <v>0.7443366012795436</v>
      </c>
      <c r="BB38" s="11"/>
    </row>
    <row r="39" spans="1:54" ht="15.95" customHeight="1">
      <c r="A39" s="37" t="s">
        <v>56</v>
      </c>
      <c r="B39" s="703">
        <f>[7]本部!$I$39</f>
        <v>64469</v>
      </c>
      <c r="C39" s="259" t="str">
        <f t="shared" si="38"/>
        <v/>
      </c>
      <c r="D39" s="728">
        <f>[7]本部!$L$39</f>
        <v>113319</v>
      </c>
      <c r="E39" s="122" t="str">
        <f t="shared" si="39"/>
        <v/>
      </c>
      <c r="F39" s="352">
        <f>[7]本社営業!$I$39</f>
        <v>0</v>
      </c>
      <c r="G39" s="9">
        <f t="shared" si="40"/>
        <v>0</v>
      </c>
      <c r="H39" s="362">
        <f>[7]本社営業!$L$39</f>
        <v>72014</v>
      </c>
      <c r="I39" s="124">
        <f t="shared" si="19"/>
        <v>1.9688286590044094E-5</v>
      </c>
      <c r="J39" s="745">
        <f>[7]東大阪!$I$39</f>
        <v>0</v>
      </c>
      <c r="K39" s="9">
        <f t="shared" si="20"/>
        <v>0</v>
      </c>
      <c r="L39" s="362">
        <f>[7]東大阪!$L$39</f>
        <v>0</v>
      </c>
      <c r="M39" s="124">
        <f t="shared" si="37"/>
        <v>0</v>
      </c>
      <c r="N39" s="403">
        <f>[7]南港工場!$I$39</f>
        <v>0</v>
      </c>
      <c r="O39" s="9">
        <f t="shared" si="41"/>
        <v>0</v>
      </c>
      <c r="P39" s="362">
        <f>[7]南港工場!$L$39</f>
        <v>0</v>
      </c>
      <c r="Q39" s="204">
        <f t="shared" si="42"/>
        <v>0</v>
      </c>
      <c r="R39" s="437">
        <f>[7]南港事務!$I$39</f>
        <v>0</v>
      </c>
      <c r="S39" s="9" t="str">
        <f t="shared" si="43"/>
        <v/>
      </c>
      <c r="T39" s="362">
        <f>[7]南港事務!$L$39</f>
        <v>0</v>
      </c>
      <c r="U39" s="204" t="str">
        <f t="shared" si="44"/>
        <v/>
      </c>
      <c r="V39" s="456">
        <f t="shared" si="21"/>
        <v>0</v>
      </c>
      <c r="W39" s="171">
        <f t="shared" si="45"/>
        <v>0</v>
      </c>
      <c r="X39" s="426">
        <f t="shared" si="22"/>
        <v>0</v>
      </c>
      <c r="Y39" s="225">
        <f t="shared" si="46"/>
        <v>0</v>
      </c>
      <c r="Z39" s="460">
        <f t="shared" si="23"/>
        <v>0</v>
      </c>
      <c r="AA39" s="189">
        <f t="shared" si="47"/>
        <v>0</v>
      </c>
      <c r="AB39" s="564">
        <f t="shared" si="24"/>
        <v>72014</v>
      </c>
      <c r="AC39" s="123">
        <f t="shared" si="48"/>
        <v>1.8408021114504805E-5</v>
      </c>
      <c r="AD39" s="352">
        <f>[7]東京事務!$I$39</f>
        <v>0</v>
      </c>
      <c r="AE39" s="9">
        <f t="shared" si="49"/>
        <v>0</v>
      </c>
      <c r="AF39" s="362">
        <f>[7]東京事務!$L$39</f>
        <v>71204</v>
      </c>
      <c r="AG39" s="81">
        <f t="shared" si="50"/>
        <v>4.1124744409632638E-5</v>
      </c>
      <c r="AH39" s="388">
        <f>[7]東京工場!$I$39</f>
        <v>0</v>
      </c>
      <c r="AI39" s="171">
        <f t="shared" si="25"/>
        <v>0</v>
      </c>
      <c r="AJ39" s="362">
        <f>[7]東京工場!$L$39</f>
        <v>0</v>
      </c>
      <c r="AK39" s="99">
        <f t="shared" si="36"/>
        <v>0</v>
      </c>
      <c r="AL39" s="547">
        <f t="shared" si="26"/>
        <v>0</v>
      </c>
      <c r="AM39" s="314">
        <f t="shared" si="51"/>
        <v>0</v>
      </c>
      <c r="AN39" s="478">
        <f t="shared" si="27"/>
        <v>71204</v>
      </c>
      <c r="AO39" s="123">
        <f t="shared" si="52"/>
        <v>3.9529771176470075E-5</v>
      </c>
      <c r="AP39" s="527">
        <f t="shared" si="28"/>
        <v>64469</v>
      </c>
      <c r="AQ39" s="284">
        <f t="shared" si="53"/>
        <v>8.3187917814636658E-5</v>
      </c>
      <c r="AR39" s="487">
        <f t="shared" si="29"/>
        <v>256537</v>
      </c>
      <c r="AS39" s="285">
        <f t="shared" si="54"/>
        <v>4.4901137129869806E-5</v>
      </c>
      <c r="AT39" s="584">
        <f>[7]全社合計!$G$39</f>
        <v>4445</v>
      </c>
      <c r="AU39" s="124">
        <f t="shared" si="30"/>
        <v>5.3897518605775061E-6</v>
      </c>
      <c r="AV39" s="578">
        <f>[7]全社合計!$N$39</f>
        <v>216977</v>
      </c>
      <c r="AW39" s="125">
        <f t="shared" si="31"/>
        <v>3.3805178505419883E-5</v>
      </c>
      <c r="AX39" s="584">
        <f t="shared" si="32"/>
        <v>60024</v>
      </c>
      <c r="AY39" s="124">
        <f t="shared" si="33"/>
        <v>14.5037120359955</v>
      </c>
      <c r="AZ39" s="578">
        <f t="shared" si="34"/>
        <v>39560</v>
      </c>
      <c r="BA39" s="125">
        <f t="shared" si="35"/>
        <v>1.1823234720730769</v>
      </c>
      <c r="BB39" s="11"/>
    </row>
    <row r="40" spans="1:54" ht="15.95" customHeight="1">
      <c r="A40" s="37" t="s">
        <v>33</v>
      </c>
      <c r="B40" s="703">
        <f>[7]本部!$I$40</f>
        <v>0</v>
      </c>
      <c r="C40" s="259" t="str">
        <f t="shared" si="38"/>
        <v/>
      </c>
      <c r="D40" s="728">
        <f>[7]本部!$L$40</f>
        <v>0</v>
      </c>
      <c r="E40" s="122" t="str">
        <f t="shared" si="39"/>
        <v/>
      </c>
      <c r="F40" s="352">
        <f>[7]本社営業!$I$40</f>
        <v>31807</v>
      </c>
      <c r="G40" s="9">
        <f t="shared" si="40"/>
        <v>6.2320346397124837E-5</v>
      </c>
      <c r="H40" s="362">
        <f>[7]本社営業!$L$40</f>
        <v>171196</v>
      </c>
      <c r="I40" s="124">
        <f t="shared" si="19"/>
        <v>4.6804175730679988E-5</v>
      </c>
      <c r="J40" s="745">
        <f>[7]東大阪!$I$40</f>
        <v>0</v>
      </c>
      <c r="K40" s="9">
        <f t="shared" si="20"/>
        <v>0</v>
      </c>
      <c r="L40" s="362">
        <f>[7]東大阪!$L$40</f>
        <v>0</v>
      </c>
      <c r="M40" s="124">
        <f t="shared" si="37"/>
        <v>0</v>
      </c>
      <c r="N40" s="403">
        <f>[7]南港工場!$I$40</f>
        <v>0</v>
      </c>
      <c r="O40" s="9">
        <f t="shared" si="41"/>
        <v>0</v>
      </c>
      <c r="P40" s="362">
        <f>[7]南港工場!$L$40</f>
        <v>0</v>
      </c>
      <c r="Q40" s="204">
        <f t="shared" si="42"/>
        <v>0</v>
      </c>
      <c r="R40" s="437">
        <f>[7]南港事務!$I$40</f>
        <v>0</v>
      </c>
      <c r="S40" s="9" t="str">
        <f t="shared" si="43"/>
        <v/>
      </c>
      <c r="T40" s="362">
        <f>[7]南港事務!$L$40</f>
        <v>9600</v>
      </c>
      <c r="U40" s="204" t="str">
        <f t="shared" si="44"/>
        <v/>
      </c>
      <c r="V40" s="456">
        <f t="shared" si="21"/>
        <v>0</v>
      </c>
      <c r="W40" s="171">
        <f t="shared" si="45"/>
        <v>0</v>
      </c>
      <c r="X40" s="426">
        <f t="shared" si="22"/>
        <v>9600</v>
      </c>
      <c r="Y40" s="225">
        <f t="shared" si="46"/>
        <v>5.0454241904912519E-5</v>
      </c>
      <c r="Z40" s="460">
        <f t="shared" si="23"/>
        <v>31807</v>
      </c>
      <c r="AA40" s="189">
        <f t="shared" si="47"/>
        <v>5.8168883949905368E-5</v>
      </c>
      <c r="AB40" s="564">
        <f t="shared" si="24"/>
        <v>180796</v>
      </c>
      <c r="AC40" s="123">
        <f t="shared" si="48"/>
        <v>4.6214577518510446E-5</v>
      </c>
      <c r="AD40" s="352">
        <f>[7]東京事務!$I$40</f>
        <v>0</v>
      </c>
      <c r="AE40" s="9">
        <f t="shared" si="49"/>
        <v>0</v>
      </c>
      <c r="AF40" s="362">
        <f>[7]東京事務!$L$40</f>
        <v>4419</v>
      </c>
      <c r="AG40" s="81">
        <f t="shared" si="50"/>
        <v>2.5522477044290575E-6</v>
      </c>
      <c r="AH40" s="388">
        <f>[7]東京工場!$I$40</f>
        <v>0</v>
      </c>
      <c r="AI40" s="171">
        <f t="shared" si="25"/>
        <v>0</v>
      </c>
      <c r="AJ40" s="362">
        <f>[7]東京工場!$L$40</f>
        <v>0</v>
      </c>
      <c r="AK40" s="99">
        <f t="shared" si="36"/>
        <v>0</v>
      </c>
      <c r="AL40" s="547">
        <f t="shared" si="26"/>
        <v>0</v>
      </c>
      <c r="AM40" s="314">
        <f t="shared" si="51"/>
        <v>0</v>
      </c>
      <c r="AN40" s="478">
        <f t="shared" si="27"/>
        <v>4419</v>
      </c>
      <c r="AO40" s="123">
        <f t="shared" si="52"/>
        <v>2.4532618789509193E-6</v>
      </c>
      <c r="AP40" s="527">
        <f t="shared" si="28"/>
        <v>31807</v>
      </c>
      <c r="AQ40" s="284">
        <f t="shared" si="53"/>
        <v>4.1042332003445817E-5</v>
      </c>
      <c r="AR40" s="487">
        <f t="shared" si="29"/>
        <v>185215</v>
      </c>
      <c r="AS40" s="285">
        <f t="shared" si="54"/>
        <v>3.2417795926158164E-5</v>
      </c>
      <c r="AT40" s="584">
        <f>[7]全社合計!$G$40</f>
        <v>39175</v>
      </c>
      <c r="AU40" s="124">
        <f t="shared" si="30"/>
        <v>4.7501356386529538E-5</v>
      </c>
      <c r="AV40" s="578">
        <f>[7]全社合計!$N$40</f>
        <v>242439</v>
      </c>
      <c r="AW40" s="125">
        <f t="shared" si="31"/>
        <v>3.777217710483365E-5</v>
      </c>
      <c r="AX40" s="584">
        <f t="shared" si="32"/>
        <v>-7368</v>
      </c>
      <c r="AY40" s="124">
        <f t="shared" si="33"/>
        <v>0.81192086790044671</v>
      </c>
      <c r="AZ40" s="578">
        <f t="shared" si="34"/>
        <v>-57224</v>
      </c>
      <c r="BA40" s="125">
        <f t="shared" si="35"/>
        <v>0.76396536860818598</v>
      </c>
      <c r="BB40" s="11"/>
    </row>
    <row r="41" spans="1:54" ht="15.95" customHeight="1">
      <c r="A41" s="37" t="s">
        <v>34</v>
      </c>
      <c r="B41" s="703">
        <f>[7]本部!$I$41</f>
        <v>0</v>
      </c>
      <c r="C41" s="259" t="str">
        <f t="shared" si="38"/>
        <v/>
      </c>
      <c r="D41" s="728">
        <f>[7]本部!$L$41</f>
        <v>437300</v>
      </c>
      <c r="E41" s="122" t="str">
        <f t="shared" si="39"/>
        <v/>
      </c>
      <c r="F41" s="352">
        <f>[7]本社営業!$I$41</f>
        <v>15000</v>
      </c>
      <c r="G41" s="9">
        <f t="shared" si="40"/>
        <v>2.938992033064648E-5</v>
      </c>
      <c r="H41" s="362">
        <f>[7]本社営業!$L$41</f>
        <v>157000</v>
      </c>
      <c r="I41" s="124">
        <f t="shared" si="19"/>
        <v>4.2923056553405211E-5</v>
      </c>
      <c r="J41" s="745">
        <f>[7]東大阪!$I$41</f>
        <v>0</v>
      </c>
      <c r="K41" s="9">
        <f t="shared" si="20"/>
        <v>0</v>
      </c>
      <c r="L41" s="362">
        <f>[7]東大阪!$L$41</f>
        <v>10000</v>
      </c>
      <c r="M41" s="124">
        <f t="shared" si="37"/>
        <v>1.5595830436017935E-4</v>
      </c>
      <c r="N41" s="403">
        <f>[7]南港工場!$I$41</f>
        <v>0</v>
      </c>
      <c r="O41" s="9">
        <f t="shared" si="41"/>
        <v>0</v>
      </c>
      <c r="P41" s="362">
        <f>[7]南港工場!$L$41</f>
        <v>0</v>
      </c>
      <c r="Q41" s="204">
        <f t="shared" si="42"/>
        <v>0</v>
      </c>
      <c r="R41" s="437">
        <f>[7]南港事務!$I$41</f>
        <v>0</v>
      </c>
      <c r="S41" s="9" t="str">
        <f t="shared" si="43"/>
        <v/>
      </c>
      <c r="T41" s="362">
        <f>[7]南港事務!$L$41</f>
        <v>851916</v>
      </c>
      <c r="U41" s="204" t="str">
        <f t="shared" si="44"/>
        <v/>
      </c>
      <c r="V41" s="456">
        <f t="shared" si="21"/>
        <v>0</v>
      </c>
      <c r="W41" s="171">
        <f t="shared" si="45"/>
        <v>0</v>
      </c>
      <c r="X41" s="426">
        <f t="shared" si="22"/>
        <v>851916</v>
      </c>
      <c r="Y41" s="225">
        <f t="shared" si="46"/>
        <v>4.4773724944443183E-3</v>
      </c>
      <c r="Z41" s="460">
        <f t="shared" si="23"/>
        <v>15000</v>
      </c>
      <c r="AA41" s="189">
        <f t="shared" si="47"/>
        <v>2.7432114290834739E-5</v>
      </c>
      <c r="AB41" s="564">
        <f t="shared" si="24"/>
        <v>1018916</v>
      </c>
      <c r="AC41" s="123">
        <f t="shared" si="48"/>
        <v>2.6045251259347878E-4</v>
      </c>
      <c r="AD41" s="352">
        <f>[7]東京事務!$I$41</f>
        <v>0</v>
      </c>
      <c r="AE41" s="9">
        <f t="shared" si="49"/>
        <v>0</v>
      </c>
      <c r="AF41" s="362">
        <f>[7]東京事務!$L$41</f>
        <v>288000</v>
      </c>
      <c r="AG41" s="81">
        <f t="shared" si="50"/>
        <v>1.6633793593020334E-4</v>
      </c>
      <c r="AH41" s="388">
        <f>[7]東京工場!$I$41</f>
        <v>0</v>
      </c>
      <c r="AI41" s="171">
        <f t="shared" si="25"/>
        <v>0</v>
      </c>
      <c r="AJ41" s="362">
        <f>[7]東京工場!$L$41</f>
        <v>0</v>
      </c>
      <c r="AK41" s="99">
        <f t="shared" si="36"/>
        <v>0</v>
      </c>
      <c r="AL41" s="547">
        <f t="shared" si="26"/>
        <v>0</v>
      </c>
      <c r="AM41" s="314">
        <f t="shared" si="51"/>
        <v>0</v>
      </c>
      <c r="AN41" s="478">
        <f t="shared" si="27"/>
        <v>288000</v>
      </c>
      <c r="AO41" s="123">
        <f t="shared" si="52"/>
        <v>1.5988672123509046E-4</v>
      </c>
      <c r="AP41" s="527">
        <f t="shared" si="28"/>
        <v>15000</v>
      </c>
      <c r="AQ41" s="284">
        <f t="shared" si="53"/>
        <v>1.9355329960439126E-5</v>
      </c>
      <c r="AR41" s="487">
        <f t="shared" si="29"/>
        <v>1744216</v>
      </c>
      <c r="AS41" s="285">
        <f t="shared" si="54"/>
        <v>3.0528649590551456E-4</v>
      </c>
      <c r="AT41" s="584">
        <f>[7]全社合計!$G$41</f>
        <v>12000</v>
      </c>
      <c r="AU41" s="124">
        <f t="shared" si="30"/>
        <v>1.4550511209658058E-5</v>
      </c>
      <c r="AV41" s="578">
        <f>[7]全社合計!$N$41</f>
        <v>1817535</v>
      </c>
      <c r="AW41" s="125">
        <f t="shared" si="31"/>
        <v>2.8317330922101572E-4</v>
      </c>
      <c r="AX41" s="584">
        <f t="shared" si="32"/>
        <v>3000</v>
      </c>
      <c r="AY41" s="124">
        <f t="shared" si="33"/>
        <v>1.25</v>
      </c>
      <c r="AZ41" s="578">
        <f t="shared" si="34"/>
        <v>-73319</v>
      </c>
      <c r="BA41" s="125">
        <f t="shared" si="35"/>
        <v>0.95966019911583544</v>
      </c>
      <c r="BB41" s="11"/>
    </row>
    <row r="42" spans="1:54" ht="15.95" customHeight="1">
      <c r="A42" s="37" t="s">
        <v>35</v>
      </c>
      <c r="B42" s="703">
        <f>[7]本部!$I$42</f>
        <v>5750</v>
      </c>
      <c r="C42" s="259" t="str">
        <f t="shared" si="38"/>
        <v/>
      </c>
      <c r="D42" s="728">
        <f>[7]本部!$L$42</f>
        <v>905750</v>
      </c>
      <c r="E42" s="122" t="str">
        <f t="shared" si="39"/>
        <v/>
      </c>
      <c r="F42" s="352">
        <f>[7]本社営業!$I$42</f>
        <v>205850</v>
      </c>
      <c r="G42" s="9">
        <f t="shared" si="40"/>
        <v>4.0332767333757183E-4</v>
      </c>
      <c r="H42" s="362">
        <f>[7]本社営業!$L$42</f>
        <v>1261453</v>
      </c>
      <c r="I42" s="124">
        <f t="shared" si="19"/>
        <v>3.4487527680549467E-4</v>
      </c>
      <c r="J42" s="745">
        <f>[7]東大阪!$I$42</f>
        <v>0</v>
      </c>
      <c r="K42" s="9">
        <f t="shared" si="20"/>
        <v>0</v>
      </c>
      <c r="L42" s="362">
        <f>[7]東大阪!$L$42</f>
        <v>0</v>
      </c>
      <c r="M42" s="124">
        <f t="shared" si="37"/>
        <v>0</v>
      </c>
      <c r="N42" s="403">
        <f>[7]南港工場!$I$42</f>
        <v>0</v>
      </c>
      <c r="O42" s="9">
        <f t="shared" si="41"/>
        <v>0</v>
      </c>
      <c r="P42" s="362">
        <f>[7]南港工場!$L$42</f>
        <v>0</v>
      </c>
      <c r="Q42" s="204">
        <f t="shared" si="42"/>
        <v>0</v>
      </c>
      <c r="R42" s="437">
        <f>[7]南港事務!$I$42</f>
        <v>75900</v>
      </c>
      <c r="S42" s="9" t="str">
        <f t="shared" si="43"/>
        <v/>
      </c>
      <c r="T42" s="362">
        <f>[7]南港事務!$L$42</f>
        <v>75900</v>
      </c>
      <c r="U42" s="204" t="str">
        <f t="shared" si="44"/>
        <v/>
      </c>
      <c r="V42" s="456">
        <f t="shared" si="21"/>
        <v>75900</v>
      </c>
      <c r="W42" s="171">
        <f t="shared" si="45"/>
        <v>2.7615202419979494E-3</v>
      </c>
      <c r="X42" s="426">
        <f t="shared" si="22"/>
        <v>75900</v>
      </c>
      <c r="Y42" s="225">
        <f t="shared" si="46"/>
        <v>3.9890385006071457E-4</v>
      </c>
      <c r="Z42" s="460">
        <f t="shared" si="23"/>
        <v>281750</v>
      </c>
      <c r="AA42" s="189">
        <f t="shared" si="47"/>
        <v>5.1526654676284584E-4</v>
      </c>
      <c r="AB42" s="564">
        <f t="shared" si="24"/>
        <v>1337353</v>
      </c>
      <c r="AC42" s="123">
        <f t="shared" si="48"/>
        <v>3.418505049232975E-4</v>
      </c>
      <c r="AD42" s="352">
        <f>[7]東京事務!$I$42</f>
        <v>78200</v>
      </c>
      <c r="AE42" s="9">
        <f t="shared" si="49"/>
        <v>3.5714608835586882E-4</v>
      </c>
      <c r="AF42" s="362">
        <f>[7]東京事務!$L$42</f>
        <v>177940</v>
      </c>
      <c r="AG42" s="81">
        <f t="shared" si="50"/>
        <v>1.027714316646541E-4</v>
      </c>
      <c r="AH42" s="388">
        <f>[7]東京工場!$I$42</f>
        <v>0</v>
      </c>
      <c r="AI42" s="171">
        <f t="shared" si="25"/>
        <v>0</v>
      </c>
      <c r="AJ42" s="362">
        <f>[7]東京工場!$L$42</f>
        <v>0</v>
      </c>
      <c r="AK42" s="99">
        <f t="shared" si="36"/>
        <v>0</v>
      </c>
      <c r="AL42" s="547">
        <f t="shared" si="26"/>
        <v>78200</v>
      </c>
      <c r="AM42" s="314">
        <f t="shared" si="51"/>
        <v>3.4271796355197961E-4</v>
      </c>
      <c r="AN42" s="478">
        <f t="shared" si="27"/>
        <v>177940</v>
      </c>
      <c r="AO42" s="123">
        <f t="shared" si="52"/>
        <v>9.878556658531943E-5</v>
      </c>
      <c r="AP42" s="527">
        <f t="shared" si="28"/>
        <v>365700</v>
      </c>
      <c r="AQ42" s="284">
        <f t="shared" si="53"/>
        <v>4.7188294443550584E-4</v>
      </c>
      <c r="AR42" s="487">
        <f t="shared" si="29"/>
        <v>2421043</v>
      </c>
      <c r="AS42" s="285">
        <f t="shared" si="54"/>
        <v>4.2375011690442855E-4</v>
      </c>
      <c r="AT42" s="584">
        <f>[7]全社合計!$G$42</f>
        <v>52800</v>
      </c>
      <c r="AU42" s="124">
        <f t="shared" si="30"/>
        <v>6.4022249322495461E-5</v>
      </c>
      <c r="AV42" s="578">
        <f>[7]全社合計!$N$42</f>
        <v>2169016</v>
      </c>
      <c r="AW42" s="125">
        <f t="shared" si="31"/>
        <v>3.3793431129157386E-4</v>
      </c>
      <c r="AX42" s="584">
        <f t="shared" si="32"/>
        <v>312900</v>
      </c>
      <c r="AY42" s="124">
        <f t="shared" si="33"/>
        <v>6.9261363636363633</v>
      </c>
      <c r="AZ42" s="578">
        <f t="shared" si="34"/>
        <v>252027</v>
      </c>
      <c r="BA42" s="125">
        <f t="shared" si="35"/>
        <v>1.1161941636207386</v>
      </c>
      <c r="BB42" s="11"/>
    </row>
    <row r="43" spans="1:54" ht="15.95" customHeight="1">
      <c r="A43" s="37" t="s">
        <v>36</v>
      </c>
      <c r="B43" s="703">
        <f>[7]本部!$I$43</f>
        <v>0</v>
      </c>
      <c r="C43" s="259" t="str">
        <f t="shared" si="38"/>
        <v/>
      </c>
      <c r="D43" s="728">
        <f>[7]本部!$L$43</f>
        <v>0</v>
      </c>
      <c r="E43" s="122" t="str">
        <f t="shared" si="39"/>
        <v/>
      </c>
      <c r="F43" s="352">
        <f>[7]本社営業!$I$43</f>
        <v>12647146</v>
      </c>
      <c r="G43" s="9">
        <f t="shared" si="40"/>
        <v>2.4779907556670287E-2</v>
      </c>
      <c r="H43" s="362">
        <f>[7]本社営業!$L$43</f>
        <v>95865675</v>
      </c>
      <c r="I43" s="124">
        <f t="shared" si="19"/>
        <v>2.6209221589524611E-2</v>
      </c>
      <c r="J43" s="745">
        <f>[7]東大阪!$I$43</f>
        <v>-483885</v>
      </c>
      <c r="K43" s="9">
        <f t="shared" si="20"/>
        <v>-5.4123132769536023E-2</v>
      </c>
      <c r="L43" s="362">
        <f>[7]東大阪!$L$43</f>
        <v>-3363507</v>
      </c>
      <c r="M43" s="124">
        <f t="shared" si="37"/>
        <v>-5.2456684842359373E-2</v>
      </c>
      <c r="N43" s="403">
        <f>[7]南港工場!$I$43</f>
        <v>1466885</v>
      </c>
      <c r="O43" s="9">
        <f t="shared" si="41"/>
        <v>5.3370653757353913E-2</v>
      </c>
      <c r="P43" s="362">
        <f>[7]南港工場!$L$43</f>
        <v>12956073</v>
      </c>
      <c r="Q43" s="204">
        <f t="shared" si="42"/>
        <v>6.809258763330267E-2</v>
      </c>
      <c r="R43" s="437">
        <f>[7]南港事務!$I$43</f>
        <v>0</v>
      </c>
      <c r="S43" s="9" t="str">
        <f t="shared" si="43"/>
        <v/>
      </c>
      <c r="T43" s="362">
        <f>[7]南港事務!$L$43</f>
        <v>0</v>
      </c>
      <c r="U43" s="204" t="str">
        <f t="shared" si="44"/>
        <v/>
      </c>
      <c r="V43" s="456">
        <f t="shared" si="21"/>
        <v>1466885</v>
      </c>
      <c r="W43" s="171">
        <f t="shared" si="45"/>
        <v>5.3370653757353913E-2</v>
      </c>
      <c r="X43" s="426">
        <f t="shared" si="22"/>
        <v>12956073</v>
      </c>
      <c r="Y43" s="225">
        <f t="shared" si="46"/>
        <v>6.809258763330267E-2</v>
      </c>
      <c r="Z43" s="460">
        <f t="shared" si="23"/>
        <v>13630146</v>
      </c>
      <c r="AA43" s="189">
        <f t="shared" si="47"/>
        <v>2.4926914858184261E-2</v>
      </c>
      <c r="AB43" s="564">
        <f t="shared" si="24"/>
        <v>105458241</v>
      </c>
      <c r="AC43" s="123">
        <f t="shared" si="48"/>
        <v>2.6956946246931658E-2</v>
      </c>
      <c r="AD43" s="352">
        <f>[7]東京事務!$I$43</f>
        <v>6095955</v>
      </c>
      <c r="AE43" s="9">
        <f t="shared" si="49"/>
        <v>2.7840747865005119E-2</v>
      </c>
      <c r="AF43" s="362">
        <f>[7]東京事務!$L$43</f>
        <v>42470466</v>
      </c>
      <c r="AG43" s="81">
        <f t="shared" si="50"/>
        <v>2.4529339070950971E-2</v>
      </c>
      <c r="AH43" s="388">
        <f>[7]東京工場!$I$43</f>
        <v>0</v>
      </c>
      <c r="AI43" s="171">
        <f t="shared" si="25"/>
        <v>0</v>
      </c>
      <c r="AJ43" s="362">
        <f>[7]東京工場!$L$43</f>
        <v>0</v>
      </c>
      <c r="AK43" s="99">
        <f t="shared" si="36"/>
        <v>0</v>
      </c>
      <c r="AL43" s="547">
        <f t="shared" si="26"/>
        <v>6095955</v>
      </c>
      <c r="AM43" s="314">
        <f t="shared" si="51"/>
        <v>2.6716026643280155E-2</v>
      </c>
      <c r="AN43" s="478">
        <f t="shared" si="27"/>
        <v>42470466</v>
      </c>
      <c r="AO43" s="123">
        <f t="shared" si="52"/>
        <v>2.3577998465508287E-2</v>
      </c>
      <c r="AP43" s="527">
        <f t="shared" si="28"/>
        <v>19726101</v>
      </c>
      <c r="AQ43" s="284">
        <f t="shared" si="53"/>
        <v>2.5453679579196545E-2</v>
      </c>
      <c r="AR43" s="487">
        <f t="shared" si="29"/>
        <v>147928707</v>
      </c>
      <c r="AS43" s="285">
        <f t="shared" si="54"/>
        <v>2.5891653673549356E-2</v>
      </c>
      <c r="AT43" s="584">
        <f>[7]全社合計!$G$43</f>
        <v>21128137</v>
      </c>
      <c r="AU43" s="124">
        <f t="shared" si="30"/>
        <v>2.5618766188140931E-2</v>
      </c>
      <c r="AV43" s="578">
        <f>[7]全社合計!$N$43</f>
        <v>148336350</v>
      </c>
      <c r="AW43" s="125">
        <f t="shared" si="31"/>
        <v>2.3110914016658175E-2</v>
      </c>
      <c r="AX43" s="584">
        <f t="shared" si="32"/>
        <v>-1402036</v>
      </c>
      <c r="AY43" s="124">
        <f t="shared" si="33"/>
        <v>0.93364128602536045</v>
      </c>
      <c r="AZ43" s="578">
        <f>AR43-AV43</f>
        <v>-407643</v>
      </c>
      <c r="BA43" s="125">
        <f t="shared" si="35"/>
        <v>0.99725190083212911</v>
      </c>
      <c r="BB43" s="11"/>
    </row>
    <row r="44" spans="1:54" ht="15.95" customHeight="1">
      <c r="A44" s="37" t="s">
        <v>37</v>
      </c>
      <c r="B44" s="703">
        <f>[7]本部!$I$44</f>
        <v>-165000</v>
      </c>
      <c r="C44" s="259" t="str">
        <f t="shared" si="38"/>
        <v/>
      </c>
      <c r="D44" s="728">
        <f>[7]本部!$L$44</f>
        <v>-1155000</v>
      </c>
      <c r="E44" s="122" t="str">
        <f t="shared" si="39"/>
        <v/>
      </c>
      <c r="F44" s="352">
        <f>[7]本社営業!$I$44</f>
        <v>475000</v>
      </c>
      <c r="G44" s="9">
        <f t="shared" si="40"/>
        <v>9.306808104704718E-4</v>
      </c>
      <c r="H44" s="362">
        <f>[7]本社営業!$L$44</f>
        <v>3325000</v>
      </c>
      <c r="I44" s="124">
        <f t="shared" si="19"/>
        <v>9.0903925503230782E-4</v>
      </c>
      <c r="J44" s="745">
        <f>[7]東大阪!$I$44</f>
        <v>375000</v>
      </c>
      <c r="K44" s="9">
        <f t="shared" si="20"/>
        <v>4.1944211514256501E-2</v>
      </c>
      <c r="L44" s="362">
        <f>[7]東大阪!$L$44</f>
        <v>2625000</v>
      </c>
      <c r="M44" s="124">
        <f t="shared" si="37"/>
        <v>4.0939054894547078E-2</v>
      </c>
      <c r="N44" s="403">
        <f>[7]南港工場!$I$44</f>
        <v>360000</v>
      </c>
      <c r="O44" s="9">
        <f t="shared" si="41"/>
        <v>1.3098119724891459E-2</v>
      </c>
      <c r="P44" s="362">
        <f>[7]南港工場!$L$44</f>
        <v>2520000</v>
      </c>
      <c r="Q44" s="204">
        <f t="shared" si="42"/>
        <v>1.3244238500039536E-2</v>
      </c>
      <c r="R44" s="437">
        <f>[7]南港事務!$I$44</f>
        <v>80000</v>
      </c>
      <c r="S44" s="9" t="str">
        <f t="shared" si="43"/>
        <v/>
      </c>
      <c r="T44" s="362">
        <f>[7]南港事務!$L$44</f>
        <v>560000</v>
      </c>
      <c r="U44" s="204" t="str">
        <f t="shared" si="44"/>
        <v/>
      </c>
      <c r="V44" s="456">
        <f t="shared" si="21"/>
        <v>440000</v>
      </c>
      <c r="W44" s="171">
        <f t="shared" si="45"/>
        <v>1.6008812997089561E-2</v>
      </c>
      <c r="X44" s="426">
        <f t="shared" si="22"/>
        <v>3080000</v>
      </c>
      <c r="Y44" s="225">
        <f t="shared" si="46"/>
        <v>1.6187402611159432E-2</v>
      </c>
      <c r="Z44" s="460">
        <f t="shared" si="23"/>
        <v>1290000</v>
      </c>
      <c r="AA44" s="189">
        <f t="shared" si="47"/>
        <v>2.3591618290117874E-3</v>
      </c>
      <c r="AB44" s="564">
        <f t="shared" si="24"/>
        <v>9030000</v>
      </c>
      <c r="AC44" s="123">
        <f t="shared" si="48"/>
        <v>2.3082238268111533E-3</v>
      </c>
      <c r="AD44" s="352">
        <f>[7]東京事務!$I$44</f>
        <v>55000</v>
      </c>
      <c r="AE44" s="9">
        <f t="shared" si="49"/>
        <v>2.5118970408660848E-4</v>
      </c>
      <c r="AF44" s="362">
        <f>[7]東京事務!$L$44</f>
        <v>385000</v>
      </c>
      <c r="AG44" s="81">
        <f t="shared" si="50"/>
        <v>2.2236147685113989E-4</v>
      </c>
      <c r="AH44" s="388">
        <f>[7]東京工場!$I$44</f>
        <v>275000</v>
      </c>
      <c r="AI44" s="171">
        <f t="shared" si="25"/>
        <v>2.9833129744823682E-2</v>
      </c>
      <c r="AJ44" s="362">
        <f>[7]東京工場!$L$44</f>
        <v>1925000</v>
      </c>
      <c r="AK44" s="99">
        <f t="shared" si="36"/>
        <v>2.7555002540571236E-2</v>
      </c>
      <c r="AL44" s="547">
        <f t="shared" si="26"/>
        <v>330000</v>
      </c>
      <c r="AM44" s="314">
        <f t="shared" si="51"/>
        <v>1.4462522758587376E-3</v>
      </c>
      <c r="AN44" s="478">
        <f t="shared" si="27"/>
        <v>2310000</v>
      </c>
      <c r="AO44" s="123">
        <f t="shared" si="52"/>
        <v>1.282424743239788E-3</v>
      </c>
      <c r="AP44" s="527">
        <f t="shared" si="28"/>
        <v>1455000</v>
      </c>
      <c r="AQ44" s="284">
        <f t="shared" si="53"/>
        <v>1.877467006162595E-3</v>
      </c>
      <c r="AR44" s="487">
        <f t="shared" si="29"/>
        <v>10185000</v>
      </c>
      <c r="AS44" s="285">
        <f t="shared" si="54"/>
        <v>1.7826593499874247E-3</v>
      </c>
      <c r="AT44" s="584">
        <f>[7]全社合計!$G$44</f>
        <v>1280000</v>
      </c>
      <c r="AU44" s="124">
        <f t="shared" si="30"/>
        <v>1.5520545290301929E-3</v>
      </c>
      <c r="AV44" s="578">
        <f>[7]全社合計!$N$44</f>
        <v>8960000</v>
      </c>
      <c r="AW44" s="125">
        <f t="shared" si="31"/>
        <v>1.3959746858356516E-3</v>
      </c>
      <c r="AX44" s="584">
        <f t="shared" si="32"/>
        <v>175000</v>
      </c>
      <c r="AY44" s="124">
        <f t="shared" si="33"/>
        <v>1.13671875</v>
      </c>
      <c r="AZ44" s="578">
        <f t="shared" si="34"/>
        <v>1225000</v>
      </c>
      <c r="BA44" s="125">
        <f t="shared" si="35"/>
        <v>1.13671875</v>
      </c>
      <c r="BB44" s="14"/>
    </row>
    <row r="45" spans="1:54" ht="15.95" customHeight="1">
      <c r="A45" s="37" t="s">
        <v>57</v>
      </c>
      <c r="B45" s="703">
        <f>[7]本部!$I$45</f>
        <v>0</v>
      </c>
      <c r="C45" s="259" t="str">
        <f t="shared" si="38"/>
        <v/>
      </c>
      <c r="D45" s="728">
        <f>[7]本部!$L$45</f>
        <v>0</v>
      </c>
      <c r="E45" s="122" t="str">
        <f t="shared" si="39"/>
        <v/>
      </c>
      <c r="F45" s="352">
        <f>[7]本社営業!$I$45</f>
        <v>0</v>
      </c>
      <c r="G45" s="9">
        <f t="shared" si="40"/>
        <v>0</v>
      </c>
      <c r="H45" s="362">
        <f>[7]本社営業!$L$45</f>
        <v>0</v>
      </c>
      <c r="I45" s="124">
        <f t="shared" si="19"/>
        <v>0</v>
      </c>
      <c r="J45" s="745">
        <f>[7]東大阪!$I$45</f>
        <v>0</v>
      </c>
      <c r="K45" s="9">
        <f t="shared" si="20"/>
        <v>0</v>
      </c>
      <c r="L45" s="362">
        <f>[7]東大阪!$L$45</f>
        <v>0</v>
      </c>
      <c r="M45" s="124">
        <f t="shared" si="37"/>
        <v>0</v>
      </c>
      <c r="N45" s="403">
        <f>[7]南港工場!$I$45</f>
        <v>0</v>
      </c>
      <c r="O45" s="9">
        <f t="shared" si="41"/>
        <v>0</v>
      </c>
      <c r="P45" s="362">
        <f>[7]南港工場!$L$45</f>
        <v>0</v>
      </c>
      <c r="Q45" s="204">
        <f t="shared" si="42"/>
        <v>0</v>
      </c>
      <c r="R45" s="437">
        <f>[7]南港事務!$I$45</f>
        <v>0</v>
      </c>
      <c r="S45" s="9" t="str">
        <f t="shared" si="43"/>
        <v/>
      </c>
      <c r="T45" s="362">
        <f>[7]南港事務!$L$45</f>
        <v>0</v>
      </c>
      <c r="U45" s="204" t="str">
        <f t="shared" si="44"/>
        <v/>
      </c>
      <c r="V45" s="456">
        <f t="shared" si="21"/>
        <v>0</v>
      </c>
      <c r="W45" s="171">
        <f t="shared" si="45"/>
        <v>0</v>
      </c>
      <c r="X45" s="426">
        <f t="shared" si="22"/>
        <v>0</v>
      </c>
      <c r="Y45" s="225">
        <f t="shared" si="46"/>
        <v>0</v>
      </c>
      <c r="Z45" s="460">
        <f t="shared" si="23"/>
        <v>0</v>
      </c>
      <c r="AA45" s="189">
        <f t="shared" si="47"/>
        <v>0</v>
      </c>
      <c r="AB45" s="564">
        <f t="shared" si="24"/>
        <v>0</v>
      </c>
      <c r="AC45" s="123">
        <f t="shared" si="48"/>
        <v>0</v>
      </c>
      <c r="AD45" s="352">
        <f>[7]東京事務!$I$45</f>
        <v>0</v>
      </c>
      <c r="AE45" s="9">
        <f t="shared" si="49"/>
        <v>0</v>
      </c>
      <c r="AF45" s="362">
        <f>[7]東京事務!$L$45</f>
        <v>0</v>
      </c>
      <c r="AG45" s="81">
        <f t="shared" si="50"/>
        <v>0</v>
      </c>
      <c r="AH45" s="388">
        <f>[7]東京工場!$I$45</f>
        <v>0</v>
      </c>
      <c r="AI45" s="171">
        <f t="shared" si="25"/>
        <v>0</v>
      </c>
      <c r="AJ45" s="362">
        <f>[7]東京工場!$L$45</f>
        <v>0</v>
      </c>
      <c r="AK45" s="99">
        <f t="shared" si="36"/>
        <v>0</v>
      </c>
      <c r="AL45" s="547">
        <f t="shared" si="26"/>
        <v>0</v>
      </c>
      <c r="AM45" s="314">
        <f t="shared" si="51"/>
        <v>0</v>
      </c>
      <c r="AN45" s="478">
        <f t="shared" si="27"/>
        <v>0</v>
      </c>
      <c r="AO45" s="123">
        <f t="shared" si="52"/>
        <v>0</v>
      </c>
      <c r="AP45" s="527">
        <f t="shared" si="28"/>
        <v>0</v>
      </c>
      <c r="AQ45" s="284">
        <f t="shared" si="53"/>
        <v>0</v>
      </c>
      <c r="AR45" s="487">
        <f t="shared" si="29"/>
        <v>0</v>
      </c>
      <c r="AS45" s="285">
        <f t="shared" si="54"/>
        <v>0</v>
      </c>
      <c r="AT45" s="584">
        <f>[7]全社合計!$G$45</f>
        <v>0</v>
      </c>
      <c r="AU45" s="124">
        <f t="shared" si="30"/>
        <v>0</v>
      </c>
      <c r="AV45" s="578">
        <f>[7]全社合計!$N$45</f>
        <v>0</v>
      </c>
      <c r="AW45" s="125">
        <f t="shared" si="31"/>
        <v>0</v>
      </c>
      <c r="AX45" s="584">
        <f t="shared" si="32"/>
        <v>0</v>
      </c>
      <c r="AY45" s="124" t="str">
        <f t="shared" si="33"/>
        <v/>
      </c>
      <c r="AZ45" s="578">
        <f t="shared" si="34"/>
        <v>0</v>
      </c>
      <c r="BA45" s="125" t="str">
        <f t="shared" si="35"/>
        <v/>
      </c>
      <c r="BB45" s="11"/>
    </row>
    <row r="46" spans="1:54" ht="15.95" customHeight="1">
      <c r="A46" s="36" t="s">
        <v>38</v>
      </c>
      <c r="B46" s="704">
        <f>[7]本部!$I$46</f>
        <v>10000</v>
      </c>
      <c r="C46" s="260" t="str">
        <f t="shared" si="38"/>
        <v/>
      </c>
      <c r="D46" s="729">
        <f>[7]本部!$L$46</f>
        <v>91000</v>
      </c>
      <c r="E46" s="126" t="str">
        <f t="shared" si="39"/>
        <v/>
      </c>
      <c r="F46" s="353">
        <f>[7]本社営業!$I$46</f>
        <v>0</v>
      </c>
      <c r="G46" s="12">
        <f t="shared" si="40"/>
        <v>0</v>
      </c>
      <c r="H46" s="362">
        <f>[7]本社営業!$L$46</f>
        <v>27555</v>
      </c>
      <c r="I46" s="128">
        <f t="shared" si="19"/>
        <v>7.5334065180196214E-6</v>
      </c>
      <c r="J46" s="746">
        <f>[7]東大阪!$I$46</f>
        <v>0</v>
      </c>
      <c r="K46" s="12">
        <f t="shared" si="20"/>
        <v>0</v>
      </c>
      <c r="L46" s="362">
        <f>[7]東大阪!$L$46</f>
        <v>0</v>
      </c>
      <c r="M46" s="128">
        <f t="shared" si="37"/>
        <v>0</v>
      </c>
      <c r="N46" s="403">
        <f>[7]南港工場!$I$46</f>
        <v>0</v>
      </c>
      <c r="O46" s="12">
        <f t="shared" si="41"/>
        <v>0</v>
      </c>
      <c r="P46" s="362">
        <f>[7]南港工場!$L$46</f>
        <v>0</v>
      </c>
      <c r="Q46" s="205">
        <f t="shared" si="42"/>
        <v>0</v>
      </c>
      <c r="R46" s="438">
        <f>[7]南港事務!$I$46</f>
        <v>0</v>
      </c>
      <c r="S46" s="12" t="str">
        <f t="shared" si="43"/>
        <v/>
      </c>
      <c r="T46" s="362">
        <f>[7]南港事務!$L$46</f>
        <v>0</v>
      </c>
      <c r="U46" s="205" t="str">
        <f t="shared" si="44"/>
        <v/>
      </c>
      <c r="V46" s="457">
        <f t="shared" si="21"/>
        <v>0</v>
      </c>
      <c r="W46" s="172">
        <f t="shared" si="45"/>
        <v>0</v>
      </c>
      <c r="X46" s="427">
        <f t="shared" si="22"/>
        <v>0</v>
      </c>
      <c r="Y46" s="226">
        <f t="shared" si="46"/>
        <v>0</v>
      </c>
      <c r="Z46" s="461">
        <f t="shared" si="23"/>
        <v>0</v>
      </c>
      <c r="AA46" s="190">
        <f t="shared" si="47"/>
        <v>0</v>
      </c>
      <c r="AB46" s="565">
        <f t="shared" si="24"/>
        <v>27555</v>
      </c>
      <c r="AC46" s="127">
        <f t="shared" si="48"/>
        <v>7.0435335047376894E-6</v>
      </c>
      <c r="AD46" s="353">
        <f>[7]東京事務!$I$46</f>
        <v>0</v>
      </c>
      <c r="AE46" s="12">
        <f t="shared" si="49"/>
        <v>0</v>
      </c>
      <c r="AF46" s="362">
        <f>[7]東京事務!$L$46</f>
        <v>33000</v>
      </c>
      <c r="AG46" s="82">
        <f t="shared" si="50"/>
        <v>1.9059555158669132E-5</v>
      </c>
      <c r="AH46" s="389">
        <f>[7]東京工場!$I$46</f>
        <v>0</v>
      </c>
      <c r="AI46" s="172">
        <f t="shared" si="25"/>
        <v>0</v>
      </c>
      <c r="AJ46" s="362">
        <f>[7]東京工場!$L$46</f>
        <v>0</v>
      </c>
      <c r="AK46" s="100">
        <f t="shared" si="36"/>
        <v>0</v>
      </c>
      <c r="AL46" s="548">
        <f t="shared" si="26"/>
        <v>0</v>
      </c>
      <c r="AM46" s="315">
        <f t="shared" si="51"/>
        <v>0</v>
      </c>
      <c r="AN46" s="479">
        <f t="shared" si="27"/>
        <v>33000</v>
      </c>
      <c r="AO46" s="127">
        <f t="shared" si="52"/>
        <v>1.8320353474854114E-5</v>
      </c>
      <c r="AP46" s="528">
        <f t="shared" si="28"/>
        <v>10000</v>
      </c>
      <c r="AQ46" s="286">
        <f t="shared" si="53"/>
        <v>1.2903553306959417E-5</v>
      </c>
      <c r="AR46" s="488">
        <f t="shared" si="29"/>
        <v>151555</v>
      </c>
      <c r="AS46" s="287">
        <f t="shared" si="54"/>
        <v>2.6526356189233595E-5</v>
      </c>
      <c r="AT46" s="585">
        <f>[7]全社合計!$G$46</f>
        <v>18230</v>
      </c>
      <c r="AU46" s="128">
        <f t="shared" si="30"/>
        <v>2.21046516126722E-5</v>
      </c>
      <c r="AV46" s="579">
        <f>[7]全社合計!$N$46</f>
        <v>137543</v>
      </c>
      <c r="AW46" s="129">
        <f t="shared" si="31"/>
        <v>2.1429302032800562E-5</v>
      </c>
      <c r="AX46" s="585">
        <f t="shared" si="32"/>
        <v>-8230</v>
      </c>
      <c r="AY46" s="128">
        <f t="shared" si="33"/>
        <v>0.54854635216675807</v>
      </c>
      <c r="AZ46" s="579">
        <f t="shared" si="34"/>
        <v>14012</v>
      </c>
      <c r="BA46" s="129">
        <f t="shared" si="35"/>
        <v>1.1018735958936479</v>
      </c>
      <c r="BB46" s="11"/>
    </row>
    <row r="47" spans="1:54" ht="19.899999999999999" customHeight="1">
      <c r="A47" s="62" t="s">
        <v>39</v>
      </c>
      <c r="B47" s="708">
        <f>SUM(B19:B46)</f>
        <v>17228050</v>
      </c>
      <c r="C47" s="141" t="str">
        <f t="shared" si="38"/>
        <v/>
      </c>
      <c r="D47" s="401">
        <f>SUM(D19:D46)</f>
        <v>76009935</v>
      </c>
      <c r="E47" s="139" t="str">
        <f t="shared" si="39"/>
        <v/>
      </c>
      <c r="F47" s="466">
        <f>SUM(F19:F46)</f>
        <v>28526921</v>
      </c>
      <c r="G47" s="64">
        <f t="shared" si="40"/>
        <v>5.5893595697909734E-2</v>
      </c>
      <c r="H47" s="359">
        <f>SUM(H19:H46)</f>
        <v>211909579</v>
      </c>
      <c r="I47" s="141">
        <f t="shared" si="19"/>
        <v>5.7935075437103752E-2</v>
      </c>
      <c r="J47" s="747">
        <f>SUM(J19:J46)</f>
        <v>4817265</v>
      </c>
      <c r="K47" s="64">
        <f t="shared" si="20"/>
        <v>0.53881701888059963</v>
      </c>
      <c r="L47" s="359">
        <f>SUM(L19:L46)</f>
        <v>45081051</v>
      </c>
      <c r="M47" s="141">
        <f t="shared" si="37"/>
        <v>0.70307642727347675</v>
      </c>
      <c r="N47" s="405">
        <f>SUM(N19:N46)</f>
        <v>15250277</v>
      </c>
      <c r="O47" s="64">
        <f t="shared" si="41"/>
        <v>0.5548609832882182</v>
      </c>
      <c r="P47" s="359">
        <f>SUM(P19:P46)</f>
        <v>152103887</v>
      </c>
      <c r="Q47" s="177">
        <f t="shared" si="42"/>
        <v>0.79940482389327894</v>
      </c>
      <c r="R47" s="442">
        <f>SUM(R19:R46)</f>
        <v>3821673</v>
      </c>
      <c r="S47" s="64" t="str">
        <f t="shared" si="43"/>
        <v/>
      </c>
      <c r="T47" s="359">
        <f>SUM(T19:T46)</f>
        <v>27810706</v>
      </c>
      <c r="U47" s="209" t="str">
        <f t="shared" si="44"/>
        <v/>
      </c>
      <c r="V47" s="458">
        <f t="shared" si="21"/>
        <v>19071950</v>
      </c>
      <c r="W47" s="177">
        <f t="shared" si="45"/>
        <v>0.69390745690873246</v>
      </c>
      <c r="X47" s="428">
        <f t="shared" si="22"/>
        <v>179914593</v>
      </c>
      <c r="Y47" s="230">
        <f t="shared" si="46"/>
        <v>0.94556816640061248</v>
      </c>
      <c r="Z47" s="458">
        <f t="shared" si="23"/>
        <v>52416136</v>
      </c>
      <c r="AA47" s="194">
        <f t="shared" si="47"/>
        <v>9.5859028895729143E-2</v>
      </c>
      <c r="AB47" s="428">
        <f t="shared" si="24"/>
        <v>436905223</v>
      </c>
      <c r="AC47" s="140">
        <f t="shared" si="48"/>
        <v>0.11168051448359251</v>
      </c>
      <c r="AD47" s="466">
        <f>SUM(AD19:AD46)</f>
        <v>11841902</v>
      </c>
      <c r="AE47" s="64">
        <f t="shared" si="49"/>
        <v>5.4082979258229406E-2</v>
      </c>
      <c r="AF47" s="359">
        <f>SUM(AF19:AF46)</f>
        <v>85752051</v>
      </c>
      <c r="AG47" s="141">
        <f t="shared" si="50"/>
        <v>4.95271498788942E-2</v>
      </c>
      <c r="AH47" s="560">
        <f>SUM(AH19:AH46)</f>
        <v>6639699</v>
      </c>
      <c r="AI47" s="177">
        <f t="shared" si="25"/>
        <v>0.7203018244857311</v>
      </c>
      <c r="AJ47" s="359">
        <f>SUM(AJ19:AJ46)</f>
        <v>50424634</v>
      </c>
      <c r="AK47" s="105">
        <f t="shared" si="36"/>
        <v>0.72179268466357127</v>
      </c>
      <c r="AL47" s="549">
        <f t="shared" si="26"/>
        <v>18481601</v>
      </c>
      <c r="AM47" s="319">
        <f t="shared" si="51"/>
        <v>8.0997143962918544E-2</v>
      </c>
      <c r="AN47" s="480">
        <f t="shared" si="27"/>
        <v>136176685</v>
      </c>
      <c r="AO47" s="140">
        <f t="shared" si="52"/>
        <v>7.5600151643450436E-2</v>
      </c>
      <c r="AP47" s="529">
        <f t="shared" si="28"/>
        <v>88125787</v>
      </c>
      <c r="AQ47" s="141">
        <f t="shared" si="53"/>
        <v>0.11371357902722512</v>
      </c>
      <c r="AR47" s="428">
        <f t="shared" si="29"/>
        <v>649091843</v>
      </c>
      <c r="AS47" s="140">
        <f t="shared" si="54"/>
        <v>0.11360919419975646</v>
      </c>
      <c r="AT47" s="529">
        <f>SUM(AT19:AT46)</f>
        <v>90389933</v>
      </c>
      <c r="AU47" s="141">
        <f t="shared" si="30"/>
        <v>0.10960164444639507</v>
      </c>
      <c r="AV47" s="410">
        <f>SUM(AV19:AV46)</f>
        <v>626095015</v>
      </c>
      <c r="AW47" s="140">
        <f t="shared" si="31"/>
        <v>9.7546070520970155E-2</v>
      </c>
      <c r="AX47" s="529">
        <f t="shared" si="32"/>
        <v>-2264146</v>
      </c>
      <c r="AY47" s="141">
        <f t="shared" si="33"/>
        <v>0.97495134773470848</v>
      </c>
      <c r="AZ47" s="410">
        <f t="shared" si="34"/>
        <v>22996828</v>
      </c>
      <c r="BA47" s="140">
        <f t="shared" si="35"/>
        <v>1.0367305719563986</v>
      </c>
      <c r="BB47" s="14"/>
    </row>
    <row r="48" spans="1:54" ht="19.899999999999999" customHeight="1">
      <c r="A48" s="55" t="s">
        <v>40</v>
      </c>
      <c r="B48" s="709">
        <f>+B18-B47</f>
        <v>-17228050</v>
      </c>
      <c r="C48" s="138" t="str">
        <f t="shared" si="38"/>
        <v/>
      </c>
      <c r="D48" s="376">
        <f>D18-D47</f>
        <v>-76009935</v>
      </c>
      <c r="E48" s="136" t="str">
        <f t="shared" si="39"/>
        <v/>
      </c>
      <c r="F48" s="375">
        <f>F18-F47</f>
        <v>38460750</v>
      </c>
      <c r="G48" s="56">
        <f t="shared" si="40"/>
        <v>7.5357225223794108E-2</v>
      </c>
      <c r="H48" s="376">
        <f>H18-H47</f>
        <v>271165087</v>
      </c>
      <c r="I48" s="138">
        <f t="shared" si="19"/>
        <v>7.4135250730000282E-2</v>
      </c>
      <c r="J48" s="374">
        <f>J18-J47</f>
        <v>3577697</v>
      </c>
      <c r="K48" s="56">
        <f t="shared" si="20"/>
        <v>0.40016981253845585</v>
      </c>
      <c r="L48" s="376">
        <f>L18-L47</f>
        <v>15345345</v>
      </c>
      <c r="M48" s="138">
        <f t="shared" si="37"/>
        <v>0.23932339860219562</v>
      </c>
      <c r="N48" s="412">
        <f>N18-N47</f>
        <v>10365116</v>
      </c>
      <c r="O48" s="56">
        <f t="shared" si="41"/>
        <v>0.3771209175844113</v>
      </c>
      <c r="P48" s="376">
        <f>P18-P47</f>
        <v>25655750</v>
      </c>
      <c r="Q48" s="176">
        <f t="shared" si="42"/>
        <v>0.13483764757832908</v>
      </c>
      <c r="R48" s="443">
        <f>R18-R47</f>
        <v>-3821673</v>
      </c>
      <c r="S48" s="56" t="str">
        <f t="shared" si="43"/>
        <v/>
      </c>
      <c r="T48" s="376">
        <f>T18-T47</f>
        <v>-27810706</v>
      </c>
      <c r="U48" s="208" t="str">
        <f t="shared" si="44"/>
        <v/>
      </c>
      <c r="V48" s="490">
        <f t="shared" si="21"/>
        <v>6543443</v>
      </c>
      <c r="W48" s="176">
        <f t="shared" si="45"/>
        <v>0.23807444396389707</v>
      </c>
      <c r="X48" s="424">
        <f t="shared" si="22"/>
        <v>-2154956</v>
      </c>
      <c r="Y48" s="229">
        <f t="shared" si="46"/>
        <v>-1.1325694929004444E-2</v>
      </c>
      <c r="Z48" s="490">
        <f t="shared" si="23"/>
        <v>48581890</v>
      </c>
      <c r="AA48" s="193">
        <f t="shared" si="47"/>
        <v>8.8846930596317417E-2</v>
      </c>
      <c r="AB48" s="424">
        <f t="shared" si="24"/>
        <v>284355476</v>
      </c>
      <c r="AC48" s="137">
        <f t="shared" si="48"/>
        <v>7.2686166665274318E-2</v>
      </c>
      <c r="AD48" s="375">
        <f>AD18-AD47</f>
        <v>7985607</v>
      </c>
      <c r="AE48" s="56">
        <f t="shared" si="49"/>
        <v>3.6470950168762714E-2</v>
      </c>
      <c r="AF48" s="376">
        <f>AF18-AF47</f>
        <v>65856133</v>
      </c>
      <c r="AG48" s="138">
        <f t="shared" si="50"/>
        <v>3.8036018165156074E-2</v>
      </c>
      <c r="AH48" s="398">
        <f>AH18-AH47</f>
        <v>2578241</v>
      </c>
      <c r="AI48" s="176">
        <f t="shared" si="25"/>
        <v>0.2796981755142689</v>
      </c>
      <c r="AJ48" s="376">
        <f>AJ18-AJ47</f>
        <v>19435639</v>
      </c>
      <c r="AK48" s="104">
        <f t="shared" si="36"/>
        <v>0.27820731533642878</v>
      </c>
      <c r="AL48" s="545">
        <f t="shared" si="26"/>
        <v>10563848</v>
      </c>
      <c r="AM48" s="318">
        <f t="shared" si="51"/>
        <v>4.6296937005532647E-2</v>
      </c>
      <c r="AN48" s="537">
        <f t="shared" si="27"/>
        <v>85291772</v>
      </c>
      <c r="AO48" s="137">
        <f t="shared" si="52"/>
        <v>4.7350770046565606E-2</v>
      </c>
      <c r="AP48" s="525">
        <f t="shared" si="28"/>
        <v>41917688</v>
      </c>
      <c r="AQ48" s="305">
        <f t="shared" si="53"/>
        <v>5.4088712161249303E-2</v>
      </c>
      <c r="AR48" s="517">
        <f t="shared" si="29"/>
        <v>293637313</v>
      </c>
      <c r="AS48" s="304">
        <f t="shared" si="54"/>
        <v>5.1394727690194791E-2</v>
      </c>
      <c r="AT48" s="582">
        <f>AT18-AT47</f>
        <v>51114367</v>
      </c>
      <c r="AU48" s="138">
        <f t="shared" si="30"/>
        <v>6.1978347500672999E-2</v>
      </c>
      <c r="AV48" s="597">
        <f>AV18-AV47</f>
        <v>425082341</v>
      </c>
      <c r="AW48" s="137">
        <f t="shared" si="31"/>
        <v>6.622814591872303E-2</v>
      </c>
      <c r="AX48" s="582">
        <f t="shared" si="32"/>
        <v>-9196679</v>
      </c>
      <c r="AY48" s="138">
        <f t="shared" si="33"/>
        <v>0.82007643760901905</v>
      </c>
      <c r="AZ48" s="597">
        <f t="shared" si="34"/>
        <v>-131445028</v>
      </c>
      <c r="BA48" s="137">
        <f t="shared" si="35"/>
        <v>0.6907774910367307</v>
      </c>
      <c r="BB48" s="11"/>
    </row>
    <row r="49" spans="1:54" ht="15.95" customHeight="1">
      <c r="A49" s="37" t="s">
        <v>41</v>
      </c>
      <c r="B49" s="710">
        <f>[7]本部!$I$49</f>
        <v>1008793</v>
      </c>
      <c r="C49" s="258" t="str">
        <f t="shared" si="38"/>
        <v/>
      </c>
      <c r="D49" s="727">
        <f>[7]本部!$L$49</f>
        <v>10096625</v>
      </c>
      <c r="E49" s="118" t="str">
        <f t="shared" si="39"/>
        <v/>
      </c>
      <c r="F49" s="351">
        <f>[7]本社営業!$I$49</f>
        <v>0</v>
      </c>
      <c r="G49" s="7">
        <f t="shared" si="40"/>
        <v>0</v>
      </c>
      <c r="H49" s="364">
        <f>[7]本社営業!$L$49</f>
        <v>0</v>
      </c>
      <c r="I49" s="120">
        <f t="shared" si="19"/>
        <v>0</v>
      </c>
      <c r="J49" s="744">
        <f>[7]東大阪!$I$49</f>
        <v>0</v>
      </c>
      <c r="K49" s="7">
        <f t="shared" si="20"/>
        <v>0</v>
      </c>
      <c r="L49" s="364">
        <f>[7]東大阪!$L$49</f>
        <v>0</v>
      </c>
      <c r="M49" s="120">
        <f t="shared" si="37"/>
        <v>0</v>
      </c>
      <c r="N49" s="402">
        <f>[7]南港工場!$I$49</f>
        <v>0</v>
      </c>
      <c r="O49" s="7">
        <f t="shared" si="41"/>
        <v>0</v>
      </c>
      <c r="P49" s="364">
        <f>[7]南港工場!$L$49</f>
        <v>0</v>
      </c>
      <c r="Q49" s="174">
        <f t="shared" si="42"/>
        <v>0</v>
      </c>
      <c r="R49" s="444">
        <f>[7]南港事務!$I$49</f>
        <v>0</v>
      </c>
      <c r="S49" s="7" t="str">
        <f t="shared" si="43"/>
        <v/>
      </c>
      <c r="T49" s="364">
        <f>[7]南港事務!$L$49</f>
        <v>0</v>
      </c>
      <c r="U49" s="203" t="str">
        <f t="shared" si="44"/>
        <v/>
      </c>
      <c r="V49" s="455">
        <f t="shared" si="21"/>
        <v>0</v>
      </c>
      <c r="W49" s="174">
        <f t="shared" si="45"/>
        <v>0</v>
      </c>
      <c r="X49" s="429">
        <f t="shared" si="22"/>
        <v>0</v>
      </c>
      <c r="Y49" s="224">
        <f t="shared" si="46"/>
        <v>0</v>
      </c>
      <c r="Z49" s="459">
        <f t="shared" si="23"/>
        <v>0</v>
      </c>
      <c r="AA49" s="188">
        <f t="shared" si="47"/>
        <v>0</v>
      </c>
      <c r="AB49" s="563">
        <f t="shared" si="24"/>
        <v>0</v>
      </c>
      <c r="AC49" s="119">
        <f t="shared" si="48"/>
        <v>0</v>
      </c>
      <c r="AD49" s="351">
        <f>[7]東京事務!$I$49</f>
        <v>0</v>
      </c>
      <c r="AE49" s="7">
        <f t="shared" si="49"/>
        <v>0</v>
      </c>
      <c r="AF49" s="364">
        <f>[7]東京事務!$L$49</f>
        <v>2936</v>
      </c>
      <c r="AG49" s="80">
        <f t="shared" si="50"/>
        <v>1.6957228468440175E-6</v>
      </c>
      <c r="AH49" s="387">
        <f>[7]東京工場!$I$49</f>
        <v>0</v>
      </c>
      <c r="AI49" s="174">
        <f t="shared" si="25"/>
        <v>0</v>
      </c>
      <c r="AJ49" s="364">
        <f>[7]東京工場!$L$49</f>
        <v>0</v>
      </c>
      <c r="AK49" s="102">
        <f t="shared" si="36"/>
        <v>0</v>
      </c>
      <c r="AL49" s="546">
        <f t="shared" si="26"/>
        <v>0</v>
      </c>
      <c r="AM49" s="313">
        <f t="shared" si="51"/>
        <v>0</v>
      </c>
      <c r="AN49" s="477">
        <f t="shared" si="27"/>
        <v>2936</v>
      </c>
      <c r="AO49" s="119">
        <f t="shared" si="52"/>
        <v>1.6299562970355055E-6</v>
      </c>
      <c r="AP49" s="526">
        <f t="shared" si="28"/>
        <v>1008793</v>
      </c>
      <c r="AQ49" s="282">
        <f t="shared" si="53"/>
        <v>1.3017014251187511E-3</v>
      </c>
      <c r="AR49" s="486">
        <f t="shared" si="29"/>
        <v>10099561</v>
      </c>
      <c r="AS49" s="283">
        <f t="shared" si="54"/>
        <v>1.7677051396581586E-3</v>
      </c>
      <c r="AT49" s="586">
        <f>[7]全社合計!$G$49</f>
        <v>692430</v>
      </c>
      <c r="AU49" s="120">
        <f t="shared" si="30"/>
        <v>8.3960087307529416E-4</v>
      </c>
      <c r="AV49" s="577">
        <f>[7]全社合計!$N$49</f>
        <v>7446334</v>
      </c>
      <c r="AW49" s="121">
        <f t="shared" si="31"/>
        <v>1.1601443935577377E-3</v>
      </c>
      <c r="AX49" s="586">
        <f t="shared" si="32"/>
        <v>316363</v>
      </c>
      <c r="AY49" s="120">
        <f t="shared" si="33"/>
        <v>1.4568880608870212</v>
      </c>
      <c r="AZ49" s="577">
        <f t="shared" si="34"/>
        <v>2653227</v>
      </c>
      <c r="BA49" s="121">
        <f t="shared" si="35"/>
        <v>1.3563131871334271</v>
      </c>
      <c r="BB49" s="11"/>
    </row>
    <row r="50" spans="1:54" ht="15.95" customHeight="1">
      <c r="A50" s="37" t="s">
        <v>42</v>
      </c>
      <c r="B50" s="703">
        <f>[7]本部!$I$50</f>
        <v>0</v>
      </c>
      <c r="C50" s="259" t="str">
        <f t="shared" si="38"/>
        <v/>
      </c>
      <c r="D50" s="728">
        <f>[7]本部!$L$50</f>
        <v>0</v>
      </c>
      <c r="E50" s="122" t="str">
        <f t="shared" si="39"/>
        <v/>
      </c>
      <c r="F50" s="352">
        <f>[7]本社営業!$I$50</f>
        <v>0</v>
      </c>
      <c r="G50" s="9">
        <f t="shared" si="40"/>
        <v>0</v>
      </c>
      <c r="H50" s="362">
        <f>[7]本社営業!$L$50</f>
        <v>0</v>
      </c>
      <c r="I50" s="124">
        <f t="shared" si="19"/>
        <v>0</v>
      </c>
      <c r="J50" s="745">
        <f>[7]東大阪!$I$50</f>
        <v>0</v>
      </c>
      <c r="K50" s="9">
        <f t="shared" si="20"/>
        <v>0</v>
      </c>
      <c r="L50" s="362">
        <f>[7]東大阪!$L$50</f>
        <v>0</v>
      </c>
      <c r="M50" s="124">
        <f t="shared" si="37"/>
        <v>0</v>
      </c>
      <c r="N50" s="403">
        <f>[7]南港工場!$I$50</f>
        <v>0</v>
      </c>
      <c r="O50" s="9">
        <f t="shared" si="41"/>
        <v>0</v>
      </c>
      <c r="P50" s="362">
        <f>[7]南港工場!$L$50</f>
        <v>0</v>
      </c>
      <c r="Q50" s="171">
        <f t="shared" si="42"/>
        <v>0</v>
      </c>
      <c r="R50" s="445">
        <f>[7]南港事務!$I$50</f>
        <v>0</v>
      </c>
      <c r="S50" s="9" t="str">
        <f t="shared" si="43"/>
        <v/>
      </c>
      <c r="T50" s="362">
        <f>[7]南港事務!$L$50</f>
        <v>0</v>
      </c>
      <c r="U50" s="204" t="str">
        <f t="shared" si="44"/>
        <v/>
      </c>
      <c r="V50" s="456">
        <f t="shared" si="21"/>
        <v>0</v>
      </c>
      <c r="W50" s="171">
        <f t="shared" si="45"/>
        <v>0</v>
      </c>
      <c r="X50" s="426">
        <f t="shared" si="22"/>
        <v>0</v>
      </c>
      <c r="Y50" s="225">
        <f t="shared" si="46"/>
        <v>0</v>
      </c>
      <c r="Z50" s="460">
        <f t="shared" si="23"/>
        <v>0</v>
      </c>
      <c r="AA50" s="189">
        <f t="shared" si="47"/>
        <v>0</v>
      </c>
      <c r="AB50" s="564">
        <f t="shared" si="24"/>
        <v>0</v>
      </c>
      <c r="AC50" s="123">
        <f t="shared" si="48"/>
        <v>0</v>
      </c>
      <c r="AD50" s="352">
        <f>[7]東京事務!$I$50</f>
        <v>0</v>
      </c>
      <c r="AE50" s="9">
        <f t="shared" si="49"/>
        <v>0</v>
      </c>
      <c r="AF50" s="362">
        <f>[7]東京事務!$L$50</f>
        <v>0</v>
      </c>
      <c r="AG50" s="81">
        <f t="shared" si="50"/>
        <v>0</v>
      </c>
      <c r="AH50" s="388">
        <f>[7]東京工場!$I$50</f>
        <v>0</v>
      </c>
      <c r="AI50" s="171">
        <f t="shared" si="25"/>
        <v>0</v>
      </c>
      <c r="AJ50" s="362">
        <f>[7]東京工場!$L$50</f>
        <v>0</v>
      </c>
      <c r="AK50" s="99">
        <f t="shared" si="36"/>
        <v>0</v>
      </c>
      <c r="AL50" s="547">
        <f t="shared" si="26"/>
        <v>0</v>
      </c>
      <c r="AM50" s="314">
        <f t="shared" si="51"/>
        <v>0</v>
      </c>
      <c r="AN50" s="478">
        <f t="shared" si="27"/>
        <v>0</v>
      </c>
      <c r="AO50" s="123">
        <f t="shared" si="52"/>
        <v>0</v>
      </c>
      <c r="AP50" s="527">
        <f t="shared" si="28"/>
        <v>0</v>
      </c>
      <c r="AQ50" s="284">
        <f t="shared" si="53"/>
        <v>0</v>
      </c>
      <c r="AR50" s="487">
        <f t="shared" si="29"/>
        <v>0</v>
      </c>
      <c r="AS50" s="285">
        <f t="shared" si="54"/>
        <v>0</v>
      </c>
      <c r="AT50" s="584">
        <f>[7]全社合計!$G$50</f>
        <v>0</v>
      </c>
      <c r="AU50" s="124">
        <f t="shared" si="30"/>
        <v>0</v>
      </c>
      <c r="AV50" s="578">
        <f>[7]全社合計!$N$50</f>
        <v>1065084</v>
      </c>
      <c r="AW50" s="125">
        <f t="shared" si="31"/>
        <v>1.6594088195185034E-4</v>
      </c>
      <c r="AX50" s="584">
        <f t="shared" si="32"/>
        <v>0</v>
      </c>
      <c r="AY50" s="124" t="str">
        <f t="shared" si="33"/>
        <v/>
      </c>
      <c r="AZ50" s="578">
        <f t="shared" si="34"/>
        <v>-1065084</v>
      </c>
      <c r="BA50" s="125">
        <f t="shared" si="35"/>
        <v>0</v>
      </c>
      <c r="BB50" s="11"/>
    </row>
    <row r="51" spans="1:54" ht="15.95" customHeight="1">
      <c r="A51" s="37" t="s">
        <v>43</v>
      </c>
      <c r="B51" s="703">
        <f>[7]本部!$I$51</f>
        <v>1063000</v>
      </c>
      <c r="C51" s="259" t="str">
        <f t="shared" si="38"/>
        <v/>
      </c>
      <c r="D51" s="728">
        <f>[7]本部!$L$51</f>
        <v>7441000</v>
      </c>
      <c r="E51" s="122" t="str">
        <f t="shared" si="39"/>
        <v/>
      </c>
      <c r="F51" s="352">
        <f>[7]本社営業!$I$51</f>
        <v>0</v>
      </c>
      <c r="G51" s="9">
        <f t="shared" si="40"/>
        <v>0</v>
      </c>
      <c r="H51" s="362">
        <f>[7]本社営業!$L$51</f>
        <v>0</v>
      </c>
      <c r="I51" s="124">
        <f t="shared" si="19"/>
        <v>0</v>
      </c>
      <c r="J51" s="745">
        <f>[7]東大阪!$I$51</f>
        <v>850000</v>
      </c>
      <c r="K51" s="9">
        <f t="shared" si="20"/>
        <v>9.5073546098981401E-2</v>
      </c>
      <c r="L51" s="362">
        <f>[7]東大阪!$L$51</f>
        <v>5950000</v>
      </c>
      <c r="M51" s="124">
        <f t="shared" si="37"/>
        <v>9.2795191094306714E-2</v>
      </c>
      <c r="N51" s="403">
        <f>[7]南港工場!$I$51</f>
        <v>100000</v>
      </c>
      <c r="O51" s="9">
        <f t="shared" si="41"/>
        <v>3.6383665902476278E-3</v>
      </c>
      <c r="P51" s="362">
        <f>[7]南港工場!$L$51</f>
        <v>700000</v>
      </c>
      <c r="Q51" s="171">
        <f t="shared" si="42"/>
        <v>3.678955138899871E-3</v>
      </c>
      <c r="R51" s="445">
        <f>[7]南港事務!$I$51</f>
        <v>0</v>
      </c>
      <c r="S51" s="9" t="str">
        <f t="shared" si="43"/>
        <v/>
      </c>
      <c r="T51" s="362">
        <f>[7]南港事務!$L$51</f>
        <v>0</v>
      </c>
      <c r="U51" s="204" t="str">
        <f t="shared" si="44"/>
        <v/>
      </c>
      <c r="V51" s="456">
        <f t="shared" si="21"/>
        <v>100000</v>
      </c>
      <c r="W51" s="171">
        <f t="shared" si="45"/>
        <v>3.6383665902476278E-3</v>
      </c>
      <c r="X51" s="426">
        <f t="shared" si="22"/>
        <v>700000</v>
      </c>
      <c r="Y51" s="225">
        <f t="shared" si="46"/>
        <v>3.678955138899871E-3</v>
      </c>
      <c r="Z51" s="460">
        <f t="shared" si="23"/>
        <v>950000</v>
      </c>
      <c r="AA51" s="189">
        <f t="shared" si="47"/>
        <v>1.7373672384195333E-3</v>
      </c>
      <c r="AB51" s="564">
        <f t="shared" si="24"/>
        <v>6650000</v>
      </c>
      <c r="AC51" s="123">
        <f t="shared" si="48"/>
        <v>1.6998547561787563E-3</v>
      </c>
      <c r="AD51" s="352">
        <f>[7]東京事務!$I$51</f>
        <v>0</v>
      </c>
      <c r="AE51" s="9">
        <f t="shared" si="49"/>
        <v>0</v>
      </c>
      <c r="AF51" s="362">
        <f>[7]東京事務!$L$51</f>
        <v>0</v>
      </c>
      <c r="AG51" s="81">
        <f t="shared" si="50"/>
        <v>0</v>
      </c>
      <c r="AH51" s="388">
        <f>[7]東京工場!$I$51</f>
        <v>0</v>
      </c>
      <c r="AI51" s="171">
        <f t="shared" si="25"/>
        <v>0</v>
      </c>
      <c r="AJ51" s="362">
        <f>[7]東京工場!$L$51</f>
        <v>0</v>
      </c>
      <c r="AK51" s="99">
        <f t="shared" si="36"/>
        <v>0</v>
      </c>
      <c r="AL51" s="547">
        <f t="shared" si="26"/>
        <v>0</v>
      </c>
      <c r="AM51" s="314">
        <f t="shared" si="51"/>
        <v>0</v>
      </c>
      <c r="AN51" s="478">
        <f t="shared" si="27"/>
        <v>0</v>
      </c>
      <c r="AO51" s="123">
        <f t="shared" si="52"/>
        <v>0</v>
      </c>
      <c r="AP51" s="527">
        <f t="shared" si="28"/>
        <v>2013000</v>
      </c>
      <c r="AQ51" s="284">
        <f t="shared" si="53"/>
        <v>2.5974852806909306E-3</v>
      </c>
      <c r="AR51" s="487">
        <f t="shared" si="29"/>
        <v>14091000</v>
      </c>
      <c r="AS51" s="285">
        <f t="shared" si="54"/>
        <v>2.4663183996733238E-3</v>
      </c>
      <c r="AT51" s="584">
        <f>[7]全社合計!$G$51</f>
        <v>2013000</v>
      </c>
      <c r="AU51" s="124">
        <f t="shared" si="30"/>
        <v>2.4408482554201393E-3</v>
      </c>
      <c r="AV51" s="578">
        <f>[7]全社合計!$N$51</f>
        <v>13885000</v>
      </c>
      <c r="AW51" s="125">
        <f t="shared" si="31"/>
        <v>2.1632933608066989E-3</v>
      </c>
      <c r="AX51" s="584">
        <f t="shared" si="32"/>
        <v>0</v>
      </c>
      <c r="AY51" s="124">
        <f t="shared" si="33"/>
        <v>1</v>
      </c>
      <c r="AZ51" s="578">
        <f t="shared" si="34"/>
        <v>206000</v>
      </c>
      <c r="BA51" s="125">
        <f t="shared" si="35"/>
        <v>1.0148361541231545</v>
      </c>
      <c r="BB51" s="11"/>
    </row>
    <row r="52" spans="1:54" ht="15.95" customHeight="1">
      <c r="A52" s="37" t="s">
        <v>44</v>
      </c>
      <c r="B52" s="703">
        <f>[7]本部!$I$52</f>
        <v>0</v>
      </c>
      <c r="C52" s="259" t="str">
        <f t="shared" si="38"/>
        <v/>
      </c>
      <c r="D52" s="728">
        <f>[7]本部!$L$52</f>
        <v>0</v>
      </c>
      <c r="E52" s="122" t="str">
        <f t="shared" si="39"/>
        <v/>
      </c>
      <c r="F52" s="352">
        <f>[7]本社営業!$I$52</f>
        <v>0</v>
      </c>
      <c r="G52" s="9">
        <f t="shared" si="40"/>
        <v>0</v>
      </c>
      <c r="H52" s="362">
        <f>[7]本社営業!$L$52</f>
        <v>0</v>
      </c>
      <c r="I52" s="124">
        <f t="shared" si="19"/>
        <v>0</v>
      </c>
      <c r="J52" s="745">
        <f>[7]東大阪!$I$52</f>
        <v>0</v>
      </c>
      <c r="K52" s="9">
        <f t="shared" si="20"/>
        <v>0</v>
      </c>
      <c r="L52" s="362">
        <f>[7]東大阪!$L$52</f>
        <v>0</v>
      </c>
      <c r="M52" s="124">
        <f t="shared" si="37"/>
        <v>0</v>
      </c>
      <c r="N52" s="403">
        <f>[7]南港工場!$I$52</f>
        <v>0</v>
      </c>
      <c r="O52" s="9">
        <f t="shared" si="41"/>
        <v>0</v>
      </c>
      <c r="P52" s="362">
        <f>[7]南港工場!$L$52</f>
        <v>0</v>
      </c>
      <c r="Q52" s="171">
        <f t="shared" si="42"/>
        <v>0</v>
      </c>
      <c r="R52" s="445">
        <f>[7]南港事務!$I$52</f>
        <v>0</v>
      </c>
      <c r="S52" s="9" t="str">
        <f t="shared" si="43"/>
        <v/>
      </c>
      <c r="T52" s="362">
        <f>[7]南港事務!$L$52</f>
        <v>0</v>
      </c>
      <c r="U52" s="204" t="str">
        <f t="shared" si="44"/>
        <v/>
      </c>
      <c r="V52" s="456">
        <f t="shared" si="21"/>
        <v>0</v>
      </c>
      <c r="W52" s="171">
        <f t="shared" si="45"/>
        <v>0</v>
      </c>
      <c r="X52" s="426">
        <f t="shared" si="22"/>
        <v>0</v>
      </c>
      <c r="Y52" s="225">
        <f t="shared" si="46"/>
        <v>0</v>
      </c>
      <c r="Z52" s="460">
        <f t="shared" si="23"/>
        <v>0</v>
      </c>
      <c r="AA52" s="189">
        <f t="shared" si="47"/>
        <v>0</v>
      </c>
      <c r="AB52" s="564">
        <f t="shared" si="24"/>
        <v>0</v>
      </c>
      <c r="AC52" s="123">
        <f t="shared" si="48"/>
        <v>0</v>
      </c>
      <c r="AD52" s="352">
        <f>[7]東京事務!$I$52</f>
        <v>0</v>
      </c>
      <c r="AE52" s="9">
        <f t="shared" si="49"/>
        <v>0</v>
      </c>
      <c r="AF52" s="362">
        <f>[7]東京事務!$L$52</f>
        <v>0</v>
      </c>
      <c r="AG52" s="81">
        <f t="shared" si="50"/>
        <v>0</v>
      </c>
      <c r="AH52" s="388">
        <f>[7]東京工場!$I$52</f>
        <v>0</v>
      </c>
      <c r="AI52" s="171">
        <f t="shared" si="25"/>
        <v>0</v>
      </c>
      <c r="AJ52" s="362">
        <f>[7]東京工場!$L$52</f>
        <v>0</v>
      </c>
      <c r="AK52" s="99">
        <f t="shared" si="36"/>
        <v>0</v>
      </c>
      <c r="AL52" s="547">
        <f t="shared" si="26"/>
        <v>0</v>
      </c>
      <c r="AM52" s="314">
        <f t="shared" si="51"/>
        <v>0</v>
      </c>
      <c r="AN52" s="478">
        <f t="shared" si="27"/>
        <v>0</v>
      </c>
      <c r="AO52" s="123">
        <f t="shared" si="52"/>
        <v>0</v>
      </c>
      <c r="AP52" s="527">
        <f t="shared" si="28"/>
        <v>0</v>
      </c>
      <c r="AQ52" s="284">
        <f t="shared" si="53"/>
        <v>0</v>
      </c>
      <c r="AR52" s="487">
        <f t="shared" si="29"/>
        <v>0</v>
      </c>
      <c r="AS52" s="285">
        <f t="shared" si="54"/>
        <v>0</v>
      </c>
      <c r="AT52" s="584">
        <f>[7]全社合計!$G$52</f>
        <v>0</v>
      </c>
      <c r="AU52" s="124">
        <f t="shared" si="30"/>
        <v>0</v>
      </c>
      <c r="AV52" s="578">
        <f>[7]全社合計!$N$52</f>
        <v>0</v>
      </c>
      <c r="AW52" s="125">
        <f t="shared" si="31"/>
        <v>0</v>
      </c>
      <c r="AX52" s="584">
        <f t="shared" si="32"/>
        <v>0</v>
      </c>
      <c r="AY52" s="124" t="str">
        <f t="shared" si="33"/>
        <v/>
      </c>
      <c r="AZ52" s="578">
        <f t="shared" si="34"/>
        <v>0</v>
      </c>
      <c r="BA52" s="125" t="str">
        <f t="shared" si="35"/>
        <v/>
      </c>
      <c r="BB52" s="11"/>
    </row>
    <row r="53" spans="1:54" ht="15.95" customHeight="1">
      <c r="A53" s="35" t="s">
        <v>45</v>
      </c>
      <c r="B53" s="704">
        <f>[7]本部!$I$53</f>
        <v>0</v>
      </c>
      <c r="C53" s="260" t="str">
        <f t="shared" si="38"/>
        <v/>
      </c>
      <c r="D53" s="729">
        <f>[7]本部!$L$53</f>
        <v>1260812</v>
      </c>
      <c r="E53" s="126" t="str">
        <f t="shared" si="39"/>
        <v/>
      </c>
      <c r="F53" s="353">
        <f>[7]本社営業!$I$53</f>
        <v>7670084</v>
      </c>
      <c r="G53" s="12">
        <f t="shared" si="40"/>
        <v>1.5028210512624417E-2</v>
      </c>
      <c r="H53" s="363">
        <f>[7]本社営業!$L$53</f>
        <v>81901677</v>
      </c>
      <c r="I53" s="128">
        <f t="shared" si="19"/>
        <v>2.2391530660444119E-2</v>
      </c>
      <c r="J53" s="746">
        <f>[7]東大阪!$I$53</f>
        <v>50000</v>
      </c>
      <c r="K53" s="12">
        <f t="shared" si="20"/>
        <v>5.5925615352342001E-3</v>
      </c>
      <c r="L53" s="363">
        <f>[7]東大阪!$L$53</f>
        <v>400000</v>
      </c>
      <c r="M53" s="128">
        <f t="shared" si="37"/>
        <v>6.2383321744071737E-3</v>
      </c>
      <c r="N53" s="404">
        <f>[7]南港工場!$I$53</f>
        <v>13</v>
      </c>
      <c r="O53" s="12">
        <f t="shared" si="41"/>
        <v>4.7298765673219161E-7</v>
      </c>
      <c r="P53" s="363">
        <f>[7]南港工場!$L$53</f>
        <v>120</v>
      </c>
      <c r="Q53" s="172">
        <f t="shared" si="42"/>
        <v>6.3067802381140649E-7</v>
      </c>
      <c r="R53" s="446">
        <f>[7]南港事務!$I$53</f>
        <v>0</v>
      </c>
      <c r="S53" s="12" t="str">
        <f t="shared" si="43"/>
        <v/>
      </c>
      <c r="T53" s="363">
        <f>[7]南港事務!$L$53</f>
        <v>0</v>
      </c>
      <c r="U53" s="205" t="str">
        <f t="shared" si="44"/>
        <v/>
      </c>
      <c r="V53" s="457">
        <f t="shared" si="21"/>
        <v>13</v>
      </c>
      <c r="W53" s="172">
        <f t="shared" si="45"/>
        <v>4.7298765673219161E-7</v>
      </c>
      <c r="X53" s="427">
        <f t="shared" si="22"/>
        <v>120</v>
      </c>
      <c r="Y53" s="226">
        <f t="shared" si="46"/>
        <v>6.3067802381140649E-7</v>
      </c>
      <c r="Z53" s="461">
        <f t="shared" si="23"/>
        <v>7720097</v>
      </c>
      <c r="AA53" s="190">
        <f t="shared" si="47"/>
        <v>1.4118572216022026E-2</v>
      </c>
      <c r="AB53" s="565">
        <f t="shared" si="24"/>
        <v>82301797</v>
      </c>
      <c r="AC53" s="127">
        <f t="shared" si="48"/>
        <v>2.1037759559775715E-2</v>
      </c>
      <c r="AD53" s="353">
        <f>[7]東京事務!$I$53</f>
        <v>2</v>
      </c>
      <c r="AE53" s="12">
        <f t="shared" si="49"/>
        <v>9.1341710576948543E-9</v>
      </c>
      <c r="AF53" s="363">
        <f>[7]東京事務!$L$53</f>
        <v>307155</v>
      </c>
      <c r="AG53" s="82">
        <f t="shared" si="50"/>
        <v>1.7740114135639446E-4</v>
      </c>
      <c r="AH53" s="389">
        <f>[7]東京工場!$I$53</f>
        <v>0</v>
      </c>
      <c r="AI53" s="172">
        <f t="shared" si="25"/>
        <v>0</v>
      </c>
      <c r="AJ53" s="363">
        <f>[7]東京工場!$L$53</f>
        <v>406123</v>
      </c>
      <c r="AK53" s="100">
        <f t="shared" si="36"/>
        <v>5.8133611931347594E-3</v>
      </c>
      <c r="AL53" s="548">
        <f t="shared" si="26"/>
        <v>2</v>
      </c>
      <c r="AM53" s="315">
        <f t="shared" si="51"/>
        <v>8.7651653082347741E-9</v>
      </c>
      <c r="AN53" s="479">
        <f t="shared" si="27"/>
        <v>713278</v>
      </c>
      <c r="AO53" s="127">
        <f t="shared" si="52"/>
        <v>3.9598500260112099E-4</v>
      </c>
      <c r="AP53" s="528">
        <f t="shared" si="28"/>
        <v>7720099</v>
      </c>
      <c r="AQ53" s="286">
        <f t="shared" si="53"/>
        <v>9.9616708981504088E-3</v>
      </c>
      <c r="AR53" s="488">
        <f t="shared" si="29"/>
        <v>84275887</v>
      </c>
      <c r="AS53" s="287">
        <f t="shared" si="54"/>
        <v>1.4750633081888429E-2</v>
      </c>
      <c r="AT53" s="585">
        <f>[7]全社合計!$G$53</f>
        <v>7877754</v>
      </c>
      <c r="AU53" s="128">
        <f t="shared" si="30"/>
        <v>9.5521123236607178E-3</v>
      </c>
      <c r="AV53" s="579">
        <f>[7]全社合計!$N$53</f>
        <v>57771891</v>
      </c>
      <c r="AW53" s="129">
        <f t="shared" si="31"/>
        <v>9.0009037264348786E-3</v>
      </c>
      <c r="AX53" s="585">
        <f t="shared" si="32"/>
        <v>-157655</v>
      </c>
      <c r="AY53" s="128">
        <f t="shared" si="33"/>
        <v>0.97998731618174417</v>
      </c>
      <c r="AZ53" s="579">
        <f t="shared" si="34"/>
        <v>26503996</v>
      </c>
      <c r="BA53" s="129">
        <f t="shared" si="35"/>
        <v>1.4587697501541017</v>
      </c>
      <c r="BB53" s="11"/>
    </row>
    <row r="54" spans="1:54" ht="15.95" customHeight="1">
      <c r="A54" s="62" t="s">
        <v>46</v>
      </c>
      <c r="B54" s="708">
        <f>SUM(B49:B53)</f>
        <v>2071793</v>
      </c>
      <c r="C54" s="141" t="str">
        <f t="shared" si="38"/>
        <v/>
      </c>
      <c r="D54" s="730">
        <f>SUM(D49:D53)</f>
        <v>18798437</v>
      </c>
      <c r="E54" s="139" t="str">
        <f t="shared" si="39"/>
        <v/>
      </c>
      <c r="F54" s="466">
        <f>SUM(F49:F53)</f>
        <v>7670084</v>
      </c>
      <c r="G54" s="64">
        <f t="shared" si="40"/>
        <v>1.5028210512624417E-2</v>
      </c>
      <c r="H54" s="401">
        <f>SUM(H49:H53)</f>
        <v>81901677</v>
      </c>
      <c r="I54" s="141">
        <f t="shared" si="19"/>
        <v>2.2391530660444119E-2</v>
      </c>
      <c r="J54" s="747">
        <f>SUM(J49:J53)</f>
        <v>900000</v>
      </c>
      <c r="K54" s="64">
        <f t="shared" si="20"/>
        <v>0.1006661076342156</v>
      </c>
      <c r="L54" s="401">
        <f>SUM(L49:L53)</f>
        <v>6350000</v>
      </c>
      <c r="M54" s="141">
        <f t="shared" si="37"/>
        <v>9.9033523268713883E-2</v>
      </c>
      <c r="N54" s="405">
        <f>SUM(N49:N53)</f>
        <v>100013</v>
      </c>
      <c r="O54" s="64">
        <f t="shared" si="41"/>
        <v>3.6388395779043598E-3</v>
      </c>
      <c r="P54" s="401">
        <f>SUM(P49:P53)</f>
        <v>700120</v>
      </c>
      <c r="Q54" s="177">
        <f t="shared" si="42"/>
        <v>3.6795858169236823E-3</v>
      </c>
      <c r="R54" s="442">
        <f>SUM(R49:R53)</f>
        <v>0</v>
      </c>
      <c r="S54" s="64" t="str">
        <f t="shared" si="43"/>
        <v/>
      </c>
      <c r="T54" s="401">
        <f>SUM(T49:T53)</f>
        <v>0</v>
      </c>
      <c r="U54" s="209" t="str">
        <f t="shared" si="44"/>
        <v/>
      </c>
      <c r="V54" s="458">
        <f t="shared" si="21"/>
        <v>100013</v>
      </c>
      <c r="W54" s="177">
        <f t="shared" si="45"/>
        <v>3.6388395779043598E-3</v>
      </c>
      <c r="X54" s="428">
        <f t="shared" si="22"/>
        <v>700120</v>
      </c>
      <c r="Y54" s="230">
        <f t="shared" si="46"/>
        <v>3.6795858169236823E-3</v>
      </c>
      <c r="Z54" s="458">
        <f t="shared" si="23"/>
        <v>8670097</v>
      </c>
      <c r="AA54" s="194">
        <f t="shared" si="47"/>
        <v>1.585593945444156E-2</v>
      </c>
      <c r="AB54" s="428">
        <f t="shared" si="24"/>
        <v>88951797</v>
      </c>
      <c r="AC54" s="140">
        <f t="shared" si="48"/>
        <v>2.2737614315954471E-2</v>
      </c>
      <c r="AD54" s="466">
        <f>SUM(AD49:AD53)</f>
        <v>2</v>
      </c>
      <c r="AE54" s="64">
        <f t="shared" si="49"/>
        <v>9.1341710576948543E-9</v>
      </c>
      <c r="AF54" s="401">
        <f>SUM(AF49:AF53)</f>
        <v>310091</v>
      </c>
      <c r="AG54" s="85">
        <f t="shared" si="50"/>
        <v>1.7909686420323849E-4</v>
      </c>
      <c r="AH54" s="390">
        <f>SUM(AH49:AH53)</f>
        <v>0</v>
      </c>
      <c r="AI54" s="177">
        <f t="shared" si="25"/>
        <v>0</v>
      </c>
      <c r="AJ54" s="401">
        <f>SUM(AJ49:AJ53)</f>
        <v>406123</v>
      </c>
      <c r="AK54" s="105">
        <f t="shared" si="36"/>
        <v>5.8133611931347594E-3</v>
      </c>
      <c r="AL54" s="549">
        <f t="shared" si="26"/>
        <v>2</v>
      </c>
      <c r="AM54" s="319">
        <f t="shared" si="51"/>
        <v>8.7651653082347741E-9</v>
      </c>
      <c r="AN54" s="480">
        <f t="shared" si="27"/>
        <v>716214</v>
      </c>
      <c r="AO54" s="140">
        <f t="shared" si="52"/>
        <v>3.9761495889815653E-4</v>
      </c>
      <c r="AP54" s="529">
        <f t="shared" si="28"/>
        <v>10741892</v>
      </c>
      <c r="AQ54" s="141">
        <f t="shared" si="53"/>
        <v>1.3860857603960091E-2</v>
      </c>
      <c r="AR54" s="428">
        <f t="shared" si="29"/>
        <v>108466448</v>
      </c>
      <c r="AS54" s="140">
        <f t="shared" si="54"/>
        <v>1.8984656621219911E-2</v>
      </c>
      <c r="AT54" s="529">
        <f>SUM(AT49:AT53)</f>
        <v>10583184</v>
      </c>
      <c r="AU54" s="141">
        <f t="shared" si="30"/>
        <v>1.2832561452156152E-2</v>
      </c>
      <c r="AV54" s="410">
        <f>SUM(AV49:AV53)</f>
        <v>80168309</v>
      </c>
      <c r="AW54" s="140">
        <f t="shared" si="31"/>
        <v>1.2490282362751164E-2</v>
      </c>
      <c r="AX54" s="529">
        <f t="shared" si="32"/>
        <v>158708</v>
      </c>
      <c r="AY54" s="141">
        <f t="shared" si="33"/>
        <v>1.0149962430965955</v>
      </c>
      <c r="AZ54" s="410">
        <f t="shared" si="34"/>
        <v>28298139</v>
      </c>
      <c r="BA54" s="140">
        <f t="shared" si="35"/>
        <v>1.3529841074731912</v>
      </c>
      <c r="BB54" s="11"/>
    </row>
    <row r="55" spans="1:54" ht="15.95" customHeight="1">
      <c r="A55" s="37" t="s">
        <v>47</v>
      </c>
      <c r="B55" s="710">
        <f>[7]本部!$I$55</f>
        <v>638047</v>
      </c>
      <c r="C55" s="258" t="str">
        <f t="shared" si="38"/>
        <v/>
      </c>
      <c r="D55" s="727">
        <f>[7]本部!$L$55</f>
        <v>4234787</v>
      </c>
      <c r="E55" s="118" t="str">
        <f t="shared" si="39"/>
        <v/>
      </c>
      <c r="F55" s="351">
        <f>[7]本社営業!$I$55</f>
        <v>327811</v>
      </c>
      <c r="G55" s="7">
        <f t="shared" si="40"/>
        <v>6.4228927823397014E-4</v>
      </c>
      <c r="H55" s="361">
        <f>[7]本社営業!$L$55</f>
        <v>1811980</v>
      </c>
      <c r="I55" s="120">
        <f t="shared" si="19"/>
        <v>4.9538675167923036E-4</v>
      </c>
      <c r="J55" s="744">
        <f>[7]東大阪!$I$55</f>
        <v>0</v>
      </c>
      <c r="K55" s="7">
        <f t="shared" si="20"/>
        <v>0</v>
      </c>
      <c r="L55" s="361">
        <f>[7]東大阪!$L$55</f>
        <v>0</v>
      </c>
      <c r="M55" s="120">
        <f t="shared" si="37"/>
        <v>0</v>
      </c>
      <c r="N55" s="402">
        <f>[7]南港工場!$I$55</f>
        <v>0</v>
      </c>
      <c r="O55" s="7">
        <f t="shared" si="41"/>
        <v>0</v>
      </c>
      <c r="P55" s="361">
        <f>[7]南港工場!$L$55</f>
        <v>0</v>
      </c>
      <c r="Q55" s="174">
        <f t="shared" si="42"/>
        <v>0</v>
      </c>
      <c r="R55" s="444">
        <f>[7]南港事務!$I$55</f>
        <v>0</v>
      </c>
      <c r="S55" s="7" t="str">
        <f t="shared" si="43"/>
        <v/>
      </c>
      <c r="T55" s="361">
        <f>[7]南港事務!$L$55</f>
        <v>0</v>
      </c>
      <c r="U55" s="203" t="str">
        <f t="shared" si="44"/>
        <v/>
      </c>
      <c r="V55" s="455">
        <f t="shared" si="21"/>
        <v>0</v>
      </c>
      <c r="W55" s="174">
        <f t="shared" si="45"/>
        <v>0</v>
      </c>
      <c r="X55" s="425">
        <f t="shared" si="22"/>
        <v>0</v>
      </c>
      <c r="Y55" s="224">
        <f t="shared" si="46"/>
        <v>0</v>
      </c>
      <c r="Z55" s="459">
        <f t="shared" si="23"/>
        <v>327811</v>
      </c>
      <c r="AA55" s="188">
        <f t="shared" si="47"/>
        <v>5.9950325451952171E-4</v>
      </c>
      <c r="AB55" s="563">
        <f t="shared" si="24"/>
        <v>1811980</v>
      </c>
      <c r="AC55" s="119">
        <f t="shared" si="48"/>
        <v>4.6317335655650876E-4</v>
      </c>
      <c r="AD55" s="351">
        <f>[7]東京事務!$I$55</f>
        <v>0</v>
      </c>
      <c r="AE55" s="7">
        <f t="shared" si="49"/>
        <v>0</v>
      </c>
      <c r="AF55" s="361">
        <f>[7]東京事務!$L$55</f>
        <v>0</v>
      </c>
      <c r="AG55" s="80">
        <f t="shared" si="50"/>
        <v>0</v>
      </c>
      <c r="AH55" s="387">
        <f>[7]東京工場!$I$55</f>
        <v>0</v>
      </c>
      <c r="AI55" s="174">
        <f t="shared" si="25"/>
        <v>0</v>
      </c>
      <c r="AJ55" s="361">
        <f>[7]東京工場!$L$55</f>
        <v>0</v>
      </c>
      <c r="AK55" s="102">
        <f t="shared" si="36"/>
        <v>0</v>
      </c>
      <c r="AL55" s="546">
        <f t="shared" si="26"/>
        <v>0</v>
      </c>
      <c r="AM55" s="313">
        <f t="shared" si="51"/>
        <v>0</v>
      </c>
      <c r="AN55" s="477">
        <f t="shared" si="27"/>
        <v>0</v>
      </c>
      <c r="AO55" s="119">
        <f t="shared" si="52"/>
        <v>0</v>
      </c>
      <c r="AP55" s="526">
        <f t="shared" si="28"/>
        <v>965858</v>
      </c>
      <c r="AQ55" s="282">
        <f t="shared" si="53"/>
        <v>1.2463000189953208E-3</v>
      </c>
      <c r="AR55" s="486">
        <f t="shared" si="29"/>
        <v>6046767</v>
      </c>
      <c r="AS55" s="283">
        <f t="shared" si="54"/>
        <v>1.0583530417030348E-3</v>
      </c>
      <c r="AT55" s="583">
        <f>[7]全社合計!$G$55</f>
        <v>1039059</v>
      </c>
      <c r="AU55" s="120">
        <f t="shared" si="30"/>
        <v>1.2599033022496744E-3</v>
      </c>
      <c r="AV55" s="577">
        <f>[7]全社合計!$N$55</f>
        <v>6073226</v>
      </c>
      <c r="AW55" s="121">
        <f t="shared" si="31"/>
        <v>9.4621314256237846E-4</v>
      </c>
      <c r="AX55" s="583">
        <f t="shared" si="32"/>
        <v>-73201</v>
      </c>
      <c r="AY55" s="120">
        <f t="shared" si="33"/>
        <v>0.92955067999026042</v>
      </c>
      <c r="AZ55" s="577">
        <f t="shared" si="34"/>
        <v>-26459</v>
      </c>
      <c r="BA55" s="121">
        <f t="shared" si="35"/>
        <v>0.99564333683613948</v>
      </c>
      <c r="BB55" s="11"/>
    </row>
    <row r="56" spans="1:54" ht="15.95" customHeight="1">
      <c r="A56" s="37" t="s">
        <v>97</v>
      </c>
      <c r="B56" s="711">
        <f>[7]本部!$I$56</f>
        <v>0</v>
      </c>
      <c r="C56" s="336" t="str">
        <f>IF(ISERR(B56/$B$11),"",B56/$B$11)</f>
        <v/>
      </c>
      <c r="D56" s="731">
        <f>[7]本部!$L$56</f>
        <v>0</v>
      </c>
      <c r="E56" s="337" t="str">
        <f>IF(ISERR(D56/$D$11),"",D56/$D$11)</f>
        <v/>
      </c>
      <c r="F56" s="365">
        <f>[7]本社営業!$I$56</f>
        <v>0</v>
      </c>
      <c r="G56" s="338">
        <f>IF(ISERR(F56/$F$11),"",F56/$F$11)</f>
        <v>0</v>
      </c>
      <c r="H56" s="366">
        <f>[7]本社営業!$L$56</f>
        <v>0</v>
      </c>
      <c r="I56" s="339">
        <f>IF(ISERR(H56/$H$11),"",H56/$H$11)</f>
        <v>0</v>
      </c>
      <c r="J56" s="751">
        <f>[7]東大阪!$I$56</f>
        <v>0</v>
      </c>
      <c r="K56" s="338">
        <f>IF(ISERR(J56/$J$11),"",J56/$J$11)</f>
        <v>0</v>
      </c>
      <c r="L56" s="366">
        <f>[7]東大阪!$L$56</f>
        <v>0</v>
      </c>
      <c r="M56" s="339">
        <f t="shared" si="37"/>
        <v>0</v>
      </c>
      <c r="N56" s="413">
        <f>[7]南港工場!$I$56</f>
        <v>0</v>
      </c>
      <c r="O56" s="338">
        <f>IF(ISERR(N56/$N$11),"",N56/$N$11)</f>
        <v>0</v>
      </c>
      <c r="P56" s="366">
        <f>[7]南港工場!$L$56</f>
        <v>0</v>
      </c>
      <c r="Q56" s="340">
        <f>IF(ISERR(P56/$P$11),"",P56/$P$11)</f>
        <v>0</v>
      </c>
      <c r="R56" s="447">
        <f>[7]南港事務!$I$56</f>
        <v>0</v>
      </c>
      <c r="S56" s="338" t="str">
        <f>IF(ISERR(R56/$R$11),"",R56/$R$11)</f>
        <v/>
      </c>
      <c r="T56" s="366">
        <f>[7]南港事務!$L$56</f>
        <v>0</v>
      </c>
      <c r="U56" s="341" t="str">
        <f>IF(ISERR(T56/$T$11),"",T56/$T$11)</f>
        <v/>
      </c>
      <c r="V56" s="491">
        <f>N56+R56</f>
        <v>0</v>
      </c>
      <c r="W56" s="340">
        <f>IF(ISERR(V56/$V$11),"",V56/$V$11)</f>
        <v>0</v>
      </c>
      <c r="X56" s="430">
        <f>P56+T56</f>
        <v>0</v>
      </c>
      <c r="Y56" s="342">
        <f>IF(ISERR(X56/$X$11),"",X56/$X$11)</f>
        <v>0</v>
      </c>
      <c r="Z56" s="570">
        <f>F56+J56+N56+R56</f>
        <v>0</v>
      </c>
      <c r="AA56" s="343">
        <f>IF(ISERR(Z56/$Z$11),"",Z56/$Z$11)</f>
        <v>0</v>
      </c>
      <c r="AB56" s="566">
        <f>H56+L56+P56+T56</f>
        <v>0</v>
      </c>
      <c r="AC56" s="344">
        <f>IF(ISERR(AB56/$AB$11),"",AB56/$AB$11)</f>
        <v>0</v>
      </c>
      <c r="AD56" s="365">
        <f>[7]東京事務!$I$56</f>
        <v>0</v>
      </c>
      <c r="AE56" s="338">
        <f>IF(ISERR(AD56/$AD$11),"",AD56/$AD$11)</f>
        <v>0</v>
      </c>
      <c r="AF56" s="366">
        <f>[7]東京事務!$L$56</f>
        <v>0</v>
      </c>
      <c r="AG56" s="345">
        <f>IF(ISERR(AF56/$AF$11),"",AF56/$AF$11)</f>
        <v>0</v>
      </c>
      <c r="AH56" s="393">
        <f>[7]東京工場!$I$56</f>
        <v>0</v>
      </c>
      <c r="AI56" s="340">
        <f>IF(ISERR(AH56/$AH$11),"",AH56/$AH$11)</f>
        <v>0</v>
      </c>
      <c r="AJ56" s="366">
        <f>[7]東京工場!$L$56</f>
        <v>0</v>
      </c>
      <c r="AK56" s="346">
        <f>IF(ISERR(AJ56/$AJ$11),"",AJ56/$AJ$11)</f>
        <v>0</v>
      </c>
      <c r="AL56" s="550">
        <f>AD56+AH56</f>
        <v>0</v>
      </c>
      <c r="AM56" s="347">
        <f>IF(ISERR(AL56/$AL$11),"",AL56/AL$11)</f>
        <v>0</v>
      </c>
      <c r="AN56" s="538">
        <f>AF56+AJ56</f>
        <v>0</v>
      </c>
      <c r="AO56" s="344">
        <f>IF(ISERR(AN56/$AN$11),"",AN56/$AN$11)</f>
        <v>0</v>
      </c>
      <c r="AP56" s="530">
        <f>B56+Z56+AL56</f>
        <v>0</v>
      </c>
      <c r="AQ56" s="348">
        <f>IF(ISERR(AP56/$AP$11),"",AP56/$AP$11)</f>
        <v>0</v>
      </c>
      <c r="AR56" s="518">
        <f>D56+AB56+AN56</f>
        <v>0</v>
      </c>
      <c r="AS56" s="349">
        <f>IF(ISERR(AR56/$AR$11),"",AR56/$AR$11)</f>
        <v>0</v>
      </c>
      <c r="AT56" s="587">
        <f>[7]全社合計!$G$56</f>
        <v>0</v>
      </c>
      <c r="AU56" s="339">
        <f>IF(ISERR(AT56/$AT$11),"",AT56/$AT$11)</f>
        <v>0</v>
      </c>
      <c r="AV56" s="598">
        <f>[7]全社合計!$N$56</f>
        <v>0</v>
      </c>
      <c r="AW56" s="350">
        <f>IF(ISERR(AV56/$AV$11),"",AV56/$AV$11)</f>
        <v>0</v>
      </c>
      <c r="AX56" s="587">
        <f>AP56-AT56</f>
        <v>0</v>
      </c>
      <c r="AY56" s="339" t="str">
        <f>IF(ISERROR(AP56/AT56),"",AP56/AT56)</f>
        <v/>
      </c>
      <c r="AZ56" s="598">
        <f>AR56-AV56</f>
        <v>0</v>
      </c>
      <c r="BA56" s="350" t="str">
        <f>IF(ISERROR(AR56/AV56),"",AR56/AV56)</f>
        <v/>
      </c>
      <c r="BB56" s="11"/>
    </row>
    <row r="57" spans="1:54" ht="15.95" customHeight="1">
      <c r="A57" s="37" t="s">
        <v>58</v>
      </c>
      <c r="B57" s="703">
        <f>[7]本部!$I$57</f>
        <v>0</v>
      </c>
      <c r="C57" s="259" t="str">
        <f>IF(ISERR(B57/$B$11),"",B57/$B$11)</f>
        <v/>
      </c>
      <c r="D57" s="728">
        <f>[7]本部!$L$57</f>
        <v>0</v>
      </c>
      <c r="E57" s="122" t="str">
        <f t="shared" si="39"/>
        <v/>
      </c>
      <c r="F57" s="352">
        <f>[7]本社営業!$I$57</f>
        <v>0</v>
      </c>
      <c r="G57" s="9">
        <f t="shared" si="40"/>
        <v>0</v>
      </c>
      <c r="H57" s="362">
        <f>[7]本社営業!$L$57</f>
        <v>0</v>
      </c>
      <c r="I57" s="124">
        <f t="shared" si="19"/>
        <v>0</v>
      </c>
      <c r="J57" s="745">
        <f>[7]東大阪!$I$57</f>
        <v>0</v>
      </c>
      <c r="K57" s="9">
        <f t="shared" si="20"/>
        <v>0</v>
      </c>
      <c r="L57" s="362">
        <f>[7]東大阪!$L$57</f>
        <v>0</v>
      </c>
      <c r="M57" s="124">
        <f t="shared" si="37"/>
        <v>0</v>
      </c>
      <c r="N57" s="403">
        <f>[7]南港工場!$I$57</f>
        <v>0</v>
      </c>
      <c r="O57" s="9">
        <f t="shared" si="41"/>
        <v>0</v>
      </c>
      <c r="P57" s="362">
        <f>[7]南港工場!$L$57</f>
        <v>0</v>
      </c>
      <c r="Q57" s="171">
        <f t="shared" si="42"/>
        <v>0</v>
      </c>
      <c r="R57" s="445">
        <f>[7]南港事務!$I$57</f>
        <v>0</v>
      </c>
      <c r="S57" s="9" t="str">
        <f t="shared" si="43"/>
        <v/>
      </c>
      <c r="T57" s="362">
        <f>[7]南港事務!$L$57</f>
        <v>0</v>
      </c>
      <c r="U57" s="204" t="str">
        <f t="shared" si="44"/>
        <v/>
      </c>
      <c r="V57" s="456">
        <f t="shared" si="21"/>
        <v>0</v>
      </c>
      <c r="W57" s="171">
        <f t="shared" si="45"/>
        <v>0</v>
      </c>
      <c r="X57" s="426">
        <f t="shared" si="22"/>
        <v>0</v>
      </c>
      <c r="Y57" s="225">
        <f t="shared" si="46"/>
        <v>0</v>
      </c>
      <c r="Z57" s="460">
        <f t="shared" si="23"/>
        <v>0</v>
      </c>
      <c r="AA57" s="189">
        <f t="shared" si="47"/>
        <v>0</v>
      </c>
      <c r="AB57" s="564">
        <f t="shared" si="24"/>
        <v>0</v>
      </c>
      <c r="AC57" s="123">
        <f t="shared" si="48"/>
        <v>0</v>
      </c>
      <c r="AD57" s="352">
        <f>[7]東京事務!$I$57</f>
        <v>0</v>
      </c>
      <c r="AE57" s="9">
        <f t="shared" si="49"/>
        <v>0</v>
      </c>
      <c r="AF57" s="362">
        <f>[7]東京事務!$L$57</f>
        <v>0</v>
      </c>
      <c r="AG57" s="81">
        <f t="shared" si="50"/>
        <v>0</v>
      </c>
      <c r="AH57" s="388">
        <f>[7]東京工場!$I$57</f>
        <v>0</v>
      </c>
      <c r="AI57" s="171">
        <f t="shared" si="25"/>
        <v>0</v>
      </c>
      <c r="AJ57" s="362">
        <f>[7]東京工場!$L$57</f>
        <v>0</v>
      </c>
      <c r="AK57" s="99">
        <f t="shared" si="36"/>
        <v>0</v>
      </c>
      <c r="AL57" s="547">
        <f t="shared" si="26"/>
        <v>0</v>
      </c>
      <c r="AM57" s="314">
        <f t="shared" si="51"/>
        <v>0</v>
      </c>
      <c r="AN57" s="478">
        <f t="shared" si="27"/>
        <v>0</v>
      </c>
      <c r="AO57" s="123">
        <f t="shared" si="52"/>
        <v>0</v>
      </c>
      <c r="AP57" s="527">
        <f>B57+Z57+AL57</f>
        <v>0</v>
      </c>
      <c r="AQ57" s="284">
        <f t="shared" si="53"/>
        <v>0</v>
      </c>
      <c r="AR57" s="487">
        <f t="shared" si="29"/>
        <v>0</v>
      </c>
      <c r="AS57" s="285">
        <f t="shared" si="54"/>
        <v>0</v>
      </c>
      <c r="AT57" s="584">
        <f>[7]全社合計!$G$57</f>
        <v>0</v>
      </c>
      <c r="AU57" s="124">
        <f t="shared" si="30"/>
        <v>0</v>
      </c>
      <c r="AV57" s="578">
        <f>[7]全社合計!$N$57</f>
        <v>0</v>
      </c>
      <c r="AW57" s="125">
        <f t="shared" si="31"/>
        <v>0</v>
      </c>
      <c r="AX57" s="584">
        <f t="shared" si="32"/>
        <v>0</v>
      </c>
      <c r="AY57" s="124" t="str">
        <f t="shared" si="33"/>
        <v/>
      </c>
      <c r="AZ57" s="578">
        <f t="shared" si="34"/>
        <v>0</v>
      </c>
      <c r="BA57" s="125" t="str">
        <f t="shared" si="35"/>
        <v/>
      </c>
      <c r="BB57" s="11"/>
    </row>
    <row r="58" spans="1:54" ht="15.95" customHeight="1">
      <c r="A58" s="37" t="s">
        <v>98</v>
      </c>
      <c r="B58" s="703">
        <f>[7]本部!$I$58</f>
        <v>0</v>
      </c>
      <c r="C58" s="259" t="str">
        <f t="shared" si="38"/>
        <v/>
      </c>
      <c r="D58" s="728">
        <f>[7]本部!$L$58</f>
        <v>0</v>
      </c>
      <c r="E58" s="122" t="str">
        <f t="shared" si="39"/>
        <v/>
      </c>
      <c r="F58" s="352">
        <f>[7]本社営業!$I$58</f>
        <v>0</v>
      </c>
      <c r="G58" s="9">
        <f t="shared" si="40"/>
        <v>0</v>
      </c>
      <c r="H58" s="362">
        <f>[7]本社営業!$L$58</f>
        <v>0</v>
      </c>
      <c r="I58" s="124">
        <f t="shared" si="19"/>
        <v>0</v>
      </c>
      <c r="J58" s="745">
        <f>[7]東大阪!$I$58</f>
        <v>0</v>
      </c>
      <c r="K58" s="9">
        <f t="shared" si="20"/>
        <v>0</v>
      </c>
      <c r="L58" s="362">
        <f>[7]東大阪!$L$58</f>
        <v>0</v>
      </c>
      <c r="M58" s="124">
        <f t="shared" si="37"/>
        <v>0</v>
      </c>
      <c r="N58" s="403">
        <f>[7]南港工場!$I$58</f>
        <v>0</v>
      </c>
      <c r="O58" s="9">
        <f t="shared" si="41"/>
        <v>0</v>
      </c>
      <c r="P58" s="362">
        <f>[7]南港工場!$L$58</f>
        <v>0</v>
      </c>
      <c r="Q58" s="171">
        <f t="shared" si="42"/>
        <v>0</v>
      </c>
      <c r="R58" s="445">
        <f>[7]南港事務!$I$58</f>
        <v>0</v>
      </c>
      <c r="S58" s="9" t="str">
        <f t="shared" si="43"/>
        <v/>
      </c>
      <c r="T58" s="362">
        <f>[7]南港事務!$L$58</f>
        <v>0</v>
      </c>
      <c r="U58" s="204" t="str">
        <f t="shared" si="44"/>
        <v/>
      </c>
      <c r="V58" s="456">
        <f t="shared" si="21"/>
        <v>0</v>
      </c>
      <c r="W58" s="171">
        <f t="shared" si="45"/>
        <v>0</v>
      </c>
      <c r="X58" s="426">
        <f t="shared" si="22"/>
        <v>0</v>
      </c>
      <c r="Y58" s="225">
        <f t="shared" si="46"/>
        <v>0</v>
      </c>
      <c r="Z58" s="460">
        <f>F58+J58+N58+R58</f>
        <v>0</v>
      </c>
      <c r="AA58" s="189">
        <f>IF(ISERR(Z58/$Z$11),"",Z58/$Z$11)</f>
        <v>0</v>
      </c>
      <c r="AB58" s="564">
        <f>H58+L58+P58+T58</f>
        <v>0</v>
      </c>
      <c r="AC58" s="123">
        <f>IF(ISERR(AB58/$AB$11),"",AB58/$AB$11)</f>
        <v>0</v>
      </c>
      <c r="AD58" s="352">
        <f>[7]東京事務!$I$58</f>
        <v>0</v>
      </c>
      <c r="AE58" s="9">
        <f>IF(ISERR(AD58/$AD$11),"",AD58/$AD$11)</f>
        <v>0</v>
      </c>
      <c r="AF58" s="362">
        <f>[7]東京事務!$L$58</f>
        <v>0</v>
      </c>
      <c r="AG58" s="81">
        <f>IF(ISERR(AF58/$AF$11),"",AF58/$AF$11)</f>
        <v>0</v>
      </c>
      <c r="AH58" s="388">
        <f>[7]東京工場!$I$58</f>
        <v>0</v>
      </c>
      <c r="AI58" s="171">
        <f>IF(ISERR(AH58/$AH$11),"",AH58/$AH$11)</f>
        <v>0</v>
      </c>
      <c r="AJ58" s="362">
        <f>[7]東京工場!$L$58</f>
        <v>0</v>
      </c>
      <c r="AK58" s="99">
        <f>IF(ISERR(AJ58/$AJ$11),"",AJ58/$AJ$11)</f>
        <v>0</v>
      </c>
      <c r="AL58" s="547">
        <f>AD58+AH58</f>
        <v>0</v>
      </c>
      <c r="AM58" s="314">
        <f>IF(ISERR(AL58/$AL$11),"",AL58/AL$11)</f>
        <v>0</v>
      </c>
      <c r="AN58" s="478">
        <f>AF58+AJ58</f>
        <v>0</v>
      </c>
      <c r="AO58" s="123">
        <f>IF(ISERR(AN58/$AN$11),"",AN58/$AN$11)</f>
        <v>0</v>
      </c>
      <c r="AP58" s="527">
        <f>B58+Z58+AL58</f>
        <v>0</v>
      </c>
      <c r="AQ58" s="284">
        <f>IF(ISERR(AP58/$AP$11),"",AP58/$AP$11)</f>
        <v>0</v>
      </c>
      <c r="AR58" s="487">
        <f>D58+AB58+AN58</f>
        <v>0</v>
      </c>
      <c r="AS58" s="285">
        <f>IF(ISERR(AR58/$AR$11),"",AR58/$AR$11)</f>
        <v>0</v>
      </c>
      <c r="AT58" s="584">
        <f>[7]全社合計!$G$58</f>
        <v>0</v>
      </c>
      <c r="AU58" s="124">
        <f>IF(ISERR(AT58/$AT$11),"",AT58/$AT$11)</f>
        <v>0</v>
      </c>
      <c r="AV58" s="578">
        <f>[7]全社合計!$N$58</f>
        <v>402213</v>
      </c>
      <c r="AW58" s="125">
        <f>IF(ISERR(AV58/$AV$11),"",AV58/$AV$11)</f>
        <v>6.2665085526117734E-5</v>
      </c>
      <c r="AX58" s="584">
        <f t="shared" si="32"/>
        <v>0</v>
      </c>
      <c r="AY58" s="124" t="str">
        <f>IF(ISERROR(AP58/AT58),"",AP58/AT58)</f>
        <v/>
      </c>
      <c r="AZ58" s="578">
        <f>AR58-AV58</f>
        <v>-402213</v>
      </c>
      <c r="BA58" s="125">
        <f>IF(ISERROR(AR58/AV58),"",AR58/AV58)</f>
        <v>0</v>
      </c>
      <c r="BB58" s="11"/>
    </row>
    <row r="59" spans="1:54" ht="15.95" customHeight="1">
      <c r="A59" s="37" t="s">
        <v>95</v>
      </c>
      <c r="B59" s="703">
        <f>[7]本部!$I$59</f>
        <v>0</v>
      </c>
      <c r="C59" s="259" t="str">
        <f t="shared" si="38"/>
        <v/>
      </c>
      <c r="D59" s="728">
        <f>[7]本部!$L$59</f>
        <v>0</v>
      </c>
      <c r="E59" s="122" t="str">
        <f t="shared" si="39"/>
        <v/>
      </c>
      <c r="F59" s="352">
        <f>[7]本社営業!$I$59</f>
        <v>0</v>
      </c>
      <c r="G59" s="9">
        <f t="shared" si="40"/>
        <v>0</v>
      </c>
      <c r="H59" s="362">
        <f>[7]本社営業!$L$59</f>
        <v>0</v>
      </c>
      <c r="I59" s="124">
        <f t="shared" si="19"/>
        <v>0</v>
      </c>
      <c r="J59" s="745">
        <f>[7]東大阪!$I$59</f>
        <v>0</v>
      </c>
      <c r="K59" s="9">
        <f t="shared" si="20"/>
        <v>0</v>
      </c>
      <c r="L59" s="362">
        <f>[7]東大阪!$L$59</f>
        <v>0</v>
      </c>
      <c r="M59" s="124">
        <f t="shared" si="37"/>
        <v>0</v>
      </c>
      <c r="N59" s="403">
        <f>[7]南港工場!$I$59</f>
        <v>0</v>
      </c>
      <c r="O59" s="9">
        <f t="shared" si="41"/>
        <v>0</v>
      </c>
      <c r="P59" s="362">
        <f>[7]南港工場!$L$59</f>
        <v>0</v>
      </c>
      <c r="Q59" s="171">
        <f t="shared" si="42"/>
        <v>0</v>
      </c>
      <c r="R59" s="445">
        <f>[7]南港事務!$I$59</f>
        <v>0</v>
      </c>
      <c r="S59" s="9" t="str">
        <f t="shared" si="43"/>
        <v/>
      </c>
      <c r="T59" s="362">
        <f>[7]南港事務!$L$59</f>
        <v>0</v>
      </c>
      <c r="U59" s="204" t="str">
        <f t="shared" si="44"/>
        <v/>
      </c>
      <c r="V59" s="456">
        <f t="shared" si="21"/>
        <v>0</v>
      </c>
      <c r="W59" s="171">
        <f t="shared" si="45"/>
        <v>0</v>
      </c>
      <c r="X59" s="426">
        <f t="shared" si="22"/>
        <v>0</v>
      </c>
      <c r="Y59" s="225">
        <f t="shared" si="46"/>
        <v>0</v>
      </c>
      <c r="Z59" s="460">
        <f>F59+J59+N59+R59</f>
        <v>0</v>
      </c>
      <c r="AA59" s="189">
        <f>IF(ISERR(Z59/$Z$11),"",Z59/$Z$11)</f>
        <v>0</v>
      </c>
      <c r="AB59" s="564">
        <f>H59+L59+P59+T59</f>
        <v>0</v>
      </c>
      <c r="AC59" s="123">
        <f>IF(ISERR(AB59/$AB$11),"",AB59/$AB$11)</f>
        <v>0</v>
      </c>
      <c r="AD59" s="352">
        <f>[7]東京事務!$I$59</f>
        <v>0</v>
      </c>
      <c r="AE59" s="9">
        <f>IF(ISERR(AD59/$AD$11),"",AD59/$AD$11)</f>
        <v>0</v>
      </c>
      <c r="AF59" s="362">
        <f>[7]東京事務!$L$59</f>
        <v>0</v>
      </c>
      <c r="AG59" s="81">
        <f>IF(ISERR(AF59/$AF$11),"",AF59/$AF$11)</f>
        <v>0</v>
      </c>
      <c r="AH59" s="388">
        <f>[7]東京工場!$I$59</f>
        <v>0</v>
      </c>
      <c r="AI59" s="171">
        <f>IF(ISERR(AH59/$AH$11),"",AH59/$AH$11)</f>
        <v>0</v>
      </c>
      <c r="AJ59" s="362">
        <f>[7]東京工場!$L$59</f>
        <v>0</v>
      </c>
      <c r="AK59" s="99">
        <f>IF(ISERR(AJ59/$AJ$11),"",AJ59/$AJ$11)</f>
        <v>0</v>
      </c>
      <c r="AL59" s="547">
        <f>AD59+AH59</f>
        <v>0</v>
      </c>
      <c r="AM59" s="314">
        <f>IF(ISERR(AL59/$AL$11),"",AL59/AL$11)</f>
        <v>0</v>
      </c>
      <c r="AN59" s="478">
        <f>AF59+AJ59</f>
        <v>0</v>
      </c>
      <c r="AO59" s="123">
        <f>IF(ISERR(AN59/$AN$11),"",AN59/$AN$11)</f>
        <v>0</v>
      </c>
      <c r="AP59" s="527">
        <f>B59+Z59+AL59</f>
        <v>0</v>
      </c>
      <c r="AQ59" s="284">
        <f>IF(ISERR(AP59/$AP$11),"",AP59/$AP$11)</f>
        <v>0</v>
      </c>
      <c r="AR59" s="487">
        <f>D59+AB59+AN59</f>
        <v>0</v>
      </c>
      <c r="AS59" s="285">
        <f>IF(ISERR(AR59/$AR$11),"",AR59/$AR$11)</f>
        <v>0</v>
      </c>
      <c r="AT59" s="584">
        <f>[7]全社合計!$G$59</f>
        <v>0</v>
      </c>
      <c r="AU59" s="124">
        <f>IF(ISERR(AT59/$AT$11),"",AT59/$AT$11)</f>
        <v>0</v>
      </c>
      <c r="AV59" s="578">
        <f>[7]全社合計!$N$59</f>
        <v>0</v>
      </c>
      <c r="AW59" s="125">
        <f>IF(ISERR(AV59/$AV$11),"",AV59/$AV$11)</f>
        <v>0</v>
      </c>
      <c r="AX59" s="584">
        <f t="shared" si="32"/>
        <v>0</v>
      </c>
      <c r="AY59" s="124" t="str">
        <f>IF(ISERROR(AP59/AT59),"",AP59/AT59)</f>
        <v/>
      </c>
      <c r="AZ59" s="578">
        <f>AR59-AV59</f>
        <v>0</v>
      </c>
      <c r="BA59" s="125" t="str">
        <f>IF(ISERROR(AR59/AV59),"",AR59/AV59)</f>
        <v/>
      </c>
      <c r="BB59" s="11"/>
    </row>
    <row r="60" spans="1:54" ht="15.95" customHeight="1">
      <c r="A60" s="37" t="s">
        <v>93</v>
      </c>
      <c r="B60" s="703">
        <f>[7]本部!$I$60</f>
        <v>500000</v>
      </c>
      <c r="C60" s="259" t="str">
        <f>IF(ISERR(B60/$B$11),"",B60/$B$11)</f>
        <v/>
      </c>
      <c r="D60" s="728">
        <f>[7]本部!$L$60</f>
        <v>3500000</v>
      </c>
      <c r="E60" s="122" t="str">
        <f t="shared" si="39"/>
        <v/>
      </c>
      <c r="F60" s="352">
        <f>[7]本社営業!$I$60</f>
        <v>0</v>
      </c>
      <c r="G60" s="9">
        <f t="shared" si="40"/>
        <v>0</v>
      </c>
      <c r="H60" s="362">
        <f>[7]本社営業!$L$60</f>
        <v>0</v>
      </c>
      <c r="I60" s="124">
        <f t="shared" si="19"/>
        <v>0</v>
      </c>
      <c r="J60" s="745">
        <f>[7]東大阪!$I$60</f>
        <v>0</v>
      </c>
      <c r="K60" s="9">
        <f t="shared" si="20"/>
        <v>0</v>
      </c>
      <c r="L60" s="362">
        <f>[7]東大阪!$L$60</f>
        <v>0</v>
      </c>
      <c r="M60" s="124">
        <f t="shared" si="37"/>
        <v>0</v>
      </c>
      <c r="N60" s="403">
        <f>[7]南港工場!$I$60</f>
        <v>0</v>
      </c>
      <c r="O60" s="9">
        <f t="shared" si="41"/>
        <v>0</v>
      </c>
      <c r="P60" s="362">
        <f>[7]南港工場!$L$60</f>
        <v>0</v>
      </c>
      <c r="Q60" s="171">
        <f t="shared" si="42"/>
        <v>0</v>
      </c>
      <c r="R60" s="445">
        <f>[7]南港事務!$I$60</f>
        <v>0</v>
      </c>
      <c r="S60" s="9" t="str">
        <f t="shared" si="43"/>
        <v/>
      </c>
      <c r="T60" s="362">
        <f>[7]南港事務!$L$60</f>
        <v>0</v>
      </c>
      <c r="U60" s="204" t="str">
        <f t="shared" si="44"/>
        <v/>
      </c>
      <c r="V60" s="456">
        <f t="shared" si="21"/>
        <v>0</v>
      </c>
      <c r="W60" s="171">
        <f t="shared" si="45"/>
        <v>0</v>
      </c>
      <c r="X60" s="426">
        <f t="shared" si="22"/>
        <v>0</v>
      </c>
      <c r="Y60" s="225">
        <f t="shared" si="46"/>
        <v>0</v>
      </c>
      <c r="Z60" s="460">
        <f t="shared" si="23"/>
        <v>0</v>
      </c>
      <c r="AA60" s="189">
        <f t="shared" si="47"/>
        <v>0</v>
      </c>
      <c r="AB60" s="564">
        <f t="shared" si="24"/>
        <v>0</v>
      </c>
      <c r="AC60" s="123">
        <f t="shared" si="48"/>
        <v>0</v>
      </c>
      <c r="AD60" s="352">
        <f>[7]東京事務!$I$60</f>
        <v>0</v>
      </c>
      <c r="AE60" s="9">
        <f t="shared" si="49"/>
        <v>0</v>
      </c>
      <c r="AF60" s="362">
        <f>[7]東京事務!$L$60</f>
        <v>0</v>
      </c>
      <c r="AG60" s="81">
        <f t="shared" si="50"/>
        <v>0</v>
      </c>
      <c r="AH60" s="388">
        <f>[7]東京工場!$I$60</f>
        <v>0</v>
      </c>
      <c r="AI60" s="171">
        <f t="shared" si="25"/>
        <v>0</v>
      </c>
      <c r="AJ60" s="362">
        <f>[7]東京工場!$L$60</f>
        <v>0</v>
      </c>
      <c r="AK60" s="99">
        <f t="shared" si="36"/>
        <v>0</v>
      </c>
      <c r="AL60" s="547">
        <f t="shared" si="26"/>
        <v>0</v>
      </c>
      <c r="AM60" s="314">
        <f t="shared" si="51"/>
        <v>0</v>
      </c>
      <c r="AN60" s="478">
        <f t="shared" si="27"/>
        <v>0</v>
      </c>
      <c r="AO60" s="123">
        <f t="shared" si="52"/>
        <v>0</v>
      </c>
      <c r="AP60" s="527">
        <f>B60+Z60+AL60</f>
        <v>500000</v>
      </c>
      <c r="AQ60" s="284">
        <f t="shared" si="53"/>
        <v>6.4517766534797087E-4</v>
      </c>
      <c r="AR60" s="487">
        <f t="shared" si="29"/>
        <v>3500000</v>
      </c>
      <c r="AS60" s="285">
        <f t="shared" si="54"/>
        <v>6.1259771477231088E-4</v>
      </c>
      <c r="AT60" s="584">
        <f>[7]全社合計!$G$60</f>
        <v>500000</v>
      </c>
      <c r="AU60" s="124">
        <f t="shared" si="30"/>
        <v>6.0627130040241911E-4</v>
      </c>
      <c r="AV60" s="578">
        <f>[7]全社合計!$N$60</f>
        <v>3500000</v>
      </c>
      <c r="AW60" s="125">
        <f t="shared" si="31"/>
        <v>5.4530261165455134E-4</v>
      </c>
      <c r="AX60" s="584">
        <f t="shared" si="32"/>
        <v>0</v>
      </c>
      <c r="AY60" s="124">
        <f t="shared" si="33"/>
        <v>1</v>
      </c>
      <c r="AZ60" s="578">
        <f t="shared" si="34"/>
        <v>0</v>
      </c>
      <c r="BA60" s="125">
        <f t="shared" si="35"/>
        <v>1</v>
      </c>
      <c r="BB60" s="11"/>
    </row>
    <row r="61" spans="1:54" ht="15.95" customHeight="1">
      <c r="A61" s="35" t="s">
        <v>48</v>
      </c>
      <c r="B61" s="704">
        <f>[7]本部!$I$61</f>
        <v>0</v>
      </c>
      <c r="C61" s="260" t="str">
        <f t="shared" si="38"/>
        <v/>
      </c>
      <c r="D61" s="729">
        <f>[7]本部!$L$61</f>
        <v>7001</v>
      </c>
      <c r="E61" s="126" t="str">
        <f t="shared" si="39"/>
        <v/>
      </c>
      <c r="F61" s="353">
        <f>[7]本社営業!$I$61</f>
        <v>87070</v>
      </c>
      <c r="G61" s="12">
        <f t="shared" si="40"/>
        <v>1.705986908792926E-4</v>
      </c>
      <c r="H61" s="363">
        <f>[7]本社営業!$L$61</f>
        <v>282115</v>
      </c>
      <c r="I61" s="128">
        <f t="shared" si="19"/>
        <v>7.7128905092763768E-5</v>
      </c>
      <c r="J61" s="746">
        <f>[7]東大阪!$I$61</f>
        <v>0</v>
      </c>
      <c r="K61" s="12">
        <f t="shared" si="20"/>
        <v>0</v>
      </c>
      <c r="L61" s="363">
        <f>[7]東大阪!$L$61</f>
        <v>0</v>
      </c>
      <c r="M61" s="128">
        <f t="shared" si="37"/>
        <v>0</v>
      </c>
      <c r="N61" s="404">
        <f>[7]南港工場!$I$61</f>
        <v>1</v>
      </c>
      <c r="O61" s="12">
        <f t="shared" si="41"/>
        <v>3.6383665902476275E-8</v>
      </c>
      <c r="P61" s="363">
        <f>[7]南港工場!$L$61</f>
        <v>6</v>
      </c>
      <c r="Q61" s="172">
        <f t="shared" si="42"/>
        <v>3.1533901190570324E-8</v>
      </c>
      <c r="R61" s="446">
        <f>[7]南港事務!$I$61</f>
        <v>0</v>
      </c>
      <c r="S61" s="12" t="str">
        <f t="shared" si="43"/>
        <v/>
      </c>
      <c r="T61" s="363">
        <f>[7]南港事務!$L$61</f>
        <v>0</v>
      </c>
      <c r="U61" s="205" t="str">
        <f t="shared" si="44"/>
        <v/>
      </c>
      <c r="V61" s="457">
        <f t="shared" si="21"/>
        <v>1</v>
      </c>
      <c r="W61" s="172">
        <f t="shared" si="45"/>
        <v>3.6383665902476275E-8</v>
      </c>
      <c r="X61" s="427">
        <f t="shared" si="22"/>
        <v>6</v>
      </c>
      <c r="Y61" s="226">
        <f t="shared" si="46"/>
        <v>3.1533901190570324E-8</v>
      </c>
      <c r="Z61" s="461">
        <f t="shared" si="23"/>
        <v>87071</v>
      </c>
      <c r="AA61" s="190">
        <f t="shared" si="47"/>
        <v>1.5923610822781811E-4</v>
      </c>
      <c r="AB61" s="565">
        <f t="shared" si="24"/>
        <v>282121</v>
      </c>
      <c r="AC61" s="127">
        <f t="shared" si="48"/>
        <v>7.2114996040286756E-5</v>
      </c>
      <c r="AD61" s="353">
        <f>[7]東京事務!$I$61</f>
        <v>1</v>
      </c>
      <c r="AE61" s="12">
        <f t="shared" si="49"/>
        <v>4.5670855288474271E-9</v>
      </c>
      <c r="AF61" s="363">
        <f>[7]東京事務!$L$61</f>
        <v>153</v>
      </c>
      <c r="AG61" s="82">
        <f t="shared" si="50"/>
        <v>8.8367028462920521E-8</v>
      </c>
      <c r="AH61" s="389">
        <f>[7]東京工場!$I$61</f>
        <v>0</v>
      </c>
      <c r="AI61" s="172">
        <f t="shared" si="25"/>
        <v>0</v>
      </c>
      <c r="AJ61" s="363">
        <f>[7]東京工場!$L$61</f>
        <v>0</v>
      </c>
      <c r="AK61" s="100">
        <f t="shared" si="36"/>
        <v>0</v>
      </c>
      <c r="AL61" s="548">
        <f t="shared" si="26"/>
        <v>1</v>
      </c>
      <c r="AM61" s="315">
        <f t="shared" si="51"/>
        <v>4.382582654117387E-9</v>
      </c>
      <c r="AN61" s="479">
        <f t="shared" si="27"/>
        <v>153</v>
      </c>
      <c r="AO61" s="127">
        <f t="shared" si="52"/>
        <v>8.4939820656141804E-8</v>
      </c>
      <c r="AP61" s="528">
        <f t="shared" si="28"/>
        <v>87072</v>
      </c>
      <c r="AQ61" s="286">
        <f t="shared" si="53"/>
        <v>1.1235381935435703E-4</v>
      </c>
      <c r="AR61" s="488">
        <f t="shared" si="29"/>
        <v>289275</v>
      </c>
      <c r="AS61" s="287">
        <f t="shared" si="54"/>
        <v>5.0631201125931499E-5</v>
      </c>
      <c r="AT61" s="585">
        <f>[7]全社合計!$G$61</f>
        <v>159639</v>
      </c>
      <c r="AU61" s="128">
        <f t="shared" si="30"/>
        <v>1.9356908824988357E-4</v>
      </c>
      <c r="AV61" s="579">
        <f>[7]全社合計!$N$61</f>
        <v>1664770</v>
      </c>
      <c r="AW61" s="129">
        <f t="shared" si="31"/>
        <v>2.5937240822975643E-4</v>
      </c>
      <c r="AX61" s="585">
        <f t="shared" si="32"/>
        <v>-72567</v>
      </c>
      <c r="AY61" s="128">
        <f>IF(ISERROR(AP61/AT61),"",AP61/AT61)</f>
        <v>0.5454306278540958</v>
      </c>
      <c r="AZ61" s="579">
        <f t="shared" si="34"/>
        <v>-1375495</v>
      </c>
      <c r="BA61" s="129">
        <f t="shared" si="35"/>
        <v>0.17376274200039646</v>
      </c>
      <c r="BB61" s="14"/>
    </row>
    <row r="62" spans="1:54" ht="15.95" customHeight="1">
      <c r="A62" s="62" t="s">
        <v>49</v>
      </c>
      <c r="B62" s="708">
        <f>SUM(B55:B61)</f>
        <v>1138047</v>
      </c>
      <c r="C62" s="141" t="str">
        <f t="shared" si="38"/>
        <v/>
      </c>
      <c r="D62" s="401">
        <f>SUM(D55:D61)</f>
        <v>7741788</v>
      </c>
      <c r="E62" s="139" t="str">
        <f t="shared" si="39"/>
        <v/>
      </c>
      <c r="F62" s="466">
        <f>SUM(F55:F61)</f>
        <v>414881</v>
      </c>
      <c r="G62" s="64">
        <f t="shared" si="40"/>
        <v>8.1288796911326282E-4</v>
      </c>
      <c r="H62" s="401">
        <f>SUM(H55:H61)</f>
        <v>2094095</v>
      </c>
      <c r="I62" s="141">
        <f t="shared" si="19"/>
        <v>5.7251565677199421E-4</v>
      </c>
      <c r="J62" s="747">
        <f>SUM(J55:J61)</f>
        <v>0</v>
      </c>
      <c r="K62" s="64">
        <f t="shared" si="20"/>
        <v>0</v>
      </c>
      <c r="L62" s="401">
        <f>SUM(L55:L61)</f>
        <v>0</v>
      </c>
      <c r="M62" s="141">
        <f t="shared" si="37"/>
        <v>0</v>
      </c>
      <c r="N62" s="405">
        <f>SUM(N55:N61)</f>
        <v>1</v>
      </c>
      <c r="O62" s="64">
        <f t="shared" si="41"/>
        <v>3.6383665902476275E-8</v>
      </c>
      <c r="P62" s="401">
        <f>SUM(P55:P61)</f>
        <v>6</v>
      </c>
      <c r="Q62" s="177">
        <f t="shared" si="42"/>
        <v>3.1533901190570324E-8</v>
      </c>
      <c r="R62" s="442">
        <f>SUM(R55:R61)</f>
        <v>0</v>
      </c>
      <c r="S62" s="64" t="str">
        <f t="shared" si="43"/>
        <v/>
      </c>
      <c r="T62" s="401">
        <f>SUM(T55:T61)</f>
        <v>0</v>
      </c>
      <c r="U62" s="209" t="str">
        <f t="shared" si="44"/>
        <v/>
      </c>
      <c r="V62" s="458">
        <f t="shared" si="21"/>
        <v>1</v>
      </c>
      <c r="W62" s="177">
        <f t="shared" si="45"/>
        <v>3.6383665902476275E-8</v>
      </c>
      <c r="X62" s="428">
        <f t="shared" si="22"/>
        <v>6</v>
      </c>
      <c r="Y62" s="230">
        <f t="shared" si="46"/>
        <v>3.1533901190570324E-8</v>
      </c>
      <c r="Z62" s="458">
        <f t="shared" si="23"/>
        <v>414882</v>
      </c>
      <c r="AA62" s="194">
        <f t="shared" si="47"/>
        <v>7.587393627473399E-4</v>
      </c>
      <c r="AB62" s="428">
        <f t="shared" si="24"/>
        <v>2094101</v>
      </c>
      <c r="AC62" s="140">
        <f t="shared" si="48"/>
        <v>5.3528835259679549E-4</v>
      </c>
      <c r="AD62" s="466">
        <f>SUM(AD55:AD61)</f>
        <v>1</v>
      </c>
      <c r="AE62" s="64">
        <f t="shared" si="49"/>
        <v>4.5670855288474271E-9</v>
      </c>
      <c r="AF62" s="401">
        <f>SUM(AF55:AF61)</f>
        <v>153</v>
      </c>
      <c r="AG62" s="85">
        <f t="shared" si="50"/>
        <v>8.8367028462920521E-8</v>
      </c>
      <c r="AH62" s="390">
        <f>SUM(AH55:AH61)</f>
        <v>0</v>
      </c>
      <c r="AI62" s="177">
        <f t="shared" si="25"/>
        <v>0</v>
      </c>
      <c r="AJ62" s="401">
        <f>SUM(AJ55:AJ61)</f>
        <v>0</v>
      </c>
      <c r="AK62" s="105">
        <f t="shared" si="36"/>
        <v>0</v>
      </c>
      <c r="AL62" s="549">
        <f t="shared" si="26"/>
        <v>1</v>
      </c>
      <c r="AM62" s="319">
        <f t="shared" si="51"/>
        <v>4.382582654117387E-9</v>
      </c>
      <c r="AN62" s="480">
        <f t="shared" si="27"/>
        <v>153</v>
      </c>
      <c r="AO62" s="140">
        <f t="shared" si="52"/>
        <v>8.4939820656141804E-8</v>
      </c>
      <c r="AP62" s="529">
        <f t="shared" si="28"/>
        <v>1552930</v>
      </c>
      <c r="AQ62" s="141">
        <f t="shared" si="53"/>
        <v>2.0038315036976489E-3</v>
      </c>
      <c r="AR62" s="428">
        <f t="shared" si="29"/>
        <v>9836042</v>
      </c>
      <c r="AS62" s="140">
        <f t="shared" si="54"/>
        <v>1.7215819576012774E-3</v>
      </c>
      <c r="AT62" s="529">
        <f>SUM(AT55:AT61)</f>
        <v>1698698</v>
      </c>
      <c r="AU62" s="141">
        <f t="shared" si="30"/>
        <v>2.0597436909019773E-3</v>
      </c>
      <c r="AV62" s="410">
        <f>SUM(AV55:AV61)</f>
        <v>11640209</v>
      </c>
      <c r="AW62" s="140">
        <f t="shared" si="31"/>
        <v>1.813553247972804E-3</v>
      </c>
      <c r="AX62" s="529">
        <f t="shared" si="32"/>
        <v>-145768</v>
      </c>
      <c r="AY62" s="141">
        <f t="shared" si="33"/>
        <v>0.91418839605391899</v>
      </c>
      <c r="AZ62" s="410">
        <f t="shared" si="34"/>
        <v>-1804167</v>
      </c>
      <c r="BA62" s="140">
        <f t="shared" si="35"/>
        <v>0.84500561802627427</v>
      </c>
      <c r="BB62" s="11"/>
    </row>
    <row r="63" spans="1:54" ht="15.95" customHeight="1">
      <c r="A63" s="38" t="s">
        <v>59</v>
      </c>
      <c r="B63" s="712">
        <f>[7]本部!$I$63</f>
        <v>-16294304</v>
      </c>
      <c r="C63" s="221" t="str">
        <f t="shared" si="38"/>
        <v/>
      </c>
      <c r="D63" s="732">
        <f>[7]本部!$L$63</f>
        <v>-64953286</v>
      </c>
      <c r="E63" s="142" t="str">
        <f t="shared" si="39"/>
        <v/>
      </c>
      <c r="F63" s="365">
        <f>[7]本社営業!$I$63</f>
        <v>9279044</v>
      </c>
      <c r="G63" s="15">
        <f t="shared" si="40"/>
        <v>1.8180690926970881E-2</v>
      </c>
      <c r="H63" s="367">
        <f>[7]本社営業!$L$63</f>
        <v>33080902</v>
      </c>
      <c r="I63" s="144">
        <f t="shared" si="19"/>
        <v>9.0441619578576788E-3</v>
      </c>
      <c r="J63" s="751">
        <f>[7]東大阪!$I$63</f>
        <v>532716</v>
      </c>
      <c r="K63" s="15">
        <f t="shared" si="20"/>
        <v>5.9584940216076444E-2</v>
      </c>
      <c r="L63" s="367">
        <f>[7]東大阪!$L$63</f>
        <v>3528955</v>
      </c>
      <c r="M63" s="144">
        <f t="shared" si="37"/>
        <v>5.5036983796337667E-2</v>
      </c>
      <c r="N63" s="413">
        <f>[7]南港工場!$I$63</f>
        <v>1736362</v>
      </c>
      <c r="O63" s="15">
        <f t="shared" si="41"/>
        <v>6.3175214893755507E-2</v>
      </c>
      <c r="P63" s="367">
        <f>[7]南港工場!$L$63</f>
        <v>8940614</v>
      </c>
      <c r="Q63" s="178">
        <f t="shared" si="42"/>
        <v>4.6988739743171616E-2</v>
      </c>
      <c r="R63" s="447">
        <f>[7]南港事務!$I$63</f>
        <v>293083</v>
      </c>
      <c r="S63" s="15" t="str">
        <f t="shared" si="43"/>
        <v/>
      </c>
      <c r="T63" s="367">
        <f>[7]南港事務!$L$63</f>
        <v>1704002</v>
      </c>
      <c r="U63" s="210" t="str">
        <f t="shared" si="44"/>
        <v/>
      </c>
      <c r="V63" s="491">
        <f t="shared" si="21"/>
        <v>2029445</v>
      </c>
      <c r="W63" s="178">
        <f t="shared" si="45"/>
        <v>7.3838648847450963E-2</v>
      </c>
      <c r="X63" s="431">
        <f t="shared" si="22"/>
        <v>10644616</v>
      </c>
      <c r="Y63" s="231">
        <f t="shared" si="46"/>
        <v>5.5944378192593985E-2</v>
      </c>
      <c r="Z63" s="570">
        <f t="shared" si="23"/>
        <v>11841205</v>
      </c>
      <c r="AA63" s="195">
        <f t="shared" si="47"/>
        <v>2.1655285926746919E-2</v>
      </c>
      <c r="AB63" s="567">
        <f t="shared" si="24"/>
        <v>47254473</v>
      </c>
      <c r="AC63" s="143">
        <f t="shared" si="48"/>
        <v>1.2079058748837688E-2</v>
      </c>
      <c r="AD63" s="365">
        <f>[7]東京事務!$I$63</f>
        <v>3700485</v>
      </c>
      <c r="AE63" s="15">
        <f t="shared" si="49"/>
        <v>1.6900431493216971E-2</v>
      </c>
      <c r="AF63" s="367">
        <f>[7]東京事務!$L$63</f>
        <v>13322964</v>
      </c>
      <c r="AG63" s="86">
        <f t="shared" si="50"/>
        <v>7.6948414313625195E-3</v>
      </c>
      <c r="AH63" s="393">
        <f>[7]東京工場!$I$63</f>
        <v>752614</v>
      </c>
      <c r="AI63" s="178">
        <f t="shared" si="25"/>
        <v>8.1646658580984466E-2</v>
      </c>
      <c r="AJ63" s="367">
        <f>[7]東京工場!$L$63</f>
        <v>4375849</v>
      </c>
      <c r="AK63" s="106">
        <f t="shared" si="36"/>
        <v>6.2637158603717449E-2</v>
      </c>
      <c r="AL63" s="551">
        <f t="shared" si="26"/>
        <v>4453099</v>
      </c>
      <c r="AM63" s="320">
        <f t="shared" si="51"/>
        <v>1.9516074434467481E-2</v>
      </c>
      <c r="AN63" s="538">
        <f t="shared" si="27"/>
        <v>17698813</v>
      </c>
      <c r="AO63" s="143">
        <f t="shared" si="52"/>
        <v>9.825712431677066E-3</v>
      </c>
      <c r="AP63" s="531">
        <f t="shared" si="28"/>
        <v>0</v>
      </c>
      <c r="AQ63" s="288">
        <f t="shared" si="53"/>
        <v>0</v>
      </c>
      <c r="AR63" s="518">
        <f t="shared" si="29"/>
        <v>0</v>
      </c>
      <c r="AS63" s="289">
        <f t="shared" si="54"/>
        <v>0</v>
      </c>
      <c r="AT63" s="588">
        <f>[7]全社合計!$G$63</f>
        <v>0</v>
      </c>
      <c r="AU63" s="144">
        <f t="shared" si="30"/>
        <v>0</v>
      </c>
      <c r="AV63" s="598">
        <f>[7]全社合計!$N$63</f>
        <v>0</v>
      </c>
      <c r="AW63" s="145">
        <f t="shared" si="31"/>
        <v>0</v>
      </c>
      <c r="AX63" s="588">
        <f t="shared" si="32"/>
        <v>0</v>
      </c>
      <c r="AY63" s="144" t="str">
        <f t="shared" si="33"/>
        <v/>
      </c>
      <c r="AZ63" s="598">
        <f t="shared" si="34"/>
        <v>0</v>
      </c>
      <c r="BA63" s="145" t="str">
        <f t="shared" si="35"/>
        <v/>
      </c>
      <c r="BB63" s="11"/>
    </row>
    <row r="64" spans="1:54" ht="19.899999999999999" customHeight="1">
      <c r="A64" s="57" t="s">
        <v>50</v>
      </c>
      <c r="B64" s="713">
        <f>+B48+B54-B62-B63</f>
        <v>0</v>
      </c>
      <c r="C64" s="146" t="str">
        <f t="shared" si="38"/>
        <v/>
      </c>
      <c r="D64" s="376">
        <f>D48+D54-D62-D63</f>
        <v>0</v>
      </c>
      <c r="E64" s="136" t="str">
        <f t="shared" si="39"/>
        <v/>
      </c>
      <c r="F64" s="375">
        <f>F48+F54-F62-F63</f>
        <v>36436909</v>
      </c>
      <c r="G64" s="56">
        <f t="shared" si="40"/>
        <v>7.1391856840334375E-2</v>
      </c>
      <c r="H64" s="376">
        <f>H48+H54-H62-H63</f>
        <v>317891767</v>
      </c>
      <c r="I64" s="146">
        <f t="shared" si="19"/>
        <v>8.6910103775814734E-2</v>
      </c>
      <c r="J64" s="374">
        <f>J48+J54-J62-J63</f>
        <v>3944981</v>
      </c>
      <c r="K64" s="56">
        <f t="shared" si="20"/>
        <v>0.44125097995659501</v>
      </c>
      <c r="L64" s="376">
        <f>L48+L54-L62-L63</f>
        <v>18166390</v>
      </c>
      <c r="M64" s="146">
        <f t="shared" si="37"/>
        <v>0.28331993807457184</v>
      </c>
      <c r="N64" s="412">
        <f>N48+N54-N62-N63</f>
        <v>8728766</v>
      </c>
      <c r="O64" s="56">
        <f t="shared" si="41"/>
        <v>0.31758450588489423</v>
      </c>
      <c r="P64" s="376">
        <f>P48+P54-P62-P63</f>
        <v>17415250</v>
      </c>
      <c r="Q64" s="176">
        <f t="shared" si="42"/>
        <v>9.1528462118179971E-2</v>
      </c>
      <c r="R64" s="443">
        <f>R48+R54-R62-R63</f>
        <v>-4114756</v>
      </c>
      <c r="S64" s="56" t="str">
        <f t="shared" si="43"/>
        <v/>
      </c>
      <c r="T64" s="376">
        <f>T48+T54-T62-T63</f>
        <v>-29514708</v>
      </c>
      <c r="U64" s="211" t="str">
        <f t="shared" si="44"/>
        <v/>
      </c>
      <c r="V64" s="490">
        <f t="shared" si="21"/>
        <v>4614010</v>
      </c>
      <c r="W64" s="176">
        <f t="shared" si="45"/>
        <v>0.16787459831068458</v>
      </c>
      <c r="X64" s="424">
        <f t="shared" si="22"/>
        <v>-12099458</v>
      </c>
      <c r="Y64" s="232">
        <f t="shared" si="46"/>
        <v>-6.359051883857593E-2</v>
      </c>
      <c r="Z64" s="490">
        <f t="shared" si="23"/>
        <v>44995900</v>
      </c>
      <c r="AA64" s="193">
        <f t="shared" si="47"/>
        <v>8.2288844761264718E-2</v>
      </c>
      <c r="AB64" s="424">
        <f t="shared" si="24"/>
        <v>323958699</v>
      </c>
      <c r="AC64" s="185">
        <f t="shared" si="48"/>
        <v>8.2809433879794309E-2</v>
      </c>
      <c r="AD64" s="375">
        <f>AD48+AD54-AD62-AD63</f>
        <v>4285123</v>
      </c>
      <c r="AE64" s="56">
        <f t="shared" si="49"/>
        <v>1.9570523242631272E-2</v>
      </c>
      <c r="AF64" s="376">
        <f>AF48+AF54-AF62-AF63</f>
        <v>52843107</v>
      </c>
      <c r="AG64" s="87">
        <f t="shared" si="50"/>
        <v>3.0520185230968333E-2</v>
      </c>
      <c r="AH64" s="392">
        <f>AH48+AH54-AH62-AH63</f>
        <v>1825627</v>
      </c>
      <c r="AI64" s="176">
        <f t="shared" si="25"/>
        <v>0.19805151693328443</v>
      </c>
      <c r="AJ64" s="376">
        <f>AJ48+AJ54-AJ62-AJ63</f>
        <v>15465913</v>
      </c>
      <c r="AK64" s="104">
        <f t="shared" si="36"/>
        <v>0.22138351792584607</v>
      </c>
      <c r="AL64" s="545">
        <f t="shared" si="26"/>
        <v>6110750</v>
      </c>
      <c r="AM64" s="321">
        <f t="shared" si="51"/>
        <v>2.6780866953647821E-2</v>
      </c>
      <c r="AN64" s="537">
        <f t="shared" si="27"/>
        <v>68309020</v>
      </c>
      <c r="AO64" s="137">
        <f t="shared" si="52"/>
        <v>3.792258763396604E-2</v>
      </c>
      <c r="AP64" s="525">
        <f t="shared" si="28"/>
        <v>51106650</v>
      </c>
      <c r="AQ64" s="303">
        <f t="shared" si="53"/>
        <v>6.5945738261511747E-2</v>
      </c>
      <c r="AR64" s="517">
        <f t="shared" si="29"/>
        <v>392267719</v>
      </c>
      <c r="AS64" s="304">
        <f t="shared" si="54"/>
        <v>6.8657802353813427E-2</v>
      </c>
      <c r="AT64" s="582">
        <f>AT48+AT54-AT62-AT63</f>
        <v>59998853</v>
      </c>
      <c r="AU64" s="146">
        <f t="shared" si="30"/>
        <v>7.2751165261927167E-2</v>
      </c>
      <c r="AV64" s="597">
        <f>AV48+AV54-AV62-AV63</f>
        <v>493610441</v>
      </c>
      <c r="AW64" s="137">
        <f t="shared" si="31"/>
        <v>7.690487503350138E-2</v>
      </c>
      <c r="AX64" s="582">
        <f t="shared" si="32"/>
        <v>-8892203</v>
      </c>
      <c r="AY64" s="146">
        <f t="shared" si="33"/>
        <v>0.85179378345782708</v>
      </c>
      <c r="AZ64" s="597">
        <f t="shared" si="34"/>
        <v>-101342722</v>
      </c>
      <c r="BA64" s="137">
        <f t="shared" si="35"/>
        <v>0.79469088661355924</v>
      </c>
      <c r="BB64" s="11"/>
    </row>
    <row r="65" spans="1:54" ht="15.95" customHeight="1">
      <c r="A65" s="39" t="s">
        <v>51</v>
      </c>
      <c r="B65" s="714">
        <f>[7]本部!$I$65</f>
        <v>0</v>
      </c>
      <c r="C65" s="261" t="str">
        <f t="shared" si="38"/>
        <v/>
      </c>
      <c r="D65" s="733">
        <f>[7]本部!$L$65</f>
        <v>0</v>
      </c>
      <c r="E65" s="142" t="str">
        <f t="shared" si="39"/>
        <v/>
      </c>
      <c r="F65" s="368">
        <f>[7]本社営業!$I$65</f>
        <v>0</v>
      </c>
      <c r="G65" s="15">
        <f t="shared" si="40"/>
        <v>0</v>
      </c>
      <c r="H65" s="370">
        <f>[7]本社営業!$L$65</f>
        <v>0</v>
      </c>
      <c r="I65" s="144">
        <f t="shared" si="19"/>
        <v>0</v>
      </c>
      <c r="J65" s="752">
        <f>[7]東大阪!$I$65</f>
        <v>0</v>
      </c>
      <c r="K65" s="15">
        <f t="shared" si="20"/>
        <v>0</v>
      </c>
      <c r="L65" s="370">
        <f>[7]東大阪!$L$65</f>
        <v>0</v>
      </c>
      <c r="M65" s="144">
        <f t="shared" si="37"/>
        <v>0</v>
      </c>
      <c r="N65" s="414">
        <f>[7]南港工場!$I$65</f>
        <v>0</v>
      </c>
      <c r="O65" s="15">
        <f t="shared" si="41"/>
        <v>0</v>
      </c>
      <c r="P65" s="370">
        <f>[7]南港工場!$L$65</f>
        <v>0</v>
      </c>
      <c r="Q65" s="178">
        <f t="shared" si="42"/>
        <v>0</v>
      </c>
      <c r="R65" s="448">
        <f>[7]南港事務!$I$65</f>
        <v>0</v>
      </c>
      <c r="S65" s="15" t="str">
        <f t="shared" si="43"/>
        <v/>
      </c>
      <c r="T65" s="370">
        <f>[7]南港事務!$L$65</f>
        <v>0</v>
      </c>
      <c r="U65" s="210" t="str">
        <f t="shared" si="44"/>
        <v/>
      </c>
      <c r="V65" s="492">
        <f t="shared" si="21"/>
        <v>0</v>
      </c>
      <c r="W65" s="178">
        <f t="shared" si="45"/>
        <v>0</v>
      </c>
      <c r="X65" s="432">
        <f t="shared" si="22"/>
        <v>0</v>
      </c>
      <c r="Y65" s="231">
        <f t="shared" si="46"/>
        <v>0</v>
      </c>
      <c r="Z65" s="571">
        <f t="shared" si="23"/>
        <v>0</v>
      </c>
      <c r="AA65" s="195">
        <f t="shared" si="47"/>
        <v>0</v>
      </c>
      <c r="AB65" s="568">
        <f t="shared" si="24"/>
        <v>0</v>
      </c>
      <c r="AC65" s="143">
        <f t="shared" si="48"/>
        <v>0</v>
      </c>
      <c r="AD65" s="368">
        <f>[7]東京事務!$I$65</f>
        <v>0</v>
      </c>
      <c r="AE65" s="15">
        <f t="shared" si="49"/>
        <v>0</v>
      </c>
      <c r="AF65" s="370">
        <f>[7]東京事務!$L$65</f>
        <v>0</v>
      </c>
      <c r="AG65" s="86">
        <f t="shared" si="50"/>
        <v>0</v>
      </c>
      <c r="AH65" s="394">
        <f>[7]東京工場!$I$65</f>
        <v>0</v>
      </c>
      <c r="AI65" s="178">
        <f t="shared" si="25"/>
        <v>0</v>
      </c>
      <c r="AJ65" s="370">
        <f>[7]東京工場!$L$65</f>
        <v>0</v>
      </c>
      <c r="AK65" s="106">
        <f t="shared" si="36"/>
        <v>0</v>
      </c>
      <c r="AL65" s="552">
        <f t="shared" si="26"/>
        <v>0</v>
      </c>
      <c r="AM65" s="320">
        <f t="shared" si="51"/>
        <v>0</v>
      </c>
      <c r="AN65" s="539">
        <f t="shared" si="27"/>
        <v>0</v>
      </c>
      <c r="AO65" s="143">
        <f t="shared" si="52"/>
        <v>0</v>
      </c>
      <c r="AP65" s="532">
        <f t="shared" si="28"/>
        <v>0</v>
      </c>
      <c r="AQ65" s="288">
        <f t="shared" si="53"/>
        <v>0</v>
      </c>
      <c r="AR65" s="519">
        <f t="shared" si="29"/>
        <v>0</v>
      </c>
      <c r="AS65" s="289">
        <f t="shared" si="54"/>
        <v>0</v>
      </c>
      <c r="AT65" s="589">
        <f>[7]全社合計!$G$65</f>
        <v>0</v>
      </c>
      <c r="AU65" s="144">
        <f t="shared" si="30"/>
        <v>0</v>
      </c>
      <c r="AV65" s="599">
        <f>[7]全社合計!$N$65</f>
        <v>0</v>
      </c>
      <c r="AW65" s="145">
        <f t="shared" si="31"/>
        <v>0</v>
      </c>
      <c r="AX65" s="589">
        <f t="shared" si="32"/>
        <v>0</v>
      </c>
      <c r="AY65" s="144" t="str">
        <f t="shared" si="33"/>
        <v/>
      </c>
      <c r="AZ65" s="599">
        <f t="shared" si="34"/>
        <v>0</v>
      </c>
      <c r="BA65" s="145" t="str">
        <f t="shared" si="35"/>
        <v/>
      </c>
      <c r="BB65" s="11"/>
    </row>
    <row r="66" spans="1:54" ht="15.95" customHeight="1">
      <c r="A66" s="40" t="s">
        <v>52</v>
      </c>
      <c r="B66" s="715">
        <f>[7]本部!$I$66</f>
        <v>0</v>
      </c>
      <c r="C66" s="262" t="str">
        <f t="shared" si="38"/>
        <v/>
      </c>
      <c r="D66" s="734">
        <f>[7]本部!$L$66</f>
        <v>0</v>
      </c>
      <c r="E66" s="147" t="str">
        <f t="shared" si="39"/>
        <v/>
      </c>
      <c r="F66" s="369">
        <f>[7]本社営業!$I$66</f>
        <v>0</v>
      </c>
      <c r="G66" s="16">
        <f t="shared" si="40"/>
        <v>0</v>
      </c>
      <c r="H66" s="371">
        <f>[7]本社営業!$L$66</f>
        <v>0</v>
      </c>
      <c r="I66" s="149">
        <f t="shared" si="19"/>
        <v>0</v>
      </c>
      <c r="J66" s="753">
        <f>[7]東大阪!$I$66</f>
        <v>0</v>
      </c>
      <c r="K66" s="16">
        <f>IF(ISERR(J66/$J$11),"",J66/$J$11)</f>
        <v>0</v>
      </c>
      <c r="L66" s="371">
        <f>[7]東大阪!$L$66</f>
        <v>0</v>
      </c>
      <c r="M66" s="149">
        <f t="shared" si="37"/>
        <v>0</v>
      </c>
      <c r="N66" s="415">
        <f>[7]南港工場!$I$66</f>
        <v>0</v>
      </c>
      <c r="O66" s="16">
        <f t="shared" si="41"/>
        <v>0</v>
      </c>
      <c r="P66" s="371">
        <f>[7]南港工場!$L$66</f>
        <v>0</v>
      </c>
      <c r="Q66" s="179">
        <f t="shared" si="42"/>
        <v>0</v>
      </c>
      <c r="R66" s="449">
        <f>[7]南港事務!$I$66</f>
        <v>0</v>
      </c>
      <c r="S66" s="16" t="str">
        <f t="shared" si="43"/>
        <v/>
      </c>
      <c r="T66" s="371">
        <f>[7]南港事務!$L$66</f>
        <v>0</v>
      </c>
      <c r="U66" s="212" t="str">
        <f t="shared" si="44"/>
        <v/>
      </c>
      <c r="V66" s="493">
        <f t="shared" si="21"/>
        <v>0</v>
      </c>
      <c r="W66" s="179">
        <f t="shared" si="45"/>
        <v>0</v>
      </c>
      <c r="X66" s="433">
        <f t="shared" si="22"/>
        <v>0</v>
      </c>
      <c r="Y66" s="233">
        <f t="shared" si="46"/>
        <v>0</v>
      </c>
      <c r="Z66" s="572">
        <f t="shared" si="23"/>
        <v>0</v>
      </c>
      <c r="AA66" s="196">
        <f t="shared" si="47"/>
        <v>0</v>
      </c>
      <c r="AB66" s="569">
        <f t="shared" si="24"/>
        <v>0</v>
      </c>
      <c r="AC66" s="148">
        <f t="shared" si="48"/>
        <v>0</v>
      </c>
      <c r="AD66" s="369">
        <f>[7]東京事務!$I$66</f>
        <v>0</v>
      </c>
      <c r="AE66" s="16">
        <f t="shared" si="49"/>
        <v>0</v>
      </c>
      <c r="AF66" s="371">
        <f>[7]東京事務!$L$66</f>
        <v>0</v>
      </c>
      <c r="AG66" s="88">
        <f t="shared" si="50"/>
        <v>0</v>
      </c>
      <c r="AH66" s="395">
        <f>[7]東京工場!$I$66</f>
        <v>0</v>
      </c>
      <c r="AI66" s="179">
        <f t="shared" si="25"/>
        <v>0</v>
      </c>
      <c r="AJ66" s="371">
        <f>[7]東京工場!$L$66</f>
        <v>0</v>
      </c>
      <c r="AK66" s="107">
        <f t="shared" si="36"/>
        <v>0</v>
      </c>
      <c r="AL66" s="553">
        <f t="shared" si="26"/>
        <v>0</v>
      </c>
      <c r="AM66" s="322">
        <f t="shared" si="51"/>
        <v>0</v>
      </c>
      <c r="AN66" s="540">
        <f t="shared" si="27"/>
        <v>0</v>
      </c>
      <c r="AO66" s="148">
        <f t="shared" si="52"/>
        <v>0</v>
      </c>
      <c r="AP66" s="533">
        <f t="shared" si="28"/>
        <v>0</v>
      </c>
      <c r="AQ66" s="290">
        <f t="shared" si="53"/>
        <v>0</v>
      </c>
      <c r="AR66" s="520">
        <f t="shared" si="29"/>
        <v>0</v>
      </c>
      <c r="AS66" s="291">
        <f t="shared" si="54"/>
        <v>0</v>
      </c>
      <c r="AT66" s="590">
        <f>[7]全社合計!$G$66</f>
        <v>0</v>
      </c>
      <c r="AU66" s="149">
        <f t="shared" si="30"/>
        <v>0</v>
      </c>
      <c r="AV66" s="600">
        <f>[7]全社合計!$N$66</f>
        <v>0</v>
      </c>
      <c r="AW66" s="150">
        <f t="shared" si="31"/>
        <v>0</v>
      </c>
      <c r="AX66" s="590">
        <f t="shared" si="32"/>
        <v>0</v>
      </c>
      <c r="AY66" s="149" t="str">
        <f t="shared" si="33"/>
        <v/>
      </c>
      <c r="AZ66" s="600">
        <f t="shared" si="34"/>
        <v>0</v>
      </c>
      <c r="BA66" s="150" t="str">
        <f t="shared" si="35"/>
        <v/>
      </c>
      <c r="BB66" s="11"/>
    </row>
    <row r="67" spans="1:54" ht="18" customHeight="1">
      <c r="A67" s="68" t="s">
        <v>60</v>
      </c>
      <c r="B67" s="716">
        <f>+B64+B65-B66</f>
        <v>0</v>
      </c>
      <c r="C67" s="152" t="str">
        <f t="shared" si="38"/>
        <v/>
      </c>
      <c r="D67" s="377">
        <f>D64+D65-D66</f>
        <v>0</v>
      </c>
      <c r="E67" s="218" t="str">
        <f t="shared" si="39"/>
        <v/>
      </c>
      <c r="F67" s="372">
        <f>F64+F65-F66</f>
        <v>36436909</v>
      </c>
      <c r="G67" s="69">
        <f t="shared" si="40"/>
        <v>7.1391856840334375E-2</v>
      </c>
      <c r="H67" s="377">
        <f>H64+H65-H66</f>
        <v>317891767</v>
      </c>
      <c r="I67" s="152">
        <f t="shared" si="19"/>
        <v>8.6910103775814734E-2</v>
      </c>
      <c r="J67" s="754">
        <f>J64+J65-J66</f>
        <v>3944981</v>
      </c>
      <c r="K67" s="69">
        <f>IF(ISERR(J67/$J$11),"",J67/$J$11)</f>
        <v>0.44125097995659501</v>
      </c>
      <c r="L67" s="377">
        <f>L64+L65-L66</f>
        <v>18166390</v>
      </c>
      <c r="M67" s="152">
        <f t="shared" si="37"/>
        <v>0.28331993807457184</v>
      </c>
      <c r="N67" s="416">
        <f>N64+N65-N66</f>
        <v>8728766</v>
      </c>
      <c r="O67" s="69">
        <f t="shared" si="41"/>
        <v>0.31758450588489423</v>
      </c>
      <c r="P67" s="377">
        <f>P64+P65-P66</f>
        <v>17415250</v>
      </c>
      <c r="Q67" s="180">
        <f t="shared" si="42"/>
        <v>9.1528462118179971E-2</v>
      </c>
      <c r="R67" s="450">
        <f>R64+R65-R66</f>
        <v>-4114756</v>
      </c>
      <c r="S67" s="69" t="str">
        <f t="shared" si="43"/>
        <v/>
      </c>
      <c r="T67" s="377">
        <f>T64+T65-T66</f>
        <v>-29514708</v>
      </c>
      <c r="U67" s="213" t="str">
        <f t="shared" si="44"/>
        <v/>
      </c>
      <c r="V67" s="494">
        <f t="shared" si="21"/>
        <v>4614010</v>
      </c>
      <c r="W67" s="180">
        <f t="shared" si="45"/>
        <v>0.16787459831068458</v>
      </c>
      <c r="X67" s="434">
        <f t="shared" si="22"/>
        <v>-12099458</v>
      </c>
      <c r="Y67" s="234">
        <f t="shared" si="46"/>
        <v>-6.359051883857593E-2</v>
      </c>
      <c r="Z67" s="494">
        <f t="shared" si="23"/>
        <v>44995900</v>
      </c>
      <c r="AA67" s="197">
        <f t="shared" si="47"/>
        <v>8.2288844761264718E-2</v>
      </c>
      <c r="AB67" s="434">
        <f t="shared" si="24"/>
        <v>323958699</v>
      </c>
      <c r="AC67" s="186">
        <f t="shared" si="48"/>
        <v>8.2809433879794309E-2</v>
      </c>
      <c r="AD67" s="372">
        <f>AD64+AD65-AD66</f>
        <v>4285123</v>
      </c>
      <c r="AE67" s="69">
        <f t="shared" si="49"/>
        <v>1.9570523242631272E-2</v>
      </c>
      <c r="AF67" s="377">
        <f>AF64+AF65-AF66</f>
        <v>52843107</v>
      </c>
      <c r="AG67" s="89">
        <f t="shared" si="50"/>
        <v>3.0520185230968333E-2</v>
      </c>
      <c r="AH67" s="396">
        <f>AH64+AH65-AH66</f>
        <v>1825627</v>
      </c>
      <c r="AI67" s="180">
        <f t="shared" si="25"/>
        <v>0.19805151693328443</v>
      </c>
      <c r="AJ67" s="377">
        <f>AJ64+AJ65-AJ66</f>
        <v>15465913</v>
      </c>
      <c r="AK67" s="108">
        <f t="shared" si="36"/>
        <v>0.22138351792584607</v>
      </c>
      <c r="AL67" s="554">
        <f t="shared" si="26"/>
        <v>6110750</v>
      </c>
      <c r="AM67" s="323">
        <f t="shared" si="51"/>
        <v>2.6780866953647821E-2</v>
      </c>
      <c r="AN67" s="541">
        <f t="shared" si="27"/>
        <v>68309020</v>
      </c>
      <c r="AO67" s="151">
        <f t="shared" si="52"/>
        <v>3.792258763396604E-2</v>
      </c>
      <c r="AP67" s="534">
        <f t="shared" si="28"/>
        <v>51106650</v>
      </c>
      <c r="AQ67" s="152">
        <f t="shared" si="53"/>
        <v>6.5945738261511747E-2</v>
      </c>
      <c r="AR67" s="521">
        <f t="shared" si="29"/>
        <v>392267719</v>
      </c>
      <c r="AS67" s="151">
        <f t="shared" si="54"/>
        <v>6.8657802353813427E-2</v>
      </c>
      <c r="AT67" s="534">
        <f>AT64+AT65-AT66</f>
        <v>59998853</v>
      </c>
      <c r="AU67" s="152">
        <f t="shared" si="30"/>
        <v>7.2751165261927167E-2</v>
      </c>
      <c r="AV67" s="601">
        <f>AV64+AV65-AV66</f>
        <v>493610441</v>
      </c>
      <c r="AW67" s="151">
        <f t="shared" si="31"/>
        <v>7.690487503350138E-2</v>
      </c>
      <c r="AX67" s="534">
        <f t="shared" si="32"/>
        <v>-8892203</v>
      </c>
      <c r="AY67" s="152">
        <f t="shared" si="33"/>
        <v>0.85179378345782708</v>
      </c>
      <c r="AZ67" s="601">
        <f t="shared" si="34"/>
        <v>-101342722</v>
      </c>
      <c r="BA67" s="151">
        <f t="shared" si="35"/>
        <v>0.79469088661355924</v>
      </c>
      <c r="BB67" s="11"/>
    </row>
    <row r="68" spans="1:54" ht="18" customHeight="1">
      <c r="A68" s="70" t="s">
        <v>61</v>
      </c>
      <c r="B68" s="717"/>
      <c r="C68" s="155" t="str">
        <f t="shared" si="38"/>
        <v/>
      </c>
      <c r="D68" s="378"/>
      <c r="E68" s="153" t="str">
        <f t="shared" si="39"/>
        <v/>
      </c>
      <c r="F68" s="373"/>
      <c r="G68" s="71">
        <f t="shared" si="40"/>
        <v>0</v>
      </c>
      <c r="H68" s="378"/>
      <c r="I68" s="155">
        <f t="shared" si="19"/>
        <v>0</v>
      </c>
      <c r="J68" s="755"/>
      <c r="K68" s="71">
        <f t="shared" si="20"/>
        <v>0</v>
      </c>
      <c r="L68" s="378"/>
      <c r="M68" s="155">
        <f t="shared" si="37"/>
        <v>0</v>
      </c>
      <c r="N68" s="417"/>
      <c r="O68" s="71">
        <f t="shared" si="41"/>
        <v>0</v>
      </c>
      <c r="P68" s="378"/>
      <c r="Q68" s="181">
        <f t="shared" si="42"/>
        <v>0</v>
      </c>
      <c r="R68" s="451"/>
      <c r="S68" s="71" t="str">
        <f t="shared" si="43"/>
        <v/>
      </c>
      <c r="T68" s="378"/>
      <c r="U68" s="214" t="str">
        <f t="shared" si="44"/>
        <v/>
      </c>
      <c r="V68" s="495">
        <f t="shared" si="21"/>
        <v>0</v>
      </c>
      <c r="W68" s="181">
        <f t="shared" si="45"/>
        <v>0</v>
      </c>
      <c r="X68" s="435">
        <f t="shared" si="22"/>
        <v>0</v>
      </c>
      <c r="Y68" s="235">
        <f t="shared" si="46"/>
        <v>0</v>
      </c>
      <c r="Z68" s="495">
        <f t="shared" si="23"/>
        <v>0</v>
      </c>
      <c r="AA68" s="198">
        <f t="shared" si="47"/>
        <v>0</v>
      </c>
      <c r="AB68" s="435">
        <f t="shared" si="24"/>
        <v>0</v>
      </c>
      <c r="AC68" s="154">
        <f t="shared" si="48"/>
        <v>0</v>
      </c>
      <c r="AD68" s="373"/>
      <c r="AE68" s="71">
        <f t="shared" si="49"/>
        <v>0</v>
      </c>
      <c r="AF68" s="378"/>
      <c r="AG68" s="90">
        <f t="shared" si="50"/>
        <v>0</v>
      </c>
      <c r="AH68" s="561"/>
      <c r="AI68" s="181">
        <f t="shared" si="25"/>
        <v>0</v>
      </c>
      <c r="AJ68" s="378"/>
      <c r="AK68" s="109">
        <f t="shared" si="36"/>
        <v>0</v>
      </c>
      <c r="AL68" s="555">
        <f t="shared" si="26"/>
        <v>0</v>
      </c>
      <c r="AM68" s="324"/>
      <c r="AN68" s="542">
        <f t="shared" si="27"/>
        <v>0</v>
      </c>
      <c r="AO68" s="154">
        <f t="shared" si="52"/>
        <v>0</v>
      </c>
      <c r="AP68" s="535">
        <f t="shared" si="28"/>
        <v>0</v>
      </c>
      <c r="AQ68" s="293">
        <f t="shared" si="53"/>
        <v>0</v>
      </c>
      <c r="AR68" s="522">
        <f t="shared" si="29"/>
        <v>0</v>
      </c>
      <c r="AS68" s="292">
        <f t="shared" si="54"/>
        <v>0</v>
      </c>
      <c r="AT68" s="591"/>
      <c r="AU68" s="155">
        <f t="shared" si="30"/>
        <v>0</v>
      </c>
      <c r="AV68" s="602"/>
      <c r="AW68" s="154">
        <f t="shared" si="31"/>
        <v>0</v>
      </c>
      <c r="AX68" s="591">
        <f t="shared" si="32"/>
        <v>0</v>
      </c>
      <c r="AY68" s="155" t="str">
        <f t="shared" si="33"/>
        <v/>
      </c>
      <c r="AZ68" s="602">
        <f t="shared" si="34"/>
        <v>0</v>
      </c>
      <c r="BA68" s="154" t="str">
        <f t="shared" si="35"/>
        <v/>
      </c>
      <c r="BB68" s="11"/>
    </row>
    <row r="69" spans="1:54" ht="18" customHeight="1">
      <c r="A69" s="58" t="s">
        <v>62</v>
      </c>
      <c r="B69" s="718">
        <f>+B67-B68</f>
        <v>0</v>
      </c>
      <c r="C69" s="157" t="str">
        <f t="shared" si="38"/>
        <v/>
      </c>
      <c r="D69" s="376">
        <f>D67-D68</f>
        <v>0</v>
      </c>
      <c r="E69" s="219" t="str">
        <f t="shared" si="39"/>
        <v/>
      </c>
      <c r="F69" s="374">
        <f>F67-F68</f>
        <v>36436909</v>
      </c>
      <c r="G69" s="59">
        <f t="shared" si="40"/>
        <v>7.1391856840334375E-2</v>
      </c>
      <c r="H69" s="376">
        <f>H67-H68</f>
        <v>317891767</v>
      </c>
      <c r="I69" s="157">
        <f t="shared" si="19"/>
        <v>8.6910103775814734E-2</v>
      </c>
      <c r="J69" s="374">
        <f>J67-J68</f>
        <v>3944981</v>
      </c>
      <c r="K69" s="59">
        <f t="shared" si="20"/>
        <v>0.44125097995659501</v>
      </c>
      <c r="L69" s="376">
        <f>L67-L68</f>
        <v>18166390</v>
      </c>
      <c r="M69" s="157">
        <f t="shared" si="37"/>
        <v>0.28331993807457184</v>
      </c>
      <c r="N69" s="418">
        <f>N67-N68</f>
        <v>8728766</v>
      </c>
      <c r="O69" s="59">
        <f t="shared" si="41"/>
        <v>0.31758450588489423</v>
      </c>
      <c r="P69" s="376">
        <f>P67-P68</f>
        <v>17415250</v>
      </c>
      <c r="Q69" s="182">
        <f t="shared" si="42"/>
        <v>9.1528462118179971E-2</v>
      </c>
      <c r="R69" s="443">
        <f>R67-R68</f>
        <v>-4114756</v>
      </c>
      <c r="S69" s="59" t="str">
        <f t="shared" si="43"/>
        <v/>
      </c>
      <c r="T69" s="376">
        <f>T67-T68</f>
        <v>-29514708</v>
      </c>
      <c r="U69" s="215" t="str">
        <f t="shared" si="44"/>
        <v/>
      </c>
      <c r="V69" s="496">
        <f t="shared" si="21"/>
        <v>4614010</v>
      </c>
      <c r="W69" s="182">
        <f t="shared" si="45"/>
        <v>0.16787459831068458</v>
      </c>
      <c r="X69" s="424">
        <f t="shared" si="22"/>
        <v>-12099458</v>
      </c>
      <c r="Y69" s="236">
        <f t="shared" si="46"/>
        <v>-6.359051883857593E-2</v>
      </c>
      <c r="Z69" s="490">
        <f t="shared" si="23"/>
        <v>44995900</v>
      </c>
      <c r="AA69" s="199">
        <f t="shared" si="47"/>
        <v>8.2288844761264718E-2</v>
      </c>
      <c r="AB69" s="424">
        <f t="shared" si="24"/>
        <v>323958699</v>
      </c>
      <c r="AC69" s="187">
        <f t="shared" si="48"/>
        <v>8.2809433879794309E-2</v>
      </c>
      <c r="AD69" s="374">
        <f>AD67-AD68</f>
        <v>4285123</v>
      </c>
      <c r="AE69" s="59">
        <f t="shared" si="49"/>
        <v>1.9570523242631272E-2</v>
      </c>
      <c r="AF69" s="376">
        <f>AF67-AF68</f>
        <v>52843107</v>
      </c>
      <c r="AG69" s="91">
        <f t="shared" si="50"/>
        <v>3.0520185230968333E-2</v>
      </c>
      <c r="AH69" s="398">
        <f>+AH67-AH68</f>
        <v>1825627</v>
      </c>
      <c r="AI69" s="182">
        <f t="shared" si="25"/>
        <v>0.19805151693328443</v>
      </c>
      <c r="AJ69" s="376">
        <f>AJ67-AJ68</f>
        <v>15465913</v>
      </c>
      <c r="AK69" s="110">
        <f t="shared" si="36"/>
        <v>0.22138351792584607</v>
      </c>
      <c r="AL69" s="545">
        <f t="shared" si="26"/>
        <v>6110750</v>
      </c>
      <c r="AM69" s="325"/>
      <c r="AN69" s="543">
        <f t="shared" si="27"/>
        <v>68309020</v>
      </c>
      <c r="AO69" s="156">
        <f t="shared" si="52"/>
        <v>3.792258763396604E-2</v>
      </c>
      <c r="AP69" s="525">
        <f t="shared" si="28"/>
        <v>51106650</v>
      </c>
      <c r="AQ69" s="152">
        <f t="shared" si="53"/>
        <v>6.5945738261511747E-2</v>
      </c>
      <c r="AR69" s="523">
        <f t="shared" si="29"/>
        <v>392267719</v>
      </c>
      <c r="AS69" s="151">
        <f t="shared" si="54"/>
        <v>6.8657802353813427E-2</v>
      </c>
      <c r="AT69" s="582">
        <f>AT67-AT68</f>
        <v>59998853</v>
      </c>
      <c r="AU69" s="157">
        <f t="shared" si="30"/>
        <v>7.2751165261927167E-2</v>
      </c>
      <c r="AV69" s="603">
        <f>AV67-AV68</f>
        <v>493610441</v>
      </c>
      <c r="AW69" s="156">
        <f t="shared" si="31"/>
        <v>7.690487503350138E-2</v>
      </c>
      <c r="AX69" s="582">
        <f t="shared" si="32"/>
        <v>-8892203</v>
      </c>
      <c r="AY69" s="157">
        <f t="shared" si="33"/>
        <v>0.85179378345782708</v>
      </c>
      <c r="AZ69" s="603">
        <f t="shared" si="34"/>
        <v>-101342722</v>
      </c>
      <c r="BA69" s="156">
        <f t="shared" si="35"/>
        <v>0.79469088661355924</v>
      </c>
      <c r="BB69" s="11"/>
    </row>
    <row r="70" spans="1:54" ht="15.95" customHeight="1" thickBot="1">
      <c r="A70" s="41" t="s">
        <v>84</v>
      </c>
      <c r="B70" s="263">
        <f>[7]本部!$I$68</f>
        <v>6</v>
      </c>
      <c r="C70" s="264"/>
      <c r="D70" s="248">
        <f>[7]本部!$L$68</f>
        <v>6</v>
      </c>
      <c r="E70" s="46"/>
      <c r="F70" s="28">
        <f>[7]本社営業!$I$68</f>
        <v>18</v>
      </c>
      <c r="G70" s="19"/>
      <c r="H70" s="249">
        <f>[7]本社営業!$L$68</f>
        <v>18</v>
      </c>
      <c r="I70" s="20"/>
      <c r="J70" s="756">
        <f>[7]東大阪!$I$68</f>
        <v>15</v>
      </c>
      <c r="K70" s="19"/>
      <c r="L70" s="249">
        <f>J70</f>
        <v>15</v>
      </c>
      <c r="M70" s="20"/>
      <c r="N70" s="237">
        <f>[7]南港工場!$I$68</f>
        <v>17</v>
      </c>
      <c r="O70" s="19"/>
      <c r="P70" s="249">
        <f>N70</f>
        <v>17</v>
      </c>
      <c r="Q70" s="246"/>
      <c r="R70" s="247">
        <f>[7]南港事務!$I$68</f>
        <v>6</v>
      </c>
      <c r="S70" s="19"/>
      <c r="T70" s="249">
        <f>R70</f>
        <v>6</v>
      </c>
      <c r="U70" s="73"/>
      <c r="V70" s="18">
        <f t="shared" si="21"/>
        <v>23</v>
      </c>
      <c r="W70" s="19"/>
      <c r="X70" s="250">
        <f t="shared" si="22"/>
        <v>23</v>
      </c>
      <c r="Y70" s="238"/>
      <c r="Z70" s="53">
        <f t="shared" si="23"/>
        <v>56</v>
      </c>
      <c r="AA70" s="75"/>
      <c r="AB70" s="251">
        <f t="shared" si="24"/>
        <v>56</v>
      </c>
      <c r="AC70" s="333"/>
      <c r="AD70" s="28">
        <f>[7]東京事務!$I$68</f>
        <v>8</v>
      </c>
      <c r="AE70" s="19"/>
      <c r="AF70" s="249">
        <f>AD70</f>
        <v>8</v>
      </c>
      <c r="AG70" s="32"/>
      <c r="AH70" s="31">
        <f>[7]東京工場!$I$68</f>
        <v>11</v>
      </c>
      <c r="AI70" s="19"/>
      <c r="AJ70" s="249">
        <f>AH70</f>
        <v>11</v>
      </c>
      <c r="AK70" s="45"/>
      <c r="AL70" s="48">
        <f t="shared" si="26"/>
        <v>19</v>
      </c>
      <c r="AM70" s="326"/>
      <c r="AN70" s="252">
        <f t="shared" si="27"/>
        <v>19</v>
      </c>
      <c r="AO70" s="54"/>
      <c r="AP70" s="294">
        <f t="shared" si="28"/>
        <v>81</v>
      </c>
      <c r="AQ70" s="295"/>
      <c r="AR70" s="296">
        <f t="shared" si="29"/>
        <v>81</v>
      </c>
      <c r="AS70" s="297"/>
      <c r="AT70" s="17">
        <f>[7]全社合計!$G$68</f>
        <v>80</v>
      </c>
      <c r="AU70" s="20"/>
      <c r="AV70" s="257">
        <f>[7]全社合計!$N$68</f>
        <v>80</v>
      </c>
      <c r="AW70" s="34"/>
      <c r="AX70" s="17">
        <f t="shared" si="32"/>
        <v>1</v>
      </c>
      <c r="AY70" s="311"/>
      <c r="AZ70" s="257">
        <f t="shared" si="34"/>
        <v>1</v>
      </c>
      <c r="BA70" s="34"/>
      <c r="BB70" s="11"/>
    </row>
    <row r="71" spans="1:54" ht="16.149999999999999" customHeight="1" thickTop="1">
      <c r="A71" s="42" t="s">
        <v>63</v>
      </c>
      <c r="B71" s="705">
        <f>[7]本部!$I$71</f>
        <v>850000</v>
      </c>
      <c r="C71" s="265" t="str">
        <f t="shared" ref="C71:C79" si="55">IF(ISERR(B71/$B$11),"",B71/$B$11)</f>
        <v/>
      </c>
      <c r="D71" s="725">
        <f>[7]本部!$L$71</f>
        <v>5950000</v>
      </c>
      <c r="E71" s="158" t="str">
        <f t="shared" ref="E71:E76" si="56">IF(ISERR(D72/$D$11),"",D72/$D$11)</f>
        <v/>
      </c>
      <c r="F71" s="379">
        <f>[7]本社営業!$I$71</f>
        <v>2050000</v>
      </c>
      <c r="G71" s="307">
        <f t="shared" ref="G71:G78" si="57">IF(ISERR(F71/$F$11),"",F71/$F$11)</f>
        <v>4.0166224451883524E-3</v>
      </c>
      <c r="H71" s="360">
        <f>[7]本社営業!$L$71</f>
        <v>14350000</v>
      </c>
      <c r="I71" s="160">
        <f t="shared" si="19"/>
        <v>3.9232220480341709E-3</v>
      </c>
      <c r="J71" s="757">
        <f>[7]東大阪!$I$71</f>
        <v>-1047000</v>
      </c>
      <c r="K71" s="308">
        <f t="shared" si="20"/>
        <v>-0.11710823854780415</v>
      </c>
      <c r="L71" s="360">
        <f>[7]東大阪!$L$71</f>
        <v>1656000</v>
      </c>
      <c r="M71" s="160">
        <f t="shared" si="37"/>
        <v>2.58266952020457E-2</v>
      </c>
      <c r="N71" s="419">
        <f>[7]南港工場!$I$71</f>
        <v>1550000</v>
      </c>
      <c r="O71" s="79">
        <f t="shared" ref="O71:O78" si="58">IF(ISERR(N71/$N$11),"",N71/$N$11)</f>
        <v>5.6394682148838228E-2</v>
      </c>
      <c r="P71" s="360">
        <f>[7]南港工場!$L$71</f>
        <v>10850000</v>
      </c>
      <c r="Q71" s="169">
        <f t="shared" ref="Q71:Q79" si="59">IF(ISERR(P71/$P$11),"",P71/$P$11)</f>
        <v>5.7023804652947999E-2</v>
      </c>
      <c r="R71" s="452">
        <f>[7]南港事務!$I$71</f>
        <v>520000</v>
      </c>
      <c r="S71" s="21" t="str">
        <f t="shared" ref="S71:S78" si="60">IF(ISERR(R71/$R$11),"",R71/$R$11)</f>
        <v/>
      </c>
      <c r="T71" s="360">
        <f>[7]南港事務!$L$71</f>
        <v>3640000</v>
      </c>
      <c r="U71" s="216" t="str">
        <f t="shared" ref="U71:U79" si="61">IF(ISERR(T71/$T$11),"",T71/$T$11)</f>
        <v/>
      </c>
      <c r="V71" s="497">
        <f t="shared" si="21"/>
        <v>2070000</v>
      </c>
      <c r="W71" s="21">
        <f t="shared" ref="W71:W78" si="62">IF(ISERR(V71/$V$11),"",V71/$V$11)</f>
        <v>7.5314188418125885E-2</v>
      </c>
      <c r="X71" s="421">
        <f t="shared" si="22"/>
        <v>14490000</v>
      </c>
      <c r="Y71" s="239">
        <f t="shared" ref="Y71:Y79" si="63">IF(ISERR(X71/$X$11),"",X71/$X$11)</f>
        <v>7.6154371375227334E-2</v>
      </c>
      <c r="Z71" s="500">
        <f t="shared" si="23"/>
        <v>3073000</v>
      </c>
      <c r="AA71" s="200">
        <f t="shared" ref="AA71:AA78" si="64">IF(ISERR(Z71/$Z$11),"",Z71/$Z$11)</f>
        <v>5.6199258143823433E-3</v>
      </c>
      <c r="AB71" s="502">
        <f t="shared" si="24"/>
        <v>30496000</v>
      </c>
      <c r="AC71" s="334">
        <f t="shared" ref="AC71:AC79" si="65">IF(ISERR(AB71/$AB$11),"",AB71/$AB$11)</f>
        <v>7.7953038563048655E-3</v>
      </c>
      <c r="AD71" s="379">
        <f>[7]東京事務!$I$71</f>
        <v>750000</v>
      </c>
      <c r="AE71" s="22">
        <f t="shared" ref="AE71:AE79" si="66">IF(ISERR(AD71/$AD$11),"",AD71/$AD$11)</f>
        <v>3.4253141466355705E-3</v>
      </c>
      <c r="AF71" s="360">
        <f>[7]東京事務!$L$71</f>
        <v>5250000</v>
      </c>
      <c r="AG71" s="92">
        <f t="shared" ref="AG71:AG79" si="67">IF(ISERR(AF71/$AF$11),"",AF71/$AF$11)</f>
        <v>3.0322019570609986E-3</v>
      </c>
      <c r="AH71" s="399">
        <f>[7]東京工場!$I$71</f>
        <v>920000</v>
      </c>
      <c r="AI71" s="183">
        <f t="shared" si="25"/>
        <v>9.9805379509955591E-2</v>
      </c>
      <c r="AJ71" s="360">
        <f>[7]東京工場!$L$71</f>
        <v>6440000</v>
      </c>
      <c r="AK71" s="111">
        <f t="shared" si="36"/>
        <v>9.2184008499365588E-2</v>
      </c>
      <c r="AL71" s="506">
        <f t="shared" si="26"/>
        <v>1670000</v>
      </c>
      <c r="AM71" s="327">
        <f t="shared" ref="AM71:AM79" si="68">IF(ISERR(AL71/$AL$11),"",AL71/AL$11)</f>
        <v>7.3189130323760357E-3</v>
      </c>
      <c r="AN71" s="508">
        <f t="shared" si="27"/>
        <v>11690000</v>
      </c>
      <c r="AO71" s="159">
        <f t="shared" ref="AO71:AO78" si="69">IF(ISERR(AN71/$AN$11),"",AN71/$AN$11)</f>
        <v>6.4898464279104428E-3</v>
      </c>
      <c r="AP71" s="511">
        <f t="shared" si="28"/>
        <v>5593000</v>
      </c>
      <c r="AQ71" s="298">
        <f t="shared" ref="AQ71:AQ79" si="70">IF(ISERR(AP71/$AP$11),"",AP71/$AP$11)</f>
        <v>7.216957364582402E-3</v>
      </c>
      <c r="AR71" s="513">
        <f t="shared" si="29"/>
        <v>48136000</v>
      </c>
      <c r="AS71" s="310">
        <f t="shared" ref="AS71:AS78" si="71">IF(ISERR(AR71/$AR$11),"",AR71/$AR$11)</f>
        <v>8.4251438852228442E-3</v>
      </c>
      <c r="AT71" s="592">
        <f>[7]全社合計!$G$71</f>
        <v>5371000</v>
      </c>
      <c r="AU71" s="160">
        <f t="shared" si="30"/>
        <v>6.5125663089227858E-3</v>
      </c>
      <c r="AV71" s="594">
        <f>[7]全社合計!$N$71</f>
        <v>45923000</v>
      </c>
      <c r="AW71" s="306">
        <f t="shared" si="31"/>
        <v>7.1548376671462756E-3</v>
      </c>
      <c r="AX71" s="592">
        <f t="shared" si="32"/>
        <v>222000</v>
      </c>
      <c r="AY71" s="160">
        <f t="shared" si="33"/>
        <v>1.0413330850865761</v>
      </c>
      <c r="AZ71" s="594">
        <f t="shared" si="34"/>
        <v>2213000</v>
      </c>
      <c r="BA71" s="306">
        <f t="shared" si="35"/>
        <v>1.04818936045119</v>
      </c>
      <c r="BB71" s="11"/>
    </row>
    <row r="72" spans="1:54" ht="16.149999999999999" customHeight="1">
      <c r="A72" s="43" t="s">
        <v>64</v>
      </c>
      <c r="B72" s="706">
        <f>[7]本部!$I$72</f>
        <v>115000</v>
      </c>
      <c r="C72" s="266" t="str">
        <f t="shared" si="55"/>
        <v/>
      </c>
      <c r="D72" s="723">
        <f>[7]本部!$L$72</f>
        <v>805000</v>
      </c>
      <c r="E72" s="161" t="str">
        <f t="shared" si="56"/>
        <v/>
      </c>
      <c r="F72" s="352">
        <f>[7]本社営業!$I$72</f>
        <v>55000</v>
      </c>
      <c r="G72" s="10">
        <f t="shared" si="57"/>
        <v>1.0776304121237042E-4</v>
      </c>
      <c r="H72" s="356">
        <f>[7]本社営業!$L$72</f>
        <v>385000</v>
      </c>
      <c r="I72" s="163">
        <f t="shared" si="19"/>
        <v>1.0525717689847774E-4</v>
      </c>
      <c r="J72" s="745">
        <f>[7]東大阪!$I$72</f>
        <v>440000</v>
      </c>
      <c r="K72" s="77">
        <f t="shared" si="20"/>
        <v>4.9214541510060959E-2</v>
      </c>
      <c r="L72" s="356">
        <f>[7]東大阪!$L$72</f>
        <v>3080000</v>
      </c>
      <c r="M72" s="163">
        <f t="shared" si="37"/>
        <v>4.8035157742935236E-2</v>
      </c>
      <c r="N72" s="403">
        <f>[7]南港工場!$I$72</f>
        <v>525000</v>
      </c>
      <c r="O72" s="77">
        <f t="shared" si="58"/>
        <v>1.9101424598800047E-2</v>
      </c>
      <c r="P72" s="356">
        <f>[7]南港工場!$L$72</f>
        <v>3675000</v>
      </c>
      <c r="Q72" s="170">
        <f t="shared" si="59"/>
        <v>1.9314514479224321E-2</v>
      </c>
      <c r="R72" s="445">
        <f>[7]南港事務!$I$72</f>
        <v>20000</v>
      </c>
      <c r="S72" s="10" t="str">
        <f t="shared" si="60"/>
        <v/>
      </c>
      <c r="T72" s="356">
        <f>[7]南港事務!$L$72</f>
        <v>140000</v>
      </c>
      <c r="U72" s="217" t="str">
        <f t="shared" si="61"/>
        <v/>
      </c>
      <c r="V72" s="456">
        <f t="shared" si="21"/>
        <v>545000</v>
      </c>
      <c r="W72" s="170">
        <f t="shared" si="62"/>
        <v>1.9829097916849569E-2</v>
      </c>
      <c r="X72" s="408">
        <f t="shared" si="22"/>
        <v>3815000</v>
      </c>
      <c r="Y72" s="240">
        <f t="shared" si="63"/>
        <v>2.0050305507004297E-2</v>
      </c>
      <c r="Z72" s="460">
        <f t="shared" si="23"/>
        <v>1040000</v>
      </c>
      <c r="AA72" s="201">
        <f t="shared" si="64"/>
        <v>1.9019599241645419E-3</v>
      </c>
      <c r="AB72" s="464">
        <f t="shared" si="24"/>
        <v>7280000</v>
      </c>
      <c r="AC72" s="162">
        <f t="shared" si="65"/>
        <v>1.8608936278167439E-3</v>
      </c>
      <c r="AD72" s="352">
        <f>[7]東京事務!$I$72</f>
        <v>55000</v>
      </c>
      <c r="AE72" s="10">
        <f t="shared" si="66"/>
        <v>2.5118970408660848E-4</v>
      </c>
      <c r="AF72" s="356">
        <f>[7]東京事務!$L$72</f>
        <v>385000</v>
      </c>
      <c r="AG72" s="93">
        <f t="shared" si="67"/>
        <v>2.2236147685113989E-4</v>
      </c>
      <c r="AH72" s="388">
        <f>[7]東京工場!$I$72</f>
        <v>325000</v>
      </c>
      <c r="AI72" s="170">
        <f t="shared" si="25"/>
        <v>3.525733515297344E-2</v>
      </c>
      <c r="AJ72" s="356">
        <f>[7]東京工場!$L$72</f>
        <v>2275000</v>
      </c>
      <c r="AK72" s="98">
        <f t="shared" si="36"/>
        <v>3.2565003002493279E-2</v>
      </c>
      <c r="AL72" s="474">
        <f t="shared" si="26"/>
        <v>380000</v>
      </c>
      <c r="AM72" s="328">
        <f t="shared" si="68"/>
        <v>1.6653814085646069E-3</v>
      </c>
      <c r="AN72" s="478">
        <f t="shared" si="27"/>
        <v>2660000</v>
      </c>
      <c r="AO72" s="162">
        <f t="shared" si="69"/>
        <v>1.4767315225185438E-3</v>
      </c>
      <c r="AP72" s="483">
        <f t="shared" si="28"/>
        <v>1535000</v>
      </c>
      <c r="AQ72" s="299">
        <f t="shared" si="70"/>
        <v>1.9806954326182704E-3</v>
      </c>
      <c r="AR72" s="487">
        <f t="shared" si="29"/>
        <v>10745000</v>
      </c>
      <c r="AS72" s="300">
        <f t="shared" si="71"/>
        <v>1.8806749843509945E-3</v>
      </c>
      <c r="AT72" s="575">
        <f>[7]全社合計!$G$72</f>
        <v>1495000</v>
      </c>
      <c r="AU72" s="163">
        <f t="shared" si="30"/>
        <v>1.8127511882032332E-3</v>
      </c>
      <c r="AV72" s="578">
        <f>[7]全社合計!$N$72</f>
        <v>10465000</v>
      </c>
      <c r="AW72" s="164">
        <f t="shared" si="31"/>
        <v>1.6304548088471086E-3</v>
      </c>
      <c r="AX72" s="575">
        <f t="shared" si="32"/>
        <v>40000</v>
      </c>
      <c r="AY72" s="163">
        <f t="shared" si="33"/>
        <v>1.0267558528428093</v>
      </c>
      <c r="AZ72" s="578">
        <f t="shared" si="34"/>
        <v>280000</v>
      </c>
      <c r="BA72" s="164">
        <f t="shared" si="35"/>
        <v>1.0267558528428093</v>
      </c>
      <c r="BB72" s="11"/>
    </row>
    <row r="73" spans="1:54" ht="16.149999999999999" customHeight="1">
      <c r="A73" s="43" t="s">
        <v>65</v>
      </c>
      <c r="B73" s="706">
        <f>[7]本部!$I$70</f>
        <v>6840000</v>
      </c>
      <c r="C73" s="266" t="str">
        <f t="shared" si="55"/>
        <v/>
      </c>
      <c r="D73" s="723">
        <f>[7]本部!$L$70</f>
        <v>13382720</v>
      </c>
      <c r="E73" s="161" t="str">
        <f t="shared" si="56"/>
        <v/>
      </c>
      <c r="F73" s="352">
        <f>[7]本社営業!$I$70</f>
        <v>0</v>
      </c>
      <c r="G73" s="10">
        <f t="shared" si="57"/>
        <v>0</v>
      </c>
      <c r="H73" s="356">
        <f>[7]本社営業!$L$70</f>
        <v>2665396</v>
      </c>
      <c r="I73" s="163">
        <f t="shared" si="19"/>
        <v>7.2870664487401299E-4</v>
      </c>
      <c r="J73" s="745">
        <f>[7]東大阪!$I$70</f>
        <v>0</v>
      </c>
      <c r="K73" s="77">
        <f t="shared" si="20"/>
        <v>0</v>
      </c>
      <c r="L73" s="356">
        <f>[7]東大阪!$L$70</f>
        <v>1954492</v>
      </c>
      <c r="M73" s="163">
        <f t="shared" si="37"/>
        <v>3.0481925820553563E-2</v>
      </c>
      <c r="N73" s="403">
        <f>[7]南港工場!$I$70</f>
        <v>0</v>
      </c>
      <c r="O73" s="77">
        <f t="shared" si="58"/>
        <v>0</v>
      </c>
      <c r="P73" s="356">
        <f>[7]南港工場!$L$70</f>
        <v>2840318</v>
      </c>
      <c r="Q73" s="170">
        <f t="shared" si="59"/>
        <v>1.492771786029972E-2</v>
      </c>
      <c r="R73" s="445">
        <f>[7]南港事務!$I$70</f>
        <v>0</v>
      </c>
      <c r="S73" s="10" t="str">
        <f t="shared" si="60"/>
        <v/>
      </c>
      <c r="T73" s="356">
        <f>[7]南港事務!$L$70</f>
        <v>1097612</v>
      </c>
      <c r="U73" s="217" t="str">
        <f t="shared" si="61"/>
        <v/>
      </c>
      <c r="V73" s="456">
        <f t="shared" si="21"/>
        <v>0</v>
      </c>
      <c r="W73" s="170">
        <f t="shared" si="62"/>
        <v>0</v>
      </c>
      <c r="X73" s="408">
        <f t="shared" si="22"/>
        <v>3937930</v>
      </c>
      <c r="Y73" s="240">
        <f t="shared" si="63"/>
        <v>2.0696382585897097E-2</v>
      </c>
      <c r="Z73" s="460">
        <f t="shared" si="23"/>
        <v>0</v>
      </c>
      <c r="AA73" s="201">
        <f t="shared" si="64"/>
        <v>0</v>
      </c>
      <c r="AB73" s="464">
        <f t="shared" si="24"/>
        <v>8557818</v>
      </c>
      <c r="AC73" s="162">
        <f t="shared" si="65"/>
        <v>2.1875259593702517E-3</v>
      </c>
      <c r="AD73" s="352">
        <f>[7]東京事務!$I$70</f>
        <v>0</v>
      </c>
      <c r="AE73" s="10">
        <f t="shared" si="66"/>
        <v>0</v>
      </c>
      <c r="AF73" s="356">
        <f>[7]東京事務!$L$70</f>
        <v>1312573</v>
      </c>
      <c r="AG73" s="93">
        <f t="shared" si="67"/>
        <v>7.5809265131150975E-4</v>
      </c>
      <c r="AH73" s="388">
        <f>[7]東京工場!$I$70</f>
        <v>0</v>
      </c>
      <c r="AI73" s="170">
        <f t="shared" si="25"/>
        <v>0</v>
      </c>
      <c r="AJ73" s="356">
        <f>[7]東京工場!$L$70</f>
        <v>1708695</v>
      </c>
      <c r="AK73" s="98">
        <f t="shared" si="36"/>
        <v>2.4458750683668241E-2</v>
      </c>
      <c r="AL73" s="474">
        <f t="shared" si="26"/>
        <v>0</v>
      </c>
      <c r="AM73" s="328">
        <f t="shared" si="68"/>
        <v>0</v>
      </c>
      <c r="AN73" s="478">
        <f t="shared" si="27"/>
        <v>3021268</v>
      </c>
      <c r="AO73" s="162">
        <f t="shared" si="69"/>
        <v>1.6772938697656224E-3</v>
      </c>
      <c r="AP73" s="483">
        <f t="shared" si="28"/>
        <v>6840000</v>
      </c>
      <c r="AQ73" s="299">
        <f t="shared" si="70"/>
        <v>8.8260304619602412E-3</v>
      </c>
      <c r="AR73" s="487">
        <f t="shared" si="29"/>
        <v>24961806</v>
      </c>
      <c r="AS73" s="300">
        <f t="shared" si="71"/>
        <v>4.3690129463399311E-3</v>
      </c>
      <c r="AT73" s="575">
        <f>[7]全社合計!$G$70</f>
        <v>6280000</v>
      </c>
      <c r="AU73" s="163">
        <f t="shared" si="30"/>
        <v>7.6147675330543842E-3</v>
      </c>
      <c r="AV73" s="578">
        <f>[7]全社合計!$N$70</f>
        <v>23540983</v>
      </c>
      <c r="AW73" s="164">
        <f t="shared" si="31"/>
        <v>3.6677027173758277E-3</v>
      </c>
      <c r="AX73" s="575">
        <f t="shared" si="32"/>
        <v>560000</v>
      </c>
      <c r="AY73" s="163">
        <f t="shared" si="33"/>
        <v>1.089171974522293</v>
      </c>
      <c r="AZ73" s="578">
        <f t="shared" si="34"/>
        <v>1420823</v>
      </c>
      <c r="BA73" s="164">
        <f t="shared" si="35"/>
        <v>1.0603552961233607</v>
      </c>
      <c r="BB73" s="11"/>
    </row>
    <row r="74" spans="1:54" ht="16.149999999999999" customHeight="1">
      <c r="A74" s="43" t="s">
        <v>66</v>
      </c>
      <c r="B74" s="706">
        <f>[7]本部!$I$74</f>
        <v>0</v>
      </c>
      <c r="C74" s="266" t="str">
        <f t="shared" si="55"/>
        <v/>
      </c>
      <c r="D74" s="723">
        <f>[7]本部!$L$74</f>
        <v>0</v>
      </c>
      <c r="E74" s="161" t="str">
        <f t="shared" si="56"/>
        <v/>
      </c>
      <c r="F74" s="352">
        <f>[7]本社営業!$I$74</f>
        <v>0</v>
      </c>
      <c r="G74" s="10">
        <f t="shared" si="57"/>
        <v>0</v>
      </c>
      <c r="H74" s="356">
        <f>[7]本社営業!$L$74</f>
        <v>0</v>
      </c>
      <c r="I74" s="163">
        <f t="shared" ref="I74:I79" si="72">IF(ISERR(H74/$H$11),"",H74/$H$11)</f>
        <v>0</v>
      </c>
      <c r="J74" s="745">
        <f>[7]東大阪!$I$74</f>
        <v>0</v>
      </c>
      <c r="K74" s="77">
        <f t="shared" ref="K74:K79" si="73">IF(ISERR(J74/$J$11),"",J74/$J$11)</f>
        <v>0</v>
      </c>
      <c r="L74" s="356">
        <f>[7]東大阪!$L$74</f>
        <v>1189000</v>
      </c>
      <c r="M74" s="163">
        <f t="shared" si="37"/>
        <v>1.8543442388425323E-2</v>
      </c>
      <c r="N74" s="403">
        <f>[7]南港工場!$I$74</f>
        <v>0</v>
      </c>
      <c r="O74" s="77">
        <f t="shared" si="58"/>
        <v>0</v>
      </c>
      <c r="P74" s="356">
        <f>[7]南港工場!$L$74</f>
        <v>0</v>
      </c>
      <c r="Q74" s="170">
        <f t="shared" si="59"/>
        <v>0</v>
      </c>
      <c r="R74" s="445">
        <f>[7]南港事務!$I$74</f>
        <v>0</v>
      </c>
      <c r="S74" s="10" t="str">
        <f t="shared" si="60"/>
        <v/>
      </c>
      <c r="T74" s="356">
        <f>[7]南港事務!$L$74</f>
        <v>0</v>
      </c>
      <c r="U74" s="217" t="str">
        <f t="shared" si="61"/>
        <v/>
      </c>
      <c r="V74" s="456">
        <f t="shared" ref="V74:V79" si="74">N74+R74</f>
        <v>0</v>
      </c>
      <c r="W74" s="170">
        <f t="shared" si="62"/>
        <v>0</v>
      </c>
      <c r="X74" s="408">
        <f t="shared" ref="X74:X79" si="75">P74+T74</f>
        <v>0</v>
      </c>
      <c r="Y74" s="240">
        <f t="shared" si="63"/>
        <v>0</v>
      </c>
      <c r="Z74" s="460">
        <f>F74+J74+N74+R74</f>
        <v>0</v>
      </c>
      <c r="AA74" s="201">
        <f t="shared" si="64"/>
        <v>0</v>
      </c>
      <c r="AB74" s="464">
        <f t="shared" ref="AB74:AB79" si="76">H74+L74+P74+T74</f>
        <v>1189000</v>
      </c>
      <c r="AC74" s="162">
        <f t="shared" si="65"/>
        <v>3.0392891805963029E-4</v>
      </c>
      <c r="AD74" s="352">
        <f>[7]東京事務!$I$74</f>
        <v>0</v>
      </c>
      <c r="AE74" s="10">
        <f t="shared" si="66"/>
        <v>0</v>
      </c>
      <c r="AF74" s="356">
        <f>[7]東京事務!$L$74</f>
        <v>760000</v>
      </c>
      <c r="AG74" s="93">
        <f t="shared" si="67"/>
        <v>4.3894733092692548E-4</v>
      </c>
      <c r="AH74" s="388">
        <f>[7]東京工場!$I$74</f>
        <v>0</v>
      </c>
      <c r="AI74" s="170">
        <f t="shared" ref="AI74:AI79" si="77">IF(ISERR(AH74/$AH$11),"",AH74/$AH$11)</f>
        <v>0</v>
      </c>
      <c r="AJ74" s="356">
        <f>[7]東京工場!$L$74</f>
        <v>0</v>
      </c>
      <c r="AK74" s="98">
        <f t="shared" si="36"/>
        <v>0</v>
      </c>
      <c r="AL74" s="474">
        <f t="shared" ref="AL74:AL79" si="78">AD74+AH74</f>
        <v>0</v>
      </c>
      <c r="AM74" s="328">
        <f t="shared" si="68"/>
        <v>0</v>
      </c>
      <c r="AN74" s="478">
        <f t="shared" ref="AN74:AN79" si="79">AF74+AJ74</f>
        <v>760000</v>
      </c>
      <c r="AO74" s="162">
        <f t="shared" si="69"/>
        <v>4.2192329214815538E-4</v>
      </c>
      <c r="AP74" s="483">
        <f t="shared" ref="AP74:AP79" si="80">B74+Z74+AL74</f>
        <v>0</v>
      </c>
      <c r="AQ74" s="299">
        <f t="shared" si="70"/>
        <v>0</v>
      </c>
      <c r="AR74" s="487">
        <f t="shared" ref="AR74:AR79" si="81">D74+AB74+AN74</f>
        <v>1949000</v>
      </c>
      <c r="AS74" s="300">
        <f t="shared" si="71"/>
        <v>3.4112941316892401E-4</v>
      </c>
      <c r="AT74" s="575">
        <f>[7]全社合計!$G$74</f>
        <v>0</v>
      </c>
      <c r="AU74" s="163">
        <f t="shared" ref="AU74:AU79" si="82">IF(ISERR(AT74/$AT$11),"",AT74/$AT$11)</f>
        <v>0</v>
      </c>
      <c r="AV74" s="578">
        <f>[7]全社合計!$N$74</f>
        <v>1949000</v>
      </c>
      <c r="AW74" s="164">
        <f t="shared" ref="AW74:AW79" si="83">IF(ISERR(AV74/$AV$11),"",AV74/$AV$11)</f>
        <v>3.0365565431849159E-4</v>
      </c>
      <c r="AX74" s="575">
        <f t="shared" ref="AX74:AX79" si="84">AP74-AT74</f>
        <v>0</v>
      </c>
      <c r="AY74" s="163" t="str">
        <f t="shared" ref="AY74:AY79" si="85">IF(ISERROR(AP74/AT74),"",AP74/AT74)</f>
        <v/>
      </c>
      <c r="AZ74" s="578">
        <f t="shared" ref="AZ74:AZ79" si="86">AR74-AV74</f>
        <v>0</v>
      </c>
      <c r="BA74" s="164">
        <f t="shared" ref="BA74:BA79" si="87">IF(ISERROR(AR74/AV74),"",AR74/AV74)</f>
        <v>1</v>
      </c>
      <c r="BB74" s="11"/>
    </row>
    <row r="75" spans="1:54" ht="16.149999999999999" customHeight="1">
      <c r="A75" s="43" t="s">
        <v>67</v>
      </c>
      <c r="B75" s="706">
        <f>[7]本部!$I$73</f>
        <v>12000</v>
      </c>
      <c r="C75" s="266" t="str">
        <f t="shared" si="55"/>
        <v/>
      </c>
      <c r="D75" s="723">
        <f>[7]本部!$L$73</f>
        <v>24000</v>
      </c>
      <c r="E75" s="161" t="str">
        <f t="shared" si="56"/>
        <v/>
      </c>
      <c r="F75" s="352">
        <f>[7]本社営業!$I$73</f>
        <v>213950</v>
      </c>
      <c r="G75" s="10">
        <f t="shared" si="57"/>
        <v>4.1919823031612096E-4</v>
      </c>
      <c r="H75" s="356">
        <f>[7]本社営業!$L$73</f>
        <v>829600</v>
      </c>
      <c r="I75" s="163">
        <f t="shared" si="72"/>
        <v>2.2680871157136918E-4</v>
      </c>
      <c r="J75" s="745">
        <f>[7]東大阪!$I$73</f>
        <v>0</v>
      </c>
      <c r="K75" s="77">
        <f t="shared" si="73"/>
        <v>0</v>
      </c>
      <c r="L75" s="356">
        <f>[7]東大阪!$L$73</f>
        <v>0</v>
      </c>
      <c r="M75" s="163">
        <f t="shared" si="37"/>
        <v>0</v>
      </c>
      <c r="N75" s="403">
        <f>[7]南港工場!$I$73</f>
        <v>0</v>
      </c>
      <c r="O75" s="77">
        <f t="shared" si="58"/>
        <v>0</v>
      </c>
      <c r="P75" s="356">
        <f>[7]南港工場!$L$73</f>
        <v>0</v>
      </c>
      <c r="Q75" s="170">
        <f t="shared" si="59"/>
        <v>0</v>
      </c>
      <c r="R75" s="445">
        <f>[7]南港事務!$I$73</f>
        <v>16700</v>
      </c>
      <c r="S75" s="10" t="str">
        <f t="shared" si="60"/>
        <v/>
      </c>
      <c r="T75" s="356">
        <f>[7]南港事務!$L$73</f>
        <v>41100</v>
      </c>
      <c r="U75" s="217" t="str">
        <f t="shared" si="61"/>
        <v/>
      </c>
      <c r="V75" s="456">
        <f t="shared" si="74"/>
        <v>16700</v>
      </c>
      <c r="W75" s="170">
        <f t="shared" si="62"/>
        <v>6.0760722057135385E-4</v>
      </c>
      <c r="X75" s="408">
        <f t="shared" si="75"/>
        <v>41100</v>
      </c>
      <c r="Y75" s="240">
        <f t="shared" si="63"/>
        <v>2.1600722315540672E-4</v>
      </c>
      <c r="Z75" s="460">
        <f>F75+J75+N75+R75</f>
        <v>230650</v>
      </c>
      <c r="AA75" s="201">
        <f t="shared" si="64"/>
        <v>4.2181447741206882E-4</v>
      </c>
      <c r="AB75" s="464">
        <f t="shared" si="76"/>
        <v>870700</v>
      </c>
      <c r="AC75" s="162">
        <f t="shared" si="65"/>
        <v>2.2256594529396139E-4</v>
      </c>
      <c r="AD75" s="352">
        <f>[7]東京事務!$I$73</f>
        <v>23560</v>
      </c>
      <c r="AE75" s="10">
        <f t="shared" si="66"/>
        <v>1.0760053505964538E-4</v>
      </c>
      <c r="AF75" s="356">
        <f>[7]東京事務!$L$73</f>
        <v>568976</v>
      </c>
      <c r="AG75" s="93">
        <f t="shared" si="67"/>
        <v>3.2861907442299787E-4</v>
      </c>
      <c r="AH75" s="388">
        <f>[7]東京工場!$I$73</f>
        <v>0</v>
      </c>
      <c r="AI75" s="170">
        <f t="shared" si="77"/>
        <v>0</v>
      </c>
      <c r="AJ75" s="356">
        <f>[7]東京工場!$L$73</f>
        <v>0</v>
      </c>
      <c r="AK75" s="98">
        <f t="shared" si="36"/>
        <v>0</v>
      </c>
      <c r="AL75" s="474">
        <f t="shared" si="78"/>
        <v>23560</v>
      </c>
      <c r="AM75" s="328">
        <f t="shared" si="68"/>
        <v>1.0325364733100563E-4</v>
      </c>
      <c r="AN75" s="478">
        <f t="shared" si="79"/>
        <v>568976</v>
      </c>
      <c r="AO75" s="162">
        <f t="shared" si="69"/>
        <v>3.1587398299116952E-4</v>
      </c>
      <c r="AP75" s="483">
        <f t="shared" si="80"/>
        <v>266210</v>
      </c>
      <c r="AQ75" s="299">
        <f t="shared" si="70"/>
        <v>3.4350549258456664E-4</v>
      </c>
      <c r="AR75" s="487">
        <f t="shared" si="81"/>
        <v>1463676</v>
      </c>
      <c r="AS75" s="300">
        <f t="shared" si="71"/>
        <v>2.5618416364773627E-4</v>
      </c>
      <c r="AT75" s="575">
        <f>[7]全社合計!$G$73</f>
        <v>34010</v>
      </c>
      <c r="AU75" s="163">
        <f t="shared" si="82"/>
        <v>4.123857385337255E-5</v>
      </c>
      <c r="AV75" s="578">
        <f>[7]全社合計!$N$73</f>
        <v>1136366</v>
      </c>
      <c r="AW75" s="164">
        <f t="shared" si="83"/>
        <v>1.7704667074155313E-4</v>
      </c>
      <c r="AX75" s="575">
        <f t="shared" si="84"/>
        <v>232200</v>
      </c>
      <c r="AY75" s="163">
        <f t="shared" si="85"/>
        <v>7.8274037047927081</v>
      </c>
      <c r="AZ75" s="578">
        <f t="shared" si="86"/>
        <v>327310</v>
      </c>
      <c r="BA75" s="164">
        <f t="shared" si="87"/>
        <v>1.2880322008930221</v>
      </c>
      <c r="BB75" s="11"/>
    </row>
    <row r="76" spans="1:54" ht="16.149999999999999" customHeight="1">
      <c r="A76" s="43" t="s">
        <v>68</v>
      </c>
      <c r="B76" s="706"/>
      <c r="C76" s="266" t="str">
        <f t="shared" si="55"/>
        <v/>
      </c>
      <c r="D76" s="723">
        <f>B76</f>
        <v>0</v>
      </c>
      <c r="E76" s="161" t="str">
        <f t="shared" si="56"/>
        <v/>
      </c>
      <c r="F76" s="352"/>
      <c r="G76" s="10">
        <f t="shared" si="57"/>
        <v>0</v>
      </c>
      <c r="H76" s="356">
        <f>F76</f>
        <v>0</v>
      </c>
      <c r="I76" s="163">
        <f t="shared" si="72"/>
        <v>0</v>
      </c>
      <c r="J76" s="745"/>
      <c r="K76" s="77">
        <f t="shared" si="73"/>
        <v>0</v>
      </c>
      <c r="L76" s="356">
        <f>J76</f>
        <v>0</v>
      </c>
      <c r="M76" s="163">
        <f t="shared" si="37"/>
        <v>0</v>
      </c>
      <c r="N76" s="403"/>
      <c r="O76" s="77">
        <f t="shared" si="58"/>
        <v>0</v>
      </c>
      <c r="P76" s="356">
        <f>N76</f>
        <v>0</v>
      </c>
      <c r="Q76" s="170">
        <f t="shared" si="59"/>
        <v>0</v>
      </c>
      <c r="R76" s="445"/>
      <c r="S76" s="10" t="str">
        <f t="shared" si="60"/>
        <v/>
      </c>
      <c r="T76" s="356">
        <f>R76</f>
        <v>0</v>
      </c>
      <c r="U76" s="217" t="str">
        <f t="shared" si="61"/>
        <v/>
      </c>
      <c r="V76" s="456">
        <f t="shared" si="74"/>
        <v>0</v>
      </c>
      <c r="W76" s="170">
        <f t="shared" si="62"/>
        <v>0</v>
      </c>
      <c r="X76" s="408">
        <f t="shared" si="75"/>
        <v>0</v>
      </c>
      <c r="Y76" s="240">
        <f t="shared" si="63"/>
        <v>0</v>
      </c>
      <c r="Z76" s="460">
        <f>F76+J76+N76+R76</f>
        <v>0</v>
      </c>
      <c r="AA76" s="201">
        <f t="shared" si="64"/>
        <v>0</v>
      </c>
      <c r="AB76" s="464">
        <f t="shared" si="76"/>
        <v>0</v>
      </c>
      <c r="AC76" s="162">
        <f t="shared" si="65"/>
        <v>0</v>
      </c>
      <c r="AD76" s="352"/>
      <c r="AE76" s="10">
        <f t="shared" si="66"/>
        <v>0</v>
      </c>
      <c r="AF76" s="356">
        <f>AD76</f>
        <v>0</v>
      </c>
      <c r="AG76" s="93">
        <f t="shared" si="67"/>
        <v>0</v>
      </c>
      <c r="AH76" s="388"/>
      <c r="AI76" s="170">
        <f t="shared" si="77"/>
        <v>0</v>
      </c>
      <c r="AJ76" s="356">
        <f>AH76</f>
        <v>0</v>
      </c>
      <c r="AK76" s="98">
        <f t="shared" si="36"/>
        <v>0</v>
      </c>
      <c r="AL76" s="474">
        <f t="shared" si="78"/>
        <v>0</v>
      </c>
      <c r="AM76" s="328">
        <f t="shared" si="68"/>
        <v>0</v>
      </c>
      <c r="AN76" s="478">
        <f t="shared" si="79"/>
        <v>0</v>
      </c>
      <c r="AO76" s="162">
        <f t="shared" si="69"/>
        <v>0</v>
      </c>
      <c r="AP76" s="483">
        <f t="shared" si="80"/>
        <v>0</v>
      </c>
      <c r="AQ76" s="299">
        <f t="shared" si="70"/>
        <v>0</v>
      </c>
      <c r="AR76" s="487">
        <f t="shared" si="81"/>
        <v>0</v>
      </c>
      <c r="AS76" s="300">
        <f t="shared" si="71"/>
        <v>0</v>
      </c>
      <c r="AT76" s="575">
        <v>0</v>
      </c>
      <c r="AU76" s="163">
        <f t="shared" si="82"/>
        <v>0</v>
      </c>
      <c r="AV76" s="578">
        <f>AT76</f>
        <v>0</v>
      </c>
      <c r="AW76" s="164">
        <f t="shared" si="83"/>
        <v>0</v>
      </c>
      <c r="AX76" s="575">
        <f t="shared" si="84"/>
        <v>0</v>
      </c>
      <c r="AY76" s="163" t="str">
        <f t="shared" si="85"/>
        <v/>
      </c>
      <c r="AZ76" s="578">
        <f t="shared" si="86"/>
        <v>0</v>
      </c>
      <c r="BA76" s="164" t="str">
        <f t="shared" si="87"/>
        <v/>
      </c>
      <c r="BB76" s="11"/>
    </row>
    <row r="77" spans="1:54" ht="16.149999999999999" customHeight="1">
      <c r="A77" s="43" t="s">
        <v>69</v>
      </c>
      <c r="B77" s="706"/>
      <c r="C77" s="266" t="str">
        <f t="shared" si="55"/>
        <v/>
      </c>
      <c r="D77" s="723">
        <f>[7]本部!$L$75</f>
        <v>0</v>
      </c>
      <c r="E77" s="161" t="str">
        <f>IF(ISERR(#REF!/$D$11),"",#REF!/$D$11)</f>
        <v/>
      </c>
      <c r="F77" s="352">
        <f>[7]本社営業!$I$75</f>
        <v>0</v>
      </c>
      <c r="G77" s="10">
        <f t="shared" si="57"/>
        <v>0</v>
      </c>
      <c r="H77" s="356">
        <f>[7]本社営業!$L$75</f>
        <v>672000</v>
      </c>
      <c r="I77" s="163">
        <f t="shared" si="72"/>
        <v>1.8372161785916116E-4</v>
      </c>
      <c r="J77" s="745"/>
      <c r="K77" s="77">
        <f t="shared" si="73"/>
        <v>0</v>
      </c>
      <c r="L77" s="356">
        <f>[7]東大阪!$L$75</f>
        <v>0</v>
      </c>
      <c r="M77" s="163">
        <f t="shared" si="37"/>
        <v>0</v>
      </c>
      <c r="N77" s="403"/>
      <c r="O77" s="77">
        <f t="shared" si="58"/>
        <v>0</v>
      </c>
      <c r="P77" s="356">
        <f>[7]南港工場!$L$75</f>
        <v>0</v>
      </c>
      <c r="Q77" s="170">
        <f t="shared" si="59"/>
        <v>0</v>
      </c>
      <c r="R77" s="445"/>
      <c r="S77" s="10" t="str">
        <f t="shared" si="60"/>
        <v/>
      </c>
      <c r="T77" s="356">
        <f>[7]南港事務!$L$75</f>
        <v>0</v>
      </c>
      <c r="U77" s="217" t="str">
        <f t="shared" si="61"/>
        <v/>
      </c>
      <c r="V77" s="456">
        <f t="shared" si="74"/>
        <v>0</v>
      </c>
      <c r="W77" s="170">
        <f t="shared" si="62"/>
        <v>0</v>
      </c>
      <c r="X77" s="408">
        <f t="shared" si="75"/>
        <v>0</v>
      </c>
      <c r="Y77" s="240">
        <f t="shared" si="63"/>
        <v>0</v>
      </c>
      <c r="Z77" s="460">
        <f>F77+J77+N77+R77</f>
        <v>0</v>
      </c>
      <c r="AA77" s="201">
        <f t="shared" si="64"/>
        <v>0</v>
      </c>
      <c r="AB77" s="464">
        <f t="shared" si="76"/>
        <v>672000</v>
      </c>
      <c r="AC77" s="162">
        <f t="shared" si="65"/>
        <v>1.7177479641385327E-4</v>
      </c>
      <c r="AD77" s="352"/>
      <c r="AE77" s="10">
        <f t="shared" si="66"/>
        <v>0</v>
      </c>
      <c r="AF77" s="356">
        <f>[7]東京事務!$L$75</f>
        <v>0</v>
      </c>
      <c r="AG77" s="93">
        <f t="shared" si="67"/>
        <v>0</v>
      </c>
      <c r="AH77" s="388"/>
      <c r="AI77" s="170">
        <f t="shared" si="77"/>
        <v>0</v>
      </c>
      <c r="AJ77" s="356">
        <f>[7]東京工場!$L$75</f>
        <v>0</v>
      </c>
      <c r="AK77" s="98">
        <f t="shared" si="36"/>
        <v>0</v>
      </c>
      <c r="AL77" s="474">
        <f t="shared" si="78"/>
        <v>0</v>
      </c>
      <c r="AM77" s="328">
        <f t="shared" si="68"/>
        <v>0</v>
      </c>
      <c r="AN77" s="478">
        <f t="shared" si="79"/>
        <v>0</v>
      </c>
      <c r="AO77" s="162">
        <f t="shared" si="69"/>
        <v>0</v>
      </c>
      <c r="AP77" s="483">
        <f t="shared" si="80"/>
        <v>0</v>
      </c>
      <c r="AQ77" s="299">
        <f t="shared" si="70"/>
        <v>0</v>
      </c>
      <c r="AR77" s="487">
        <f t="shared" si="81"/>
        <v>672000</v>
      </c>
      <c r="AS77" s="300">
        <f t="shared" si="71"/>
        <v>1.176187612362837E-4</v>
      </c>
      <c r="AT77" s="575">
        <f>[7]全社合計!$G$75</f>
        <v>0</v>
      </c>
      <c r="AU77" s="163">
        <f t="shared" si="82"/>
        <v>0</v>
      </c>
      <c r="AV77" s="578">
        <f>[7]全社合計!$N$75</f>
        <v>672000</v>
      </c>
      <c r="AW77" s="164">
        <f t="shared" si="83"/>
        <v>1.0469810143767387E-4</v>
      </c>
      <c r="AX77" s="575">
        <f t="shared" si="84"/>
        <v>0</v>
      </c>
      <c r="AY77" s="163" t="str">
        <f t="shared" si="85"/>
        <v/>
      </c>
      <c r="AZ77" s="578">
        <f t="shared" si="86"/>
        <v>0</v>
      </c>
      <c r="BA77" s="164">
        <f t="shared" si="87"/>
        <v>1</v>
      </c>
      <c r="BB77" s="11"/>
    </row>
    <row r="78" spans="1:54" ht="16.149999999999999" customHeight="1" thickBot="1">
      <c r="A78" s="44"/>
      <c r="B78" s="707"/>
      <c r="C78" s="267" t="str">
        <f t="shared" si="55"/>
        <v/>
      </c>
      <c r="D78" s="735">
        <f>B78</f>
        <v>0</v>
      </c>
      <c r="E78" s="165" t="str">
        <f>IF(ISERR(#REF!/$D$11),"",#REF!/$D$11)</f>
        <v/>
      </c>
      <c r="F78" s="380"/>
      <c r="G78" s="23">
        <f t="shared" si="57"/>
        <v>0</v>
      </c>
      <c r="H78" s="381">
        <f>F78</f>
        <v>0</v>
      </c>
      <c r="I78" s="167">
        <f t="shared" si="72"/>
        <v>0</v>
      </c>
      <c r="J78" s="758"/>
      <c r="K78" s="78">
        <f t="shared" si="73"/>
        <v>0</v>
      </c>
      <c r="L78" s="381">
        <f>J78</f>
        <v>0</v>
      </c>
      <c r="M78" s="167">
        <f t="shared" si="37"/>
        <v>0</v>
      </c>
      <c r="N78" s="420"/>
      <c r="O78" s="241">
        <f t="shared" si="58"/>
        <v>0</v>
      </c>
      <c r="P78" s="381">
        <f>N78</f>
        <v>0</v>
      </c>
      <c r="Q78" s="244">
        <f t="shared" si="59"/>
        <v>0</v>
      </c>
      <c r="R78" s="453"/>
      <c r="S78" s="243" t="str">
        <f t="shared" si="60"/>
        <v/>
      </c>
      <c r="T78" s="381">
        <f>R78</f>
        <v>0</v>
      </c>
      <c r="U78" s="242" t="str">
        <f t="shared" si="61"/>
        <v/>
      </c>
      <c r="V78" s="498">
        <f t="shared" si="74"/>
        <v>0</v>
      </c>
      <c r="W78" s="244">
        <f t="shared" si="62"/>
        <v>0</v>
      </c>
      <c r="X78" s="422">
        <f t="shared" si="75"/>
        <v>0</v>
      </c>
      <c r="Y78" s="245">
        <f t="shared" si="63"/>
        <v>0</v>
      </c>
      <c r="Z78" s="501">
        <f>F78+J78+N78+R78</f>
        <v>0</v>
      </c>
      <c r="AA78" s="202">
        <f t="shared" si="64"/>
        <v>0</v>
      </c>
      <c r="AB78" s="503">
        <f t="shared" si="76"/>
        <v>0</v>
      </c>
      <c r="AC78" s="166">
        <f t="shared" si="65"/>
        <v>0</v>
      </c>
      <c r="AD78" s="380"/>
      <c r="AE78" s="23">
        <f t="shared" si="66"/>
        <v>0</v>
      </c>
      <c r="AF78" s="381">
        <f>AD78</f>
        <v>0</v>
      </c>
      <c r="AG78" s="94">
        <f t="shared" si="67"/>
        <v>0</v>
      </c>
      <c r="AH78" s="400"/>
      <c r="AI78" s="184">
        <f t="shared" si="77"/>
        <v>0</v>
      </c>
      <c r="AJ78" s="381">
        <f>AH78</f>
        <v>0</v>
      </c>
      <c r="AK78" s="112">
        <f>IF(ISERR(AJ78/$AJ$11),"",AJ78/$AJ$11)</f>
        <v>0</v>
      </c>
      <c r="AL78" s="507">
        <f t="shared" si="78"/>
        <v>0</v>
      </c>
      <c r="AM78" s="329">
        <f t="shared" si="68"/>
        <v>0</v>
      </c>
      <c r="AN78" s="509">
        <f t="shared" si="79"/>
        <v>0</v>
      </c>
      <c r="AO78" s="166">
        <f t="shared" si="69"/>
        <v>0</v>
      </c>
      <c r="AP78" s="512">
        <f t="shared" si="80"/>
        <v>0</v>
      </c>
      <c r="AQ78" s="301">
        <f t="shared" si="70"/>
        <v>0</v>
      </c>
      <c r="AR78" s="514">
        <f t="shared" si="81"/>
        <v>0</v>
      </c>
      <c r="AS78" s="302">
        <f t="shared" si="71"/>
        <v>0</v>
      </c>
      <c r="AT78" s="593">
        <v>0</v>
      </c>
      <c r="AU78" s="167">
        <f t="shared" si="82"/>
        <v>0</v>
      </c>
      <c r="AV78" s="595">
        <f>AT78</f>
        <v>0</v>
      </c>
      <c r="AW78" s="168">
        <f t="shared" si="83"/>
        <v>0</v>
      </c>
      <c r="AX78" s="593">
        <f t="shared" si="84"/>
        <v>0</v>
      </c>
      <c r="AY78" s="167" t="str">
        <f t="shared" si="85"/>
        <v/>
      </c>
      <c r="AZ78" s="595">
        <f t="shared" si="86"/>
        <v>0</v>
      </c>
      <c r="BA78" s="168" t="str">
        <f t="shared" si="87"/>
        <v/>
      </c>
      <c r="BB78" s="11"/>
    </row>
    <row r="79" spans="1:54" s="25" customFormat="1" ht="15.75" thickTop="1">
      <c r="A79" s="24" t="s">
        <v>70</v>
      </c>
      <c r="B79" s="737">
        <f>+B18-B67</f>
        <v>0</v>
      </c>
      <c r="C79" s="220" t="str">
        <f t="shared" si="55"/>
        <v/>
      </c>
      <c r="D79" s="736">
        <f>D18-D67</f>
        <v>0</v>
      </c>
      <c r="E79" s="220" t="str">
        <f>IF(ISERR(#REF!/$D$11),"",#REF!/$D$11)</f>
        <v/>
      </c>
      <c r="F79" s="382">
        <f>F18-F67</f>
        <v>30550762</v>
      </c>
      <c r="G79" s="309">
        <f>IF(ISERR(F79/$F$11),"",F79/$F$11)</f>
        <v>5.985896408136946E-2</v>
      </c>
      <c r="H79" s="383">
        <f>H18-H67</f>
        <v>165182899</v>
      </c>
      <c r="I79" s="95">
        <f t="shared" si="72"/>
        <v>4.5160222391289306E-2</v>
      </c>
      <c r="J79" s="382">
        <f>J18-J67</f>
        <v>4449981</v>
      </c>
      <c r="K79" s="309">
        <f t="shared" si="73"/>
        <v>0.49773585146246041</v>
      </c>
      <c r="L79" s="383">
        <f>L18-L67</f>
        <v>42260006</v>
      </c>
      <c r="M79" s="95">
        <f>IF(ISERR(L79/$L$11),"",L79/$L$11)</f>
        <v>0.65907988780110049</v>
      </c>
      <c r="N79" s="382">
        <f>N18-N67</f>
        <v>16886627</v>
      </c>
      <c r="O79" s="95">
        <f>IF(ISERR(N79/$N$11),"",N79/$N$11)</f>
        <v>0.61439739498773527</v>
      </c>
      <c r="P79" s="383">
        <f>P18-P67</f>
        <v>160344387</v>
      </c>
      <c r="Q79" s="95">
        <f t="shared" si="59"/>
        <v>0.84271400935342811</v>
      </c>
      <c r="R79" s="382">
        <f>R18-R67</f>
        <v>4114756</v>
      </c>
      <c r="S79" s="113"/>
      <c r="T79" s="383">
        <f>T18-T67</f>
        <v>29514708</v>
      </c>
      <c r="U79" s="95" t="str">
        <f t="shared" si="61"/>
        <v/>
      </c>
      <c r="V79" s="499">
        <f t="shared" si="74"/>
        <v>21001383</v>
      </c>
      <c r="W79" s="95">
        <f>IF(ISERR(V79/$V$11),"",V79/$V$11)</f>
        <v>0.76410730256194492</v>
      </c>
      <c r="X79" s="383">
        <f t="shared" si="75"/>
        <v>189859095</v>
      </c>
      <c r="Y79" s="95">
        <f t="shared" si="63"/>
        <v>0.99783299031018402</v>
      </c>
      <c r="Z79" s="499">
        <f>F79+J79+V79</f>
        <v>56002126</v>
      </c>
      <c r="AA79" s="95">
        <f>IF(ISERR(Z79/$Z$11),"",Z79/$Z$11)</f>
        <v>0.10241711473078184</v>
      </c>
      <c r="AB79" s="383">
        <f t="shared" si="76"/>
        <v>397302000</v>
      </c>
      <c r="AC79" s="95">
        <f t="shared" si="65"/>
        <v>0.10155724726907252</v>
      </c>
      <c r="AD79" s="382">
        <f>AD18-AD67</f>
        <v>15542386</v>
      </c>
      <c r="AE79" s="309">
        <f t="shared" si="66"/>
        <v>7.0983406184360845E-2</v>
      </c>
      <c r="AF79" s="383">
        <f>AF18-AF67</f>
        <v>98765077</v>
      </c>
      <c r="AG79" s="95">
        <f t="shared" si="67"/>
        <v>5.7042982813081941E-2</v>
      </c>
      <c r="AH79" s="382">
        <f>AH18-AH67</f>
        <v>7392313</v>
      </c>
      <c r="AI79" s="309">
        <f t="shared" si="77"/>
        <v>0.80194848306671551</v>
      </c>
      <c r="AJ79" s="383">
        <f>AJ18-AJ67</f>
        <v>54394360</v>
      </c>
      <c r="AK79" s="309">
        <f>IF(ISERR(AJ79/$AJ$11),"",AJ79/$AJ$11)</f>
        <v>0.7786164820741539</v>
      </c>
      <c r="AL79" s="382">
        <f t="shared" si="78"/>
        <v>22934699</v>
      </c>
      <c r="AM79" s="95">
        <f t="shared" si="68"/>
        <v>0.10051321401480337</v>
      </c>
      <c r="AN79" s="510">
        <f t="shared" si="79"/>
        <v>153159437</v>
      </c>
      <c r="AO79" s="113"/>
      <c r="AP79" s="382">
        <f t="shared" si="80"/>
        <v>78936825</v>
      </c>
      <c r="AQ79" s="95">
        <f t="shared" si="70"/>
        <v>0.10185655292696268</v>
      </c>
      <c r="AR79" s="515">
        <f t="shared" si="81"/>
        <v>550461437</v>
      </c>
      <c r="AS79" s="95">
        <f>IF(ISERR(AR79/$AR$11),"",AR79/$AR$11)</f>
        <v>9.6346119536137823E-2</v>
      </c>
      <c r="AT79" s="382">
        <f>AT18-AT67</f>
        <v>81505447</v>
      </c>
      <c r="AU79" s="95">
        <f t="shared" si="82"/>
        <v>9.8828826685140897E-2</v>
      </c>
      <c r="AV79" s="383">
        <f>AT79</f>
        <v>81505447</v>
      </c>
      <c r="AW79" s="309">
        <f t="shared" si="83"/>
        <v>1.2698609460906177E-2</v>
      </c>
      <c r="AX79" s="382">
        <f t="shared" si="84"/>
        <v>-2568622</v>
      </c>
      <c r="AY79" s="95">
        <f t="shared" si="85"/>
        <v>0.96848527191072276</v>
      </c>
      <c r="AZ79" s="383">
        <f t="shared" si="86"/>
        <v>468955990</v>
      </c>
      <c r="BA79" s="309">
        <f t="shared" si="87"/>
        <v>6.7536766837190649</v>
      </c>
    </row>
    <row r="80" spans="1:54">
      <c r="A80" s="26"/>
      <c r="B80" s="26"/>
    </row>
    <row r="81" spans="1:53" s="268" customFormat="1">
      <c r="A81" s="270" t="s">
        <v>85</v>
      </c>
      <c r="B81" s="271"/>
      <c r="C81" s="272"/>
      <c r="D81" s="824"/>
      <c r="E81" s="825"/>
      <c r="F81" s="773">
        <f>'11月'!F83</f>
        <v>6269628</v>
      </c>
      <c r="G81" s="774"/>
      <c r="H81" s="669">
        <f>'6月'!H81</f>
        <v>6712201</v>
      </c>
      <c r="I81" s="670"/>
      <c r="J81" s="667"/>
      <c r="K81" s="668"/>
      <c r="L81" s="669">
        <f>+J81</f>
        <v>0</v>
      </c>
      <c r="M81" s="670"/>
      <c r="N81" s="667"/>
      <c r="O81" s="668"/>
      <c r="P81" s="669">
        <f>+N81</f>
        <v>0</v>
      </c>
      <c r="Q81" s="670"/>
      <c r="R81" s="671"/>
      <c r="S81" s="672"/>
      <c r="T81" s="669">
        <f>+R81</f>
        <v>0</v>
      </c>
      <c r="U81" s="670"/>
      <c r="V81" s="667">
        <f>N81+R81</f>
        <v>0</v>
      </c>
      <c r="W81" s="668"/>
      <c r="X81" s="673">
        <f>P81+T81</f>
        <v>0</v>
      </c>
      <c r="Y81" s="674"/>
      <c r="Z81" s="667">
        <f>F81+J81+N81+R81</f>
        <v>6269628</v>
      </c>
      <c r="AA81" s="668"/>
      <c r="AB81" s="675">
        <f>H81+L81+P81+T81</f>
        <v>6712201</v>
      </c>
      <c r="AC81" s="676"/>
      <c r="AD81" s="671">
        <f>'11月'!AD83</f>
        <v>3565271</v>
      </c>
      <c r="AE81" s="672"/>
      <c r="AF81" s="669">
        <f>'6月'!AF81</f>
        <v>4214746</v>
      </c>
      <c r="AG81" s="670"/>
      <c r="AH81" s="671"/>
      <c r="AI81" s="672"/>
      <c r="AJ81" s="669">
        <f>+AH81</f>
        <v>0</v>
      </c>
      <c r="AK81" s="670"/>
      <c r="AL81" s="671">
        <f>+AD81+AH81</f>
        <v>3565271</v>
      </c>
      <c r="AM81" s="672"/>
      <c r="AN81" s="669">
        <f>AF81+AJ81</f>
        <v>4214746</v>
      </c>
      <c r="AO81" s="670"/>
      <c r="AP81" s="671">
        <f>+AB81+AL81</f>
        <v>10277472</v>
      </c>
      <c r="AQ81" s="672"/>
      <c r="AR81" s="669">
        <f>D81+AB81+AN81</f>
        <v>10926947</v>
      </c>
      <c r="AS81" s="670"/>
      <c r="AT81" s="671">
        <f>'11月'!AT83</f>
        <v>11210155</v>
      </c>
      <c r="AU81" s="672"/>
      <c r="AV81" s="669">
        <f>'6月'!AV81</f>
        <v>10388772</v>
      </c>
      <c r="AW81" s="670"/>
      <c r="AX81" s="671">
        <f>AP81-AT81</f>
        <v>-932683</v>
      </c>
      <c r="AY81" s="677">
        <f>IF(ISERROR(AP81/AT81),"",AP81/AT81)</f>
        <v>0.91680016913236262</v>
      </c>
      <c r="AZ81" s="669">
        <f>AR81-AV81</f>
        <v>538175</v>
      </c>
      <c r="BA81" s="678">
        <f>IF(ISERROR(AR81/AV81),"",AR81/AV81)</f>
        <v>1.051803524035372</v>
      </c>
    </row>
    <row r="82" spans="1:53" s="268" customFormat="1">
      <c r="A82" s="269" t="s">
        <v>86</v>
      </c>
      <c r="B82" s="273"/>
      <c r="C82" s="274"/>
      <c r="D82" s="826"/>
      <c r="E82" s="827"/>
      <c r="F82" s="771">
        <v>2281230</v>
      </c>
      <c r="G82" s="772"/>
      <c r="H82" s="685">
        <f>F82+'11月'!H82</f>
        <v>16859255</v>
      </c>
      <c r="I82" s="686"/>
      <c r="J82" s="683">
        <v>16850</v>
      </c>
      <c r="K82" s="684"/>
      <c r="L82" s="685">
        <f>J82+'11月'!L82</f>
        <v>204526</v>
      </c>
      <c r="M82" s="686"/>
      <c r="N82" s="683">
        <v>62021</v>
      </c>
      <c r="O82" s="684"/>
      <c r="P82" s="685">
        <f>N82+'11月'!P82</f>
        <v>448431</v>
      </c>
      <c r="Q82" s="686"/>
      <c r="R82" s="683"/>
      <c r="S82" s="684"/>
      <c r="T82" s="685">
        <f>R82+'11月'!T82</f>
        <v>0</v>
      </c>
      <c r="U82" s="686"/>
      <c r="V82" s="683">
        <f>N82+R82</f>
        <v>62021</v>
      </c>
      <c r="W82" s="684"/>
      <c r="X82" s="687">
        <f>P82+T82</f>
        <v>448431</v>
      </c>
      <c r="Y82" s="688"/>
      <c r="Z82" s="683">
        <f>F82+J82+N82+R82</f>
        <v>2360101</v>
      </c>
      <c r="AA82" s="684"/>
      <c r="AB82" s="687">
        <f>H82+L82+P82+T82</f>
        <v>17512212</v>
      </c>
      <c r="AC82" s="688"/>
      <c r="AD82" s="683">
        <v>884635</v>
      </c>
      <c r="AE82" s="684"/>
      <c r="AF82" s="685">
        <f>AD82+'11月'!AF82</f>
        <v>6553548</v>
      </c>
      <c r="AG82" s="686"/>
      <c r="AH82" s="683"/>
      <c r="AI82" s="684"/>
      <c r="AJ82" s="685">
        <f>AH82+'11月'!AJ82</f>
        <v>0</v>
      </c>
      <c r="AK82" s="686"/>
      <c r="AL82" s="683">
        <f>+AD82+AH82</f>
        <v>884635</v>
      </c>
      <c r="AM82" s="684"/>
      <c r="AN82" s="685">
        <f>AF82+AJ82</f>
        <v>6553548</v>
      </c>
      <c r="AO82" s="686"/>
      <c r="AP82" s="683">
        <f>+AL82+Z82</f>
        <v>3244736</v>
      </c>
      <c r="AQ82" s="684"/>
      <c r="AR82" s="685">
        <f>D82+AB82+AN82</f>
        <v>24065760</v>
      </c>
      <c r="AS82" s="686"/>
      <c r="AT82" s="683">
        <v>3563391</v>
      </c>
      <c r="AU82" s="684"/>
      <c r="AV82" s="685">
        <f>AT82+'11月'!AV82</f>
        <v>27637815</v>
      </c>
      <c r="AW82" s="686"/>
      <c r="AX82" s="683">
        <f>AP82-AT82</f>
        <v>-318655</v>
      </c>
      <c r="AY82" s="689">
        <f>IF(ISERROR(AP82/AT82),"",AP82/AT82)</f>
        <v>0.9105753480322536</v>
      </c>
      <c r="AZ82" s="685">
        <f>AR82-AV82</f>
        <v>-3572055</v>
      </c>
      <c r="BA82" s="690">
        <f>IF(ISERROR(AR82/AV82),"",AR82/AV82)</f>
        <v>0.87075479736730277</v>
      </c>
    </row>
    <row r="83" spans="1:53" s="268" customFormat="1" ht="14.25" thickBot="1">
      <c r="A83" s="275" t="s">
        <v>87</v>
      </c>
      <c r="B83" s="276"/>
      <c r="C83" s="277"/>
      <c r="D83" s="828"/>
      <c r="E83" s="829"/>
      <c r="F83" s="769">
        <f>[7]本社営業!$I$13</f>
        <v>5954313</v>
      </c>
      <c r="G83" s="770"/>
      <c r="H83" s="696">
        <f>+F83</f>
        <v>5954313</v>
      </c>
      <c r="I83" s="697"/>
      <c r="J83" s="694"/>
      <c r="K83" s="695"/>
      <c r="L83" s="696">
        <f>+J83</f>
        <v>0</v>
      </c>
      <c r="M83" s="697"/>
      <c r="N83" s="694"/>
      <c r="O83" s="695"/>
      <c r="P83" s="696">
        <f>+N83</f>
        <v>0</v>
      </c>
      <c r="Q83" s="697"/>
      <c r="R83" s="694"/>
      <c r="S83" s="695"/>
      <c r="T83" s="696">
        <f>+R83</f>
        <v>0</v>
      </c>
      <c r="U83" s="697"/>
      <c r="V83" s="694">
        <f>N83+R83</f>
        <v>0</v>
      </c>
      <c r="W83" s="695"/>
      <c r="X83" s="698">
        <f>P83+T83</f>
        <v>0</v>
      </c>
      <c r="Y83" s="699"/>
      <c r="Z83" s="694">
        <f>F83+J83+N83+R83</f>
        <v>5954313</v>
      </c>
      <c r="AA83" s="695"/>
      <c r="AB83" s="698">
        <f>H83+L83+P83+T83</f>
        <v>5954313</v>
      </c>
      <c r="AC83" s="699"/>
      <c r="AD83" s="694">
        <f>[7]東京事務!$I$13</f>
        <v>3547875</v>
      </c>
      <c r="AE83" s="695"/>
      <c r="AF83" s="696">
        <f>+AD83</f>
        <v>3547875</v>
      </c>
      <c r="AG83" s="697"/>
      <c r="AH83" s="694"/>
      <c r="AI83" s="695"/>
      <c r="AJ83" s="696">
        <f>+AH83</f>
        <v>0</v>
      </c>
      <c r="AK83" s="697"/>
      <c r="AL83" s="694">
        <f>+AD83+AH83</f>
        <v>3547875</v>
      </c>
      <c r="AM83" s="695"/>
      <c r="AN83" s="696">
        <f>AF83+AJ83</f>
        <v>3547875</v>
      </c>
      <c r="AO83" s="697"/>
      <c r="AP83" s="694">
        <f>+AB83+AL83</f>
        <v>9502188</v>
      </c>
      <c r="AQ83" s="695"/>
      <c r="AR83" s="696">
        <f>D83+AB83+AN83</f>
        <v>9502188</v>
      </c>
      <c r="AS83" s="697"/>
      <c r="AT83" s="694">
        <f>[7]全社合計!$G$13</f>
        <v>11531277</v>
      </c>
      <c r="AU83" s="695"/>
      <c r="AV83" s="696">
        <f>AT83</f>
        <v>11531277</v>
      </c>
      <c r="AW83" s="697"/>
      <c r="AX83" s="694">
        <f>AP83-AT83</f>
        <v>-2029089</v>
      </c>
      <c r="AY83" s="700">
        <f>IF(ISERROR(AP83/AT83),"",AP83/AT83)</f>
        <v>0.82403605428956395</v>
      </c>
      <c r="AZ83" s="696">
        <f>AR83-AV83</f>
        <v>-2029089</v>
      </c>
      <c r="BA83" s="701">
        <f>IF(ISERROR(AR83/AV83),"",AR83/AV83)</f>
        <v>0.82403605428956395</v>
      </c>
    </row>
    <row r="84" spans="1:53" ht="14.25" thickTop="1">
      <c r="D84" s="26"/>
      <c r="H84" s="26"/>
      <c r="L84" s="26"/>
      <c r="P84" s="26"/>
      <c r="T84" s="26"/>
      <c r="AL84" s="26"/>
      <c r="AP84" s="26"/>
      <c r="AT84" s="26"/>
      <c r="AX84" s="26"/>
    </row>
    <row r="85" spans="1:53">
      <c r="AL85" s="26"/>
    </row>
    <row r="89" spans="1:53">
      <c r="B89" s="27"/>
      <c r="D89" s="27"/>
      <c r="H89" s="27"/>
      <c r="L89" s="27"/>
      <c r="P89" s="27"/>
      <c r="T89" s="27"/>
      <c r="X89" s="27"/>
      <c r="AB89" s="27"/>
      <c r="AF89" s="27"/>
      <c r="AL89" s="27"/>
      <c r="AP89" s="27"/>
      <c r="AT89" s="27"/>
      <c r="AX89" s="27"/>
    </row>
    <row r="90" spans="1:53">
      <c r="B90" s="27"/>
      <c r="D90" s="27"/>
      <c r="H90" s="27"/>
      <c r="L90" s="27"/>
      <c r="P90" s="27"/>
      <c r="T90" s="27"/>
      <c r="X90" s="27"/>
      <c r="AB90" s="27"/>
      <c r="AF90" s="27"/>
      <c r="AL90" s="27"/>
      <c r="AP90" s="27"/>
      <c r="AT90" s="27"/>
      <c r="AX90" s="27"/>
    </row>
    <row r="91" spans="1:53">
      <c r="B91" s="27"/>
      <c r="D91" s="27"/>
      <c r="H91" s="27"/>
      <c r="L91" s="27"/>
      <c r="P91" s="27"/>
      <c r="T91" s="27"/>
      <c r="X91" s="27"/>
      <c r="AB91" s="27"/>
      <c r="AF91" s="27"/>
      <c r="AL91" s="27"/>
      <c r="AP91" s="27"/>
      <c r="AT91" s="27"/>
      <c r="AX91" s="27"/>
    </row>
    <row r="92" spans="1:53">
      <c r="B92" s="27"/>
      <c r="D92" s="27"/>
      <c r="H92" s="27"/>
      <c r="L92" s="27"/>
      <c r="P92" s="27"/>
      <c r="T92" s="27"/>
      <c r="X92" s="27"/>
      <c r="AB92" s="27"/>
      <c r="AF92" s="27"/>
      <c r="AL92" s="27"/>
      <c r="AP92" s="27"/>
      <c r="AT92" s="27"/>
      <c r="AX92" s="27"/>
    </row>
    <row r="93" spans="1:53">
      <c r="B93" s="27"/>
      <c r="D93" s="27"/>
      <c r="H93" s="27"/>
      <c r="L93" s="27"/>
      <c r="P93" s="27"/>
      <c r="T93" s="27"/>
      <c r="X93" s="27"/>
      <c r="AB93" s="27"/>
      <c r="AF93" s="27"/>
      <c r="AL93" s="27"/>
      <c r="AP93" s="27"/>
      <c r="AT93" s="27"/>
      <c r="AX93" s="27"/>
    </row>
    <row r="94" spans="1:53">
      <c r="B94" s="27"/>
    </row>
    <row r="95" spans="1:53">
      <c r="B95" s="27"/>
    </row>
  </sheetData>
  <mergeCells count="48">
    <mergeCell ref="D82:E82"/>
    <mergeCell ref="F82:G82"/>
    <mergeCell ref="D83:E83"/>
    <mergeCell ref="F83:G83"/>
    <mergeCell ref="AT4:AU4"/>
    <mergeCell ref="R4:S4"/>
    <mergeCell ref="T4:U4"/>
    <mergeCell ref="AV4:AW4"/>
    <mergeCell ref="V4:W4"/>
    <mergeCell ref="X4:Y4"/>
    <mergeCell ref="Z4:AA4"/>
    <mergeCell ref="AB4:AC4"/>
    <mergeCell ref="AX4:AY4"/>
    <mergeCell ref="AZ4:BA4"/>
    <mergeCell ref="D81:E81"/>
    <mergeCell ref="F81:G81"/>
    <mergeCell ref="AH4:AI4"/>
    <mergeCell ref="AJ4:AK4"/>
    <mergeCell ref="AL4:AM4"/>
    <mergeCell ref="AN4:AO4"/>
    <mergeCell ref="AP4:AQ4"/>
    <mergeCell ref="AR4:AS4"/>
    <mergeCell ref="AD4:AE4"/>
    <mergeCell ref="AF4:AG4"/>
    <mergeCell ref="J4:K4"/>
    <mergeCell ref="L4:M4"/>
    <mergeCell ref="N4:O4"/>
    <mergeCell ref="P4:Q4"/>
    <mergeCell ref="AX2:BA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T2:AW3"/>
    <mergeCell ref="A2:A5"/>
    <mergeCell ref="B2:E3"/>
    <mergeCell ref="F2:AC2"/>
    <mergeCell ref="AD2:AO2"/>
    <mergeCell ref="AP2:AS3"/>
    <mergeCell ref="B4:C4"/>
    <mergeCell ref="D4:E4"/>
    <mergeCell ref="F4:G4"/>
    <mergeCell ref="H4:I4"/>
  </mergeCells>
  <phoneticPr fontId="35"/>
  <dataValidations count="2">
    <dataValidation imeMode="on" allowBlank="1" showInputMessage="1" showErrorMessage="1" sqref="A2:BA5" xr:uid="{B518FDE9-368A-4E50-8E9F-F90E721D3920}"/>
    <dataValidation imeMode="off" allowBlank="1" showInputMessage="1" showErrorMessage="1" sqref="B1 AP1 AR1:AT1 AZ1:BA1 AV1:AX1 B6:BA65536" xr:uid="{98E97222-9AEF-46A3-800C-DC10BA828E71}"/>
  </dataValidations>
  <printOptions gridLinesSet="0"/>
  <pageMargins left="0.39370078740157483" right="0.19685039370078741" top="0.39370078740157483" bottom="0.19685039370078741" header="0" footer="0"/>
  <pageSetup paperSize="8" scale="68" orientation="landscape" r:id="rId1"/>
  <headerFooter alignWithMargins="0">
    <oddHeader>&amp;L&amp;D&amp;T&amp;C&amp;"明朝,太字"&amp;16&amp;F&amp;R&amp;"明朝,太字"&amp;A</oddHeader>
    <oddFooter>&amp;C&amp;"明朝,太字"&amp;14&amp;F&amp;R&amp;"明朝,太字"&amp;14&amp;A</oddFooter>
  </headerFooter>
  <colBreaks count="1" manualBreakCount="1">
    <brk id="29" min="1" max="76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5464-68CF-4F60-BFEC-66FE0686848B}">
  <dimension ref="A1:BB95"/>
  <sheetViews>
    <sheetView view="pageBreakPreview" zoomScale="80" zoomScaleNormal="80" zoomScaleSheetLayoutView="80" workbookViewId="0">
      <pane xSplit="1" ySplit="5" topLeftCell="B6" activePane="bottomRight" state="frozen"/>
      <selection activeCell="B4" sqref="A4:XFD4"/>
      <selection pane="topRight" activeCell="B4" sqref="A4:XFD4"/>
      <selection pane="bottomLeft" activeCell="B4" sqref="A4:XFD4"/>
      <selection pane="bottomRight" activeCell="AV71" sqref="AV71"/>
    </sheetView>
  </sheetViews>
  <sheetFormatPr defaultRowHeight="13.5"/>
  <cols>
    <col min="1" max="1" width="23.75" style="1" customWidth="1"/>
    <col min="2" max="2" width="11.375" style="1" bestFit="1" customWidth="1"/>
    <col min="3" max="3" width="7.875" style="1" customWidth="1"/>
    <col min="4" max="4" width="12.625" style="1" customWidth="1"/>
    <col min="5" max="5" width="8.25" style="1" customWidth="1"/>
    <col min="6" max="6" width="11.625" style="1" customWidth="1"/>
    <col min="7" max="7" width="8.375" style="1" customWidth="1"/>
    <col min="8" max="8" width="12.625" style="1" customWidth="1"/>
    <col min="9" max="9" width="7.375" style="1" customWidth="1"/>
    <col min="10" max="10" width="11.625" style="1" customWidth="1"/>
    <col min="11" max="11" width="8.375" style="1" customWidth="1"/>
    <col min="12" max="12" width="12.625" style="1" customWidth="1"/>
    <col min="13" max="13" width="9" style="1" bestFit="1" customWidth="1"/>
    <col min="14" max="14" width="11.625" style="1" customWidth="1"/>
    <col min="15" max="15" width="8.375" style="1" customWidth="1"/>
    <col min="16" max="16" width="12.625" style="1" customWidth="1"/>
    <col min="17" max="17" width="8.625" style="1" customWidth="1"/>
    <col min="18" max="18" width="11.625" style="1" customWidth="1"/>
    <col min="19" max="19" width="8.375" style="1" customWidth="1"/>
    <col min="20" max="20" width="12.625" style="1" customWidth="1"/>
    <col min="21" max="21" width="7.25" style="1" customWidth="1"/>
    <col min="22" max="22" width="11.625" style="1" customWidth="1"/>
    <col min="23" max="23" width="8.375" style="1" customWidth="1"/>
    <col min="24" max="24" width="12.625" style="1" customWidth="1"/>
    <col min="25" max="25" width="7.375" style="1" customWidth="1"/>
    <col min="26" max="26" width="11.625" style="1" customWidth="1"/>
    <col min="27" max="27" width="8.375" style="1" customWidth="1"/>
    <col min="28" max="28" width="12.625" style="1" customWidth="1"/>
    <col min="29" max="29" width="7.375" style="1" customWidth="1"/>
    <col min="30" max="30" width="11.625" style="1" customWidth="1"/>
    <col min="31" max="31" width="8.375" style="1" customWidth="1"/>
    <col min="32" max="32" width="12.625" style="1" customWidth="1"/>
    <col min="33" max="33" width="7.375" style="1" customWidth="1"/>
    <col min="34" max="34" width="11.625" style="1" customWidth="1"/>
    <col min="35" max="35" width="8.375" style="1" customWidth="1"/>
    <col min="36" max="36" width="12.625" style="1" customWidth="1"/>
    <col min="37" max="37" width="8.375" style="1" customWidth="1"/>
    <col min="38" max="38" width="11.625" style="1" customWidth="1"/>
    <col min="39" max="39" width="7.375" style="1" customWidth="1"/>
    <col min="40" max="40" width="12.625" style="1" customWidth="1"/>
    <col min="41" max="41" width="8.375" style="1" customWidth="1"/>
    <col min="42" max="42" width="13.625" style="1" customWidth="1"/>
    <col min="43" max="43" width="7.375" style="1" customWidth="1"/>
    <col min="44" max="44" width="13.625" style="1" customWidth="1"/>
    <col min="45" max="45" width="8.375" style="1" customWidth="1"/>
    <col min="46" max="46" width="13.625" style="1" customWidth="1"/>
    <col min="47" max="47" width="7.375" style="1" customWidth="1"/>
    <col min="48" max="48" width="13.625" style="1" customWidth="1"/>
    <col min="49" max="49" width="8.375" style="1" customWidth="1"/>
    <col min="50" max="50" width="13.625" style="1" customWidth="1"/>
    <col min="51" max="51" width="7.375" style="1" customWidth="1"/>
    <col min="52" max="52" width="13.625" style="1" customWidth="1"/>
    <col min="53" max="53" width="8.375" style="1" customWidth="1"/>
  </cols>
  <sheetData>
    <row r="1" spans="1:54" ht="10.5" customHeight="1" thickBot="1"/>
    <row r="2" spans="1:54" ht="14.25" customHeight="1" thickTop="1">
      <c r="A2" s="798" t="s">
        <v>0</v>
      </c>
      <c r="B2" s="759" t="s">
        <v>71</v>
      </c>
      <c r="C2" s="760"/>
      <c r="D2" s="760"/>
      <c r="E2" s="761"/>
      <c r="F2" s="812" t="s">
        <v>82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4"/>
      <c r="AD2" s="807" t="s">
        <v>83</v>
      </c>
      <c r="AE2" s="808"/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759" t="s">
        <v>81</v>
      </c>
      <c r="AQ2" s="760"/>
      <c r="AR2" s="760"/>
      <c r="AS2" s="761"/>
      <c r="AT2" s="759" t="s">
        <v>88</v>
      </c>
      <c r="AU2" s="760"/>
      <c r="AV2" s="760"/>
      <c r="AW2" s="761"/>
      <c r="AX2" s="759" t="s">
        <v>89</v>
      </c>
      <c r="AY2" s="760"/>
      <c r="AZ2" s="760"/>
      <c r="BA2" s="761"/>
    </row>
    <row r="3" spans="1:54">
      <c r="A3" s="799"/>
      <c r="B3" s="762"/>
      <c r="C3" s="763"/>
      <c r="D3" s="763"/>
      <c r="E3" s="764"/>
      <c r="F3" s="784" t="s">
        <v>73</v>
      </c>
      <c r="G3" s="785"/>
      <c r="H3" s="785"/>
      <c r="I3" s="823"/>
      <c r="J3" s="787" t="s">
        <v>74</v>
      </c>
      <c r="K3" s="787"/>
      <c r="L3" s="787"/>
      <c r="M3" s="787"/>
      <c r="N3" s="788" t="s">
        <v>92</v>
      </c>
      <c r="O3" s="789"/>
      <c r="P3" s="789"/>
      <c r="Q3" s="790"/>
      <c r="R3" s="820" t="s">
        <v>75</v>
      </c>
      <c r="S3" s="789"/>
      <c r="T3" s="789"/>
      <c r="U3" s="790"/>
      <c r="V3" s="789" t="s">
        <v>76</v>
      </c>
      <c r="W3" s="789"/>
      <c r="X3" s="789"/>
      <c r="Y3" s="821"/>
      <c r="Z3" s="816" t="s">
        <v>79</v>
      </c>
      <c r="AA3" s="817"/>
      <c r="AB3" s="817"/>
      <c r="AC3" s="818"/>
      <c r="AD3" s="819" t="s">
        <v>77</v>
      </c>
      <c r="AE3" s="805"/>
      <c r="AF3" s="805"/>
      <c r="AG3" s="805"/>
      <c r="AH3" s="804" t="s">
        <v>78</v>
      </c>
      <c r="AI3" s="805"/>
      <c r="AJ3" s="805"/>
      <c r="AK3" s="806"/>
      <c r="AL3" s="805" t="s">
        <v>80</v>
      </c>
      <c r="AM3" s="805"/>
      <c r="AN3" s="805"/>
      <c r="AO3" s="811"/>
      <c r="AP3" s="762"/>
      <c r="AQ3" s="763"/>
      <c r="AR3" s="763"/>
      <c r="AS3" s="764"/>
      <c r="AT3" s="762"/>
      <c r="AU3" s="763"/>
      <c r="AV3" s="763"/>
      <c r="AW3" s="764"/>
      <c r="AX3" s="762"/>
      <c r="AY3" s="763"/>
      <c r="AZ3" s="763"/>
      <c r="BA3" s="764"/>
    </row>
    <row r="4" spans="1:54" ht="15.95" customHeight="1">
      <c r="A4" s="799"/>
      <c r="B4" s="779">
        <v>46052</v>
      </c>
      <c r="C4" s="776"/>
      <c r="D4" s="780" t="s">
        <v>72</v>
      </c>
      <c r="E4" s="781"/>
      <c r="F4" s="765">
        <v>46052</v>
      </c>
      <c r="G4" s="766"/>
      <c r="H4" s="767" t="s">
        <v>72</v>
      </c>
      <c r="I4" s="822"/>
      <c r="J4" s="797">
        <v>46052</v>
      </c>
      <c r="K4" s="766"/>
      <c r="L4" s="767" t="s">
        <v>72</v>
      </c>
      <c r="M4" s="782"/>
      <c r="N4" s="795">
        <v>46052</v>
      </c>
      <c r="O4" s="766"/>
      <c r="P4" s="767" t="s">
        <v>72</v>
      </c>
      <c r="Q4" s="783"/>
      <c r="R4" s="796">
        <v>46052</v>
      </c>
      <c r="S4" s="766"/>
      <c r="T4" s="767" t="s">
        <v>72</v>
      </c>
      <c r="U4" s="783"/>
      <c r="V4" s="797">
        <v>46052</v>
      </c>
      <c r="W4" s="766"/>
      <c r="X4" s="767" t="s">
        <v>72</v>
      </c>
      <c r="Y4" s="793"/>
      <c r="Z4" s="775">
        <v>46052</v>
      </c>
      <c r="AA4" s="815"/>
      <c r="AB4" s="780" t="s">
        <v>72</v>
      </c>
      <c r="AC4" s="781"/>
      <c r="AD4" s="765">
        <v>46052</v>
      </c>
      <c r="AE4" s="766"/>
      <c r="AF4" s="791" t="s">
        <v>72</v>
      </c>
      <c r="AG4" s="792"/>
      <c r="AH4" s="797">
        <v>46052</v>
      </c>
      <c r="AI4" s="766"/>
      <c r="AJ4" s="767" t="s">
        <v>72</v>
      </c>
      <c r="AK4" s="810"/>
      <c r="AL4" s="775">
        <v>46052</v>
      </c>
      <c r="AM4" s="776"/>
      <c r="AN4" s="780" t="s">
        <v>72</v>
      </c>
      <c r="AO4" s="803"/>
      <c r="AP4" s="777">
        <v>46052</v>
      </c>
      <c r="AQ4" s="778"/>
      <c r="AR4" s="801" t="s">
        <v>72</v>
      </c>
      <c r="AS4" s="802"/>
      <c r="AT4" s="765">
        <v>45688</v>
      </c>
      <c r="AU4" s="766"/>
      <c r="AV4" s="767" t="s">
        <v>72</v>
      </c>
      <c r="AW4" s="768"/>
      <c r="AX4" s="765" t="s">
        <v>90</v>
      </c>
      <c r="AY4" s="766"/>
      <c r="AZ4" s="767" t="s">
        <v>91</v>
      </c>
      <c r="BA4" s="768"/>
    </row>
    <row r="5" spans="1:54" ht="15.95" customHeight="1">
      <c r="A5" s="800"/>
      <c r="B5" s="49" t="s">
        <v>1</v>
      </c>
      <c r="C5" s="50" t="s">
        <v>2</v>
      </c>
      <c r="D5" s="47" t="s">
        <v>1</v>
      </c>
      <c r="E5" s="51" t="s">
        <v>2</v>
      </c>
      <c r="F5" s="2" t="s">
        <v>1</v>
      </c>
      <c r="G5" s="4" t="s">
        <v>2</v>
      </c>
      <c r="H5" s="29" t="s">
        <v>1</v>
      </c>
      <c r="I5" s="335" t="s">
        <v>2</v>
      </c>
      <c r="J5" s="3" t="s">
        <v>1</v>
      </c>
      <c r="K5" s="4" t="s">
        <v>2</v>
      </c>
      <c r="L5" s="29" t="s">
        <v>1</v>
      </c>
      <c r="M5" s="5" t="s">
        <v>2</v>
      </c>
      <c r="N5" s="222" t="s">
        <v>1</v>
      </c>
      <c r="O5" s="4" t="s">
        <v>2</v>
      </c>
      <c r="P5" s="33" t="s">
        <v>1</v>
      </c>
      <c r="Q5" s="72" t="s">
        <v>2</v>
      </c>
      <c r="R5" s="67" t="s">
        <v>1</v>
      </c>
      <c r="S5" s="4" t="s">
        <v>2</v>
      </c>
      <c r="T5" s="33" t="s">
        <v>1</v>
      </c>
      <c r="U5" s="72" t="s">
        <v>2</v>
      </c>
      <c r="V5" s="3" t="s">
        <v>1</v>
      </c>
      <c r="W5" s="4" t="s">
        <v>2</v>
      </c>
      <c r="X5" s="33" t="s">
        <v>1</v>
      </c>
      <c r="Y5" s="223" t="s">
        <v>2</v>
      </c>
      <c r="Z5" s="52" t="s">
        <v>1</v>
      </c>
      <c r="AA5" s="74" t="s">
        <v>2</v>
      </c>
      <c r="AB5" s="76" t="s">
        <v>1</v>
      </c>
      <c r="AC5" s="332" t="s">
        <v>2</v>
      </c>
      <c r="AD5" s="2" t="s">
        <v>1</v>
      </c>
      <c r="AE5" s="4" t="s">
        <v>2</v>
      </c>
      <c r="AF5" s="29" t="s">
        <v>1</v>
      </c>
      <c r="AG5" s="6" t="s">
        <v>2</v>
      </c>
      <c r="AH5" s="3" t="s">
        <v>1</v>
      </c>
      <c r="AI5" s="4" t="s">
        <v>2</v>
      </c>
      <c r="AJ5" s="33" t="s">
        <v>1</v>
      </c>
      <c r="AK5" s="96" t="s">
        <v>2</v>
      </c>
      <c r="AL5" s="114" t="s">
        <v>1</v>
      </c>
      <c r="AM5" s="312" t="s">
        <v>2</v>
      </c>
      <c r="AN5" s="52" t="s">
        <v>1</v>
      </c>
      <c r="AO5" s="115" t="s">
        <v>2</v>
      </c>
      <c r="AP5" s="278" t="s">
        <v>1</v>
      </c>
      <c r="AQ5" s="279" t="s">
        <v>2</v>
      </c>
      <c r="AR5" s="280" t="s">
        <v>1</v>
      </c>
      <c r="AS5" s="281" t="s">
        <v>2</v>
      </c>
      <c r="AT5" s="116" t="s">
        <v>1</v>
      </c>
      <c r="AU5" s="5" t="s">
        <v>2</v>
      </c>
      <c r="AV5" s="33" t="s">
        <v>1</v>
      </c>
      <c r="AW5" s="117" t="s">
        <v>2</v>
      </c>
      <c r="AX5" s="116" t="s">
        <v>1</v>
      </c>
      <c r="AY5" s="5" t="s">
        <v>2</v>
      </c>
      <c r="AZ5" s="33" t="s">
        <v>1</v>
      </c>
      <c r="BA5" s="117" t="s">
        <v>2</v>
      </c>
    </row>
    <row r="6" spans="1:54" ht="15.95" customHeight="1">
      <c r="A6" s="253" t="s">
        <v>3</v>
      </c>
      <c r="B6" s="721"/>
      <c r="C6" s="258" t="str">
        <f t="shared" ref="C6:C11" si="0">IF(ISERR(B6/$B$11),"",B6/$B$11)</f>
        <v/>
      </c>
      <c r="D6" s="723"/>
      <c r="E6" s="118" t="str">
        <f t="shared" ref="E6:E11" si="1">IF(ISERR(D6/$D$11),"",D6/$D$11)</f>
        <v/>
      </c>
      <c r="F6" s="351">
        <f>[8]本社営業!$I$5</f>
        <v>381465167</v>
      </c>
      <c r="G6" s="7">
        <f t="shared" ref="G6:G11" si="2">IF(ISERR(F6/$F$11),"",F6/$F$11)</f>
        <v>0.83430208404682882</v>
      </c>
      <c r="H6" s="354">
        <f>[8]本社営業!$L$5</f>
        <v>3304384173</v>
      </c>
      <c r="I6" s="120">
        <f>IF(ISERR(H6/$H$11),"",H6/$H$11)</f>
        <v>0.80302230098460448</v>
      </c>
      <c r="J6" s="744">
        <f>[8]東大阪!$I$5</f>
        <v>417900</v>
      </c>
      <c r="K6" s="7">
        <f>IF(ISERR(J6/$J$11),"",J6/$J$11)</f>
        <v>4.5511483073191479E-2</v>
      </c>
      <c r="L6" s="354">
        <f>[8]東大阪!$L$5</f>
        <v>3712260</v>
      </c>
      <c r="M6" s="120">
        <f t="shared" ref="M6:M11" si="3">IF(ISERR(L6/$L$11),"",L6/$L$11)</f>
        <v>5.0643365801751661E-2</v>
      </c>
      <c r="N6" s="402">
        <f>[8]南港工場!$I$5</f>
        <v>3126326</v>
      </c>
      <c r="O6" s="7">
        <f t="shared" ref="O6:O11" si="4">IF(ISERR(N6/$N$11),"",N6/$N$11)</f>
        <v>0.12019703645623499</v>
      </c>
      <c r="P6" s="354">
        <f>[8]南港工場!$L$5</f>
        <v>27304403</v>
      </c>
      <c r="Q6" s="203">
        <f t="shared" ref="Q6:Q11" si="5">IF(ISERR(P6/$P$11),"",P6/$P$11)</f>
        <v>0.12624479021369861</v>
      </c>
      <c r="R6" s="436"/>
      <c r="S6" s="7" t="str">
        <f t="shared" ref="S6:S11" si="6">IF(ISERR(R6/$R$11),"",R6/$R$11)</f>
        <v/>
      </c>
      <c r="T6" s="354">
        <f>[8]南港事務!$L$5</f>
        <v>0</v>
      </c>
      <c r="U6" s="203" t="str">
        <f t="shared" ref="U6:U11" si="7">IF(ISERR(T6/$T$11),"",T6/$T$11)</f>
        <v/>
      </c>
      <c r="V6" s="455">
        <f>N6+R6</f>
        <v>3126326</v>
      </c>
      <c r="W6" s="174">
        <f t="shared" ref="W6:W11" si="8">IF(ISERR(V6/$V$11),"",V6/$V$11)</f>
        <v>0.12019703645623499</v>
      </c>
      <c r="X6" s="406">
        <f>P6+T6</f>
        <v>27304403</v>
      </c>
      <c r="Y6" s="224">
        <f t="shared" ref="Y6:Y11" si="9">IF(ISERR(X6/$X$11),"",X6/$X$11)</f>
        <v>0.12624479021369861</v>
      </c>
      <c r="Z6" s="459">
        <f>F6+J6+N6+R6</f>
        <v>385009393</v>
      </c>
      <c r="AA6" s="188">
        <f t="shared" ref="AA6:AA11" si="10">IF(ISERR(Z6/$Z$11),"",Z6/$Z$11)</f>
        <v>0.78187358297628251</v>
      </c>
      <c r="AB6" s="462">
        <f>H6+L6+P6+T6</f>
        <v>3335400836</v>
      </c>
      <c r="AC6" s="119">
        <f t="shared" ref="AC6:AC11" si="11">IF(ISERR(AB6/$AB$11),"",AB6/$AB$11)</f>
        <v>0.7572680804756774</v>
      </c>
      <c r="AD6" s="351">
        <f>[8]東京事務!$I$5</f>
        <v>120024783</v>
      </c>
      <c r="AE6" s="7">
        <f t="shared" ref="AE6:AE11" si="12">IF(ISERR(AD6/$AD$11),"",AD6/$AD$11)</f>
        <v>0.60999672418080075</v>
      </c>
      <c r="AF6" s="354">
        <f>[8]東京事務!$L$5</f>
        <v>1219105082</v>
      </c>
      <c r="AG6" s="80">
        <f t="shared" ref="AG6:AG11" si="13">IF(ISERR(AF6/$AF$11),"",AF6/$AF$11)</f>
        <v>0.63225753764066883</v>
      </c>
      <c r="AH6" s="467">
        <f>[8]東京工場!$I$5</f>
        <v>0</v>
      </c>
      <c r="AI6" s="169">
        <f>IF(ISERR(AH6/$AH$11),"",AH6/$AH$11)</f>
        <v>0</v>
      </c>
      <c r="AJ6" s="354">
        <f>[8]東京工場!$L$5</f>
        <v>0</v>
      </c>
      <c r="AK6" s="97">
        <f t="shared" ref="AK6:AK11" si="14">IF(ISERR(AJ6/$AJ$11),"",AJ6/$AJ$11)</f>
        <v>0</v>
      </c>
      <c r="AL6" s="472">
        <f>AD6+AH6</f>
        <v>120024783</v>
      </c>
      <c r="AM6" s="313">
        <f t="shared" ref="AM6:AM11" si="15">IF(ISERR(AL6/$AL$11),"",AL6/AL$11)</f>
        <v>0.58628127186118106</v>
      </c>
      <c r="AN6" s="477">
        <f>AF6+AJ6</f>
        <v>1219105082</v>
      </c>
      <c r="AO6" s="119">
        <f t="shared" ref="AO6:AO11" si="16">IF(ISERR(AN6/$AN$11),"",AN6/$AN$11)</f>
        <v>0.60773011820851375</v>
      </c>
      <c r="AP6" s="481">
        <f>B6+Z6+AL6</f>
        <v>505034176</v>
      </c>
      <c r="AQ6" s="282">
        <f t="shared" ref="AQ6:AQ11" si="17">IF(ISERR(AP6/$AP$11),"",AP6/$AP$11)</f>
        <v>0.72443602620362257</v>
      </c>
      <c r="AR6" s="486">
        <f>D6+AB6+AN6</f>
        <v>4554505918</v>
      </c>
      <c r="AS6" s="283">
        <f t="shared" ref="AS6:AS11" si="18">IF(ISERR(AR6/$AR$11),"",AR6/$AR$11)</f>
        <v>0.71047421823361123</v>
      </c>
      <c r="AT6" s="573">
        <f>[8]全社合計!$G$5</f>
        <v>607179850</v>
      </c>
      <c r="AU6" s="120">
        <f>IF(ISERR(AT6/$AT$11),"",AT6/$AT$11)</f>
        <v>0.75035017596289377</v>
      </c>
      <c r="AV6" s="577">
        <f>[8]全社合計!$N$5</f>
        <v>5289476114</v>
      </c>
      <c r="AW6" s="121">
        <f>IF(ISERR(AV6/$AV$11),"",AV6/$AV$11)</f>
        <v>0.73183901387842221</v>
      </c>
      <c r="AX6" s="573">
        <f>AP6-AT6</f>
        <v>-102145674</v>
      </c>
      <c r="AY6" s="120">
        <f>IF(ISERROR(AP6/AT6),"",AP6/AT6)</f>
        <v>0.83177031648859889</v>
      </c>
      <c r="AZ6" s="577">
        <f>AR6-AV6</f>
        <v>-734970196</v>
      </c>
      <c r="BA6" s="121">
        <f>IF(ISERROR(AR6/AV6),"",AR6/AV6)</f>
        <v>0.86105047453476413</v>
      </c>
      <c r="BB6" s="8"/>
    </row>
    <row r="7" spans="1:54" ht="15.95" customHeight="1">
      <c r="A7" s="254" t="s">
        <v>53</v>
      </c>
      <c r="B7" s="719"/>
      <c r="C7" s="259" t="str">
        <f t="shared" si="0"/>
        <v/>
      </c>
      <c r="D7" s="723"/>
      <c r="E7" s="122" t="str">
        <f t="shared" si="1"/>
        <v/>
      </c>
      <c r="F7" s="352">
        <f>[8]本社営業!$I$6</f>
        <v>21827545</v>
      </c>
      <c r="G7" s="9">
        <f t="shared" si="2"/>
        <v>4.7739001771362095E-2</v>
      </c>
      <c r="H7" s="355">
        <f>[8]本社営業!$L$6</f>
        <v>306239954</v>
      </c>
      <c r="I7" s="124">
        <f t="shared" ref="I7:I73" si="19">IF(ISERR(H7/$H$11),"",H7/$H$11)</f>
        <v>7.4421586486184715E-2</v>
      </c>
      <c r="J7" s="745">
        <f>[8]東大阪!$I$6</f>
        <v>0</v>
      </c>
      <c r="K7" s="9">
        <f t="shared" ref="K7:K73" si="20">IF(ISERR(J7/$J$11),"",J7/$J$11)</f>
        <v>0</v>
      </c>
      <c r="L7" s="355">
        <f>[8]東大阪!$L$6</f>
        <v>0</v>
      </c>
      <c r="M7" s="124">
        <f t="shared" si="3"/>
        <v>0</v>
      </c>
      <c r="N7" s="403">
        <f>[8]南港工場!$I$6</f>
        <v>0</v>
      </c>
      <c r="O7" s="9">
        <f>IF(ISERR(N7/$N$11),"",N7/$N$11)</f>
        <v>0</v>
      </c>
      <c r="P7" s="355">
        <f>[8]南港工場!$L$6</f>
        <v>0</v>
      </c>
      <c r="Q7" s="204">
        <f t="shared" si="5"/>
        <v>0</v>
      </c>
      <c r="R7" s="437"/>
      <c r="S7" s="9" t="str">
        <f t="shared" si="6"/>
        <v/>
      </c>
      <c r="T7" s="355">
        <f>[8]南港事務!$L$6</f>
        <v>0</v>
      </c>
      <c r="U7" s="204" t="str">
        <f t="shared" si="7"/>
        <v/>
      </c>
      <c r="V7" s="456">
        <f t="shared" ref="V7:V73" si="21">N7+R7</f>
        <v>0</v>
      </c>
      <c r="W7" s="171">
        <f t="shared" si="8"/>
        <v>0</v>
      </c>
      <c r="X7" s="407">
        <f t="shared" ref="X7:X73" si="22">P7+T7</f>
        <v>0</v>
      </c>
      <c r="Y7" s="225">
        <f t="shared" si="9"/>
        <v>0</v>
      </c>
      <c r="Z7" s="460">
        <f t="shared" ref="Z7:Z73" si="23">F7+J7+N7+R7</f>
        <v>21827545</v>
      </c>
      <c r="AA7" s="189">
        <f t="shared" si="10"/>
        <v>4.4327180393560012E-2</v>
      </c>
      <c r="AB7" s="463">
        <f t="shared" ref="AB7:AB73" si="24">H7+L7+P7+T7</f>
        <v>306239954</v>
      </c>
      <c r="AC7" s="123">
        <f t="shared" si="11"/>
        <v>6.9528597470957687E-2</v>
      </c>
      <c r="AD7" s="352">
        <f>[8]東京事務!$I$6</f>
        <v>0</v>
      </c>
      <c r="AE7" s="9">
        <f t="shared" si="12"/>
        <v>0</v>
      </c>
      <c r="AF7" s="355">
        <f>[8]東京事務!$L$6</f>
        <v>0</v>
      </c>
      <c r="AG7" s="81">
        <f t="shared" si="13"/>
        <v>0</v>
      </c>
      <c r="AH7" s="468">
        <f>[8]東京工場!$I$6</f>
        <v>0</v>
      </c>
      <c r="AI7" s="170">
        <f t="shared" ref="AI7:AI73" si="25">IF(ISERR(AH7/$AH$11),"",AH7/$AH$11)</f>
        <v>0</v>
      </c>
      <c r="AJ7" s="355">
        <f>[8]東京工場!$L$6</f>
        <v>0</v>
      </c>
      <c r="AK7" s="98">
        <f t="shared" si="14"/>
        <v>0</v>
      </c>
      <c r="AL7" s="473">
        <f t="shared" ref="AL7:AL73" si="26">AD7+AH7</f>
        <v>0</v>
      </c>
      <c r="AM7" s="314">
        <f t="shared" si="15"/>
        <v>0</v>
      </c>
      <c r="AN7" s="478">
        <f t="shared" ref="AN7:AN73" si="27">AF7+AJ7</f>
        <v>0</v>
      </c>
      <c r="AO7" s="123">
        <f t="shared" si="16"/>
        <v>0</v>
      </c>
      <c r="AP7" s="482">
        <f t="shared" ref="AP7:AP73" si="28">B7+Z7+AL7</f>
        <v>21827545</v>
      </c>
      <c r="AQ7" s="284">
        <f t="shared" si="17"/>
        <v>3.1310079026376128E-2</v>
      </c>
      <c r="AR7" s="487">
        <f t="shared" ref="AR7:AR73" si="29">D7+AB7+AN7</f>
        <v>306239954</v>
      </c>
      <c r="AS7" s="285">
        <f t="shared" si="18"/>
        <v>4.7771502733185617E-2</v>
      </c>
      <c r="AT7" s="574">
        <f>[8]全社合計!$G$6</f>
        <v>34609173</v>
      </c>
      <c r="AU7" s="124">
        <f t="shared" ref="AU7:AU73" si="30">IF(ISERR(AT7/$AT$11),"",AT7/$AT$11)</f>
        <v>4.2769863081721558E-2</v>
      </c>
      <c r="AV7" s="578">
        <f>[8]全社合計!$N$6</f>
        <v>242809522</v>
      </c>
      <c r="AW7" s="125">
        <f t="shared" ref="AW7:AW73" si="31">IF(ISERR(AV7/$AV$11),"",AV7/$AV$11)</f>
        <v>3.3594533241287847E-2</v>
      </c>
      <c r="AX7" s="574">
        <f t="shared" ref="AX7:AX73" si="32">AP7-AT7</f>
        <v>-12781628</v>
      </c>
      <c r="AY7" s="124">
        <f t="shared" ref="AY7:AY73" si="33">IF(ISERROR(AP7/AT7),"",AP7/AT7)</f>
        <v>0.63068669684768253</v>
      </c>
      <c r="AZ7" s="578">
        <f t="shared" ref="AZ7:AZ73" si="34">AR7-AV7</f>
        <v>63430432</v>
      </c>
      <c r="BA7" s="125">
        <f t="shared" ref="BA7:BA73" si="35">IF(ISERROR(AR7/AV7),"",AR7/AV7)</f>
        <v>1.2612353563300536</v>
      </c>
      <c r="BB7" s="8"/>
    </row>
    <row r="8" spans="1:54" ht="15.95" customHeight="1">
      <c r="A8" s="255" t="s">
        <v>4</v>
      </c>
      <c r="B8" s="706"/>
      <c r="C8" s="259" t="str">
        <f t="shared" si="0"/>
        <v/>
      </c>
      <c r="D8" s="723"/>
      <c r="E8" s="122" t="str">
        <f t="shared" si="1"/>
        <v/>
      </c>
      <c r="F8" s="352">
        <f>[8]本社営業!$I$7</f>
        <v>1495112</v>
      </c>
      <c r="G8" s="9">
        <f t="shared" si="2"/>
        <v>3.2699579552526283E-3</v>
      </c>
      <c r="H8" s="356">
        <f>[8]本社営業!$L$7</f>
        <v>15228135</v>
      </c>
      <c r="I8" s="124">
        <f t="shared" si="19"/>
        <v>3.7006992429400522E-3</v>
      </c>
      <c r="J8" s="745">
        <f>[8]東大阪!$I$7</f>
        <v>0</v>
      </c>
      <c r="K8" s="9">
        <f t="shared" si="20"/>
        <v>0</v>
      </c>
      <c r="L8" s="356">
        <f>[8]東大阪!$L$7</f>
        <v>0</v>
      </c>
      <c r="M8" s="124">
        <f t="shared" si="3"/>
        <v>0</v>
      </c>
      <c r="N8" s="403">
        <f>[8]南港工場!$I$7</f>
        <v>13729804</v>
      </c>
      <c r="O8" s="9">
        <f t="shared" si="4"/>
        <v>0.52786617644000045</v>
      </c>
      <c r="P8" s="356">
        <f>[8]南港工場!$L$7</f>
        <v>113610022</v>
      </c>
      <c r="Q8" s="204">
        <f t="shared" si="5"/>
        <v>0.52528793226366033</v>
      </c>
      <c r="R8" s="437"/>
      <c r="S8" s="9" t="str">
        <f t="shared" si="6"/>
        <v/>
      </c>
      <c r="T8" s="356">
        <f>[8]南港事務!$L$7</f>
        <v>0</v>
      </c>
      <c r="U8" s="204" t="str">
        <f t="shared" si="7"/>
        <v/>
      </c>
      <c r="V8" s="456">
        <f t="shared" si="21"/>
        <v>13729804</v>
      </c>
      <c r="W8" s="171">
        <f t="shared" si="8"/>
        <v>0.52786617644000045</v>
      </c>
      <c r="X8" s="408">
        <f t="shared" si="22"/>
        <v>113610022</v>
      </c>
      <c r="Y8" s="225">
        <f t="shared" si="9"/>
        <v>0.52528793226366033</v>
      </c>
      <c r="Z8" s="460">
        <f t="shared" si="23"/>
        <v>15224916</v>
      </c>
      <c r="AA8" s="189">
        <f t="shared" si="10"/>
        <v>3.0918621311228456E-2</v>
      </c>
      <c r="AB8" s="464">
        <f t="shared" si="24"/>
        <v>128838157</v>
      </c>
      <c r="AC8" s="123">
        <f t="shared" si="11"/>
        <v>2.925136397112001E-2</v>
      </c>
      <c r="AD8" s="352">
        <f>[8]東京事務!$I$7</f>
        <v>30000</v>
      </c>
      <c r="AE8" s="9">
        <f t="shared" si="12"/>
        <v>1.5246769265497463E-4</v>
      </c>
      <c r="AF8" s="356">
        <f>[8]東京事務!$L$7</f>
        <v>1549800</v>
      </c>
      <c r="AG8" s="81">
        <f t="shared" si="13"/>
        <v>8.0376396284722283E-4</v>
      </c>
      <c r="AH8" s="468">
        <f>[8]東京工場!$I$7</f>
        <v>0</v>
      </c>
      <c r="AI8" s="171">
        <f t="shared" si="25"/>
        <v>0</v>
      </c>
      <c r="AJ8" s="356">
        <f>[8]東京工場!$L$7</f>
        <v>0</v>
      </c>
      <c r="AK8" s="99">
        <f t="shared" si="14"/>
        <v>0</v>
      </c>
      <c r="AL8" s="474">
        <f t="shared" si="26"/>
        <v>30000</v>
      </c>
      <c r="AM8" s="314">
        <f t="shared" si="15"/>
        <v>1.465400537806882E-4</v>
      </c>
      <c r="AN8" s="478">
        <f t="shared" si="27"/>
        <v>1549800</v>
      </c>
      <c r="AO8" s="123">
        <f t="shared" si="16"/>
        <v>7.725832260943316E-4</v>
      </c>
      <c r="AP8" s="483">
        <f t="shared" si="28"/>
        <v>15254916</v>
      </c>
      <c r="AQ8" s="284">
        <f t="shared" si="17"/>
        <v>2.1882104721384361E-2</v>
      </c>
      <c r="AR8" s="487">
        <f t="shared" si="29"/>
        <v>130387957</v>
      </c>
      <c r="AS8" s="285">
        <f t="shared" si="18"/>
        <v>2.0339699516151277E-2</v>
      </c>
      <c r="AT8" s="575">
        <f>[8]全社合計!$G$7</f>
        <v>16259788</v>
      </c>
      <c r="AU8" s="124">
        <f t="shared" si="30"/>
        <v>2.009377417073269E-2</v>
      </c>
      <c r="AV8" s="578">
        <f>[8]全社合計!$N$7</f>
        <v>130456893</v>
      </c>
      <c r="AW8" s="125">
        <f t="shared" si="31"/>
        <v>1.8049697525633415E-2</v>
      </c>
      <c r="AX8" s="575">
        <f t="shared" si="32"/>
        <v>-1004872</v>
      </c>
      <c r="AY8" s="124">
        <f t="shared" si="33"/>
        <v>0.93819894822736927</v>
      </c>
      <c r="AZ8" s="578">
        <f t="shared" si="34"/>
        <v>-68936</v>
      </c>
      <c r="BA8" s="125">
        <f t="shared" si="35"/>
        <v>0.99947158024068528</v>
      </c>
      <c r="BB8" s="11"/>
    </row>
    <row r="9" spans="1:54" ht="15.95" customHeight="1">
      <c r="A9" s="255" t="s">
        <v>5</v>
      </c>
      <c r="B9" s="706"/>
      <c r="C9" s="259" t="str">
        <f t="shared" si="0"/>
        <v/>
      </c>
      <c r="D9" s="723"/>
      <c r="E9" s="122" t="str">
        <f t="shared" si="1"/>
        <v/>
      </c>
      <c r="F9" s="352">
        <f>[8]本社営業!$I$8</f>
        <v>675201</v>
      </c>
      <c r="G9" s="9">
        <f t="shared" si="2"/>
        <v>1.4767314297153189E-3</v>
      </c>
      <c r="H9" s="356">
        <f>[8]本社営業!$L$8</f>
        <v>8074782</v>
      </c>
      <c r="I9" s="124">
        <f>IF(ISERR(H9/$H$11),"",H9/$H$11)</f>
        <v>1.9623111848106126E-3</v>
      </c>
      <c r="J9" s="745">
        <f>[8]東大阪!$I$8</f>
        <v>0</v>
      </c>
      <c r="K9" s="9">
        <f>IF(ISERR(J9/$J$11),"",J9/$J$11)</f>
        <v>0</v>
      </c>
      <c r="L9" s="356">
        <f>[8]東大阪!$L$8</f>
        <v>0</v>
      </c>
      <c r="M9" s="124">
        <f t="shared" si="3"/>
        <v>0</v>
      </c>
      <c r="N9" s="403">
        <f>[8]南港工場!$I$8</f>
        <v>3905756</v>
      </c>
      <c r="O9" s="9">
        <f t="shared" si="4"/>
        <v>0.15016357741360259</v>
      </c>
      <c r="P9" s="356">
        <f>[8]南港工場!$L$8</f>
        <v>34450265</v>
      </c>
      <c r="Q9" s="204">
        <f t="shared" si="5"/>
        <v>0.15928443766858127</v>
      </c>
      <c r="R9" s="437"/>
      <c r="S9" s="9" t="str">
        <f t="shared" si="6"/>
        <v/>
      </c>
      <c r="T9" s="356">
        <f>[8]南港事務!$L$8</f>
        <v>0</v>
      </c>
      <c r="U9" s="204" t="str">
        <f t="shared" si="7"/>
        <v/>
      </c>
      <c r="V9" s="456">
        <f t="shared" si="21"/>
        <v>3905756</v>
      </c>
      <c r="W9" s="171">
        <f t="shared" si="8"/>
        <v>0.15016357741360259</v>
      </c>
      <c r="X9" s="408">
        <f t="shared" si="22"/>
        <v>34450265</v>
      </c>
      <c r="Y9" s="225">
        <f t="shared" si="9"/>
        <v>0.15928443766858127</v>
      </c>
      <c r="Z9" s="460">
        <f t="shared" si="23"/>
        <v>4580957</v>
      </c>
      <c r="AA9" s="189">
        <f t="shared" si="10"/>
        <v>9.3029659228347251E-3</v>
      </c>
      <c r="AB9" s="464">
        <f t="shared" si="24"/>
        <v>42525047</v>
      </c>
      <c r="AC9" s="123">
        <f t="shared" si="11"/>
        <v>9.6548697734475126E-3</v>
      </c>
      <c r="AD9" s="352">
        <f>[8]東京事務!$I$8</f>
        <v>0</v>
      </c>
      <c r="AE9" s="9">
        <f t="shared" si="12"/>
        <v>0</v>
      </c>
      <c r="AF9" s="356">
        <f>[8]東京事務!$L$8</f>
        <v>101380</v>
      </c>
      <c r="AG9" s="81">
        <f t="shared" si="13"/>
        <v>5.2578133019390537E-5</v>
      </c>
      <c r="AH9" s="468">
        <f>[8]東京工場!$I$8</f>
        <v>0</v>
      </c>
      <c r="AI9" s="171">
        <f t="shared" si="25"/>
        <v>0</v>
      </c>
      <c r="AJ9" s="356">
        <f>[8]東京工場!$L$8</f>
        <v>0</v>
      </c>
      <c r="AK9" s="99">
        <f t="shared" si="14"/>
        <v>0</v>
      </c>
      <c r="AL9" s="474">
        <f t="shared" si="26"/>
        <v>0</v>
      </c>
      <c r="AM9" s="314">
        <f t="shared" si="15"/>
        <v>0</v>
      </c>
      <c r="AN9" s="478">
        <f t="shared" si="27"/>
        <v>101380</v>
      </c>
      <c r="AO9" s="123">
        <f t="shared" si="16"/>
        <v>5.0538448484606619E-5</v>
      </c>
      <c r="AP9" s="483">
        <f t="shared" si="28"/>
        <v>4580957</v>
      </c>
      <c r="AQ9" s="284">
        <f t="shared" si="17"/>
        <v>6.5710608172577772E-3</v>
      </c>
      <c r="AR9" s="487">
        <f t="shared" si="29"/>
        <v>42626427</v>
      </c>
      <c r="AS9" s="285">
        <f t="shared" si="18"/>
        <v>6.6494539570641307E-3</v>
      </c>
      <c r="AT9" s="575">
        <f>[8]全社合計!$G$8</f>
        <v>5911429</v>
      </c>
      <c r="AU9" s="124">
        <f t="shared" si="30"/>
        <v>7.305317840080091E-3</v>
      </c>
      <c r="AV9" s="578">
        <f>[8]全社合計!$N$8</f>
        <v>46052731</v>
      </c>
      <c r="AW9" s="125">
        <f t="shared" si="31"/>
        <v>6.3717435366129806E-3</v>
      </c>
      <c r="AX9" s="575">
        <f t="shared" si="32"/>
        <v>-1330472</v>
      </c>
      <c r="AY9" s="124">
        <f t="shared" si="33"/>
        <v>0.77493225411317634</v>
      </c>
      <c r="AZ9" s="578">
        <f t="shared" si="34"/>
        <v>-3426304</v>
      </c>
      <c r="BA9" s="125">
        <f t="shared" si="35"/>
        <v>0.92560041661807202</v>
      </c>
      <c r="BB9" s="11"/>
    </row>
    <row r="10" spans="1:54" ht="15.95" customHeight="1">
      <c r="A10" s="256" t="s">
        <v>6</v>
      </c>
      <c r="B10" s="720"/>
      <c r="C10" s="260" t="str">
        <f t="shared" si="0"/>
        <v/>
      </c>
      <c r="D10" s="724"/>
      <c r="E10" s="126" t="str">
        <f t="shared" si="1"/>
        <v/>
      </c>
      <c r="F10" s="353">
        <f>[8]本社営業!$I$9</f>
        <v>51763649</v>
      </c>
      <c r="G10" s="12">
        <f t="shared" si="2"/>
        <v>0.11321222479684113</v>
      </c>
      <c r="H10" s="357">
        <f>[8]本社営業!$L$9</f>
        <v>481007459</v>
      </c>
      <c r="I10" s="128">
        <f>IF(ISERR(H10/$H$11),"",H10/$H$11)</f>
        <v>0.1168931021014601</v>
      </c>
      <c r="J10" s="746">
        <f>[8]東大阪!$I$9</f>
        <v>8764398</v>
      </c>
      <c r="K10" s="12">
        <f t="shared" si="20"/>
        <v>0.95448851692680847</v>
      </c>
      <c r="L10" s="357">
        <f>[8]東大阪!$L$9</f>
        <v>69589740</v>
      </c>
      <c r="M10" s="128">
        <f t="shared" si="3"/>
        <v>0.94935663419824834</v>
      </c>
      <c r="N10" s="404">
        <f>[8]南港工場!$I$9</f>
        <v>5248123</v>
      </c>
      <c r="O10" s="12">
        <f t="shared" si="4"/>
        <v>0.20177320969016196</v>
      </c>
      <c r="P10" s="357">
        <f>[8]南港工場!$L$9</f>
        <v>40916734</v>
      </c>
      <c r="Q10" s="205">
        <f t="shared" si="5"/>
        <v>0.18918283985405979</v>
      </c>
      <c r="R10" s="438"/>
      <c r="S10" s="12" t="str">
        <f t="shared" si="6"/>
        <v/>
      </c>
      <c r="T10" s="357">
        <f>[8]南港事務!$L$9</f>
        <v>0</v>
      </c>
      <c r="U10" s="205" t="str">
        <f t="shared" si="7"/>
        <v/>
      </c>
      <c r="V10" s="457">
        <f t="shared" si="21"/>
        <v>5248123</v>
      </c>
      <c r="W10" s="172">
        <f t="shared" si="8"/>
        <v>0.20177320969016196</v>
      </c>
      <c r="X10" s="409">
        <f t="shared" si="22"/>
        <v>40916734</v>
      </c>
      <c r="Y10" s="226">
        <f t="shared" si="9"/>
        <v>0.18918283985405979</v>
      </c>
      <c r="Z10" s="461">
        <f t="shared" si="23"/>
        <v>65776170</v>
      </c>
      <c r="AA10" s="190">
        <f t="shared" si="10"/>
        <v>0.13357764939609426</v>
      </c>
      <c r="AB10" s="465">
        <f t="shared" si="24"/>
        <v>591513933</v>
      </c>
      <c r="AC10" s="127">
        <f t="shared" si="11"/>
        <v>0.13429708830879733</v>
      </c>
      <c r="AD10" s="353">
        <f>[8]東京事務!$I$9</f>
        <v>76708213</v>
      </c>
      <c r="AE10" s="12">
        <f t="shared" si="12"/>
        <v>0.38985080812654427</v>
      </c>
      <c r="AF10" s="357">
        <f>[8]東京事務!$L$9</f>
        <v>707421750</v>
      </c>
      <c r="AG10" s="82">
        <f t="shared" si="13"/>
        <v>0.36688612026346457</v>
      </c>
      <c r="AH10" s="469">
        <f>[8]東京工場!$I$9</f>
        <v>7959189</v>
      </c>
      <c r="AI10" s="172">
        <f t="shared" si="25"/>
        <v>1</v>
      </c>
      <c r="AJ10" s="357">
        <f>[8]東京工場!$L$9</f>
        <v>77819462</v>
      </c>
      <c r="AK10" s="100">
        <f t="shared" si="14"/>
        <v>1</v>
      </c>
      <c r="AL10" s="475">
        <f t="shared" si="26"/>
        <v>84667402</v>
      </c>
      <c r="AM10" s="315">
        <f t="shared" si="15"/>
        <v>0.41357218808503826</v>
      </c>
      <c r="AN10" s="479">
        <f t="shared" si="27"/>
        <v>785241212</v>
      </c>
      <c r="AO10" s="127">
        <f t="shared" si="16"/>
        <v>0.39144676011690732</v>
      </c>
      <c r="AP10" s="484">
        <f t="shared" si="28"/>
        <v>150443572</v>
      </c>
      <c r="AQ10" s="286">
        <f t="shared" si="17"/>
        <v>0.21580072923135915</v>
      </c>
      <c r="AR10" s="488">
        <f t="shared" si="29"/>
        <v>1376755145</v>
      </c>
      <c r="AS10" s="287">
        <f t="shared" si="18"/>
        <v>0.21476512555998772</v>
      </c>
      <c r="AT10" s="576">
        <f>[8]全社合計!$G$9</f>
        <v>145235079</v>
      </c>
      <c r="AU10" s="128">
        <f t="shared" si="30"/>
        <v>0.17948086894457183</v>
      </c>
      <c r="AV10" s="579">
        <f>[8]全社合計!$N$9</f>
        <v>1518854556</v>
      </c>
      <c r="AW10" s="129">
        <f t="shared" si="31"/>
        <v>0.21014501181804351</v>
      </c>
      <c r="AX10" s="576">
        <f t="shared" si="32"/>
        <v>5208493</v>
      </c>
      <c r="AY10" s="128">
        <f t="shared" si="33"/>
        <v>1.0358624998579027</v>
      </c>
      <c r="AZ10" s="579">
        <f t="shared" si="34"/>
        <v>-142099411</v>
      </c>
      <c r="BA10" s="129">
        <f t="shared" si="35"/>
        <v>0.90644304259505415</v>
      </c>
      <c r="BB10" s="11"/>
    </row>
    <row r="11" spans="1:54" ht="19.899999999999999" customHeight="1">
      <c r="A11" s="62" t="s">
        <v>7</v>
      </c>
      <c r="B11" s="722"/>
      <c r="C11" s="132" t="str">
        <f t="shared" si="0"/>
        <v/>
      </c>
      <c r="D11" s="359"/>
      <c r="E11" s="130" t="str">
        <f t="shared" si="1"/>
        <v/>
      </c>
      <c r="F11" s="358">
        <f>SUM(F6:F10)</f>
        <v>457226674</v>
      </c>
      <c r="G11" s="63">
        <f t="shared" si="2"/>
        <v>1</v>
      </c>
      <c r="H11" s="359">
        <f>SUM(H6:H10)</f>
        <v>4114934503</v>
      </c>
      <c r="I11" s="132">
        <f>IF(ISERR(H11/$H$11),"",H11/$H$11)</f>
        <v>1</v>
      </c>
      <c r="J11" s="747">
        <f>SUM(J6:J10)</f>
        <v>9182298</v>
      </c>
      <c r="K11" s="63">
        <f t="shared" si="20"/>
        <v>1</v>
      </c>
      <c r="L11" s="359">
        <f>SUM(L6:L10)</f>
        <v>73302000</v>
      </c>
      <c r="M11" s="132">
        <f t="shared" si="3"/>
        <v>1</v>
      </c>
      <c r="N11" s="405">
        <f>SUM(N6:N10)</f>
        <v>26010009</v>
      </c>
      <c r="O11" s="63">
        <f t="shared" si="4"/>
        <v>1</v>
      </c>
      <c r="P11" s="359">
        <f>SUM(P6:P10)</f>
        <v>216281424</v>
      </c>
      <c r="Q11" s="206">
        <f t="shared" si="5"/>
        <v>1</v>
      </c>
      <c r="R11" s="439">
        <f>SUM(R6:R10)</f>
        <v>0</v>
      </c>
      <c r="S11" s="63" t="str">
        <f t="shared" si="6"/>
        <v/>
      </c>
      <c r="T11" s="359">
        <f>SUM(T6:T10)</f>
        <v>0</v>
      </c>
      <c r="U11" s="206" t="str">
        <f t="shared" si="7"/>
        <v/>
      </c>
      <c r="V11" s="458">
        <f t="shared" si="21"/>
        <v>26010009</v>
      </c>
      <c r="W11" s="173">
        <f t="shared" si="8"/>
        <v>1</v>
      </c>
      <c r="X11" s="410">
        <f t="shared" si="22"/>
        <v>216281424</v>
      </c>
      <c r="Y11" s="227">
        <f t="shared" si="9"/>
        <v>1</v>
      </c>
      <c r="Z11" s="458">
        <f t="shared" si="23"/>
        <v>492418981</v>
      </c>
      <c r="AA11" s="191">
        <f t="shared" si="10"/>
        <v>1</v>
      </c>
      <c r="AB11" s="410">
        <f t="shared" si="24"/>
        <v>4404517927</v>
      </c>
      <c r="AC11" s="131">
        <f t="shared" si="11"/>
        <v>1</v>
      </c>
      <c r="AD11" s="466">
        <f>SUM(AD6:AD10)</f>
        <v>196762996</v>
      </c>
      <c r="AE11" s="63">
        <f t="shared" si="12"/>
        <v>1</v>
      </c>
      <c r="AF11" s="359">
        <f>SUM(AF6:AF10)</f>
        <v>1928178012</v>
      </c>
      <c r="AG11" s="83">
        <f t="shared" si="13"/>
        <v>1</v>
      </c>
      <c r="AH11" s="470">
        <f>SUM(AH6:AH10)</f>
        <v>7959189</v>
      </c>
      <c r="AI11" s="173">
        <f t="shared" si="25"/>
        <v>1</v>
      </c>
      <c r="AJ11" s="359">
        <f>SUM(AJ6:AJ10)</f>
        <v>77819462</v>
      </c>
      <c r="AK11" s="101">
        <f t="shared" si="14"/>
        <v>1</v>
      </c>
      <c r="AL11" s="476">
        <f t="shared" si="26"/>
        <v>204722185</v>
      </c>
      <c r="AM11" s="316">
        <f t="shared" si="15"/>
        <v>1</v>
      </c>
      <c r="AN11" s="480">
        <f t="shared" si="27"/>
        <v>2005997474</v>
      </c>
      <c r="AO11" s="131">
        <f t="shared" si="16"/>
        <v>1</v>
      </c>
      <c r="AP11" s="485">
        <f t="shared" si="28"/>
        <v>697141166</v>
      </c>
      <c r="AQ11" s="132">
        <f t="shared" si="17"/>
        <v>1</v>
      </c>
      <c r="AR11" s="428">
        <f t="shared" si="29"/>
        <v>6410515401</v>
      </c>
      <c r="AS11" s="131">
        <f t="shared" si="18"/>
        <v>1</v>
      </c>
      <c r="AT11" s="485">
        <f>SUM(AT6:AT10)</f>
        <v>809195319</v>
      </c>
      <c r="AU11" s="132">
        <f t="shared" si="30"/>
        <v>1</v>
      </c>
      <c r="AV11" s="410">
        <f>SUM(AV6:AV10)</f>
        <v>7227649816</v>
      </c>
      <c r="AW11" s="131">
        <f t="shared" si="31"/>
        <v>1</v>
      </c>
      <c r="AX11" s="485">
        <f t="shared" si="32"/>
        <v>-112054153</v>
      </c>
      <c r="AY11" s="132">
        <f t="shared" si="33"/>
        <v>0.86152397280488968</v>
      </c>
      <c r="AZ11" s="410">
        <f t="shared" si="34"/>
        <v>-817134415</v>
      </c>
      <c r="BA11" s="131">
        <f t="shared" si="35"/>
        <v>0.88694327536579143</v>
      </c>
      <c r="BB11" s="13"/>
    </row>
    <row r="12" spans="1:54" ht="15.95" customHeight="1">
      <c r="A12" s="65" t="s">
        <v>8</v>
      </c>
      <c r="B12" s="606"/>
      <c r="C12" s="607"/>
      <c r="D12" s="608"/>
      <c r="E12" s="609"/>
      <c r="F12" s="386">
        <f>[8]本社営業!$I$11</f>
        <v>2092425</v>
      </c>
      <c r="G12" s="610"/>
      <c r="H12" s="608">
        <f>[8]本社営業!$L$11</f>
        <v>19737158</v>
      </c>
      <c r="I12" s="607"/>
      <c r="J12" s="748">
        <f>[8]東大阪!$I$11</f>
        <v>35398</v>
      </c>
      <c r="K12" s="610"/>
      <c r="L12" s="608">
        <f>[8]東大阪!$L$11</f>
        <v>239924</v>
      </c>
      <c r="M12" s="607"/>
      <c r="N12" s="612">
        <f>[8]南港工場!$I$11</f>
        <v>80555</v>
      </c>
      <c r="O12" s="610"/>
      <c r="P12" s="608">
        <f>[8]南港工場!$L$11</f>
        <v>694063</v>
      </c>
      <c r="Q12" s="614"/>
      <c r="R12" s="615"/>
      <c r="S12" s="610"/>
      <c r="T12" s="608">
        <f>[8]南港事務!$L$11</f>
        <v>0</v>
      </c>
      <c r="U12" s="614"/>
      <c r="V12" s="616">
        <f t="shared" si="21"/>
        <v>80555</v>
      </c>
      <c r="W12" s="617"/>
      <c r="X12" s="613">
        <f t="shared" si="22"/>
        <v>694063</v>
      </c>
      <c r="Y12" s="618"/>
      <c r="Z12" s="616">
        <f t="shared" si="23"/>
        <v>2208378</v>
      </c>
      <c r="AA12" s="619"/>
      <c r="AB12" s="613">
        <f t="shared" si="24"/>
        <v>20671145</v>
      </c>
      <c r="AC12" s="620"/>
      <c r="AD12" s="386">
        <f>[8]東京事務!$I$11</f>
        <v>824037</v>
      </c>
      <c r="AE12" s="610"/>
      <c r="AF12" s="608">
        <f>[8]東京事務!$L$11</f>
        <v>8140123</v>
      </c>
      <c r="AG12" s="621"/>
      <c r="AH12" s="622"/>
      <c r="AI12" s="617">
        <f t="shared" si="25"/>
        <v>0</v>
      </c>
      <c r="AJ12" s="608">
        <f>[8]東京工場!$L$11</f>
        <v>0</v>
      </c>
      <c r="AK12" s="623"/>
      <c r="AL12" s="624">
        <f t="shared" si="26"/>
        <v>824037</v>
      </c>
      <c r="AM12" s="625"/>
      <c r="AN12" s="626">
        <f t="shared" si="27"/>
        <v>8140123</v>
      </c>
      <c r="AO12" s="620"/>
      <c r="AP12" s="627">
        <f t="shared" si="28"/>
        <v>3032415</v>
      </c>
      <c r="AQ12" s="628"/>
      <c r="AR12" s="629">
        <f t="shared" si="29"/>
        <v>28811268</v>
      </c>
      <c r="AS12" s="630"/>
      <c r="AT12" s="631">
        <f>[8]全社合計!$G$11</f>
        <v>3489500</v>
      </c>
      <c r="AU12" s="607"/>
      <c r="AV12" s="632">
        <f>[8]全社合計!$N$11</f>
        <v>30153912</v>
      </c>
      <c r="AW12" s="620"/>
      <c r="AX12" s="631">
        <f t="shared" si="32"/>
        <v>-457085</v>
      </c>
      <c r="AY12" s="607"/>
      <c r="AZ12" s="632">
        <f t="shared" si="34"/>
        <v>-1342644</v>
      </c>
      <c r="BA12" s="620"/>
      <c r="BB12" s="11"/>
    </row>
    <row r="13" spans="1:54" ht="15.95" customHeight="1">
      <c r="A13" s="66" t="s">
        <v>9</v>
      </c>
      <c r="B13" s="636"/>
      <c r="C13" s="637"/>
      <c r="D13" s="638"/>
      <c r="E13" s="639"/>
      <c r="F13" s="640"/>
      <c r="G13" s="641"/>
      <c r="H13" s="638">
        <f>[8]本社営業!$N$12</f>
        <v>0</v>
      </c>
      <c r="I13" s="637"/>
      <c r="J13" s="749"/>
      <c r="K13" s="641"/>
      <c r="L13" s="638">
        <f>[8]東大阪!$L$12</f>
        <v>0</v>
      </c>
      <c r="M13" s="637"/>
      <c r="N13" s="643">
        <f>[8]南港工場!$I$12</f>
        <v>3696537</v>
      </c>
      <c r="O13" s="641"/>
      <c r="P13" s="638">
        <f>[8]南港工場!$L$12</f>
        <v>30748124</v>
      </c>
      <c r="Q13" s="645"/>
      <c r="R13" s="646"/>
      <c r="S13" s="641"/>
      <c r="T13" s="638">
        <f>[8]南港事務!$N$12</f>
        <v>0</v>
      </c>
      <c r="U13" s="645"/>
      <c r="V13" s="647">
        <f t="shared" si="21"/>
        <v>3696537</v>
      </c>
      <c r="W13" s="648"/>
      <c r="X13" s="644">
        <f t="shared" si="22"/>
        <v>30748124</v>
      </c>
      <c r="Y13" s="649"/>
      <c r="Z13" s="647">
        <f t="shared" si="23"/>
        <v>3696537</v>
      </c>
      <c r="AA13" s="650"/>
      <c r="AB13" s="644">
        <f t="shared" si="24"/>
        <v>30748124</v>
      </c>
      <c r="AC13" s="651"/>
      <c r="AD13" s="640"/>
      <c r="AE13" s="641"/>
      <c r="AF13" s="638">
        <f>[8]東京事務!$L$12</f>
        <v>0</v>
      </c>
      <c r="AG13" s="652"/>
      <c r="AH13" s="653"/>
      <c r="AI13" s="648">
        <f t="shared" si="25"/>
        <v>0</v>
      </c>
      <c r="AJ13" s="638">
        <f>[8]東京工場!$L$12</f>
        <v>0</v>
      </c>
      <c r="AK13" s="654"/>
      <c r="AL13" s="655">
        <f t="shared" si="26"/>
        <v>0</v>
      </c>
      <c r="AM13" s="656"/>
      <c r="AN13" s="657">
        <f t="shared" si="27"/>
        <v>0</v>
      </c>
      <c r="AO13" s="651"/>
      <c r="AP13" s="658">
        <f t="shared" si="28"/>
        <v>3696537</v>
      </c>
      <c r="AQ13" s="659"/>
      <c r="AR13" s="660">
        <f t="shared" si="29"/>
        <v>30748124</v>
      </c>
      <c r="AS13" s="661"/>
      <c r="AT13" s="662">
        <f>[8]全社合計!$G$12</f>
        <v>3889925</v>
      </c>
      <c r="AU13" s="637"/>
      <c r="AV13" s="663">
        <f>[8]全社合計!$N$12</f>
        <v>31517587</v>
      </c>
      <c r="AW13" s="651"/>
      <c r="AX13" s="662">
        <f t="shared" si="32"/>
        <v>-193388</v>
      </c>
      <c r="AY13" s="637"/>
      <c r="AZ13" s="663">
        <f t="shared" si="34"/>
        <v>-769463</v>
      </c>
      <c r="BA13" s="651"/>
      <c r="BB13" s="11"/>
    </row>
    <row r="14" spans="1:54" ht="15.95" customHeight="1">
      <c r="A14" s="35" t="s">
        <v>10</v>
      </c>
      <c r="B14" s="705"/>
      <c r="C14" s="258" t="str">
        <f>IF(ISERR(B14/$B$11),"",B14/$B$11)</f>
        <v/>
      </c>
      <c r="D14" s="725"/>
      <c r="E14" s="118" t="str">
        <f>IF(ISERR(D14/$D$11),"",D14/$D$11)</f>
        <v/>
      </c>
      <c r="F14" s="351">
        <f>[8]本社営業!$I$14</f>
        <v>1079439128</v>
      </c>
      <c r="G14" s="7">
        <f>IF(ISERR(F14/$F$11),"",F14/$F$11)</f>
        <v>2.3608402339186361</v>
      </c>
      <c r="H14" s="360">
        <f>[8]本社営業!$L$14</f>
        <v>1205973702</v>
      </c>
      <c r="I14" s="120">
        <f>IF(ISERR(H14/$H$11),"",H14/$H$11)</f>
        <v>0.29307239304071131</v>
      </c>
      <c r="J14" s="744"/>
      <c r="K14" s="7">
        <f t="shared" si="20"/>
        <v>0</v>
      </c>
      <c r="L14" s="360">
        <f>[8]東大阪!$L$14</f>
        <v>0</v>
      </c>
      <c r="M14" s="203">
        <f>IF(ISERR(L14/$L$11),"",L14/$L$11)</f>
        <v>0</v>
      </c>
      <c r="N14" s="402"/>
      <c r="O14" s="7">
        <f>IF(ISERR(N14/$N$11),"",N14/$N$11)</f>
        <v>0</v>
      </c>
      <c r="P14" s="360">
        <f>[8]南港工場!$L$14</f>
        <v>0</v>
      </c>
      <c r="Q14" s="203">
        <f>IF(ISERR(P14/$P$11),"",P14/$P$11)</f>
        <v>0</v>
      </c>
      <c r="R14" s="436"/>
      <c r="S14" s="7" t="str">
        <f>IF(ISERR(R14/$R$11),"",R14/$R$11)</f>
        <v/>
      </c>
      <c r="T14" s="360">
        <f>[8]南港事務!$L$14</f>
        <v>0</v>
      </c>
      <c r="U14" s="203" t="str">
        <f>IF(ISERR(T14/$T$11),"",T14/$T$11)</f>
        <v/>
      </c>
      <c r="V14" s="455">
        <f t="shared" si="21"/>
        <v>0</v>
      </c>
      <c r="W14" s="174">
        <f>IF(ISERR(V14/$V$11),"",V14/$V$11)</f>
        <v>0</v>
      </c>
      <c r="X14" s="421">
        <f t="shared" si="22"/>
        <v>0</v>
      </c>
      <c r="Y14" s="224">
        <f>IF(ISERR(X14/$X$11),"",X14/$X$11)</f>
        <v>0</v>
      </c>
      <c r="Z14" s="459">
        <f t="shared" si="23"/>
        <v>1079439128</v>
      </c>
      <c r="AA14" s="188">
        <f>IF(ISERR(Z14/$Z$11),"",Z14/$Z$11)</f>
        <v>2.1921151898082498</v>
      </c>
      <c r="AB14" s="502">
        <f t="shared" si="24"/>
        <v>1205973702</v>
      </c>
      <c r="AC14" s="119">
        <f>IF(ISERR(AB14/$AB$11),"",AB14/$AB$11)</f>
        <v>0.27380379010545008</v>
      </c>
      <c r="AD14" s="351">
        <f>[8]東京事務!$I$14</f>
        <v>680214956</v>
      </c>
      <c r="AE14" s="7">
        <f>IF(ISERR(AD14/$AD$11),"",AD14/$AD$11)</f>
        <v>3.457026828357503</v>
      </c>
      <c r="AF14" s="360">
        <f>[8]東京事務!$L$14</f>
        <v>804499700</v>
      </c>
      <c r="AG14" s="80">
        <f>IF(ISERR(AF14/$AF$11),"",AF14/$AF$11)</f>
        <v>0.4172331055500077</v>
      </c>
      <c r="AH14" s="467"/>
      <c r="AI14" s="174">
        <f t="shared" si="25"/>
        <v>0</v>
      </c>
      <c r="AJ14" s="360">
        <f>[8]東京工場!$L$14</f>
        <v>0</v>
      </c>
      <c r="AK14" s="102">
        <f t="shared" ref="AK14:AK77" si="36">IF(ISERR(AJ14/$AJ$11),"",AJ14/$AJ$11)</f>
        <v>0</v>
      </c>
      <c r="AL14" s="506">
        <f t="shared" si="26"/>
        <v>680214956</v>
      </c>
      <c r="AM14" s="313">
        <f>IF(ISERR(AL14/$AL$11),"",AL14/AL$11)</f>
        <v>3.3226245411556152</v>
      </c>
      <c r="AN14" s="477">
        <f>AF14+AJ14</f>
        <v>804499700</v>
      </c>
      <c r="AO14" s="119">
        <f>IF(ISERR(AN14/$AN$11),"",AN14/$AN$11)</f>
        <v>0.40104721487799838</v>
      </c>
      <c r="AP14" s="511">
        <f>B14+Z14+AL14</f>
        <v>1759654084</v>
      </c>
      <c r="AQ14" s="282">
        <f>IF(ISERR(AP14/$AP$11),"",AP14/$AP$11)</f>
        <v>2.5241000959624871</v>
      </c>
      <c r="AR14" s="486">
        <f>D14+AB14+AN14</f>
        <v>2010473402</v>
      </c>
      <c r="AS14" s="283">
        <f>IF(ISERR(AR14/$AR$11),"",AR14/$AR$11)</f>
        <v>0.31362117961472785</v>
      </c>
      <c r="AT14" s="580">
        <f>[8]全社合計!$G$14</f>
        <v>2010505336</v>
      </c>
      <c r="AU14" s="120">
        <f t="shared" si="30"/>
        <v>2.4845736113310366</v>
      </c>
      <c r="AV14" s="577">
        <f>[8]全社合計!$N$14</f>
        <v>1816376496</v>
      </c>
      <c r="AW14" s="121">
        <f t="shared" si="31"/>
        <v>0.2513094217679237</v>
      </c>
      <c r="AX14" s="592">
        <f t="shared" si="32"/>
        <v>-250851252</v>
      </c>
      <c r="AY14" s="120">
        <f t="shared" si="33"/>
        <v>0.87522975069587183</v>
      </c>
      <c r="AZ14" s="577">
        <f t="shared" si="34"/>
        <v>194096906</v>
      </c>
      <c r="BA14" s="121">
        <f t="shared" si="35"/>
        <v>1.1068594019067288</v>
      </c>
      <c r="BB14" s="13"/>
    </row>
    <row r="15" spans="1:54" ht="15.95" customHeight="1">
      <c r="A15" s="35" t="s">
        <v>11</v>
      </c>
      <c r="B15" s="719"/>
      <c r="C15" s="259" t="str">
        <f>IF(ISERR(B15/$B$11),"",B15/$B$11)</f>
        <v/>
      </c>
      <c r="D15" s="726"/>
      <c r="E15" s="122" t="str">
        <f>IF(ISERR(D15/$D$11),"",D15/$D$11)</f>
        <v/>
      </c>
      <c r="F15" s="352">
        <f>[8]本社営業!$I$15</f>
        <v>390960335</v>
      </c>
      <c r="G15" s="9">
        <f>IF(ISERR(F15/$F$11),"",F15/$F$11)</f>
        <v>0.85506895645375225</v>
      </c>
      <c r="H15" s="355">
        <f>[8]本社営業!$L$15</f>
        <v>3439058924</v>
      </c>
      <c r="I15" s="124">
        <f t="shared" si="19"/>
        <v>0.8357505864292003</v>
      </c>
      <c r="J15" s="745">
        <f>[8]東大阪!$I$15</f>
        <v>522878</v>
      </c>
      <c r="K15" s="9">
        <f>IF(ISERR(J15/$J$11),"",J15/$J$11)</f>
        <v>5.6944133157081155E-2</v>
      </c>
      <c r="L15" s="355">
        <f>[8]東大阪!$L$15</f>
        <v>4216184</v>
      </c>
      <c r="M15" s="124">
        <f>IF(ISERR(L15/$L$11),"",L15/$L$11)</f>
        <v>5.7517994052004036E-2</v>
      </c>
      <c r="N15" s="403">
        <f>[8]南港工場!$I$15</f>
        <v>1799496</v>
      </c>
      <c r="O15" s="9">
        <f>IF(ISERR(N15/$N$11),"",N15/$N$11)</f>
        <v>6.9184751147144938E-2</v>
      </c>
      <c r="P15" s="355">
        <f>[8]南港工場!$L$15</f>
        <v>14311274</v>
      </c>
      <c r="Q15" s="204">
        <f>IF(ISERR(P15/$P$11),"",P15/$P$11)</f>
        <v>6.6169686398957678E-2</v>
      </c>
      <c r="R15" s="437"/>
      <c r="S15" s="9" t="str">
        <f>IF(ISERR(R15/$R$11),"",R15/$R$11)</f>
        <v/>
      </c>
      <c r="T15" s="355">
        <f>[8]南港事務!$L$15</f>
        <v>0</v>
      </c>
      <c r="U15" s="204" t="str">
        <f>IF(ISERR(T15/$T$11),"",T15/$T$11)</f>
        <v/>
      </c>
      <c r="V15" s="456">
        <f t="shared" si="21"/>
        <v>1799496</v>
      </c>
      <c r="W15" s="171">
        <f>IF(ISERR(V15/$V$11),"",V15/$V$11)</f>
        <v>6.9184751147144938E-2</v>
      </c>
      <c r="X15" s="407">
        <f t="shared" si="22"/>
        <v>14311274</v>
      </c>
      <c r="Y15" s="225">
        <f>IF(ISERR(X15/$X$11),"",X15/$X$11)</f>
        <v>6.6169686398957678E-2</v>
      </c>
      <c r="Z15" s="460">
        <f t="shared" si="23"/>
        <v>393282709</v>
      </c>
      <c r="AA15" s="189">
        <f>IF(ISERR(Z15/$Z$11),"",Z15/$Z$11)</f>
        <v>0.79867495806381195</v>
      </c>
      <c r="AB15" s="463">
        <f t="shared" si="24"/>
        <v>3457586382</v>
      </c>
      <c r="AC15" s="123">
        <f>IF(ISERR(AB15/$AB$11),"",AB15/$AB$11)</f>
        <v>0.78500903828878887</v>
      </c>
      <c r="AD15" s="352">
        <f>[8]東京事務!$I$15</f>
        <v>170141075</v>
      </c>
      <c r="AE15" s="9">
        <f>IF(ISERR(AD15/$AD$11),"",AD15/$AD$11)</f>
        <v>0.86470057103623288</v>
      </c>
      <c r="AF15" s="355">
        <f>[8]東京事務!$L$15</f>
        <v>1625663163</v>
      </c>
      <c r="AG15" s="81">
        <f>IF(ISERR(AF15/$AF$11),"",AF15/$AF$11)</f>
        <v>0.84310844376540894</v>
      </c>
      <c r="AH15" s="468">
        <f>[8]東京工場!$I$15</f>
        <v>0</v>
      </c>
      <c r="AI15" s="171">
        <f t="shared" si="25"/>
        <v>0</v>
      </c>
      <c r="AJ15" s="355">
        <f>[8]東京工場!$L$15</f>
        <v>0</v>
      </c>
      <c r="AK15" s="99">
        <f t="shared" si="36"/>
        <v>0</v>
      </c>
      <c r="AL15" s="473">
        <f t="shared" si="26"/>
        <v>170141075</v>
      </c>
      <c r="AM15" s="314">
        <f>IF(ISERR(AL15/$AL$11),"",AL15/AL$11)</f>
        <v>0.83108274269347016</v>
      </c>
      <c r="AN15" s="478">
        <f t="shared" si="27"/>
        <v>1625663163</v>
      </c>
      <c r="AO15" s="123">
        <f>IF(ISERR(AN15/$AN$11),"",AN15/$AN$11)</f>
        <v>0.81040140083446588</v>
      </c>
      <c r="AP15" s="482">
        <f t="shared" si="28"/>
        <v>563423784</v>
      </c>
      <c r="AQ15" s="284">
        <f>IF(ISERR(AP15/$AP$11),"",AP15/$AP$11)</f>
        <v>0.80819181462596346</v>
      </c>
      <c r="AR15" s="487">
        <f t="shared" si="29"/>
        <v>5083249545</v>
      </c>
      <c r="AS15" s="285">
        <f>IF(ISERR(AR15/$AR$11),"",AR15/$AR$11)</f>
        <v>0.79295489161558608</v>
      </c>
      <c r="AT15" s="574">
        <f>[8]全社合計!$G$15</f>
        <v>656149621</v>
      </c>
      <c r="AU15" s="124">
        <f t="shared" si="30"/>
        <v>0.81086680260442778</v>
      </c>
      <c r="AV15" s="578">
        <f>[8]全社合計!$N$15</f>
        <v>6217555602</v>
      </c>
      <c r="AW15" s="125">
        <f t="shared" si="31"/>
        <v>0.86024582821321349</v>
      </c>
      <c r="AX15" s="574">
        <f t="shared" si="32"/>
        <v>-92725837</v>
      </c>
      <c r="AY15" s="124">
        <f t="shared" si="33"/>
        <v>0.85868187067047019</v>
      </c>
      <c r="AZ15" s="578">
        <f t="shared" si="34"/>
        <v>-1134306057</v>
      </c>
      <c r="BA15" s="125">
        <f t="shared" si="35"/>
        <v>0.8175639866195763</v>
      </c>
      <c r="BB15" s="11"/>
    </row>
    <row r="16" spans="1:54" ht="15.95" customHeight="1">
      <c r="A16" s="36" t="s">
        <v>12</v>
      </c>
      <c r="B16" s="720"/>
      <c r="C16" s="260" t="str">
        <f>IF(ISERR(B16/$B$11),"",B16/$B$11)</f>
        <v/>
      </c>
      <c r="D16" s="724"/>
      <c r="E16" s="126" t="str">
        <f>IF(ISERR(D16/$D$11),"",D16/$D$11)</f>
        <v/>
      </c>
      <c r="F16" s="353">
        <f>[8]本社営業!$I$16</f>
        <v>1071946462</v>
      </c>
      <c r="G16" s="12">
        <f>IF(ISERR(F16/$F$11),"",F16/$F$11)</f>
        <v>2.3444530316269345</v>
      </c>
      <c r="H16" s="357">
        <f>[8]本社営業!$L$16</f>
        <v>1071946462</v>
      </c>
      <c r="I16" s="128">
        <f t="shared" si="19"/>
        <v>0.26050146392816109</v>
      </c>
      <c r="J16" s="746"/>
      <c r="K16" s="12">
        <f t="shared" si="20"/>
        <v>0</v>
      </c>
      <c r="L16" s="357">
        <f>[8]東大阪!$L$16</f>
        <v>0</v>
      </c>
      <c r="M16" s="128">
        <f t="shared" ref="M16:M78" si="37">IF(ISERR(L16/$L$11),"",L16/$L$11)</f>
        <v>0</v>
      </c>
      <c r="N16" s="404"/>
      <c r="O16" s="12">
        <f>IF(ISERR(N16/$N$11),"",N16/$N$11)</f>
        <v>0</v>
      </c>
      <c r="P16" s="357">
        <f>[8]南港工場!$L$16</f>
        <v>0</v>
      </c>
      <c r="Q16" s="205">
        <f>IF(ISERR(P16/$P$11),"",P16/$P$11)</f>
        <v>0</v>
      </c>
      <c r="R16" s="438"/>
      <c r="S16" s="12" t="str">
        <f>IF(ISERR(R16/$R$11),"",R16/$R$11)</f>
        <v/>
      </c>
      <c r="T16" s="357">
        <f>[8]南港事務!$L$16</f>
        <v>0</v>
      </c>
      <c r="U16" s="205" t="str">
        <f>IF(ISERR(T16/$T$11),"",T16/$T$11)</f>
        <v/>
      </c>
      <c r="V16" s="457">
        <f t="shared" si="21"/>
        <v>0</v>
      </c>
      <c r="W16" s="172">
        <f>IF(ISERR(V16/$V$11),"",V16/$V$11)</f>
        <v>0</v>
      </c>
      <c r="X16" s="409">
        <f t="shared" si="22"/>
        <v>0</v>
      </c>
      <c r="Y16" s="226">
        <f>IF(ISERR(X16/$X$11),"",X16/$X$11)</f>
        <v>0</v>
      </c>
      <c r="Z16" s="461">
        <f t="shared" si="23"/>
        <v>1071946462</v>
      </c>
      <c r="AA16" s="190">
        <f>IF(ISERR(Z16/$Z$11),"",Z16/$Z$11)</f>
        <v>2.1768991516596312</v>
      </c>
      <c r="AB16" s="465">
        <f t="shared" si="24"/>
        <v>1071946462</v>
      </c>
      <c r="AC16" s="127">
        <f>IF(ISERR(AB16/$AB$11),"",AB16/$AB$11)</f>
        <v>0.243374298791905</v>
      </c>
      <c r="AD16" s="353">
        <f>[8]東京事務!$I$16</f>
        <v>671639662</v>
      </c>
      <c r="AE16" s="12">
        <f>IF(ISERR(AD16/$AD$11),"",AD16/$AD$11)</f>
        <v>3.4134449853569011</v>
      </c>
      <c r="AF16" s="357">
        <f>[8]東京事務!$L$16</f>
        <v>671639662</v>
      </c>
      <c r="AG16" s="82">
        <f>IF(ISERR(AF16/$AF$11),"",AF16/$AF$11)</f>
        <v>0.34832865939765734</v>
      </c>
      <c r="AH16" s="469"/>
      <c r="AI16" s="172">
        <f t="shared" si="25"/>
        <v>0</v>
      </c>
      <c r="AJ16" s="357">
        <f>[8]東京工場!$L$16</f>
        <v>0</v>
      </c>
      <c r="AK16" s="100">
        <f t="shared" si="36"/>
        <v>0</v>
      </c>
      <c r="AL16" s="475">
        <f t="shared" si="26"/>
        <v>671639662</v>
      </c>
      <c r="AM16" s="315">
        <f>IF(ISERR(AL16/$AL$11),"",AL16/AL$11)</f>
        <v>3.2807370730241083</v>
      </c>
      <c r="AN16" s="479">
        <f t="shared" si="27"/>
        <v>671639662</v>
      </c>
      <c r="AO16" s="127">
        <f>IF(ISERR(AN16/$AN$11),"",AN16/$AN$11)</f>
        <v>0.33481580645300452</v>
      </c>
      <c r="AP16" s="484">
        <f t="shared" si="28"/>
        <v>1743586124</v>
      </c>
      <c r="AQ16" s="286">
        <f>IF(ISERR(AP16/$AP$11),"",AP16/$AP$11)</f>
        <v>2.5010517367726353</v>
      </c>
      <c r="AR16" s="488">
        <f t="shared" si="29"/>
        <v>1743586124</v>
      </c>
      <c r="AS16" s="287">
        <f>IF(ISERR(AR16/$AR$11),"",AR16/$AR$11)</f>
        <v>0.2719884463155664</v>
      </c>
      <c r="AT16" s="581">
        <f>[8]全社合計!$G$16</f>
        <v>1994455700</v>
      </c>
      <c r="AU16" s="128">
        <f t="shared" si="30"/>
        <v>2.4647395420734015</v>
      </c>
      <c r="AV16" s="579">
        <f>[8]全社合計!$N$16</f>
        <v>1994455700</v>
      </c>
      <c r="AW16" s="129">
        <f t="shared" si="31"/>
        <v>0.27594802609069846</v>
      </c>
      <c r="AX16" s="576">
        <f t="shared" si="32"/>
        <v>-250869576</v>
      </c>
      <c r="AY16" s="128">
        <f t="shared" si="33"/>
        <v>0.87421652132960381</v>
      </c>
      <c r="AZ16" s="579">
        <f t="shared" si="34"/>
        <v>-250869576</v>
      </c>
      <c r="BA16" s="129">
        <f t="shared" si="35"/>
        <v>0.87421652132960381</v>
      </c>
      <c r="BB16" s="11"/>
    </row>
    <row r="17" spans="1:54" ht="19.899999999999999" customHeight="1">
      <c r="A17" s="60" t="s">
        <v>13</v>
      </c>
      <c r="B17" s="524"/>
      <c r="C17" s="135" t="str">
        <f>IF(ISERR(B17/$B$11),"",B17/$B$11)</f>
        <v/>
      </c>
      <c r="D17" s="385"/>
      <c r="E17" s="133" t="str">
        <f>IF(ISERR(D17/$D$11),"",D17/$D$11)</f>
        <v/>
      </c>
      <c r="F17" s="384">
        <f>F14+F15-F16</f>
        <v>398453001</v>
      </c>
      <c r="G17" s="61">
        <f>IF(ISERR(F17/$F$11),"",F17/$F$11)</f>
        <v>0.87145615874545412</v>
      </c>
      <c r="H17" s="385">
        <f>H14+H15-H16</f>
        <v>3573086164</v>
      </c>
      <c r="I17" s="135">
        <f>IF(ISERR(H17/$H$11),"",H17/$H$11)</f>
        <v>0.86832151554175052</v>
      </c>
      <c r="J17" s="750">
        <f>J14+J15-J16</f>
        <v>522878</v>
      </c>
      <c r="K17" s="61">
        <f t="shared" si="20"/>
        <v>5.6944133157081155E-2</v>
      </c>
      <c r="L17" s="385">
        <f>L14+L15-L16</f>
        <v>4216184</v>
      </c>
      <c r="M17" s="135">
        <f t="shared" si="37"/>
        <v>5.7517994052004036E-2</v>
      </c>
      <c r="N17" s="411">
        <f>N14+N15-N16</f>
        <v>1799496</v>
      </c>
      <c r="O17" s="61">
        <f>IF(ISERR(N17/$N$11),"",N17/$N$11)</f>
        <v>6.9184751147144938E-2</v>
      </c>
      <c r="P17" s="385">
        <f>P14+P15-P16</f>
        <v>14311274</v>
      </c>
      <c r="Q17" s="207">
        <f>IF(ISERR(P17/$P$11),"",P17/$P$11)</f>
        <v>6.6169686398957678E-2</v>
      </c>
      <c r="R17" s="440">
        <f>R14+R15-R16</f>
        <v>0</v>
      </c>
      <c r="S17" s="61" t="str">
        <f>IF(ISERR(R17/$R$11),"",R17/$R$11)</f>
        <v/>
      </c>
      <c r="T17" s="385">
        <f>T14+T15-T16</f>
        <v>0</v>
      </c>
      <c r="U17" s="207" t="str">
        <f>IF(ISERR(T17/$T$11),"",T17/$T$11)</f>
        <v/>
      </c>
      <c r="V17" s="489">
        <f t="shared" si="21"/>
        <v>1799496</v>
      </c>
      <c r="W17" s="175">
        <f>IF(ISERR(V17/$V$11),"",V17/$V$11)</f>
        <v>6.9184751147144938E-2</v>
      </c>
      <c r="X17" s="423">
        <f t="shared" si="22"/>
        <v>14311274</v>
      </c>
      <c r="Y17" s="228">
        <f>IF(ISERR(X17/$X$11),"",X17/$X$11)</f>
        <v>6.6169686398957678E-2</v>
      </c>
      <c r="Z17" s="489">
        <f t="shared" si="23"/>
        <v>400775375</v>
      </c>
      <c r="AA17" s="192">
        <f>IF(ISERR(Z17/$Z$11),"",Z17/$Z$11)</f>
        <v>0.81389099621243077</v>
      </c>
      <c r="AB17" s="423">
        <f t="shared" si="24"/>
        <v>3591613622</v>
      </c>
      <c r="AC17" s="134">
        <f>IF(ISERR(AB17/$AB$11),"",AB17/$AB$11)</f>
        <v>0.81543852960233398</v>
      </c>
      <c r="AD17" s="384">
        <f>AD14+AD15-AD16</f>
        <v>178716369</v>
      </c>
      <c r="AE17" s="331">
        <f>IF(ISERR(AD17/$AD$11),"",AD17/$AD$11)</f>
        <v>0.90828241403683441</v>
      </c>
      <c r="AF17" s="385">
        <f>AF14+AF15-AF16</f>
        <v>1758523201</v>
      </c>
      <c r="AG17" s="330">
        <f>IF(ISERR(AF17/$AF$11),"",AF17/$AF$11)</f>
        <v>0.91201288991775931</v>
      </c>
      <c r="AH17" s="489">
        <f>AH14+AH15-AH16</f>
        <v>0</v>
      </c>
      <c r="AI17" s="194">
        <f t="shared" si="25"/>
        <v>0</v>
      </c>
      <c r="AJ17" s="385">
        <f>AJ14+AJ15-AJ16</f>
        <v>0</v>
      </c>
      <c r="AK17" s="103">
        <f t="shared" si="36"/>
        <v>0</v>
      </c>
      <c r="AL17" s="544">
        <f t="shared" si="26"/>
        <v>178716369</v>
      </c>
      <c r="AM17" s="317">
        <f>IF(ISERR(AL17/$AL$11),"",AL17/AL$11)</f>
        <v>0.87297021082497728</v>
      </c>
      <c r="AN17" s="536">
        <f t="shared" si="27"/>
        <v>1758523201</v>
      </c>
      <c r="AO17" s="134">
        <f>IF(ISERR(AN17/$AN$11),"",AN17/$AN$11)</f>
        <v>0.87663280925945974</v>
      </c>
      <c r="AP17" s="524">
        <f t="shared" si="28"/>
        <v>579491744</v>
      </c>
      <c r="AQ17" s="135">
        <f>IF(ISERR(AP17/$AP$11),"",AP17/$AP$11)</f>
        <v>0.83124017381581505</v>
      </c>
      <c r="AR17" s="516">
        <f t="shared" si="29"/>
        <v>5350136823</v>
      </c>
      <c r="AS17" s="134">
        <f>IF(ISERR(AR17/$AR$11),"",AR17/$AR$11)</f>
        <v>0.83458762491474747</v>
      </c>
      <c r="AT17" s="524">
        <f>AT14+AT15-AT16</f>
        <v>672199257</v>
      </c>
      <c r="AU17" s="135">
        <f t="shared" si="30"/>
        <v>0.83070087186206276</v>
      </c>
      <c r="AV17" s="596">
        <f>AV14+AV15-AV16</f>
        <v>6039476398</v>
      </c>
      <c r="AW17" s="134">
        <f t="shared" si="31"/>
        <v>0.83560722389043873</v>
      </c>
      <c r="AX17" s="524">
        <f t="shared" si="32"/>
        <v>-92707513</v>
      </c>
      <c r="AY17" s="135">
        <f t="shared" si="33"/>
        <v>0.86208328552198921</v>
      </c>
      <c r="AZ17" s="596">
        <f t="shared" si="34"/>
        <v>-689339575</v>
      </c>
      <c r="BA17" s="134">
        <f t="shared" si="35"/>
        <v>0.88586103669048566</v>
      </c>
      <c r="BB17" s="11"/>
    </row>
    <row r="18" spans="1:54" ht="19.899999999999999" customHeight="1">
      <c r="A18" s="55" t="s">
        <v>14</v>
      </c>
      <c r="B18" s="709"/>
      <c r="C18" s="138" t="str">
        <f>IF(ISERR(B18/$B$11),"",B18/$B$11)</f>
        <v/>
      </c>
      <c r="D18" s="376"/>
      <c r="E18" s="136" t="str">
        <f>IF(ISERR(D18/$D$11),"",D18/$D$11)</f>
        <v/>
      </c>
      <c r="F18" s="375">
        <f>F11-F17</f>
        <v>58773673</v>
      </c>
      <c r="G18" s="56">
        <f>IF(ISERR(F18/$F$11),"",F18/$F$11)</f>
        <v>0.12854384125454588</v>
      </c>
      <c r="H18" s="376">
        <f>H11-H17</f>
        <v>541848339</v>
      </c>
      <c r="I18" s="138">
        <f t="shared" si="19"/>
        <v>0.13167848445824948</v>
      </c>
      <c r="J18" s="374">
        <f>J11-J17</f>
        <v>8659420</v>
      </c>
      <c r="K18" s="56">
        <f t="shared" si="20"/>
        <v>0.94305586684291887</v>
      </c>
      <c r="L18" s="376">
        <f>L11-L17</f>
        <v>69085816</v>
      </c>
      <c r="M18" s="138">
        <f t="shared" si="37"/>
        <v>0.94248200594799592</v>
      </c>
      <c r="N18" s="412">
        <f>N11-N17</f>
        <v>24210513</v>
      </c>
      <c r="O18" s="56">
        <f>IF(ISERR(N18/$N$11),"",N18/$N$11)</f>
        <v>0.93081524885285505</v>
      </c>
      <c r="P18" s="376">
        <f>P11-P17</f>
        <v>201970150</v>
      </c>
      <c r="Q18" s="208">
        <f>IF(ISERR(P18/$P$11),"",P18/$P$11)</f>
        <v>0.93383031360104229</v>
      </c>
      <c r="R18" s="441">
        <f>R11-R17</f>
        <v>0</v>
      </c>
      <c r="S18" s="56" t="str">
        <f>IF(ISERR(R18/$R$11),"",R18/$R$11)</f>
        <v/>
      </c>
      <c r="T18" s="376">
        <f>T11-T17</f>
        <v>0</v>
      </c>
      <c r="U18" s="208" t="str">
        <f>IF(ISERR(T18/$T$11),"",T18/$T$11)</f>
        <v/>
      </c>
      <c r="V18" s="490">
        <f t="shared" si="21"/>
        <v>24210513</v>
      </c>
      <c r="W18" s="176">
        <f>IF(ISERR(V18/$V$11),"",V18/$V$11)</f>
        <v>0.93081524885285505</v>
      </c>
      <c r="X18" s="424">
        <f t="shared" si="22"/>
        <v>201970150</v>
      </c>
      <c r="Y18" s="229">
        <f>IF(ISERR(X18/$X$11),"",X18/$X$11)</f>
        <v>0.93383031360104229</v>
      </c>
      <c r="Z18" s="490">
        <f t="shared" si="23"/>
        <v>91643606</v>
      </c>
      <c r="AA18" s="193">
        <f>IF(ISERR(Z18/$Z$11),"",Z18/$Z$11)</f>
        <v>0.18610900378756928</v>
      </c>
      <c r="AB18" s="424">
        <f t="shared" si="24"/>
        <v>812904305</v>
      </c>
      <c r="AC18" s="137">
        <f>IF(ISERR(AB18/$AB$11),"",AB18/$AB$11)</f>
        <v>0.18456147039766607</v>
      </c>
      <c r="AD18" s="375">
        <f>AD11-AD17</f>
        <v>18046627</v>
      </c>
      <c r="AE18" s="56">
        <f>IF(ISERR(AD18/$AD$11),"",AD18/$AD$11)</f>
        <v>9.1717585963165552E-2</v>
      </c>
      <c r="AF18" s="376">
        <f>AF11-AF17</f>
        <v>169654811</v>
      </c>
      <c r="AG18" s="84">
        <f>IF(ISERR(AF18/$AF$11),"",AF18/$AF$11)</f>
        <v>8.798711008224068E-2</v>
      </c>
      <c r="AH18" s="392">
        <f>AH11-AH17</f>
        <v>7959189</v>
      </c>
      <c r="AI18" s="176">
        <f t="shared" si="25"/>
        <v>1</v>
      </c>
      <c r="AJ18" s="376">
        <f>AJ11-AJ17</f>
        <v>77819462</v>
      </c>
      <c r="AK18" s="104">
        <f t="shared" si="36"/>
        <v>1</v>
      </c>
      <c r="AL18" s="545">
        <f t="shared" si="26"/>
        <v>26005816</v>
      </c>
      <c r="AM18" s="318">
        <f>IF(ISERR(AL18/$AL$11),"",AL18/AL$11)</f>
        <v>0.12702978917502272</v>
      </c>
      <c r="AN18" s="537">
        <f t="shared" si="27"/>
        <v>247474273</v>
      </c>
      <c r="AO18" s="137">
        <f>IF(ISERR(AN18/$AN$11),"",AN18/$AN$11)</f>
        <v>0.12336719074054028</v>
      </c>
      <c r="AP18" s="525">
        <f t="shared" si="28"/>
        <v>117649422</v>
      </c>
      <c r="AQ18" s="305">
        <f>IF(ISERR(AP18/$AP$11),"",AP18/$AP$11)</f>
        <v>0.16875982618418492</v>
      </c>
      <c r="AR18" s="517">
        <f t="shared" si="29"/>
        <v>1060378578</v>
      </c>
      <c r="AS18" s="304">
        <f>IF(ISERR(AR18/$AR$11),"",AR18/$AR$11)</f>
        <v>0.16541237508525253</v>
      </c>
      <c r="AT18" s="582">
        <f>AT11-AT17</f>
        <v>136996062</v>
      </c>
      <c r="AU18" s="138">
        <f t="shared" si="30"/>
        <v>0.16929912813793724</v>
      </c>
      <c r="AV18" s="597">
        <f>AV11-AV17</f>
        <v>1188173418</v>
      </c>
      <c r="AW18" s="137">
        <f t="shared" si="31"/>
        <v>0.16439277610956132</v>
      </c>
      <c r="AX18" s="582">
        <f t="shared" si="32"/>
        <v>-19346640</v>
      </c>
      <c r="AY18" s="138">
        <f t="shared" si="33"/>
        <v>0.85877959032136264</v>
      </c>
      <c r="AZ18" s="597">
        <f t="shared" si="34"/>
        <v>-127794840</v>
      </c>
      <c r="BA18" s="137">
        <f t="shared" si="35"/>
        <v>0.89244428627673611</v>
      </c>
      <c r="BB18" s="13"/>
    </row>
    <row r="19" spans="1:54" ht="15.95" customHeight="1">
      <c r="A19" s="37" t="s">
        <v>15</v>
      </c>
      <c r="B19" s="702">
        <f>[8]本部!$I$19</f>
        <v>5756800</v>
      </c>
      <c r="C19" s="258" t="str">
        <f t="shared" ref="C19:C69" si="38">IF(ISERR(B19/$B$11),"",B19/$B$11)</f>
        <v/>
      </c>
      <c r="D19" s="727">
        <f>[8]本部!$L$19</f>
        <v>46054400</v>
      </c>
      <c r="E19" s="118" t="str">
        <f t="shared" ref="E19:E69" si="39">IF(ISERR(D19/$D$11),"",D19/$D$11)</f>
        <v/>
      </c>
      <c r="F19" s="351">
        <f>[8]本社営業!$I$19</f>
        <v>10265136</v>
      </c>
      <c r="G19" s="7">
        <f t="shared" ref="G19:G69" si="40">IF(ISERR(F19/$F$11),"",F19/$F$11)</f>
        <v>2.2450868647265317E-2</v>
      </c>
      <c r="H19" s="361">
        <f>[8]本社営業!$L$19</f>
        <v>82128375</v>
      </c>
      <c r="I19" s="120">
        <f t="shared" si="19"/>
        <v>1.9958610505252068E-2</v>
      </c>
      <c r="J19" s="744">
        <f>[8]東大阪!$I$19</f>
        <v>3765290</v>
      </c>
      <c r="K19" s="7">
        <f t="shared" si="20"/>
        <v>0.41005966044665509</v>
      </c>
      <c r="L19" s="361">
        <f>[8]東大阪!$L$19</f>
        <v>26676215</v>
      </c>
      <c r="M19" s="120">
        <f t="shared" si="37"/>
        <v>0.36392206215382938</v>
      </c>
      <c r="N19" s="402">
        <f>[8]南港工場!$I$19</f>
        <v>6660849</v>
      </c>
      <c r="O19" s="7">
        <f t="shared" ref="O19:O69" si="41">IF(ISERR(N19/$N$11),"",N19/$N$11)</f>
        <v>0.25608791600187453</v>
      </c>
      <c r="P19" s="361">
        <f>[8]南港工場!$L$19</f>
        <v>56873695</v>
      </c>
      <c r="Q19" s="203">
        <f t="shared" ref="Q19:Q69" si="42">IF(ISERR(P19/$P$11),"",P19/$P$11)</f>
        <v>0.26296153385784993</v>
      </c>
      <c r="R19" s="436">
        <f>[8]南港事務!$I$19</f>
        <v>2785695</v>
      </c>
      <c r="S19" s="7" t="str">
        <f t="shared" ref="S19:S69" si="43">IF(ISERR(R19/$R$11),"",R19/$R$11)</f>
        <v/>
      </c>
      <c r="T19" s="361">
        <f>[8]南港事務!$L$19</f>
        <v>22389185</v>
      </c>
      <c r="U19" s="203" t="str">
        <f t="shared" ref="U19:U69" si="44">IF(ISERR(T19/$T$11),"",T19/$T$11)</f>
        <v/>
      </c>
      <c r="V19" s="455">
        <f t="shared" si="21"/>
        <v>9446544</v>
      </c>
      <c r="W19" s="174">
        <f t="shared" ref="W19:W69" si="45">IF(ISERR(V19/$V$11),"",V19/$V$11)</f>
        <v>0.36318880166477452</v>
      </c>
      <c r="X19" s="425">
        <f t="shared" si="22"/>
        <v>79262880</v>
      </c>
      <c r="Y19" s="224">
        <f t="shared" ref="Y19:Y69" si="46">IF(ISERR(X19/$X$11),"",X19/$X$11)</f>
        <v>0.36648029467385052</v>
      </c>
      <c r="Z19" s="459">
        <f t="shared" si="23"/>
        <v>23476970</v>
      </c>
      <c r="AA19" s="188">
        <f t="shared" ref="AA19:AA69" si="47">IF(ISERR(Z19/$Z$11),"",Z19/$Z$11)</f>
        <v>4.7676817722020343E-2</v>
      </c>
      <c r="AB19" s="563">
        <f t="shared" si="24"/>
        <v>188067470</v>
      </c>
      <c r="AC19" s="119">
        <f t="shared" ref="AC19:AC69" si="48">IF(ISERR(AB19/$AB$11),"",AB19/$AB$11)</f>
        <v>4.2698763659726163E-2</v>
      </c>
      <c r="AD19" s="351">
        <f>[8]東京事務!$I$19</f>
        <v>3710396</v>
      </c>
      <c r="AE19" s="7">
        <f t="shared" ref="AE19:AE69" si="49">IF(ISERR(AD19/$AD$11),"",AD19/$AD$11)</f>
        <v>1.8857183898541574E-2</v>
      </c>
      <c r="AF19" s="361">
        <f>[8]東京事務!$L$19</f>
        <v>31367851</v>
      </c>
      <c r="AG19" s="80">
        <f t="shared" ref="AG19:AG69" si="50">IF(ISERR(AF19/$AF$11),"",AF19/$AF$11)</f>
        <v>1.6268130226972009E-2</v>
      </c>
      <c r="AH19" s="387">
        <f>[8]東京工場!$I$19</f>
        <v>4026282</v>
      </c>
      <c r="AI19" s="174">
        <f t="shared" si="25"/>
        <v>0.50586586145900037</v>
      </c>
      <c r="AJ19" s="361">
        <f>[8]東京工場!$L$19</f>
        <v>34365298</v>
      </c>
      <c r="AK19" s="102">
        <f t="shared" si="36"/>
        <v>0.44160287307049234</v>
      </c>
      <c r="AL19" s="546">
        <f t="shared" si="26"/>
        <v>7736678</v>
      </c>
      <c r="AM19" s="313">
        <f t="shared" ref="AM19:AM67" si="51">IF(ISERR(AL19/$AL$11),"",AL19/AL$11)</f>
        <v>3.7791107006795575E-2</v>
      </c>
      <c r="AN19" s="477">
        <f t="shared" si="27"/>
        <v>65733149</v>
      </c>
      <c r="AO19" s="119">
        <f t="shared" ref="AO19:AO69" si="52">IF(ISERR(AN19/$AN$11),"",AN19/$AN$11)</f>
        <v>3.2768310953516185E-2</v>
      </c>
      <c r="AP19" s="526">
        <f t="shared" si="28"/>
        <v>36970448</v>
      </c>
      <c r="AQ19" s="282">
        <f t="shared" ref="AQ19:AQ69" si="53">IF(ISERR(AP19/$AP$11),"",AP19/$AP$11)</f>
        <v>5.3031508972746562E-2</v>
      </c>
      <c r="AR19" s="486">
        <f t="shared" si="29"/>
        <v>299855019</v>
      </c>
      <c r="AS19" s="283">
        <f t="shared" ref="AS19:AS69" si="54">IF(ISERR(AR19/$AR$11),"",AR19/$AR$11)</f>
        <v>4.6775493114520013E-2</v>
      </c>
      <c r="AT19" s="583">
        <f>[8]全社合計!$G$19</f>
        <v>37174974</v>
      </c>
      <c r="AU19" s="120">
        <f t="shared" si="30"/>
        <v>4.5940668621193545E-2</v>
      </c>
      <c r="AV19" s="577">
        <f>[8]全社合計!$N$19</f>
        <v>297857725</v>
      </c>
      <c r="AW19" s="121">
        <f t="shared" si="31"/>
        <v>4.1210868343486438E-2</v>
      </c>
      <c r="AX19" s="583">
        <f t="shared" si="32"/>
        <v>-204526</v>
      </c>
      <c r="AY19" s="120">
        <f t="shared" si="33"/>
        <v>0.99449828801494256</v>
      </c>
      <c r="AZ19" s="577">
        <f t="shared" si="34"/>
        <v>1997294</v>
      </c>
      <c r="BA19" s="121">
        <f t="shared" si="35"/>
        <v>1.006705530299743</v>
      </c>
      <c r="BB19" s="11"/>
    </row>
    <row r="20" spans="1:54" ht="15.95" customHeight="1">
      <c r="A20" s="37" t="s">
        <v>16</v>
      </c>
      <c r="B20" s="703">
        <f>[8]本部!$I$20</f>
        <v>56110</v>
      </c>
      <c r="C20" s="259" t="str">
        <f t="shared" si="38"/>
        <v/>
      </c>
      <c r="D20" s="728">
        <f>[8]本部!$L$20</f>
        <v>448880</v>
      </c>
      <c r="E20" s="122" t="str">
        <f t="shared" si="39"/>
        <v/>
      </c>
      <c r="F20" s="352">
        <f>[8]本社営業!$I$20</f>
        <v>259440</v>
      </c>
      <c r="G20" s="9">
        <f t="shared" si="40"/>
        <v>5.6742096372093987E-4</v>
      </c>
      <c r="H20" s="362">
        <f>[8]本社営業!$L$20</f>
        <v>1766466</v>
      </c>
      <c r="I20" s="124">
        <f t="shared" si="19"/>
        <v>4.2928168084137302E-4</v>
      </c>
      <c r="J20" s="745">
        <f>[8]東大阪!$I$20</f>
        <v>163642</v>
      </c>
      <c r="K20" s="9">
        <f t="shared" si="20"/>
        <v>1.782146473573391E-2</v>
      </c>
      <c r="L20" s="362">
        <f>[8]東大阪!$L$20</f>
        <v>1309136</v>
      </c>
      <c r="M20" s="124">
        <f t="shared" si="37"/>
        <v>1.7859485416496141E-2</v>
      </c>
      <c r="N20" s="403">
        <f>[8]南港工場!$I$20</f>
        <v>241330</v>
      </c>
      <c r="O20" s="9">
        <f t="shared" si="41"/>
        <v>9.2783512685443523E-3</v>
      </c>
      <c r="P20" s="362">
        <f>[8]南港工場!$L$20</f>
        <v>1930640</v>
      </c>
      <c r="Q20" s="204">
        <f t="shared" si="42"/>
        <v>8.9265178871764782E-3</v>
      </c>
      <c r="R20" s="437">
        <f>[8]南港事務!$I$20</f>
        <v>88532</v>
      </c>
      <c r="S20" s="9" t="str">
        <f t="shared" si="43"/>
        <v/>
      </c>
      <c r="T20" s="362">
        <f>[8]南港事務!$L$20</f>
        <v>708256</v>
      </c>
      <c r="U20" s="204" t="str">
        <f t="shared" si="44"/>
        <v/>
      </c>
      <c r="V20" s="456">
        <f t="shared" si="21"/>
        <v>329862</v>
      </c>
      <c r="W20" s="171">
        <f t="shared" si="45"/>
        <v>1.2682117872392894E-2</v>
      </c>
      <c r="X20" s="426">
        <f t="shared" si="22"/>
        <v>2638896</v>
      </c>
      <c r="Y20" s="225">
        <f t="shared" si="46"/>
        <v>1.2201214284588768E-2</v>
      </c>
      <c r="Z20" s="460">
        <f t="shared" si="23"/>
        <v>752944</v>
      </c>
      <c r="AA20" s="189">
        <f t="shared" si="47"/>
        <v>1.5290718454250649E-3</v>
      </c>
      <c r="AB20" s="564">
        <f t="shared" si="24"/>
        <v>5714498</v>
      </c>
      <c r="AC20" s="123">
        <f t="shared" si="48"/>
        <v>1.2974173552501016E-3</v>
      </c>
      <c r="AD20" s="352">
        <f>[8]東京事務!$I$20</f>
        <v>86532</v>
      </c>
      <c r="AE20" s="9">
        <f t="shared" si="49"/>
        <v>4.397778126940088E-4</v>
      </c>
      <c r="AF20" s="362">
        <f>[8]東京事務!$L$20</f>
        <v>777522</v>
      </c>
      <c r="AG20" s="81">
        <f t="shared" si="50"/>
        <v>4.0324181437662818E-4</v>
      </c>
      <c r="AH20" s="388">
        <f>[8]東京工場!$I$20</f>
        <v>111220</v>
      </c>
      <c r="AI20" s="171">
        <f t="shared" si="25"/>
        <v>1.397378552010764E-2</v>
      </c>
      <c r="AJ20" s="362">
        <f>[8]東京工場!$L$20</f>
        <v>896026</v>
      </c>
      <c r="AK20" s="99">
        <f t="shared" si="36"/>
        <v>1.1514163384989734E-2</v>
      </c>
      <c r="AL20" s="547">
        <f t="shared" si="26"/>
        <v>197752</v>
      </c>
      <c r="AM20" s="314">
        <f t="shared" si="51"/>
        <v>9.6595295717462175E-4</v>
      </c>
      <c r="AN20" s="478">
        <f t="shared" si="27"/>
        <v>1673548</v>
      </c>
      <c r="AO20" s="123">
        <f t="shared" si="52"/>
        <v>8.3427223697491056E-4</v>
      </c>
      <c r="AP20" s="527">
        <f t="shared" si="28"/>
        <v>1006806</v>
      </c>
      <c r="AQ20" s="284">
        <f t="shared" si="53"/>
        <v>1.4441924377766554E-3</v>
      </c>
      <c r="AR20" s="487">
        <f t="shared" si="29"/>
        <v>7836926</v>
      </c>
      <c r="AS20" s="285">
        <f t="shared" si="54"/>
        <v>1.2225110634282992E-3</v>
      </c>
      <c r="AT20" s="584">
        <f>[8]全社合計!$G$20</f>
        <v>1039806</v>
      </c>
      <c r="AU20" s="124">
        <f t="shared" si="30"/>
        <v>1.2849876606861588E-3</v>
      </c>
      <c r="AV20" s="578">
        <f>[8]全社合計!$N$20</f>
        <v>8437802</v>
      </c>
      <c r="AW20" s="125">
        <f t="shared" si="31"/>
        <v>1.1674337045661869E-3</v>
      </c>
      <c r="AX20" s="584">
        <f t="shared" si="32"/>
        <v>-33000</v>
      </c>
      <c r="AY20" s="124">
        <f t="shared" si="33"/>
        <v>0.96826331065602622</v>
      </c>
      <c r="AZ20" s="578">
        <f t="shared" si="34"/>
        <v>-600876</v>
      </c>
      <c r="BA20" s="125">
        <f t="shared" si="35"/>
        <v>0.92878761554253109</v>
      </c>
      <c r="BB20" s="11"/>
    </row>
    <row r="21" spans="1:54" ht="15.95" customHeight="1">
      <c r="A21" s="37" t="s">
        <v>17</v>
      </c>
      <c r="B21" s="703">
        <f>[8]本部!$I$21</f>
        <v>0</v>
      </c>
      <c r="C21" s="259" t="str">
        <f t="shared" si="38"/>
        <v/>
      </c>
      <c r="D21" s="728">
        <f>[8]本部!$L$21</f>
        <v>0</v>
      </c>
      <c r="E21" s="122" t="str">
        <f t="shared" si="39"/>
        <v/>
      </c>
      <c r="F21" s="352">
        <f>[8]本社営業!$I$21</f>
        <v>0</v>
      </c>
      <c r="G21" s="9">
        <f t="shared" si="40"/>
        <v>0</v>
      </c>
      <c r="H21" s="362">
        <f>[8]本社営業!$L$21</f>
        <v>0</v>
      </c>
      <c r="I21" s="124">
        <f t="shared" si="19"/>
        <v>0</v>
      </c>
      <c r="J21" s="745">
        <f>[8]東大阪!$I$21</f>
        <v>0</v>
      </c>
      <c r="K21" s="9">
        <f t="shared" si="20"/>
        <v>0</v>
      </c>
      <c r="L21" s="362">
        <f>[8]東大阪!$L$21</f>
        <v>0</v>
      </c>
      <c r="M21" s="124">
        <f t="shared" si="37"/>
        <v>0</v>
      </c>
      <c r="N21" s="403">
        <f>[8]南港工場!$I$21</f>
        <v>149400</v>
      </c>
      <c r="O21" s="9">
        <f t="shared" si="41"/>
        <v>5.7439426491547926E-3</v>
      </c>
      <c r="P21" s="362">
        <f>[8]南港工場!$L$21</f>
        <v>149400</v>
      </c>
      <c r="Q21" s="204">
        <f t="shared" si="42"/>
        <v>6.9076667444172186E-4</v>
      </c>
      <c r="R21" s="437">
        <f>[8]南港事務!$I$21</f>
        <v>0</v>
      </c>
      <c r="S21" s="9" t="str">
        <f t="shared" si="43"/>
        <v/>
      </c>
      <c r="T21" s="362">
        <f>[8]南港事務!$L$21</f>
        <v>0</v>
      </c>
      <c r="U21" s="204" t="str">
        <f t="shared" si="44"/>
        <v/>
      </c>
      <c r="V21" s="456">
        <f t="shared" si="21"/>
        <v>149400</v>
      </c>
      <c r="W21" s="171">
        <f t="shared" si="45"/>
        <v>5.7439426491547926E-3</v>
      </c>
      <c r="X21" s="426">
        <f t="shared" si="22"/>
        <v>149400</v>
      </c>
      <c r="Y21" s="225">
        <f t="shared" si="46"/>
        <v>6.9076667444172186E-4</v>
      </c>
      <c r="Z21" s="460">
        <f t="shared" si="23"/>
        <v>149400</v>
      </c>
      <c r="AA21" s="189">
        <f t="shared" si="47"/>
        <v>3.0340016482833344E-4</v>
      </c>
      <c r="AB21" s="564">
        <f t="shared" si="24"/>
        <v>149400</v>
      </c>
      <c r="AC21" s="123">
        <f t="shared" si="48"/>
        <v>3.3919716635540893E-5</v>
      </c>
      <c r="AD21" s="352">
        <f>[8]東京事務!$I$21</f>
        <v>0</v>
      </c>
      <c r="AE21" s="9">
        <f t="shared" si="49"/>
        <v>0</v>
      </c>
      <c r="AF21" s="362">
        <f>[8]東京事務!$L$21</f>
        <v>0</v>
      </c>
      <c r="AG21" s="81">
        <f t="shared" si="50"/>
        <v>0</v>
      </c>
      <c r="AH21" s="388">
        <f>[8]東京工場!$I$21</f>
        <v>0</v>
      </c>
      <c r="AI21" s="171">
        <f t="shared" si="25"/>
        <v>0</v>
      </c>
      <c r="AJ21" s="362">
        <f>[8]東京工場!$L$21</f>
        <v>0</v>
      </c>
      <c r="AK21" s="99">
        <f t="shared" si="36"/>
        <v>0</v>
      </c>
      <c r="AL21" s="547">
        <f t="shared" si="26"/>
        <v>0</v>
      </c>
      <c r="AM21" s="314">
        <f t="shared" si="51"/>
        <v>0</v>
      </c>
      <c r="AN21" s="478">
        <f t="shared" si="27"/>
        <v>0</v>
      </c>
      <c r="AO21" s="123">
        <f t="shared" si="52"/>
        <v>0</v>
      </c>
      <c r="AP21" s="527">
        <f t="shared" si="28"/>
        <v>149400</v>
      </c>
      <c r="AQ21" s="284">
        <f t="shared" si="53"/>
        <v>2.1430379855089492E-4</v>
      </c>
      <c r="AR21" s="487">
        <f t="shared" si="29"/>
        <v>149400</v>
      </c>
      <c r="AS21" s="285">
        <f t="shared" si="54"/>
        <v>2.3305458399911892E-5</v>
      </c>
      <c r="AT21" s="584">
        <f>[8]全社合計!$G$21</f>
        <v>0</v>
      </c>
      <c r="AU21" s="124">
        <f t="shared" si="30"/>
        <v>0</v>
      </c>
      <c r="AV21" s="578">
        <f>[8]全社合計!$N$21</f>
        <v>3051217</v>
      </c>
      <c r="AW21" s="125">
        <f t="shared" si="31"/>
        <v>4.2215894207346032E-4</v>
      </c>
      <c r="AX21" s="584">
        <f t="shared" si="32"/>
        <v>149400</v>
      </c>
      <c r="AY21" s="124" t="str">
        <f t="shared" si="33"/>
        <v/>
      </c>
      <c r="AZ21" s="578">
        <f t="shared" si="34"/>
        <v>-2901817</v>
      </c>
      <c r="BA21" s="125">
        <f t="shared" si="35"/>
        <v>4.8964069091120034E-2</v>
      </c>
      <c r="BB21" s="11"/>
    </row>
    <row r="22" spans="1:54" ht="15.95" customHeight="1">
      <c r="A22" s="37" t="s">
        <v>18</v>
      </c>
      <c r="B22" s="703">
        <f>[8]本部!$I$22</f>
        <v>967579</v>
      </c>
      <c r="C22" s="259" t="str">
        <f t="shared" si="38"/>
        <v/>
      </c>
      <c r="D22" s="728">
        <f>[8]本部!$L$22</f>
        <v>3791823</v>
      </c>
      <c r="E22" s="122" t="str">
        <f t="shared" si="39"/>
        <v/>
      </c>
      <c r="F22" s="352">
        <f>[8]本社営業!$I$22</f>
        <v>2861136</v>
      </c>
      <c r="G22" s="9">
        <f t="shared" si="40"/>
        <v>6.2575876752107426E-3</v>
      </c>
      <c r="H22" s="362">
        <f>[8]本社営業!$L$22</f>
        <v>12521185</v>
      </c>
      <c r="I22" s="124">
        <f t="shared" si="19"/>
        <v>3.042863742028314E-3</v>
      </c>
      <c r="J22" s="745">
        <f>[8]東大阪!$I$22</f>
        <v>1663442</v>
      </c>
      <c r="K22" s="9">
        <f t="shared" si="20"/>
        <v>0.18115748367129883</v>
      </c>
      <c r="L22" s="362">
        <f>[8]東大阪!$L$22</f>
        <v>7620018</v>
      </c>
      <c r="M22" s="124">
        <f t="shared" si="37"/>
        <v>0.10395375296717689</v>
      </c>
      <c r="N22" s="403">
        <f>[8]南港工場!$I$22</f>
        <v>2309333</v>
      </c>
      <c r="O22" s="9">
        <f t="shared" si="41"/>
        <v>8.878632068139615E-2</v>
      </c>
      <c r="P22" s="362">
        <f>[8]南港工場!$L$22</f>
        <v>10438411</v>
      </c>
      <c r="Q22" s="204">
        <f t="shared" si="42"/>
        <v>4.8263095401110359E-2</v>
      </c>
      <c r="R22" s="437">
        <f>[8]南港事務!$I$22</f>
        <v>848704</v>
      </c>
      <c r="S22" s="9" t="str">
        <f t="shared" si="43"/>
        <v/>
      </c>
      <c r="T22" s="362">
        <f>[8]南港事務!$L$22</f>
        <v>4156029</v>
      </c>
      <c r="U22" s="204" t="str">
        <f t="shared" si="44"/>
        <v/>
      </c>
      <c r="V22" s="456">
        <f t="shared" si="21"/>
        <v>3158037</v>
      </c>
      <c r="W22" s="171">
        <f t="shared" si="45"/>
        <v>0.12141622096324534</v>
      </c>
      <c r="X22" s="426">
        <f t="shared" si="22"/>
        <v>14594440</v>
      </c>
      <c r="Y22" s="225">
        <f t="shared" si="46"/>
        <v>6.7478934298120768E-2</v>
      </c>
      <c r="Z22" s="460">
        <f t="shared" si="23"/>
        <v>7682615</v>
      </c>
      <c r="AA22" s="189">
        <f t="shared" si="47"/>
        <v>1.5601784854836862E-2</v>
      </c>
      <c r="AB22" s="564">
        <f t="shared" si="24"/>
        <v>34735643</v>
      </c>
      <c r="AC22" s="123">
        <f t="shared" si="48"/>
        <v>7.8863665844264366E-3</v>
      </c>
      <c r="AD22" s="352">
        <f>[8]東京事務!$I$22</f>
        <v>1008544</v>
      </c>
      <c r="AE22" s="9">
        <f t="shared" si="49"/>
        <v>5.1256792207006237E-3</v>
      </c>
      <c r="AF22" s="362">
        <f>[8]東京事務!$L$22</f>
        <v>5167601</v>
      </c>
      <c r="AG22" s="81">
        <f t="shared" si="50"/>
        <v>2.6800435270185E-3</v>
      </c>
      <c r="AH22" s="388">
        <f>[8]東京工場!$I$22</f>
        <v>1329231</v>
      </c>
      <c r="AI22" s="171">
        <f t="shared" si="25"/>
        <v>0.16700583438840313</v>
      </c>
      <c r="AJ22" s="362">
        <f>[8]東京工場!$L$22</f>
        <v>6082782</v>
      </c>
      <c r="AK22" s="99">
        <f t="shared" si="36"/>
        <v>7.8165305229172616E-2</v>
      </c>
      <c r="AL22" s="547">
        <f t="shared" si="26"/>
        <v>2337775</v>
      </c>
      <c r="AM22" s="314">
        <f t="shared" si="51"/>
        <v>1.1419255807571612E-2</v>
      </c>
      <c r="AN22" s="478">
        <f t="shared" si="27"/>
        <v>11250383</v>
      </c>
      <c r="AO22" s="123">
        <f t="shared" si="52"/>
        <v>5.6083734629867234E-3</v>
      </c>
      <c r="AP22" s="527">
        <f t="shared" si="28"/>
        <v>10987969</v>
      </c>
      <c r="AQ22" s="284">
        <f t="shared" si="53"/>
        <v>1.5761469177104942E-2</v>
      </c>
      <c r="AR22" s="487">
        <f t="shared" si="29"/>
        <v>49777849</v>
      </c>
      <c r="AS22" s="285">
        <f t="shared" si="54"/>
        <v>7.7650307169116186E-3</v>
      </c>
      <c r="AT22" s="584">
        <f>[8]全社合計!$G$22</f>
        <v>10938684</v>
      </c>
      <c r="AU22" s="124">
        <f t="shared" si="30"/>
        <v>1.3517977357454289E-2</v>
      </c>
      <c r="AV22" s="578">
        <f>[8]全社合計!$N$22</f>
        <v>47635588</v>
      </c>
      <c r="AW22" s="125">
        <f t="shared" si="31"/>
        <v>6.5907437704782129E-3</v>
      </c>
      <c r="AX22" s="584">
        <f t="shared" si="32"/>
        <v>49285</v>
      </c>
      <c r="AY22" s="124">
        <f t="shared" si="33"/>
        <v>1.0045055694085321</v>
      </c>
      <c r="AZ22" s="578">
        <f t="shared" si="34"/>
        <v>2142261</v>
      </c>
      <c r="BA22" s="125">
        <f t="shared" si="35"/>
        <v>1.044971860114333</v>
      </c>
      <c r="BB22" s="11"/>
    </row>
    <row r="23" spans="1:54" ht="15.95" customHeight="1">
      <c r="A23" s="37" t="s">
        <v>19</v>
      </c>
      <c r="B23" s="703">
        <f>[8]本部!$I$23</f>
        <v>538857</v>
      </c>
      <c r="C23" s="259" t="str">
        <f t="shared" si="38"/>
        <v/>
      </c>
      <c r="D23" s="728">
        <f>[8]本部!$L$23</f>
        <v>4527162</v>
      </c>
      <c r="E23" s="122" t="str">
        <f t="shared" si="39"/>
        <v/>
      </c>
      <c r="F23" s="352">
        <f>[8]本社営業!$I$23</f>
        <v>115660</v>
      </c>
      <c r="G23" s="9">
        <f t="shared" si="40"/>
        <v>2.5295986996594165E-4</v>
      </c>
      <c r="H23" s="362">
        <f>[8]本社営業!$L$23</f>
        <v>2496354</v>
      </c>
      <c r="I23" s="124">
        <f t="shared" si="19"/>
        <v>6.0665704355197607E-4</v>
      </c>
      <c r="J23" s="745">
        <f>[8]東大阪!$I$23</f>
        <v>65012</v>
      </c>
      <c r="K23" s="9">
        <f t="shared" si="20"/>
        <v>7.0801448613408103E-3</v>
      </c>
      <c r="L23" s="362">
        <f>[8]東大阪!$L$23</f>
        <v>706458</v>
      </c>
      <c r="M23" s="124">
        <f t="shared" si="37"/>
        <v>9.6376360808709174E-3</v>
      </c>
      <c r="N23" s="403">
        <f>[8]南港工場!$I$23</f>
        <v>67490</v>
      </c>
      <c r="O23" s="9">
        <f t="shared" si="41"/>
        <v>2.5947703439856556E-3</v>
      </c>
      <c r="P23" s="362">
        <f>[8]南港工場!$L$23</f>
        <v>659298</v>
      </c>
      <c r="Q23" s="204">
        <f t="shared" si="42"/>
        <v>3.0483339151678602E-3</v>
      </c>
      <c r="R23" s="437">
        <f>[8]南港事務!$I$23</f>
        <v>53639</v>
      </c>
      <c r="S23" s="9" t="str">
        <f t="shared" si="43"/>
        <v/>
      </c>
      <c r="T23" s="362">
        <f>[8]南港事務!$L$23</f>
        <v>526651</v>
      </c>
      <c r="U23" s="204" t="str">
        <f t="shared" si="44"/>
        <v/>
      </c>
      <c r="V23" s="456">
        <f t="shared" si="21"/>
        <v>121129</v>
      </c>
      <c r="W23" s="171">
        <f t="shared" si="45"/>
        <v>4.6570149206791893E-3</v>
      </c>
      <c r="X23" s="426">
        <f t="shared" si="22"/>
        <v>1185949</v>
      </c>
      <c r="Y23" s="225">
        <f t="shared" si="46"/>
        <v>5.4833604202642943E-3</v>
      </c>
      <c r="Z23" s="460">
        <f t="shared" si="23"/>
        <v>301801</v>
      </c>
      <c r="AA23" s="189">
        <f t="shared" si="47"/>
        <v>6.1289473323531372E-4</v>
      </c>
      <c r="AB23" s="564">
        <f t="shared" si="24"/>
        <v>4388761</v>
      </c>
      <c r="AC23" s="123">
        <f t="shared" si="48"/>
        <v>9.9642255355497384E-4</v>
      </c>
      <c r="AD23" s="352">
        <f>[8]東京事務!$I$23</f>
        <v>67258</v>
      </c>
      <c r="AE23" s="9">
        <f t="shared" si="49"/>
        <v>3.4182240241960944E-4</v>
      </c>
      <c r="AF23" s="362">
        <f>[8]東京事務!$L$23</f>
        <v>803827</v>
      </c>
      <c r="AG23" s="81">
        <f t="shared" si="50"/>
        <v>4.1688422697354149E-4</v>
      </c>
      <c r="AH23" s="388">
        <f>[8]東京工場!$I$23</f>
        <v>53929</v>
      </c>
      <c r="AI23" s="171">
        <f t="shared" si="25"/>
        <v>6.7756903372944155E-3</v>
      </c>
      <c r="AJ23" s="362">
        <f>[8]東京工場!$L$23</f>
        <v>591432</v>
      </c>
      <c r="AK23" s="99">
        <f t="shared" si="36"/>
        <v>7.6000525421262869E-3</v>
      </c>
      <c r="AL23" s="547">
        <f t="shared" si="26"/>
        <v>121187</v>
      </c>
      <c r="AM23" s="314">
        <f t="shared" si="51"/>
        <v>5.9195831658400875E-4</v>
      </c>
      <c r="AN23" s="478">
        <f t="shared" si="27"/>
        <v>1395259</v>
      </c>
      <c r="AO23" s="123">
        <f t="shared" si="52"/>
        <v>6.9554374723006251E-4</v>
      </c>
      <c r="AP23" s="527">
        <f t="shared" si="28"/>
        <v>961845</v>
      </c>
      <c r="AQ23" s="284">
        <f t="shared" si="53"/>
        <v>1.3796990436223931E-3</v>
      </c>
      <c r="AR23" s="487">
        <f t="shared" si="29"/>
        <v>10311182</v>
      </c>
      <c r="AS23" s="285">
        <f t="shared" si="54"/>
        <v>1.6084794053207517E-3</v>
      </c>
      <c r="AT23" s="584">
        <f>[8]全社合計!$G$23</f>
        <v>1570981</v>
      </c>
      <c r="AU23" s="124">
        <f t="shared" si="30"/>
        <v>1.941411378826822E-3</v>
      </c>
      <c r="AV23" s="578">
        <f>[8]全社合計!$N$23</f>
        <v>10669836</v>
      </c>
      <c r="AW23" s="125">
        <f t="shared" si="31"/>
        <v>1.4762524847814237E-3</v>
      </c>
      <c r="AX23" s="584">
        <f t="shared" si="32"/>
        <v>-609136</v>
      </c>
      <c r="AY23" s="124">
        <f t="shared" si="33"/>
        <v>0.6122575639043375</v>
      </c>
      <c r="AZ23" s="578">
        <f t="shared" si="34"/>
        <v>-358654</v>
      </c>
      <c r="BA23" s="125">
        <f t="shared" si="35"/>
        <v>0.96638617500775081</v>
      </c>
      <c r="BB23" s="11"/>
    </row>
    <row r="24" spans="1:54" ht="15.95" customHeight="1">
      <c r="A24" s="37" t="s">
        <v>20</v>
      </c>
      <c r="B24" s="703">
        <f>[8]本部!$I$24</f>
        <v>45000</v>
      </c>
      <c r="C24" s="259" t="str">
        <f t="shared" si="38"/>
        <v/>
      </c>
      <c r="D24" s="728">
        <f>[8]本部!$L$24</f>
        <v>360000</v>
      </c>
      <c r="E24" s="122" t="str">
        <f t="shared" si="39"/>
        <v/>
      </c>
      <c r="F24" s="352">
        <f>[8]本社営業!$I$24</f>
        <v>181650</v>
      </c>
      <c r="G24" s="9">
        <f t="shared" si="40"/>
        <v>3.9728653276252209E-4</v>
      </c>
      <c r="H24" s="362">
        <f>[8]本社営業!$L$24</f>
        <v>2125200</v>
      </c>
      <c r="I24" s="124">
        <f t="shared" si="19"/>
        <v>5.164602251750591E-4</v>
      </c>
      <c r="J24" s="745">
        <f>[8]東大阪!$I$24</f>
        <v>96410</v>
      </c>
      <c r="K24" s="9">
        <f t="shared" si="20"/>
        <v>1.0499550330429267E-2</v>
      </c>
      <c r="L24" s="362">
        <f>[8]東大阪!$L$24</f>
        <v>771280</v>
      </c>
      <c r="M24" s="124">
        <f t="shared" si="37"/>
        <v>1.0521950287850263E-2</v>
      </c>
      <c r="N24" s="403">
        <f>[8]南港工場!$I$24</f>
        <v>28600</v>
      </c>
      <c r="O24" s="9">
        <f t="shared" si="41"/>
        <v>1.0995767052598866E-3</v>
      </c>
      <c r="P24" s="362">
        <f>[8]南港工場!$L$24</f>
        <v>228800</v>
      </c>
      <c r="Q24" s="204">
        <f t="shared" si="42"/>
        <v>1.0578809579134267E-3</v>
      </c>
      <c r="R24" s="437">
        <f>[8]南港事務!$I$24</f>
        <v>0</v>
      </c>
      <c r="S24" s="9" t="str">
        <f t="shared" si="43"/>
        <v/>
      </c>
      <c r="T24" s="362">
        <f>[8]南港事務!$L$24</f>
        <v>0</v>
      </c>
      <c r="U24" s="204" t="str">
        <f t="shared" si="44"/>
        <v/>
      </c>
      <c r="V24" s="456">
        <f t="shared" si="21"/>
        <v>28600</v>
      </c>
      <c r="W24" s="171">
        <f t="shared" si="45"/>
        <v>1.0995767052598866E-3</v>
      </c>
      <c r="X24" s="426">
        <f t="shared" si="22"/>
        <v>228800</v>
      </c>
      <c r="Y24" s="225">
        <f t="shared" si="46"/>
        <v>1.0578809579134267E-3</v>
      </c>
      <c r="Z24" s="460">
        <f t="shared" si="23"/>
        <v>306660</v>
      </c>
      <c r="AA24" s="189">
        <f t="shared" si="47"/>
        <v>6.2276234636048685E-4</v>
      </c>
      <c r="AB24" s="564">
        <f t="shared" si="24"/>
        <v>3125280</v>
      </c>
      <c r="AC24" s="123">
        <f t="shared" si="48"/>
        <v>7.095623293622707E-4</v>
      </c>
      <c r="AD24" s="352">
        <f>[8]東京事務!$I$24</f>
        <v>155000</v>
      </c>
      <c r="AE24" s="9">
        <f t="shared" si="49"/>
        <v>7.8774974538403555E-4</v>
      </c>
      <c r="AF24" s="362">
        <f>[8]東京事務!$L$24</f>
        <v>1422500</v>
      </c>
      <c r="AG24" s="81">
        <f t="shared" si="50"/>
        <v>7.3774308759205992E-4</v>
      </c>
      <c r="AH24" s="388">
        <f>[8]東京工場!$I$24</f>
        <v>0</v>
      </c>
      <c r="AI24" s="171">
        <f t="shared" si="25"/>
        <v>0</v>
      </c>
      <c r="AJ24" s="362">
        <f>[8]東京工場!$L$24</f>
        <v>0</v>
      </c>
      <c r="AK24" s="99">
        <f t="shared" si="36"/>
        <v>0</v>
      </c>
      <c r="AL24" s="547">
        <f t="shared" si="26"/>
        <v>155000</v>
      </c>
      <c r="AM24" s="314">
        <f t="shared" si="51"/>
        <v>7.5712361120022244E-4</v>
      </c>
      <c r="AN24" s="478">
        <f t="shared" si="27"/>
        <v>1422500</v>
      </c>
      <c r="AO24" s="123">
        <f t="shared" si="52"/>
        <v>7.0912352504786855E-4</v>
      </c>
      <c r="AP24" s="527">
        <f t="shared" si="28"/>
        <v>506660</v>
      </c>
      <c r="AQ24" s="284">
        <f t="shared" si="53"/>
        <v>7.2676815645111392E-4</v>
      </c>
      <c r="AR24" s="487">
        <f t="shared" si="29"/>
        <v>4907780</v>
      </c>
      <c r="AS24" s="285">
        <f t="shared" si="54"/>
        <v>7.6558274850013113E-4</v>
      </c>
      <c r="AT24" s="584">
        <f>[8]全社合計!$G$24</f>
        <v>495160</v>
      </c>
      <c r="AU24" s="124">
        <f t="shared" si="30"/>
        <v>6.1191654026362453E-4</v>
      </c>
      <c r="AV24" s="578">
        <f>[8]全社合計!$N$24</f>
        <v>4566883</v>
      </c>
      <c r="AW24" s="125">
        <f t="shared" si="31"/>
        <v>6.3186279306036593E-4</v>
      </c>
      <c r="AX24" s="584">
        <f t="shared" si="32"/>
        <v>11500</v>
      </c>
      <c r="AY24" s="124">
        <f t="shared" si="33"/>
        <v>1.0232248162210196</v>
      </c>
      <c r="AZ24" s="578">
        <f t="shared" si="34"/>
        <v>340897</v>
      </c>
      <c r="BA24" s="125">
        <f t="shared" si="35"/>
        <v>1.0746454419786975</v>
      </c>
      <c r="BB24" s="11"/>
    </row>
    <row r="25" spans="1:54" ht="15.95" customHeight="1">
      <c r="A25" s="37" t="s">
        <v>54</v>
      </c>
      <c r="B25" s="703">
        <f>[8]本部!$I$25</f>
        <v>129379</v>
      </c>
      <c r="C25" s="259" t="str">
        <f t="shared" si="38"/>
        <v/>
      </c>
      <c r="D25" s="728">
        <f>[8]本部!$L$25</f>
        <v>1035032</v>
      </c>
      <c r="E25" s="122" t="str">
        <f t="shared" si="39"/>
        <v/>
      </c>
      <c r="F25" s="352">
        <f>[8]本社営業!$I$25</f>
        <v>86370</v>
      </c>
      <c r="G25" s="9">
        <f t="shared" si="40"/>
        <v>1.8889974035066903E-4</v>
      </c>
      <c r="H25" s="362">
        <f>[8]本社営業!$L$25</f>
        <v>701880</v>
      </c>
      <c r="I25" s="124">
        <f t="shared" si="19"/>
        <v>1.7056893602760705E-4</v>
      </c>
      <c r="J25" s="745">
        <f>[8]東大阪!$I$25</f>
        <v>10180</v>
      </c>
      <c r="K25" s="9">
        <f t="shared" si="20"/>
        <v>1.1086549358341451E-3</v>
      </c>
      <c r="L25" s="362">
        <f>[8]東大阪!$L$25</f>
        <v>81440</v>
      </c>
      <c r="M25" s="124">
        <f t="shared" si="37"/>
        <v>1.1110201631606231E-3</v>
      </c>
      <c r="N25" s="403">
        <f>[8]南港工場!$I$25</f>
        <v>0</v>
      </c>
      <c r="O25" s="9">
        <f t="shared" si="41"/>
        <v>0</v>
      </c>
      <c r="P25" s="362">
        <f>[8]南港工場!$L$25</f>
        <v>0</v>
      </c>
      <c r="Q25" s="204">
        <f t="shared" si="42"/>
        <v>0</v>
      </c>
      <c r="R25" s="437">
        <f>[8]南港事務!$I$25</f>
        <v>10180</v>
      </c>
      <c r="S25" s="9" t="str">
        <f t="shared" si="43"/>
        <v/>
      </c>
      <c r="T25" s="362">
        <f>[8]南港事務!$L$25</f>
        <v>105380</v>
      </c>
      <c r="U25" s="204" t="str">
        <f t="shared" si="44"/>
        <v/>
      </c>
      <c r="V25" s="456">
        <f t="shared" si="21"/>
        <v>10180</v>
      </c>
      <c r="W25" s="171">
        <f t="shared" si="45"/>
        <v>3.9138779229180582E-4</v>
      </c>
      <c r="X25" s="426">
        <f t="shared" si="22"/>
        <v>105380</v>
      </c>
      <c r="Y25" s="225">
        <f t="shared" si="46"/>
        <v>4.8723555657743402E-4</v>
      </c>
      <c r="Z25" s="460">
        <f t="shared" si="23"/>
        <v>106730</v>
      </c>
      <c r="AA25" s="189">
        <f t="shared" si="47"/>
        <v>2.1674631587769764E-4</v>
      </c>
      <c r="AB25" s="564">
        <f t="shared" si="24"/>
        <v>888700</v>
      </c>
      <c r="AC25" s="123">
        <f t="shared" si="48"/>
        <v>2.0177009487285939E-4</v>
      </c>
      <c r="AD25" s="352">
        <f>[8]東京事務!$I$25</f>
        <v>18542</v>
      </c>
      <c r="AE25" s="9">
        <f t="shared" si="49"/>
        <v>9.4235198573617979E-5</v>
      </c>
      <c r="AF25" s="362">
        <f>[8]東京事務!$L$25</f>
        <v>175876</v>
      </c>
      <c r="AG25" s="81">
        <f t="shared" si="50"/>
        <v>9.1213569963684453E-5</v>
      </c>
      <c r="AH25" s="388">
        <f>[8]東京工場!$I$25</f>
        <v>8300</v>
      </c>
      <c r="AI25" s="171">
        <f t="shared" si="25"/>
        <v>1.0428198149334059E-3</v>
      </c>
      <c r="AJ25" s="362">
        <f>[8]東京工場!$L$25</f>
        <v>66400</v>
      </c>
      <c r="AK25" s="99">
        <f t="shared" si="36"/>
        <v>8.532569911624421E-4</v>
      </c>
      <c r="AL25" s="547">
        <f t="shared" si="26"/>
        <v>26842</v>
      </c>
      <c r="AM25" s="314">
        <f t="shared" si="51"/>
        <v>1.311142707860411E-4</v>
      </c>
      <c r="AN25" s="478">
        <f t="shared" si="27"/>
        <v>242276</v>
      </c>
      <c r="AO25" s="123">
        <f t="shared" si="52"/>
        <v>1.2077582506467304E-4</v>
      </c>
      <c r="AP25" s="527">
        <f t="shared" si="28"/>
        <v>262951</v>
      </c>
      <c r="AQ25" s="284">
        <f t="shared" si="53"/>
        <v>3.7718472645753928E-4</v>
      </c>
      <c r="AR25" s="487">
        <f t="shared" si="29"/>
        <v>2166008</v>
      </c>
      <c r="AS25" s="285">
        <f t="shared" si="54"/>
        <v>3.3788359663906533E-4</v>
      </c>
      <c r="AT25" s="584">
        <f>[8]全社合計!$G$25</f>
        <v>212181</v>
      </c>
      <c r="AU25" s="124">
        <f t="shared" si="30"/>
        <v>2.6221234233313699E-4</v>
      </c>
      <c r="AV25" s="578">
        <f>[8]全社合計!$N$25</f>
        <v>1895328</v>
      </c>
      <c r="AW25" s="125">
        <f t="shared" si="31"/>
        <v>2.6223295929532622E-4</v>
      </c>
      <c r="AX25" s="584">
        <f t="shared" si="32"/>
        <v>50770</v>
      </c>
      <c r="AY25" s="124">
        <f t="shared" si="33"/>
        <v>1.2392768438267328</v>
      </c>
      <c r="AZ25" s="578">
        <f t="shared" si="34"/>
        <v>270680</v>
      </c>
      <c r="BA25" s="125">
        <f t="shared" si="35"/>
        <v>1.1428143308176737</v>
      </c>
      <c r="BB25" s="11"/>
    </row>
    <row r="26" spans="1:54" ht="15.95" customHeight="1">
      <c r="A26" s="37" t="s">
        <v>55</v>
      </c>
      <c r="B26" s="703">
        <f>[8]本部!$I$26</f>
        <v>348701</v>
      </c>
      <c r="C26" s="259" t="str">
        <f t="shared" si="38"/>
        <v/>
      </c>
      <c r="D26" s="728">
        <f>[8]本部!$L$26</f>
        <v>2749608</v>
      </c>
      <c r="E26" s="122" t="str">
        <f t="shared" si="39"/>
        <v/>
      </c>
      <c r="F26" s="352">
        <f>[8]本社営業!$I$26</f>
        <v>680</v>
      </c>
      <c r="G26" s="9">
        <f t="shared" si="40"/>
        <v>1.4872273178007983E-6</v>
      </c>
      <c r="H26" s="362">
        <f>[8]本社営業!$L$26</f>
        <v>5440</v>
      </c>
      <c r="I26" s="124">
        <f t="shared" si="19"/>
        <v>1.3220137516244691E-6</v>
      </c>
      <c r="J26" s="745">
        <f>[8]東大阪!$I$26</f>
        <v>5520</v>
      </c>
      <c r="K26" s="9">
        <f t="shared" si="20"/>
        <v>6.01156703910067E-4</v>
      </c>
      <c r="L26" s="362">
        <f>[8]東大阪!$L$26</f>
        <v>149316</v>
      </c>
      <c r="M26" s="124">
        <f t="shared" si="37"/>
        <v>2.0369976262584921E-3</v>
      </c>
      <c r="N26" s="403">
        <f>[8]南港工場!$I$26</f>
        <v>0</v>
      </c>
      <c r="O26" s="9">
        <f t="shared" si="41"/>
        <v>0</v>
      </c>
      <c r="P26" s="362">
        <f>[8]南港工場!$L$26</f>
        <v>156834</v>
      </c>
      <c r="Q26" s="204">
        <f t="shared" si="42"/>
        <v>7.2513855836273762E-4</v>
      </c>
      <c r="R26" s="437">
        <f>[8]南港事務!$I$26</f>
        <v>5520</v>
      </c>
      <c r="S26" s="9" t="str">
        <f t="shared" si="43"/>
        <v/>
      </c>
      <c r="T26" s="362">
        <f>[8]南港事務!$L$26</f>
        <v>44160</v>
      </c>
      <c r="U26" s="204" t="str">
        <f t="shared" si="44"/>
        <v/>
      </c>
      <c r="V26" s="456">
        <f>N26+R26</f>
        <v>5520</v>
      </c>
      <c r="W26" s="171">
        <f t="shared" si="45"/>
        <v>2.1222599346274737E-4</v>
      </c>
      <c r="X26" s="426">
        <f t="shared" si="22"/>
        <v>200994</v>
      </c>
      <c r="Y26" s="225">
        <f t="shared" si="46"/>
        <v>9.2931698100896538E-4</v>
      </c>
      <c r="Z26" s="460">
        <f t="shared" si="23"/>
        <v>11720</v>
      </c>
      <c r="AA26" s="189">
        <f t="shared" si="47"/>
        <v>2.3800869690683187E-5</v>
      </c>
      <c r="AB26" s="564">
        <f t="shared" si="24"/>
        <v>355750</v>
      </c>
      <c r="AC26" s="123">
        <f t="shared" si="48"/>
        <v>8.0769338641858586E-5</v>
      </c>
      <c r="AD26" s="352">
        <f>[8]東京事務!$I$26</f>
        <v>5520</v>
      </c>
      <c r="AE26" s="9">
        <f t="shared" si="49"/>
        <v>2.805405544851533E-5</v>
      </c>
      <c r="AF26" s="362">
        <f>[8]東京事務!$L$26</f>
        <v>49110</v>
      </c>
      <c r="AG26" s="81">
        <f t="shared" si="50"/>
        <v>2.5469640092545563E-5</v>
      </c>
      <c r="AH26" s="388">
        <f>[8]東京工場!$I$26</f>
        <v>25000</v>
      </c>
      <c r="AI26" s="171">
        <f t="shared" si="25"/>
        <v>3.1410235389560419E-3</v>
      </c>
      <c r="AJ26" s="362">
        <f>[8]東京工場!$L$26</f>
        <v>188000</v>
      </c>
      <c r="AK26" s="99">
        <f t="shared" si="36"/>
        <v>2.4158481075081191E-3</v>
      </c>
      <c r="AL26" s="547">
        <f t="shared" si="26"/>
        <v>30520</v>
      </c>
      <c r="AM26" s="314">
        <f t="shared" si="51"/>
        <v>1.4908008137955346E-4</v>
      </c>
      <c r="AN26" s="478">
        <f t="shared" si="27"/>
        <v>237110</v>
      </c>
      <c r="AO26" s="123">
        <f t="shared" si="52"/>
        <v>1.182005476443586E-4</v>
      </c>
      <c r="AP26" s="527">
        <f t="shared" si="28"/>
        <v>390941</v>
      </c>
      <c r="AQ26" s="284">
        <f t="shared" si="53"/>
        <v>5.6077738493497597E-4</v>
      </c>
      <c r="AR26" s="487">
        <f t="shared" si="29"/>
        <v>3342468</v>
      </c>
      <c r="AS26" s="285">
        <f t="shared" si="54"/>
        <v>5.2140394194803686E-4</v>
      </c>
      <c r="AT26" s="584">
        <f>[8]全社合計!$G$26</f>
        <v>392131</v>
      </c>
      <c r="AU26" s="124">
        <f t="shared" si="30"/>
        <v>4.8459375727061022E-4</v>
      </c>
      <c r="AV26" s="578">
        <f>[8]全社合計!$N$26</f>
        <v>3429998</v>
      </c>
      <c r="AW26" s="125">
        <f t="shared" si="31"/>
        <v>4.7456615737067692E-4</v>
      </c>
      <c r="AX26" s="584">
        <f t="shared" si="32"/>
        <v>-1190</v>
      </c>
      <c r="AY26" s="124">
        <f t="shared" si="33"/>
        <v>0.99696529986152582</v>
      </c>
      <c r="AZ26" s="578">
        <f t="shared" si="34"/>
        <v>-87530</v>
      </c>
      <c r="BA26" s="125">
        <f t="shared" si="35"/>
        <v>0.9744810346828191</v>
      </c>
      <c r="BB26" s="11"/>
    </row>
    <row r="27" spans="1:54" ht="15.95" customHeight="1">
      <c r="A27" s="37" t="s">
        <v>21</v>
      </c>
      <c r="B27" s="703">
        <f>[8]本部!$I$27</f>
        <v>0</v>
      </c>
      <c r="C27" s="259" t="str">
        <f t="shared" si="38"/>
        <v/>
      </c>
      <c r="D27" s="728">
        <f>[8]本部!$L$27</f>
        <v>0</v>
      </c>
      <c r="E27" s="122" t="str">
        <f t="shared" si="39"/>
        <v/>
      </c>
      <c r="F27" s="352">
        <f>[8]本社営業!$I$27</f>
        <v>0</v>
      </c>
      <c r="G27" s="9">
        <f t="shared" si="40"/>
        <v>0</v>
      </c>
      <c r="H27" s="362">
        <f>[8]本社営業!$L$27</f>
        <v>0</v>
      </c>
      <c r="I27" s="124">
        <f t="shared" si="19"/>
        <v>0</v>
      </c>
      <c r="J27" s="745">
        <f>[8]東大阪!$I$27</f>
        <v>3037798</v>
      </c>
      <c r="K27" s="9">
        <f t="shared" si="20"/>
        <v>0.33083199870010754</v>
      </c>
      <c r="L27" s="362">
        <f>[8]東大阪!$L$27</f>
        <v>3549518</v>
      </c>
      <c r="M27" s="124">
        <f t="shared" si="37"/>
        <v>4.8423208098005509E-2</v>
      </c>
      <c r="N27" s="403">
        <f>[8]南港工場!$I$27</f>
        <v>101380</v>
      </c>
      <c r="O27" s="9">
        <f t="shared" si="41"/>
        <v>3.8977302929806752E-3</v>
      </c>
      <c r="P27" s="362">
        <f>[8]南港工場!$L$27</f>
        <v>42112430</v>
      </c>
      <c r="Q27" s="204">
        <f t="shared" si="42"/>
        <v>0.19471126655796386</v>
      </c>
      <c r="R27" s="437">
        <f>[8]南港事務!$I$27</f>
        <v>2429</v>
      </c>
      <c r="S27" s="9" t="str">
        <f t="shared" si="43"/>
        <v/>
      </c>
      <c r="T27" s="362">
        <f>[8]南港事務!$L$27</f>
        <v>2429</v>
      </c>
      <c r="U27" s="204" t="str">
        <f t="shared" si="44"/>
        <v/>
      </c>
      <c r="V27" s="456">
        <f>N27+R27</f>
        <v>103809</v>
      </c>
      <c r="W27" s="171">
        <f t="shared" si="45"/>
        <v>3.9911174194518732E-3</v>
      </c>
      <c r="X27" s="426">
        <f t="shared" si="22"/>
        <v>42114859</v>
      </c>
      <c r="Y27" s="225">
        <f t="shared" si="46"/>
        <v>0.1947224972959305</v>
      </c>
      <c r="Z27" s="460">
        <f t="shared" si="23"/>
        <v>3141607</v>
      </c>
      <c r="AA27" s="189">
        <f t="shared" si="47"/>
        <v>6.3799469988343122E-3</v>
      </c>
      <c r="AB27" s="564">
        <f t="shared" si="24"/>
        <v>45664377</v>
      </c>
      <c r="AC27" s="123">
        <f t="shared" si="48"/>
        <v>1.0367622009226982E-2</v>
      </c>
      <c r="AD27" s="352">
        <f>[8]東京事務!$I$27</f>
        <v>0</v>
      </c>
      <c r="AE27" s="9">
        <f t="shared" si="49"/>
        <v>0</v>
      </c>
      <c r="AF27" s="362">
        <f>[8]東京事務!$L$27</f>
        <v>0</v>
      </c>
      <c r="AG27" s="81">
        <f t="shared" si="50"/>
        <v>0</v>
      </c>
      <c r="AH27" s="388">
        <f>[8]東京工場!$I$27</f>
        <v>50000</v>
      </c>
      <c r="AI27" s="171">
        <f t="shared" si="25"/>
        <v>6.2820470779120837E-3</v>
      </c>
      <c r="AJ27" s="362">
        <f>[8]東京工場!$L$27</f>
        <v>1318229</v>
      </c>
      <c r="AK27" s="99">
        <f t="shared" si="36"/>
        <v>1.6939579972937876E-2</v>
      </c>
      <c r="AL27" s="547">
        <f t="shared" si="26"/>
        <v>50000</v>
      </c>
      <c r="AM27" s="314">
        <f t="shared" si="51"/>
        <v>2.4423342296781366E-4</v>
      </c>
      <c r="AN27" s="478">
        <f t="shared" si="27"/>
        <v>1318229</v>
      </c>
      <c r="AO27" s="123">
        <f t="shared" si="52"/>
        <v>6.5714389827790974E-4</v>
      </c>
      <c r="AP27" s="527">
        <f t="shared" si="28"/>
        <v>3191607</v>
      </c>
      <c r="AQ27" s="284">
        <f t="shared" si="53"/>
        <v>4.5781359008140975E-3</v>
      </c>
      <c r="AR27" s="487">
        <f t="shared" si="29"/>
        <v>46982606</v>
      </c>
      <c r="AS27" s="285">
        <f t="shared" si="54"/>
        <v>7.328990426053888E-3</v>
      </c>
      <c r="AT27" s="584">
        <f>[8]全社合計!$G$27</f>
        <v>5140480</v>
      </c>
      <c r="AU27" s="124">
        <f t="shared" si="30"/>
        <v>6.3525824721188239E-3</v>
      </c>
      <c r="AV27" s="578">
        <f>[8]全社合計!$N$27</f>
        <v>19409414</v>
      </c>
      <c r="AW27" s="125">
        <f t="shared" si="31"/>
        <v>2.6854391806632599E-3</v>
      </c>
      <c r="AX27" s="584">
        <f t="shared" si="32"/>
        <v>-1948873</v>
      </c>
      <c r="AY27" s="124">
        <f t="shared" si="33"/>
        <v>0.62087723325448207</v>
      </c>
      <c r="AZ27" s="578">
        <f t="shared" si="34"/>
        <v>27573192</v>
      </c>
      <c r="BA27" s="125">
        <f t="shared" si="35"/>
        <v>2.4206091951050146</v>
      </c>
      <c r="BB27" s="11"/>
    </row>
    <row r="28" spans="1:54" ht="15.95" customHeight="1">
      <c r="A28" s="37" t="s">
        <v>22</v>
      </c>
      <c r="B28" s="703">
        <f>[8]本部!$I$28</f>
        <v>33789</v>
      </c>
      <c r="C28" s="259" t="str">
        <f t="shared" si="38"/>
        <v/>
      </c>
      <c r="D28" s="728">
        <f>[8]本部!$L$28</f>
        <v>1304187</v>
      </c>
      <c r="E28" s="122" t="str">
        <f t="shared" si="39"/>
        <v/>
      </c>
      <c r="F28" s="352">
        <f>[8]本社営業!$I$28</f>
        <v>112634</v>
      </c>
      <c r="G28" s="9">
        <f t="shared" si="40"/>
        <v>2.4634170840172808E-4</v>
      </c>
      <c r="H28" s="362">
        <f>[8]本社営業!$L$28</f>
        <v>879154</v>
      </c>
      <c r="I28" s="124">
        <f t="shared" si="19"/>
        <v>2.1364957312420193E-4</v>
      </c>
      <c r="J28" s="745">
        <f>[8]東大阪!$I$28</f>
        <v>23266</v>
      </c>
      <c r="K28" s="9">
        <f t="shared" si="20"/>
        <v>2.5337883828209454E-3</v>
      </c>
      <c r="L28" s="362">
        <f>[8]東大阪!$L$28</f>
        <v>158173</v>
      </c>
      <c r="M28" s="124">
        <f t="shared" si="37"/>
        <v>2.1578265258792393E-3</v>
      </c>
      <c r="N28" s="403">
        <f>[8]南港工場!$I$28</f>
        <v>0</v>
      </c>
      <c r="O28" s="9">
        <f t="shared" si="41"/>
        <v>0</v>
      </c>
      <c r="P28" s="362">
        <f>[8]南港工場!$L$28</f>
        <v>60158</v>
      </c>
      <c r="Q28" s="204">
        <f t="shared" si="42"/>
        <v>2.7814686479963252E-4</v>
      </c>
      <c r="R28" s="437">
        <f>[8]南港事務!$I$28</f>
        <v>14615</v>
      </c>
      <c r="S28" s="9" t="str">
        <f t="shared" si="43"/>
        <v/>
      </c>
      <c r="T28" s="362">
        <f>[8]南港事務!$L$28</f>
        <v>203241</v>
      </c>
      <c r="U28" s="204" t="str">
        <f t="shared" si="44"/>
        <v/>
      </c>
      <c r="V28" s="456">
        <f>N28+R28</f>
        <v>14615</v>
      </c>
      <c r="W28" s="171">
        <f t="shared" si="45"/>
        <v>5.6189907508298056E-4</v>
      </c>
      <c r="X28" s="426">
        <f t="shared" si="22"/>
        <v>263399</v>
      </c>
      <c r="Y28" s="225">
        <f t="shared" si="46"/>
        <v>1.2178530875587355E-3</v>
      </c>
      <c r="Z28" s="460">
        <f t="shared" si="23"/>
        <v>150515</v>
      </c>
      <c r="AA28" s="189">
        <f t="shared" si="47"/>
        <v>3.0566449671443513E-4</v>
      </c>
      <c r="AB28" s="564">
        <f t="shared" si="24"/>
        <v>1300726</v>
      </c>
      <c r="AC28" s="123">
        <f t="shared" si="48"/>
        <v>2.9531631419331037E-4</v>
      </c>
      <c r="AD28" s="352">
        <f>[8]東京事務!$I$28</f>
        <v>37083</v>
      </c>
      <c r="AE28" s="9">
        <f t="shared" si="49"/>
        <v>1.8846531489081413E-4</v>
      </c>
      <c r="AF28" s="362">
        <f>[8]東京事務!$L$28</f>
        <v>159825</v>
      </c>
      <c r="AG28" s="81">
        <f t="shared" si="50"/>
        <v>8.2889131089209826E-5</v>
      </c>
      <c r="AH28" s="388">
        <f>[8]東京工場!$I$28</f>
        <v>398</v>
      </c>
      <c r="AI28" s="171">
        <f t="shared" si="25"/>
        <v>5.0005094740180185E-5</v>
      </c>
      <c r="AJ28" s="362">
        <f>[8]東京工場!$L$28</f>
        <v>152388</v>
      </c>
      <c r="AK28" s="99">
        <f t="shared" si="36"/>
        <v>1.9582247947178047E-3</v>
      </c>
      <c r="AL28" s="547">
        <f t="shared" si="26"/>
        <v>37481</v>
      </c>
      <c r="AM28" s="314">
        <f t="shared" si="51"/>
        <v>1.8308225852513247E-4</v>
      </c>
      <c r="AN28" s="478">
        <f t="shared" si="27"/>
        <v>312213</v>
      </c>
      <c r="AO28" s="123">
        <f t="shared" si="52"/>
        <v>1.5563977724131472E-4</v>
      </c>
      <c r="AP28" s="527">
        <f t="shared" si="28"/>
        <v>221785</v>
      </c>
      <c r="AQ28" s="284">
        <f t="shared" si="53"/>
        <v>3.1813499304959994E-4</v>
      </c>
      <c r="AR28" s="487">
        <f t="shared" si="29"/>
        <v>2917126</v>
      </c>
      <c r="AS28" s="285">
        <f t="shared" si="54"/>
        <v>4.5505327068474818E-4</v>
      </c>
      <c r="AT28" s="584">
        <f>[8]全社合計!$G$28</f>
        <v>217243</v>
      </c>
      <c r="AU28" s="124">
        <f t="shared" si="30"/>
        <v>2.684679395679994E-4</v>
      </c>
      <c r="AV28" s="578">
        <f>[8]全社合計!$N$28</f>
        <v>2440360</v>
      </c>
      <c r="AW28" s="125">
        <f t="shared" si="31"/>
        <v>3.3764225745936446E-4</v>
      </c>
      <c r="AX28" s="584">
        <f t="shared" si="32"/>
        <v>4542</v>
      </c>
      <c r="AY28" s="124">
        <f t="shared" si="33"/>
        <v>1.0209074630713073</v>
      </c>
      <c r="AZ28" s="578">
        <f t="shared" si="34"/>
        <v>476766</v>
      </c>
      <c r="BA28" s="125">
        <f t="shared" si="35"/>
        <v>1.1953670769886411</v>
      </c>
      <c r="BB28" s="11"/>
    </row>
    <row r="29" spans="1:54" ht="15.95" customHeight="1">
      <c r="A29" s="37" t="s">
        <v>23</v>
      </c>
      <c r="B29" s="703">
        <f>[8]本部!$I$29</f>
        <v>0</v>
      </c>
      <c r="C29" s="259" t="str">
        <f t="shared" si="38"/>
        <v/>
      </c>
      <c r="D29" s="728">
        <f>[8]本部!$L$29</f>
        <v>0</v>
      </c>
      <c r="E29" s="122" t="str">
        <f t="shared" si="39"/>
        <v/>
      </c>
      <c r="F29" s="352">
        <f>[8]本社営業!$I$29</f>
        <v>26206</v>
      </c>
      <c r="G29" s="9">
        <f t="shared" si="40"/>
        <v>5.7315116309246647E-5</v>
      </c>
      <c r="H29" s="362">
        <f>[8]本社営業!$L$29</f>
        <v>187291</v>
      </c>
      <c r="I29" s="124">
        <f t="shared" si="19"/>
        <v>4.5514940727113685E-5</v>
      </c>
      <c r="J29" s="745">
        <f>[8]東大阪!$I$29</f>
        <v>852391</v>
      </c>
      <c r="K29" s="9">
        <f t="shared" si="20"/>
        <v>9.2829812319312657E-2</v>
      </c>
      <c r="L29" s="362">
        <f>[8]東大阪!$L$29</f>
        <v>4634851</v>
      </c>
      <c r="M29" s="124">
        <f t="shared" si="37"/>
        <v>6.3229529890043934E-2</v>
      </c>
      <c r="N29" s="403">
        <f>[8]南港工場!$I$29</f>
        <v>3539870</v>
      </c>
      <c r="O29" s="9">
        <f t="shared" si="41"/>
        <v>0.13609645425343758</v>
      </c>
      <c r="P29" s="362">
        <f>[8]南港工場!$L$29</f>
        <v>26284721</v>
      </c>
      <c r="Q29" s="204">
        <f t="shared" si="42"/>
        <v>0.12153018282328305</v>
      </c>
      <c r="R29" s="437">
        <f>[8]南港事務!$I$29</f>
        <v>0</v>
      </c>
      <c r="S29" s="9" t="str">
        <f t="shared" si="43"/>
        <v/>
      </c>
      <c r="T29" s="362">
        <f>[8]南港事務!$L$29</f>
        <v>18979</v>
      </c>
      <c r="U29" s="204" t="str">
        <f t="shared" si="44"/>
        <v/>
      </c>
      <c r="V29" s="456">
        <f t="shared" si="21"/>
        <v>3539870</v>
      </c>
      <c r="W29" s="171">
        <f t="shared" si="45"/>
        <v>0.13609645425343758</v>
      </c>
      <c r="X29" s="426">
        <f t="shared" si="22"/>
        <v>26303700</v>
      </c>
      <c r="Y29" s="225">
        <f t="shared" si="46"/>
        <v>0.12161793423368621</v>
      </c>
      <c r="Z29" s="460">
        <f t="shared" si="23"/>
        <v>4418467</v>
      </c>
      <c r="AA29" s="189">
        <f t="shared" si="47"/>
        <v>8.9729827047426505E-3</v>
      </c>
      <c r="AB29" s="564">
        <f t="shared" si="24"/>
        <v>31125842</v>
      </c>
      <c r="AC29" s="123">
        <f t="shared" si="48"/>
        <v>7.0667987997497829E-3</v>
      </c>
      <c r="AD29" s="352">
        <f>[8]東京事務!$I$29</f>
        <v>0</v>
      </c>
      <c r="AE29" s="9">
        <f t="shared" si="49"/>
        <v>0</v>
      </c>
      <c r="AF29" s="362">
        <f>[8]東京事務!$L$29</f>
        <v>27443</v>
      </c>
      <c r="AG29" s="81">
        <f t="shared" si="50"/>
        <v>1.4232607066986925E-5</v>
      </c>
      <c r="AH29" s="388">
        <f>[8]東京工場!$I$29</f>
        <v>300641</v>
      </c>
      <c r="AI29" s="171">
        <f t="shared" si="25"/>
        <v>3.7772818311011334E-2</v>
      </c>
      <c r="AJ29" s="362">
        <f>[8]東京工場!$L$29</f>
        <v>4785498</v>
      </c>
      <c r="AK29" s="99">
        <f t="shared" si="36"/>
        <v>6.1494873865871755E-2</v>
      </c>
      <c r="AL29" s="547">
        <f t="shared" si="26"/>
        <v>300641</v>
      </c>
      <c r="AM29" s="314">
        <f t="shared" si="51"/>
        <v>1.4685316102893294E-3</v>
      </c>
      <c r="AN29" s="478">
        <f t="shared" si="27"/>
        <v>4812941</v>
      </c>
      <c r="AO29" s="123">
        <f t="shared" si="52"/>
        <v>2.3992757031756858E-3</v>
      </c>
      <c r="AP29" s="527">
        <f t="shared" si="28"/>
        <v>4719108</v>
      </c>
      <c r="AQ29" s="284">
        <f t="shared" si="53"/>
        <v>6.7692287160101517E-3</v>
      </c>
      <c r="AR29" s="487">
        <f t="shared" si="29"/>
        <v>35938783</v>
      </c>
      <c r="AS29" s="285">
        <f t="shared" si="54"/>
        <v>5.6062236422353461E-3</v>
      </c>
      <c r="AT29" s="584">
        <f>[8]全社合計!$G$29</f>
        <v>5121706</v>
      </c>
      <c r="AU29" s="124">
        <f t="shared" si="30"/>
        <v>6.3293816458668863E-3</v>
      </c>
      <c r="AV29" s="578">
        <f>[8]全社合計!$N$29</f>
        <v>46429435</v>
      </c>
      <c r="AW29" s="125">
        <f t="shared" si="31"/>
        <v>6.4238633832560876E-3</v>
      </c>
      <c r="AX29" s="584">
        <f t="shared" si="32"/>
        <v>-402598</v>
      </c>
      <c r="AY29" s="124">
        <f t="shared" si="33"/>
        <v>0.92139376996649158</v>
      </c>
      <c r="AZ29" s="578">
        <f t="shared" si="34"/>
        <v>-10490652</v>
      </c>
      <c r="BA29" s="125">
        <f t="shared" si="35"/>
        <v>0.7740516980230322</v>
      </c>
      <c r="BB29" s="11"/>
    </row>
    <row r="30" spans="1:54" ht="15.95" customHeight="1">
      <c r="A30" s="37" t="s">
        <v>24</v>
      </c>
      <c r="B30" s="703">
        <f>[8]本部!$I$30</f>
        <v>18204</v>
      </c>
      <c r="C30" s="259" t="str">
        <f t="shared" si="38"/>
        <v/>
      </c>
      <c r="D30" s="728">
        <f>[8]本部!$L$30</f>
        <v>143523</v>
      </c>
      <c r="E30" s="122" t="str">
        <f t="shared" si="39"/>
        <v/>
      </c>
      <c r="F30" s="352">
        <f>[8]本社営業!$I$30</f>
        <v>36408</v>
      </c>
      <c r="G30" s="9">
        <f t="shared" si="40"/>
        <v>7.9627900274252148E-5</v>
      </c>
      <c r="H30" s="362">
        <f>[8]本社営業!$L$30</f>
        <v>287045</v>
      </c>
      <c r="I30" s="124">
        <f t="shared" si="19"/>
        <v>6.9756881863059872E-5</v>
      </c>
      <c r="J30" s="745">
        <f>[8]東大阪!$I$30</f>
        <v>301936</v>
      </c>
      <c r="K30" s="9">
        <f t="shared" si="20"/>
        <v>3.2882400462280796E-2</v>
      </c>
      <c r="L30" s="362">
        <f>[8]東大阪!$L$30</f>
        <v>3080146</v>
      </c>
      <c r="M30" s="124">
        <f t="shared" si="37"/>
        <v>4.2019944885542004E-2</v>
      </c>
      <c r="N30" s="403">
        <f>[8]南港工場!$I$30</f>
        <v>519743</v>
      </c>
      <c r="O30" s="9">
        <f t="shared" si="41"/>
        <v>1.9982422920345778E-2</v>
      </c>
      <c r="P30" s="362">
        <f>[8]南港工場!$L$30</f>
        <v>4411179</v>
      </c>
      <c r="Q30" s="204">
        <f t="shared" si="42"/>
        <v>2.0395551862096118E-2</v>
      </c>
      <c r="R30" s="437">
        <f>[8]南港事務!$I$30</f>
        <v>27805</v>
      </c>
      <c r="S30" s="9" t="str">
        <f t="shared" si="43"/>
        <v/>
      </c>
      <c r="T30" s="362">
        <f>[8]南港事務!$L$30</f>
        <v>190501</v>
      </c>
      <c r="U30" s="204" t="str">
        <f t="shared" si="44"/>
        <v/>
      </c>
      <c r="V30" s="456">
        <f t="shared" si="21"/>
        <v>547548</v>
      </c>
      <c r="W30" s="171">
        <f t="shared" si="45"/>
        <v>2.1051434468938476E-2</v>
      </c>
      <c r="X30" s="426">
        <f t="shared" si="22"/>
        <v>4601680</v>
      </c>
      <c r="Y30" s="225">
        <f t="shared" si="46"/>
        <v>2.1276353349698678E-2</v>
      </c>
      <c r="Z30" s="460">
        <f t="shared" si="23"/>
        <v>885892</v>
      </c>
      <c r="AA30" s="189">
        <f t="shared" si="47"/>
        <v>1.7990614378855555E-3</v>
      </c>
      <c r="AB30" s="564">
        <f t="shared" si="24"/>
        <v>7968871</v>
      </c>
      <c r="AC30" s="123">
        <f t="shared" si="48"/>
        <v>1.8092493053894205E-3</v>
      </c>
      <c r="AD30" s="352">
        <f>[8]東京事務!$I$30</f>
        <v>78554</v>
      </c>
      <c r="AE30" s="9">
        <f t="shared" si="49"/>
        <v>3.992315709606292E-4</v>
      </c>
      <c r="AF30" s="362">
        <f>[8]東京事務!$L$30</f>
        <v>464358</v>
      </c>
      <c r="AG30" s="81">
        <f t="shared" si="50"/>
        <v>2.4082734950303956E-4</v>
      </c>
      <c r="AH30" s="388">
        <f>[8]東京工場!$I$30</f>
        <v>247950</v>
      </c>
      <c r="AI30" s="171">
        <f t="shared" si="25"/>
        <v>3.1152671459366024E-2</v>
      </c>
      <c r="AJ30" s="362">
        <f>[8]東京工場!$L$30</f>
        <v>2058060</v>
      </c>
      <c r="AK30" s="99">
        <f t="shared" si="36"/>
        <v>2.6446597639032766E-2</v>
      </c>
      <c r="AL30" s="547">
        <f t="shared" si="26"/>
        <v>326504</v>
      </c>
      <c r="AM30" s="314">
        <f t="shared" si="51"/>
        <v>1.5948637906536608E-3</v>
      </c>
      <c r="AN30" s="478">
        <f t="shared" si="27"/>
        <v>2522418</v>
      </c>
      <c r="AO30" s="123">
        <f t="shared" si="52"/>
        <v>1.2574382733245655E-3</v>
      </c>
      <c r="AP30" s="527">
        <f t="shared" si="28"/>
        <v>1230600</v>
      </c>
      <c r="AQ30" s="284">
        <f t="shared" si="53"/>
        <v>1.7652092001119899E-3</v>
      </c>
      <c r="AR30" s="487">
        <f t="shared" si="29"/>
        <v>10634812</v>
      </c>
      <c r="AS30" s="285">
        <f t="shared" si="54"/>
        <v>1.6589636456284056E-3</v>
      </c>
      <c r="AT30" s="584">
        <f>[8]全社合計!$G$30</f>
        <v>1473554</v>
      </c>
      <c r="AU30" s="124">
        <f t="shared" si="30"/>
        <v>1.8210115226828198E-3</v>
      </c>
      <c r="AV30" s="578">
        <f>[8]全社合計!$N$30</f>
        <v>11748004</v>
      </c>
      <c r="AW30" s="125">
        <f t="shared" si="31"/>
        <v>1.6254251795643443E-3</v>
      </c>
      <c r="AX30" s="584">
        <f t="shared" si="32"/>
        <v>-242954</v>
      </c>
      <c r="AY30" s="124">
        <f t="shared" si="33"/>
        <v>0.83512378915194152</v>
      </c>
      <c r="AZ30" s="578">
        <f t="shared" si="34"/>
        <v>-1113192</v>
      </c>
      <c r="BA30" s="125">
        <f t="shared" si="35"/>
        <v>0.90524415892265608</v>
      </c>
      <c r="BB30" s="11"/>
    </row>
    <row r="31" spans="1:54" ht="15.95" customHeight="1">
      <c r="A31" s="37" t="s">
        <v>25</v>
      </c>
      <c r="B31" s="703">
        <f>[8]本部!$I$31</f>
        <v>228367</v>
      </c>
      <c r="C31" s="259" t="str">
        <f t="shared" si="38"/>
        <v/>
      </c>
      <c r="D31" s="728">
        <f>[8]本部!$L$31</f>
        <v>3199082</v>
      </c>
      <c r="E31" s="122" t="str">
        <f t="shared" si="39"/>
        <v/>
      </c>
      <c r="F31" s="352">
        <f>[8]本社営業!$I$31</f>
        <v>1137693</v>
      </c>
      <c r="G31" s="9">
        <f t="shared" si="40"/>
        <v>2.4882472189275643E-3</v>
      </c>
      <c r="H31" s="362">
        <f>[8]本社営業!$L$31</f>
        <v>7125345</v>
      </c>
      <c r="I31" s="124">
        <f t="shared" si="19"/>
        <v>1.7315816314464434E-3</v>
      </c>
      <c r="J31" s="745">
        <f>[8]東大阪!$I$31</f>
        <v>113364</v>
      </c>
      <c r="K31" s="9">
        <f t="shared" si="20"/>
        <v>1.2345929090953049E-2</v>
      </c>
      <c r="L31" s="362">
        <f>[8]東大阪!$L$31</f>
        <v>915351</v>
      </c>
      <c r="M31" s="124">
        <f t="shared" si="37"/>
        <v>1.2487394614062373E-2</v>
      </c>
      <c r="N31" s="403">
        <f>[8]南港工場!$I$31</f>
        <v>254173</v>
      </c>
      <c r="O31" s="9">
        <f t="shared" si="41"/>
        <v>9.7721227239867536E-3</v>
      </c>
      <c r="P31" s="362">
        <f>[8]南港工場!$L$31</f>
        <v>2116826</v>
      </c>
      <c r="Q31" s="204">
        <f t="shared" si="42"/>
        <v>9.7873685166785292E-3</v>
      </c>
      <c r="R31" s="437">
        <f>[8]南港事務!$I$31</f>
        <v>197116</v>
      </c>
      <c r="S31" s="9" t="str">
        <f t="shared" si="43"/>
        <v/>
      </c>
      <c r="T31" s="362">
        <f>[8]南港事務!$L$31</f>
        <v>1168839</v>
      </c>
      <c r="U31" s="204" t="str">
        <f t="shared" si="44"/>
        <v/>
      </c>
      <c r="V31" s="456">
        <f t="shared" si="21"/>
        <v>451289</v>
      </c>
      <c r="W31" s="171">
        <f t="shared" si="45"/>
        <v>1.7350589920980035E-2</v>
      </c>
      <c r="X31" s="426">
        <f t="shared" si="22"/>
        <v>3285665</v>
      </c>
      <c r="Y31" s="225">
        <f t="shared" si="46"/>
        <v>1.5191619045378581E-2</v>
      </c>
      <c r="Z31" s="460">
        <f t="shared" si="23"/>
        <v>1702346</v>
      </c>
      <c r="AA31" s="189">
        <f t="shared" si="47"/>
        <v>3.4571088152266006E-3</v>
      </c>
      <c r="AB31" s="564">
        <f t="shared" si="24"/>
        <v>11326361</v>
      </c>
      <c r="AC31" s="123">
        <f t="shared" si="48"/>
        <v>2.571532500882474E-3</v>
      </c>
      <c r="AD31" s="352">
        <f>[8]東京事務!$I$31</f>
        <v>208001</v>
      </c>
      <c r="AE31" s="9">
        <f t="shared" si="49"/>
        <v>1.0571144179975791E-3</v>
      </c>
      <c r="AF31" s="362">
        <f>[8]東京事務!$L$31</f>
        <v>2156133</v>
      </c>
      <c r="AG31" s="81">
        <f t="shared" si="50"/>
        <v>1.1182229994229393E-3</v>
      </c>
      <c r="AH31" s="388">
        <f>[8]東京工場!$I$31</f>
        <v>118246</v>
      </c>
      <c r="AI31" s="171">
        <f t="shared" si="25"/>
        <v>1.4856538775495845E-2</v>
      </c>
      <c r="AJ31" s="362">
        <f>[8]東京工場!$L$31</f>
        <v>1085231</v>
      </c>
      <c r="AK31" s="99">
        <f t="shared" si="36"/>
        <v>1.3945496050846509E-2</v>
      </c>
      <c r="AL31" s="547">
        <f t="shared" si="26"/>
        <v>326247</v>
      </c>
      <c r="AM31" s="314">
        <f t="shared" si="51"/>
        <v>1.5936084308596061E-3</v>
      </c>
      <c r="AN31" s="478">
        <f t="shared" si="27"/>
        <v>3241364</v>
      </c>
      <c r="AO31" s="123">
        <f t="shared" si="52"/>
        <v>1.6158365312079152E-3</v>
      </c>
      <c r="AP31" s="527">
        <f t="shared" si="28"/>
        <v>2256960</v>
      </c>
      <c r="AQ31" s="284">
        <f t="shared" si="53"/>
        <v>3.2374504764218731E-3</v>
      </c>
      <c r="AR31" s="487">
        <f t="shared" si="29"/>
        <v>17766807</v>
      </c>
      <c r="AS31" s="285">
        <f t="shared" si="54"/>
        <v>2.7715099159154179E-3</v>
      </c>
      <c r="AT31" s="584">
        <f>[8]全社合計!$G$31</f>
        <v>2186081</v>
      </c>
      <c r="AU31" s="124">
        <f t="shared" si="30"/>
        <v>2.7015492411665816E-3</v>
      </c>
      <c r="AV31" s="578">
        <f>[8]全社合計!$N$31</f>
        <v>14258656</v>
      </c>
      <c r="AW31" s="125">
        <f t="shared" si="31"/>
        <v>1.9727928666985655E-3</v>
      </c>
      <c r="AX31" s="584">
        <f t="shared" si="32"/>
        <v>70879</v>
      </c>
      <c r="AY31" s="124">
        <f t="shared" si="33"/>
        <v>1.0324228608180575</v>
      </c>
      <c r="AZ31" s="578">
        <f t="shared" si="34"/>
        <v>3508151</v>
      </c>
      <c r="BA31" s="125">
        <f t="shared" si="35"/>
        <v>1.2460365829710738</v>
      </c>
      <c r="BB31" s="11"/>
    </row>
    <row r="32" spans="1:54" ht="15.95" customHeight="1">
      <c r="A32" s="37" t="s">
        <v>26</v>
      </c>
      <c r="B32" s="703">
        <f>[8]本部!$I$32</f>
        <v>518960</v>
      </c>
      <c r="C32" s="259" t="str">
        <f t="shared" si="38"/>
        <v/>
      </c>
      <c r="D32" s="728">
        <f>[8]本部!$L$32</f>
        <v>4461700</v>
      </c>
      <c r="E32" s="122" t="str">
        <f t="shared" si="39"/>
        <v/>
      </c>
      <c r="F32" s="352">
        <f>[8]本社営業!$I$32</f>
        <v>800411</v>
      </c>
      <c r="G32" s="9">
        <f t="shared" si="40"/>
        <v>1.7505780951003747E-3</v>
      </c>
      <c r="H32" s="362">
        <f>[8]本社営業!$L$32</f>
        <v>9432428</v>
      </c>
      <c r="I32" s="124">
        <f t="shared" si="19"/>
        <v>2.2922425601484718E-3</v>
      </c>
      <c r="J32" s="745">
        <f>[8]東大阪!$I$32</f>
        <v>213400</v>
      </c>
      <c r="K32" s="9">
        <f t="shared" si="20"/>
        <v>2.3240369676523241E-2</v>
      </c>
      <c r="L32" s="362">
        <f>[8]東大阪!$L$32</f>
        <v>1800218</v>
      </c>
      <c r="M32" s="124">
        <f t="shared" si="37"/>
        <v>2.4558920629723608E-2</v>
      </c>
      <c r="N32" s="403">
        <f>[8]南港工場!$I$32</f>
        <v>129800</v>
      </c>
      <c r="O32" s="9">
        <f t="shared" si="41"/>
        <v>4.9903865854102553E-3</v>
      </c>
      <c r="P32" s="362">
        <f>[8]南港工場!$L$32</f>
        <v>1380042</v>
      </c>
      <c r="Q32" s="204">
        <f t="shared" si="42"/>
        <v>6.3807698991292013E-3</v>
      </c>
      <c r="R32" s="437">
        <f>[8]南港事務!$I$32</f>
        <v>35000</v>
      </c>
      <c r="S32" s="9" t="str">
        <f t="shared" si="43"/>
        <v/>
      </c>
      <c r="T32" s="362">
        <f>[8]南港事務!$L$32</f>
        <v>297884</v>
      </c>
      <c r="U32" s="204" t="str">
        <f t="shared" si="44"/>
        <v/>
      </c>
      <c r="V32" s="456">
        <f t="shared" si="21"/>
        <v>164800</v>
      </c>
      <c r="W32" s="171">
        <f t="shared" si="45"/>
        <v>6.3360224135255005E-3</v>
      </c>
      <c r="X32" s="426">
        <f t="shared" si="22"/>
        <v>1677926</v>
      </c>
      <c r="Y32" s="225">
        <f t="shared" si="46"/>
        <v>7.7580680252965226E-3</v>
      </c>
      <c r="Z32" s="460">
        <f t="shared" si="23"/>
        <v>1178611</v>
      </c>
      <c r="AA32" s="189">
        <f t="shared" si="47"/>
        <v>2.3935125279015189E-3</v>
      </c>
      <c r="AB32" s="564">
        <f t="shared" si="24"/>
        <v>12910572</v>
      </c>
      <c r="AC32" s="123">
        <f t="shared" si="48"/>
        <v>2.9312111368323193E-3</v>
      </c>
      <c r="AD32" s="352">
        <f>[8]東京事務!$I$32</f>
        <v>89300</v>
      </c>
      <c r="AE32" s="9">
        <f t="shared" si="49"/>
        <v>4.5384549846964114E-4</v>
      </c>
      <c r="AF32" s="362">
        <f>[8]東京事務!$L$32</f>
        <v>670800</v>
      </c>
      <c r="AG32" s="81">
        <f t="shared" si="50"/>
        <v>3.4789319026836822E-4</v>
      </c>
      <c r="AH32" s="388">
        <f>[8]東京工場!$I$32</f>
        <v>42500</v>
      </c>
      <c r="AI32" s="171">
        <f t="shared" si="25"/>
        <v>5.3397400162252711E-3</v>
      </c>
      <c r="AJ32" s="362">
        <f>[8]東京工場!$L$32</f>
        <v>458326</v>
      </c>
      <c r="AK32" s="99">
        <f t="shared" si="36"/>
        <v>5.8896063814987566E-3</v>
      </c>
      <c r="AL32" s="547">
        <f t="shared" si="26"/>
        <v>131800</v>
      </c>
      <c r="AM32" s="314">
        <f t="shared" si="51"/>
        <v>6.437993029431568E-4</v>
      </c>
      <c r="AN32" s="478">
        <f t="shared" si="27"/>
        <v>1129126</v>
      </c>
      <c r="AO32" s="123">
        <f t="shared" si="52"/>
        <v>5.6287508565427036E-4</v>
      </c>
      <c r="AP32" s="527">
        <f t="shared" si="28"/>
        <v>1829371</v>
      </c>
      <c r="AQ32" s="284">
        <f t="shared" si="53"/>
        <v>2.6241041115050148E-3</v>
      </c>
      <c r="AR32" s="487">
        <f t="shared" si="29"/>
        <v>18501398</v>
      </c>
      <c r="AS32" s="285">
        <f t="shared" si="54"/>
        <v>2.886101482123247E-3</v>
      </c>
      <c r="AT32" s="584">
        <f>[8]全社合計!$G$32</f>
        <v>1796009</v>
      </c>
      <c r="AU32" s="124">
        <f t="shared" si="30"/>
        <v>2.2194999869988128E-3</v>
      </c>
      <c r="AV32" s="578">
        <f>[8]全社合計!$N$32</f>
        <v>17889839</v>
      </c>
      <c r="AW32" s="125">
        <f t="shared" si="31"/>
        <v>2.4751944899705693E-3</v>
      </c>
      <c r="AX32" s="584">
        <f t="shared" si="32"/>
        <v>33362</v>
      </c>
      <c r="AY32" s="124">
        <f t="shared" si="33"/>
        <v>1.0185756307457257</v>
      </c>
      <c r="AZ32" s="578">
        <f t="shared" si="34"/>
        <v>611559</v>
      </c>
      <c r="BA32" s="125">
        <f t="shared" si="35"/>
        <v>1.0341847123386634</v>
      </c>
      <c r="BB32" s="11"/>
    </row>
    <row r="33" spans="1:54" ht="15.95" customHeight="1">
      <c r="A33" s="37" t="s">
        <v>27</v>
      </c>
      <c r="B33" s="703">
        <f>[8]本部!$I$33</f>
        <v>137644</v>
      </c>
      <c r="C33" s="259" t="str">
        <f t="shared" si="38"/>
        <v/>
      </c>
      <c r="D33" s="728">
        <f>[8]本部!$L$33</f>
        <v>1635210</v>
      </c>
      <c r="E33" s="122" t="str">
        <f t="shared" si="39"/>
        <v/>
      </c>
      <c r="F33" s="352">
        <f>[8]本社営業!$I$33</f>
        <v>55000</v>
      </c>
      <c r="G33" s="9">
        <f t="shared" si="40"/>
        <v>1.2029044482212339E-4</v>
      </c>
      <c r="H33" s="362">
        <f>[8]本社営業!$L$33</f>
        <v>454820</v>
      </c>
      <c r="I33" s="124">
        <f t="shared" si="19"/>
        <v>1.1052909825622077E-4</v>
      </c>
      <c r="J33" s="745">
        <f>[8]東大阪!$I$33</f>
        <v>440000</v>
      </c>
      <c r="K33" s="9">
        <f t="shared" si="20"/>
        <v>4.7918287992831425E-2</v>
      </c>
      <c r="L33" s="362">
        <f>[8]東大阪!$L$33</f>
        <v>4761000</v>
      </c>
      <c r="M33" s="124">
        <f t="shared" si="37"/>
        <v>6.4950478840959322E-2</v>
      </c>
      <c r="N33" s="403">
        <f>[8]南港工場!$I$33</f>
        <v>525000</v>
      </c>
      <c r="O33" s="9">
        <f t="shared" si="41"/>
        <v>2.0184537421728689E-2</v>
      </c>
      <c r="P33" s="362">
        <f>[8]南港工場!$L$33</f>
        <v>4200000</v>
      </c>
      <c r="Q33" s="204">
        <f t="shared" si="42"/>
        <v>1.9419143458201015E-2</v>
      </c>
      <c r="R33" s="437">
        <f>[8]南港事務!$I$33</f>
        <v>20000</v>
      </c>
      <c r="S33" s="9" t="str">
        <f t="shared" si="43"/>
        <v/>
      </c>
      <c r="T33" s="362">
        <f>[8]南港事務!$L$33</f>
        <v>160000</v>
      </c>
      <c r="U33" s="204" t="str">
        <f t="shared" si="44"/>
        <v/>
      </c>
      <c r="V33" s="456">
        <f t="shared" si="21"/>
        <v>545000</v>
      </c>
      <c r="W33" s="171">
        <f t="shared" si="45"/>
        <v>2.0953472180651685E-2</v>
      </c>
      <c r="X33" s="426">
        <f t="shared" si="22"/>
        <v>4360000</v>
      </c>
      <c r="Y33" s="225">
        <f t="shared" si="46"/>
        <v>2.0158920351846767E-2</v>
      </c>
      <c r="Z33" s="460">
        <f t="shared" si="23"/>
        <v>1040000</v>
      </c>
      <c r="AA33" s="189">
        <f t="shared" si="47"/>
        <v>2.112022566408747E-3</v>
      </c>
      <c r="AB33" s="564">
        <f t="shared" si="24"/>
        <v>9575820</v>
      </c>
      <c r="AC33" s="123">
        <f t="shared" si="48"/>
        <v>2.174090367824265E-3</v>
      </c>
      <c r="AD33" s="352">
        <f>[8]東京事務!$I$33</f>
        <v>71000</v>
      </c>
      <c r="AE33" s="9">
        <f t="shared" si="49"/>
        <v>3.608402059501066E-4</v>
      </c>
      <c r="AF33" s="362">
        <f>[8]東京事務!$L$33</f>
        <v>1216969</v>
      </c>
      <c r="AG33" s="81">
        <f t="shared" si="50"/>
        <v>6.3114971357737895E-4</v>
      </c>
      <c r="AH33" s="388">
        <f>[8]東京工場!$I$33</f>
        <v>325000</v>
      </c>
      <c r="AI33" s="171">
        <f t="shared" si="25"/>
        <v>4.0833306006428545E-2</v>
      </c>
      <c r="AJ33" s="362">
        <f>[8]東京工場!$L$33</f>
        <v>2600000</v>
      </c>
      <c r="AK33" s="99">
        <f t="shared" si="36"/>
        <v>3.3410665316601647E-2</v>
      </c>
      <c r="AL33" s="547">
        <f t="shared" si="26"/>
        <v>396000</v>
      </c>
      <c r="AM33" s="314">
        <f t="shared" si="51"/>
        <v>1.9343287099050843E-3</v>
      </c>
      <c r="AN33" s="478">
        <f t="shared" si="27"/>
        <v>3816969</v>
      </c>
      <c r="AO33" s="123">
        <f t="shared" si="52"/>
        <v>1.9027785675068104E-3</v>
      </c>
      <c r="AP33" s="527">
        <f t="shared" si="28"/>
        <v>1573644</v>
      </c>
      <c r="AQ33" s="284">
        <f t="shared" si="53"/>
        <v>2.2572817052665629E-3</v>
      </c>
      <c r="AR33" s="487">
        <f t="shared" si="29"/>
        <v>15027999</v>
      </c>
      <c r="AS33" s="285">
        <f t="shared" si="54"/>
        <v>2.3442731293736112E-3</v>
      </c>
      <c r="AT33" s="584">
        <f>[8]全社合計!$G$33</f>
        <v>1594602</v>
      </c>
      <c r="AU33" s="124">
        <f t="shared" si="30"/>
        <v>1.9706021062635437E-3</v>
      </c>
      <c r="AV33" s="578">
        <f>[8]全社合計!$N$33</f>
        <v>14929746</v>
      </c>
      <c r="AW33" s="125">
        <f t="shared" si="31"/>
        <v>2.065643242281842E-3</v>
      </c>
      <c r="AX33" s="584">
        <f t="shared" si="32"/>
        <v>-20958</v>
      </c>
      <c r="AY33" s="124">
        <f t="shared" si="33"/>
        <v>0.98685690849503516</v>
      </c>
      <c r="AZ33" s="578">
        <f t="shared" si="34"/>
        <v>98253</v>
      </c>
      <c r="BA33" s="125">
        <f t="shared" si="35"/>
        <v>1.0065810228787548</v>
      </c>
      <c r="BB33" s="11"/>
    </row>
    <row r="34" spans="1:54" ht="15.95" customHeight="1">
      <c r="A34" s="37" t="s">
        <v>28</v>
      </c>
      <c r="B34" s="703">
        <f>[8]本部!$I$34</f>
        <v>180910</v>
      </c>
      <c r="C34" s="259" t="str">
        <f t="shared" si="38"/>
        <v/>
      </c>
      <c r="D34" s="728">
        <f>[8]本部!$L$34</f>
        <v>1250916</v>
      </c>
      <c r="E34" s="122" t="str">
        <f t="shared" si="39"/>
        <v/>
      </c>
      <c r="F34" s="352">
        <f>[8]本社営業!$I$34</f>
        <v>302289</v>
      </c>
      <c r="G34" s="9">
        <f t="shared" si="40"/>
        <v>6.6113596863336111E-4</v>
      </c>
      <c r="H34" s="362">
        <f>[8]本社営業!$L$34</f>
        <v>4025739</v>
      </c>
      <c r="I34" s="124">
        <f t="shared" si="19"/>
        <v>9.7832395559759901E-4</v>
      </c>
      <c r="J34" s="745">
        <f>[8]東大阪!$I$34</f>
        <v>0</v>
      </c>
      <c r="K34" s="9">
        <f t="shared" si="20"/>
        <v>0</v>
      </c>
      <c r="L34" s="362">
        <f>[8]東大阪!$L$34</f>
        <v>0</v>
      </c>
      <c r="M34" s="124">
        <f t="shared" si="37"/>
        <v>0</v>
      </c>
      <c r="N34" s="403">
        <f>[8]南港工場!$I$34</f>
        <v>0</v>
      </c>
      <c r="O34" s="9">
        <f t="shared" si="41"/>
        <v>0</v>
      </c>
      <c r="P34" s="362">
        <f>[8]南港工場!$L$34</f>
        <v>0</v>
      </c>
      <c r="Q34" s="204">
        <f t="shared" si="42"/>
        <v>0</v>
      </c>
      <c r="R34" s="437">
        <f>[8]南港事務!$I$34</f>
        <v>3051</v>
      </c>
      <c r="S34" s="9" t="str">
        <f t="shared" si="43"/>
        <v/>
      </c>
      <c r="T34" s="362">
        <f>[8]南港事務!$L$34</f>
        <v>97718</v>
      </c>
      <c r="U34" s="204" t="str">
        <f t="shared" si="44"/>
        <v/>
      </c>
      <c r="V34" s="456">
        <f t="shared" si="21"/>
        <v>3051</v>
      </c>
      <c r="W34" s="171">
        <f t="shared" si="45"/>
        <v>1.1730099747370329E-4</v>
      </c>
      <c r="X34" s="426">
        <f t="shared" si="22"/>
        <v>97718</v>
      </c>
      <c r="Y34" s="225">
        <f t="shared" si="46"/>
        <v>4.5180949058297302E-4</v>
      </c>
      <c r="Z34" s="460">
        <f t="shared" si="23"/>
        <v>305340</v>
      </c>
      <c r="AA34" s="189">
        <f t="shared" si="47"/>
        <v>6.2008170233389111E-4</v>
      </c>
      <c r="AB34" s="564">
        <f t="shared" si="24"/>
        <v>4123457</v>
      </c>
      <c r="AC34" s="123">
        <f t="shared" si="48"/>
        <v>9.3618803881417368E-4</v>
      </c>
      <c r="AD34" s="352">
        <f>[8]東京事務!$I$34</f>
        <v>53300</v>
      </c>
      <c r="AE34" s="9">
        <f t="shared" si="49"/>
        <v>2.7088426728367159E-4</v>
      </c>
      <c r="AF34" s="362">
        <f>[8]東京事務!$L$34</f>
        <v>2736572</v>
      </c>
      <c r="AG34" s="81">
        <f t="shared" si="50"/>
        <v>1.4192527779950642E-3</v>
      </c>
      <c r="AH34" s="388">
        <f>[8]東京工場!$I$34</f>
        <v>0</v>
      </c>
      <c r="AI34" s="171">
        <f t="shared" si="25"/>
        <v>0</v>
      </c>
      <c r="AJ34" s="362">
        <f>[8]東京工場!$L$34</f>
        <v>0</v>
      </c>
      <c r="AK34" s="99">
        <f t="shared" si="36"/>
        <v>0</v>
      </c>
      <c r="AL34" s="547">
        <f t="shared" si="26"/>
        <v>53300</v>
      </c>
      <c r="AM34" s="314">
        <f t="shared" si="51"/>
        <v>2.6035282888368938E-4</v>
      </c>
      <c r="AN34" s="478">
        <f t="shared" si="27"/>
        <v>2736572</v>
      </c>
      <c r="AO34" s="123">
        <f t="shared" si="52"/>
        <v>1.3641951375657614E-3</v>
      </c>
      <c r="AP34" s="527">
        <f t="shared" si="28"/>
        <v>539550</v>
      </c>
      <c r="AQ34" s="284">
        <f t="shared" si="53"/>
        <v>7.7394654958591266E-4</v>
      </c>
      <c r="AR34" s="487">
        <f t="shared" si="29"/>
        <v>8110945</v>
      </c>
      <c r="AS34" s="285">
        <f t="shared" si="54"/>
        <v>1.2652563004114682E-3</v>
      </c>
      <c r="AT34" s="584">
        <f>[8]全社合計!$G$34</f>
        <v>1634539</v>
      </c>
      <c r="AU34" s="124">
        <f t="shared" si="30"/>
        <v>2.0199560744122397E-3</v>
      </c>
      <c r="AV34" s="578">
        <f>[8]全社合計!$N$34</f>
        <v>9721408</v>
      </c>
      <c r="AW34" s="125">
        <f t="shared" si="31"/>
        <v>1.3450302999571887E-3</v>
      </c>
      <c r="AX34" s="584">
        <f t="shared" si="32"/>
        <v>-1094989</v>
      </c>
      <c r="AY34" s="124">
        <f t="shared" si="33"/>
        <v>0.33009307211391103</v>
      </c>
      <c r="AZ34" s="578">
        <f t="shared" si="34"/>
        <v>-1610463</v>
      </c>
      <c r="BA34" s="125">
        <f t="shared" si="35"/>
        <v>0.83433850322916192</v>
      </c>
      <c r="BB34" s="11"/>
    </row>
    <row r="35" spans="1:54" ht="15.95" customHeight="1">
      <c r="A35" s="37" t="s">
        <v>29</v>
      </c>
      <c r="B35" s="703">
        <f>[8]本部!$I$35</f>
        <v>221520</v>
      </c>
      <c r="C35" s="259" t="str">
        <f t="shared" si="38"/>
        <v/>
      </c>
      <c r="D35" s="728">
        <f>[8]本部!$L$35</f>
        <v>13379708</v>
      </c>
      <c r="E35" s="122" t="str">
        <f t="shared" si="39"/>
        <v/>
      </c>
      <c r="F35" s="352">
        <f>[8]本社営業!$I$35</f>
        <v>0</v>
      </c>
      <c r="G35" s="9">
        <f t="shared" si="40"/>
        <v>0</v>
      </c>
      <c r="H35" s="362">
        <f>[8]本社営業!$L$35</f>
        <v>738432</v>
      </c>
      <c r="I35" s="124">
        <f t="shared" si="19"/>
        <v>1.7945170195580147E-4</v>
      </c>
      <c r="J35" s="745">
        <f>[8]東大阪!$I$35</f>
        <v>0</v>
      </c>
      <c r="K35" s="9">
        <f t="shared" si="20"/>
        <v>0</v>
      </c>
      <c r="L35" s="362">
        <f>[8]東大阪!$L$35</f>
        <v>60158</v>
      </c>
      <c r="M35" s="124">
        <f t="shared" si="37"/>
        <v>8.2068702081798586E-4</v>
      </c>
      <c r="N35" s="403">
        <f>[8]南港工場!$I$35</f>
        <v>0</v>
      </c>
      <c r="O35" s="9">
        <f t="shared" si="41"/>
        <v>0</v>
      </c>
      <c r="P35" s="362">
        <f>[8]南港工場!$L$35</f>
        <v>55439</v>
      </c>
      <c r="Q35" s="204">
        <f t="shared" si="42"/>
        <v>2.5632807004266812E-4</v>
      </c>
      <c r="R35" s="437">
        <f>[8]南港事務!$I$35</f>
        <v>0</v>
      </c>
      <c r="S35" s="9" t="str">
        <f t="shared" si="43"/>
        <v/>
      </c>
      <c r="T35" s="362">
        <f>[8]南港事務!$L$35</f>
        <v>42516</v>
      </c>
      <c r="U35" s="204" t="str">
        <f t="shared" si="44"/>
        <v/>
      </c>
      <c r="V35" s="456">
        <f t="shared" si="21"/>
        <v>0</v>
      </c>
      <c r="W35" s="171">
        <f t="shared" si="45"/>
        <v>0</v>
      </c>
      <c r="X35" s="426">
        <f t="shared" si="22"/>
        <v>97955</v>
      </c>
      <c r="Y35" s="225">
        <f t="shared" si="46"/>
        <v>4.5290528510668579E-4</v>
      </c>
      <c r="Z35" s="460">
        <f t="shared" si="23"/>
        <v>0</v>
      </c>
      <c r="AA35" s="189">
        <f t="shared" si="47"/>
        <v>0</v>
      </c>
      <c r="AB35" s="564">
        <f t="shared" si="24"/>
        <v>896545</v>
      </c>
      <c r="AC35" s="123">
        <f t="shared" si="48"/>
        <v>2.0355122055562926E-4</v>
      </c>
      <c r="AD35" s="352">
        <f>[8]東京事務!$I$35</f>
        <v>17650</v>
      </c>
      <c r="AE35" s="9">
        <f t="shared" si="49"/>
        <v>8.9701825845343405E-5</v>
      </c>
      <c r="AF35" s="362">
        <f>[8]東京事務!$L$35</f>
        <v>232502</v>
      </c>
      <c r="AG35" s="81">
        <f t="shared" si="50"/>
        <v>1.2058119040515229E-4</v>
      </c>
      <c r="AH35" s="388">
        <f>[8]東京工場!$I$35</f>
        <v>0</v>
      </c>
      <c r="AI35" s="171">
        <f t="shared" si="25"/>
        <v>0</v>
      </c>
      <c r="AJ35" s="362">
        <f>[8]東京工場!$L$35</f>
        <v>41853</v>
      </c>
      <c r="AK35" s="99">
        <f t="shared" si="36"/>
        <v>5.3782175980604952E-4</v>
      </c>
      <c r="AL35" s="547">
        <f t="shared" si="26"/>
        <v>17650</v>
      </c>
      <c r="AM35" s="314">
        <f t="shared" si="51"/>
        <v>8.6214398307638226E-5</v>
      </c>
      <c r="AN35" s="478">
        <f t="shared" si="27"/>
        <v>274355</v>
      </c>
      <c r="AO35" s="123">
        <f t="shared" si="52"/>
        <v>1.3676737062531317E-4</v>
      </c>
      <c r="AP35" s="527">
        <f t="shared" si="28"/>
        <v>239170</v>
      </c>
      <c r="AQ35" s="284">
        <f t="shared" si="53"/>
        <v>3.4307255354362477E-4</v>
      </c>
      <c r="AR35" s="487">
        <f t="shared" si="29"/>
        <v>14550608</v>
      </c>
      <c r="AS35" s="285">
        <f t="shared" si="54"/>
        <v>2.2698031421514403E-3</v>
      </c>
      <c r="AT35" s="584">
        <f>[8]全社合計!$G$35</f>
        <v>231400</v>
      </c>
      <c r="AU35" s="124">
        <f t="shared" si="30"/>
        <v>2.8596309761895694E-4</v>
      </c>
      <c r="AV35" s="578">
        <f>[8]全社合計!$N$35</f>
        <v>13852643</v>
      </c>
      <c r="AW35" s="125">
        <f t="shared" si="31"/>
        <v>1.9166178983013417E-3</v>
      </c>
      <c r="AX35" s="584">
        <f t="shared" si="32"/>
        <v>7770</v>
      </c>
      <c r="AY35" s="124">
        <f t="shared" si="33"/>
        <v>1.0335782195332757</v>
      </c>
      <c r="AZ35" s="578">
        <f t="shared" si="34"/>
        <v>697965</v>
      </c>
      <c r="BA35" s="125">
        <f t="shared" si="35"/>
        <v>1.0503849698573766</v>
      </c>
      <c r="BB35" s="11"/>
    </row>
    <row r="36" spans="1:54" ht="15.95" customHeight="1">
      <c r="A36" s="37" t="s">
        <v>30</v>
      </c>
      <c r="B36" s="703">
        <f>[8]本部!$I$36</f>
        <v>57322</v>
      </c>
      <c r="C36" s="259" t="str">
        <f t="shared" si="38"/>
        <v/>
      </c>
      <c r="D36" s="728">
        <f>[8]本部!$L$36</f>
        <v>482381</v>
      </c>
      <c r="E36" s="122" t="str">
        <f t="shared" si="39"/>
        <v/>
      </c>
      <c r="F36" s="352">
        <f>[8]本社営業!$I$36</f>
        <v>75857</v>
      </c>
      <c r="G36" s="9">
        <f t="shared" si="40"/>
        <v>1.6590676859766935E-4</v>
      </c>
      <c r="H36" s="362">
        <f>[8]本社営業!$L$36</f>
        <v>643682</v>
      </c>
      <c r="I36" s="124">
        <f t="shared" si="19"/>
        <v>1.5642581905756276E-4</v>
      </c>
      <c r="J36" s="745">
        <f>[8]東大阪!$I$36</f>
        <v>24875</v>
      </c>
      <c r="K36" s="9">
        <f t="shared" si="20"/>
        <v>2.7090168495947312E-3</v>
      </c>
      <c r="L36" s="362">
        <f>[8]東大阪!$L$36</f>
        <v>199678</v>
      </c>
      <c r="M36" s="124">
        <f t="shared" si="37"/>
        <v>2.7240457286295053E-3</v>
      </c>
      <c r="N36" s="403">
        <f>[8]南港工場!$I$36</f>
        <v>9896</v>
      </c>
      <c r="O36" s="9">
        <f t="shared" si="41"/>
        <v>3.8046891871509924E-4</v>
      </c>
      <c r="P36" s="362">
        <f>[8]南港工場!$L$36</f>
        <v>79144</v>
      </c>
      <c r="Q36" s="204">
        <f t="shared" si="42"/>
        <v>3.6593064044187172E-4</v>
      </c>
      <c r="R36" s="437">
        <f>[8]南港事務!$I$36</f>
        <v>30613</v>
      </c>
      <c r="S36" s="9" t="str">
        <f t="shared" si="43"/>
        <v/>
      </c>
      <c r="T36" s="362">
        <f>[8]南港事務!$L$36</f>
        <v>262585</v>
      </c>
      <c r="U36" s="204" t="str">
        <f t="shared" si="44"/>
        <v/>
      </c>
      <c r="V36" s="456">
        <f t="shared" si="21"/>
        <v>40509</v>
      </c>
      <c r="W36" s="171">
        <f t="shared" si="45"/>
        <v>1.5574389074605856E-3</v>
      </c>
      <c r="X36" s="426">
        <f t="shared" si="22"/>
        <v>341729</v>
      </c>
      <c r="Y36" s="225">
        <f t="shared" si="46"/>
        <v>1.5800201130541844E-3</v>
      </c>
      <c r="Z36" s="460">
        <f t="shared" si="23"/>
        <v>141241</v>
      </c>
      <c r="AA36" s="189">
        <f t="shared" si="47"/>
        <v>2.86830941636671E-4</v>
      </c>
      <c r="AB36" s="564">
        <f t="shared" si="24"/>
        <v>1185089</v>
      </c>
      <c r="AC36" s="123">
        <f t="shared" si="48"/>
        <v>2.6906213566195799E-4</v>
      </c>
      <c r="AD36" s="352">
        <f>[8]東京事務!$I$36</f>
        <v>34820</v>
      </c>
      <c r="AE36" s="9">
        <f t="shared" si="49"/>
        <v>1.769641686082072E-4</v>
      </c>
      <c r="AF36" s="362">
        <f>[8]東京事務!$L$36</f>
        <v>254226</v>
      </c>
      <c r="AG36" s="81">
        <f t="shared" si="50"/>
        <v>1.3184778501664608E-4</v>
      </c>
      <c r="AH36" s="388">
        <f>[8]東京工場!$I$36</f>
        <v>3004</v>
      </c>
      <c r="AI36" s="171">
        <f t="shared" si="25"/>
        <v>3.7742538844095797E-4</v>
      </c>
      <c r="AJ36" s="362">
        <f>[8]東京工場!$L$36</f>
        <v>24030</v>
      </c>
      <c r="AK36" s="99">
        <f t="shared" si="36"/>
        <v>3.0879164906074525E-4</v>
      </c>
      <c r="AL36" s="547">
        <f t="shared" si="26"/>
        <v>37824</v>
      </c>
      <c r="AM36" s="314">
        <f t="shared" si="51"/>
        <v>1.847576998066917E-4</v>
      </c>
      <c r="AN36" s="478">
        <f t="shared" si="27"/>
        <v>278256</v>
      </c>
      <c r="AO36" s="123">
        <f t="shared" si="52"/>
        <v>1.3871203907607713E-4</v>
      </c>
      <c r="AP36" s="527">
        <f t="shared" si="28"/>
        <v>236387</v>
      </c>
      <c r="AQ36" s="284">
        <f t="shared" si="53"/>
        <v>3.3908053566298794E-4</v>
      </c>
      <c r="AR36" s="487">
        <f t="shared" si="29"/>
        <v>1945726</v>
      </c>
      <c r="AS36" s="285">
        <f t="shared" si="54"/>
        <v>3.0352099297608411E-4</v>
      </c>
      <c r="AT36" s="584">
        <f>[8]全社合計!$G$36</f>
        <v>292879</v>
      </c>
      <c r="AU36" s="124">
        <f t="shared" si="30"/>
        <v>3.6193857418989839E-4</v>
      </c>
      <c r="AV36" s="578">
        <f>[8]全社合計!$N$36</f>
        <v>2121944</v>
      </c>
      <c r="AW36" s="125">
        <f t="shared" si="31"/>
        <v>2.9358699632937499E-4</v>
      </c>
      <c r="AX36" s="584">
        <f t="shared" si="32"/>
        <v>-56492</v>
      </c>
      <c r="AY36" s="124">
        <f t="shared" si="33"/>
        <v>0.80711488362088102</v>
      </c>
      <c r="AZ36" s="578">
        <f t="shared" si="34"/>
        <v>-176218</v>
      </c>
      <c r="BA36" s="125">
        <f t="shared" si="35"/>
        <v>0.9169544530864151</v>
      </c>
      <c r="BB36" s="11"/>
    </row>
    <row r="37" spans="1:54" ht="15.95" customHeight="1">
      <c r="A37" s="37" t="s">
        <v>31</v>
      </c>
      <c r="B37" s="703">
        <f>[8]本部!$I$37</f>
        <v>0</v>
      </c>
      <c r="C37" s="259" t="str">
        <f t="shared" si="38"/>
        <v/>
      </c>
      <c r="D37" s="728">
        <f>[8]本部!$L$37</f>
        <v>0</v>
      </c>
      <c r="E37" s="122" t="str">
        <f t="shared" si="39"/>
        <v/>
      </c>
      <c r="F37" s="352">
        <f>[8]本社営業!$I$37</f>
        <v>937411</v>
      </c>
      <c r="G37" s="9">
        <f t="shared" si="40"/>
        <v>2.0502106576573004E-3</v>
      </c>
      <c r="H37" s="362">
        <f>[8]本社営業!$L$37</f>
        <v>1658089</v>
      </c>
      <c r="I37" s="124">
        <f t="shared" si="19"/>
        <v>4.0294420209876179E-4</v>
      </c>
      <c r="J37" s="745">
        <f>[8]東大阪!$I$37</f>
        <v>5567</v>
      </c>
      <c r="K37" s="9">
        <f t="shared" si="20"/>
        <v>6.0627524830930127E-4</v>
      </c>
      <c r="L37" s="362">
        <f>[8]東大阪!$L$37</f>
        <v>113609</v>
      </c>
      <c r="M37" s="124">
        <f t="shared" si="37"/>
        <v>1.549875856047584E-3</v>
      </c>
      <c r="N37" s="403">
        <f>[8]南港工場!$I$37</f>
        <v>1796</v>
      </c>
      <c r="O37" s="9">
        <f t="shared" si="41"/>
        <v>6.9050341351285194E-5</v>
      </c>
      <c r="P37" s="362">
        <f>[8]南港工場!$L$37</f>
        <v>24891</v>
      </c>
      <c r="Q37" s="204">
        <f t="shared" si="42"/>
        <v>1.1508616662335273E-4</v>
      </c>
      <c r="R37" s="437">
        <f>[8]南港事務!$I$37</f>
        <v>0</v>
      </c>
      <c r="S37" s="9" t="str">
        <f t="shared" si="43"/>
        <v/>
      </c>
      <c r="T37" s="362">
        <f>[8]南港事務!$L$37</f>
        <v>0</v>
      </c>
      <c r="U37" s="204" t="str">
        <f t="shared" si="44"/>
        <v/>
      </c>
      <c r="V37" s="456">
        <f t="shared" si="21"/>
        <v>1796</v>
      </c>
      <c r="W37" s="171">
        <f t="shared" si="45"/>
        <v>6.9050341351285194E-5</v>
      </c>
      <c r="X37" s="426">
        <f t="shared" si="22"/>
        <v>24891</v>
      </c>
      <c r="Y37" s="225">
        <f t="shared" si="46"/>
        <v>1.1508616662335273E-4</v>
      </c>
      <c r="Z37" s="460">
        <f t="shared" si="23"/>
        <v>944774</v>
      </c>
      <c r="AA37" s="189">
        <f t="shared" si="47"/>
        <v>1.9186384693810168E-3</v>
      </c>
      <c r="AB37" s="564">
        <f t="shared" si="24"/>
        <v>1796589</v>
      </c>
      <c r="AC37" s="123">
        <f t="shared" si="48"/>
        <v>4.0789685268092222E-4</v>
      </c>
      <c r="AD37" s="352">
        <f>[8]東京事務!$I$37</f>
        <v>0</v>
      </c>
      <c r="AE37" s="9">
        <f t="shared" si="49"/>
        <v>0</v>
      </c>
      <c r="AF37" s="362">
        <f>[8]東京事務!$L$37</f>
        <v>0</v>
      </c>
      <c r="AG37" s="81">
        <f t="shared" si="50"/>
        <v>0</v>
      </c>
      <c r="AH37" s="388">
        <f>[8]東京工場!$I$37</f>
        <v>0</v>
      </c>
      <c r="AI37" s="171">
        <f t="shared" si="25"/>
        <v>0</v>
      </c>
      <c r="AJ37" s="362">
        <f>[8]東京工場!$L$37</f>
        <v>247767</v>
      </c>
      <c r="AK37" s="99">
        <f t="shared" si="36"/>
        <v>3.183869351345554E-3</v>
      </c>
      <c r="AL37" s="547">
        <f t="shared" si="26"/>
        <v>0</v>
      </c>
      <c r="AM37" s="314">
        <f t="shared" si="51"/>
        <v>0</v>
      </c>
      <c r="AN37" s="478">
        <f t="shared" si="27"/>
        <v>247767</v>
      </c>
      <c r="AO37" s="123">
        <f t="shared" si="52"/>
        <v>1.2351311664712494E-4</v>
      </c>
      <c r="AP37" s="527">
        <f t="shared" si="28"/>
        <v>944774</v>
      </c>
      <c r="AQ37" s="284">
        <f t="shared" si="53"/>
        <v>1.3552118940570496E-3</v>
      </c>
      <c r="AR37" s="487">
        <f t="shared" si="29"/>
        <v>2044356</v>
      </c>
      <c r="AS37" s="285">
        <f t="shared" si="54"/>
        <v>3.189066513561598E-4</v>
      </c>
      <c r="AT37" s="584">
        <f>[8]全社合計!$G$37</f>
        <v>288554</v>
      </c>
      <c r="AU37" s="124">
        <f t="shared" si="30"/>
        <v>3.5659375829879213E-4</v>
      </c>
      <c r="AV37" s="578">
        <f>[8]全社合計!$N$37</f>
        <v>3424336</v>
      </c>
      <c r="AW37" s="125">
        <f t="shared" si="31"/>
        <v>4.7378277686053295E-4</v>
      </c>
      <c r="AX37" s="584">
        <f t="shared" si="32"/>
        <v>656220</v>
      </c>
      <c r="AY37" s="124">
        <f t="shared" si="33"/>
        <v>3.2741670536537355</v>
      </c>
      <c r="AZ37" s="578">
        <f t="shared" si="34"/>
        <v>-1379980</v>
      </c>
      <c r="BA37" s="125">
        <f t="shared" si="35"/>
        <v>0.597008003887469</v>
      </c>
      <c r="BB37" s="11"/>
    </row>
    <row r="38" spans="1:54" ht="15.95" customHeight="1">
      <c r="A38" s="37" t="s">
        <v>32</v>
      </c>
      <c r="B38" s="703">
        <f>[8]本部!$I$38</f>
        <v>0</v>
      </c>
      <c r="C38" s="259" t="str">
        <f t="shared" si="38"/>
        <v/>
      </c>
      <c r="D38" s="728">
        <f>[8]本部!$L$38</f>
        <v>33096</v>
      </c>
      <c r="E38" s="122" t="str">
        <f t="shared" si="39"/>
        <v/>
      </c>
      <c r="F38" s="352">
        <f>[8]本社営業!$I$38</f>
        <v>170418</v>
      </c>
      <c r="G38" s="9">
        <f t="shared" si="40"/>
        <v>3.7272103683084774E-4</v>
      </c>
      <c r="H38" s="362">
        <f>[8]本社営業!$L$38</f>
        <v>1277160</v>
      </c>
      <c r="I38" s="124">
        <f>IF(ISERR(H38/$H$11),"",H38/$H$11)</f>
        <v>3.1037189026189463E-4</v>
      </c>
      <c r="J38" s="745">
        <f>[8]東大阪!$I$38</f>
        <v>0</v>
      </c>
      <c r="K38" s="9">
        <f t="shared" si="20"/>
        <v>0</v>
      </c>
      <c r="L38" s="362">
        <f>[8]東大阪!$L$38</f>
        <v>5086</v>
      </c>
      <c r="M38" s="124">
        <f t="shared" si="37"/>
        <v>6.9384191427246191E-5</v>
      </c>
      <c r="N38" s="403">
        <f>[8]南港工場!$I$38</f>
        <v>0</v>
      </c>
      <c r="O38" s="9">
        <f t="shared" si="41"/>
        <v>0</v>
      </c>
      <c r="P38" s="362">
        <f>[8]南港工場!$L$38</f>
        <v>4566</v>
      </c>
      <c r="Q38" s="204">
        <f t="shared" si="42"/>
        <v>2.1111383102415675E-5</v>
      </c>
      <c r="R38" s="437">
        <f>[8]南港事務!$I$38</f>
        <v>13159</v>
      </c>
      <c r="S38" s="9" t="str">
        <f t="shared" si="43"/>
        <v/>
      </c>
      <c r="T38" s="362">
        <f>[8]南港事務!$L$38</f>
        <v>74995</v>
      </c>
      <c r="U38" s="204" t="str">
        <f t="shared" si="44"/>
        <v/>
      </c>
      <c r="V38" s="456">
        <f t="shared" si="21"/>
        <v>13159</v>
      </c>
      <c r="W38" s="171">
        <f t="shared" si="45"/>
        <v>5.0592062463338634E-4</v>
      </c>
      <c r="X38" s="426">
        <f t="shared" si="22"/>
        <v>79561</v>
      </c>
      <c r="Y38" s="225">
        <f t="shared" si="46"/>
        <v>3.6785868397093592E-4</v>
      </c>
      <c r="Z38" s="460">
        <f t="shared" si="23"/>
        <v>183577</v>
      </c>
      <c r="AA38" s="189">
        <f t="shared" si="47"/>
        <v>3.7280650641694093E-4</v>
      </c>
      <c r="AB38" s="564">
        <f t="shared" si="24"/>
        <v>1361807</v>
      </c>
      <c r="AC38" s="123">
        <f t="shared" si="48"/>
        <v>3.091841201626241E-4</v>
      </c>
      <c r="AD38" s="352">
        <f>[8]東京事務!$I$38</f>
        <v>121572</v>
      </c>
      <c r="AE38" s="9">
        <f t="shared" si="49"/>
        <v>6.1786007771501912E-4</v>
      </c>
      <c r="AF38" s="362">
        <f>[8]東京事務!$L$38</f>
        <v>401979</v>
      </c>
      <c r="AG38" s="81">
        <f t="shared" si="50"/>
        <v>2.0847608337938044E-4</v>
      </c>
      <c r="AH38" s="388">
        <f>[8]東京工場!$I$38</f>
        <v>3100</v>
      </c>
      <c r="AI38" s="171">
        <f t="shared" si="25"/>
        <v>3.8948691883054917E-4</v>
      </c>
      <c r="AJ38" s="362">
        <f>[8]東京工場!$L$38</f>
        <v>183115</v>
      </c>
      <c r="AK38" s="99">
        <f t="shared" si="36"/>
        <v>2.3530746074805812E-3</v>
      </c>
      <c r="AL38" s="547">
        <f t="shared" si="26"/>
        <v>124672</v>
      </c>
      <c r="AM38" s="314">
        <f t="shared" si="51"/>
        <v>6.0898138616486536E-4</v>
      </c>
      <c r="AN38" s="478">
        <f t="shared" si="27"/>
        <v>585094</v>
      </c>
      <c r="AO38" s="123">
        <f t="shared" si="52"/>
        <v>2.9167235132819514E-4</v>
      </c>
      <c r="AP38" s="527">
        <f t="shared" si="28"/>
        <v>308249</v>
      </c>
      <c r="AQ38" s="284">
        <f t="shared" si="53"/>
        <v>4.4216152342379389E-4</v>
      </c>
      <c r="AR38" s="487">
        <f t="shared" si="29"/>
        <v>1979997</v>
      </c>
      <c r="AS38" s="285">
        <f t="shared" si="54"/>
        <v>3.0886705298159534E-4</v>
      </c>
      <c r="AT38" s="584">
        <f>[8]全社合計!$G$38</f>
        <v>244473</v>
      </c>
      <c r="AU38" s="124">
        <f t="shared" si="30"/>
        <v>3.0211865325928806E-4</v>
      </c>
      <c r="AV38" s="578">
        <f>[8]全社合計!$N$38</f>
        <v>2490430</v>
      </c>
      <c r="AW38" s="125">
        <f t="shared" si="31"/>
        <v>3.4456982053652943E-4</v>
      </c>
      <c r="AX38" s="584">
        <f t="shared" si="32"/>
        <v>63776</v>
      </c>
      <c r="AY38" s="124">
        <f t="shared" si="33"/>
        <v>1.2608713436657626</v>
      </c>
      <c r="AZ38" s="578">
        <f t="shared" si="34"/>
        <v>-510433</v>
      </c>
      <c r="BA38" s="125">
        <f t="shared" si="35"/>
        <v>0.7950422216243781</v>
      </c>
      <c r="BB38" s="11"/>
    </row>
    <row r="39" spans="1:54" ht="15.95" customHeight="1">
      <c r="A39" s="37" t="s">
        <v>56</v>
      </c>
      <c r="B39" s="703">
        <f>[8]本部!$I$39</f>
        <v>100445</v>
      </c>
      <c r="C39" s="259" t="str">
        <f t="shared" si="38"/>
        <v/>
      </c>
      <c r="D39" s="728">
        <f>[8]本部!$L$39</f>
        <v>213764</v>
      </c>
      <c r="E39" s="122" t="str">
        <f t="shared" si="39"/>
        <v/>
      </c>
      <c r="F39" s="352">
        <f>[8]本社営業!$I$39</f>
        <v>65000</v>
      </c>
      <c r="G39" s="9">
        <f t="shared" si="40"/>
        <v>1.4216143478978219E-4</v>
      </c>
      <c r="H39" s="362">
        <f>[8]本社営業!$L$39</f>
        <v>137014</v>
      </c>
      <c r="I39" s="124">
        <f t="shared" si="19"/>
        <v>3.329676326563879E-5</v>
      </c>
      <c r="J39" s="745">
        <f>[8]東大阪!$I$39</f>
        <v>0</v>
      </c>
      <c r="K39" s="9">
        <f t="shared" si="20"/>
        <v>0</v>
      </c>
      <c r="L39" s="362">
        <f>[8]東大阪!$L$39</f>
        <v>0</v>
      </c>
      <c r="M39" s="124">
        <f t="shared" si="37"/>
        <v>0</v>
      </c>
      <c r="N39" s="403">
        <f>[8]南港工場!$I$39</f>
        <v>0</v>
      </c>
      <c r="O39" s="9">
        <f t="shared" si="41"/>
        <v>0</v>
      </c>
      <c r="P39" s="362">
        <f>[8]南港工場!$L$39</f>
        <v>0</v>
      </c>
      <c r="Q39" s="204">
        <f t="shared" si="42"/>
        <v>0</v>
      </c>
      <c r="R39" s="437">
        <f>[8]南港事務!$I$39</f>
        <v>0</v>
      </c>
      <c r="S39" s="9" t="str">
        <f t="shared" si="43"/>
        <v/>
      </c>
      <c r="T39" s="362">
        <f>[8]南港事務!$L$39</f>
        <v>0</v>
      </c>
      <c r="U39" s="204" t="str">
        <f t="shared" si="44"/>
        <v/>
      </c>
      <c r="V39" s="456">
        <f t="shared" si="21"/>
        <v>0</v>
      </c>
      <c r="W39" s="171">
        <f t="shared" si="45"/>
        <v>0</v>
      </c>
      <c r="X39" s="426">
        <f t="shared" si="22"/>
        <v>0</v>
      </c>
      <c r="Y39" s="225">
        <f t="shared" si="46"/>
        <v>0</v>
      </c>
      <c r="Z39" s="460">
        <f t="shared" si="23"/>
        <v>65000</v>
      </c>
      <c r="AA39" s="189">
        <f t="shared" si="47"/>
        <v>1.3200141040054669E-4</v>
      </c>
      <c r="AB39" s="564">
        <f t="shared" si="24"/>
        <v>137014</v>
      </c>
      <c r="AC39" s="123">
        <f t="shared" si="48"/>
        <v>3.1107604117148598E-5</v>
      </c>
      <c r="AD39" s="352">
        <f>[8]東京事務!$I$39</f>
        <v>71204</v>
      </c>
      <c r="AE39" s="9">
        <f t="shared" si="49"/>
        <v>3.6187698626016042E-4</v>
      </c>
      <c r="AF39" s="362">
        <f>[8]東京事務!$L$39</f>
        <v>142408</v>
      </c>
      <c r="AG39" s="81">
        <f t="shared" si="50"/>
        <v>7.3856251400920961E-5</v>
      </c>
      <c r="AH39" s="388">
        <f>[8]東京工場!$I$39</f>
        <v>0</v>
      </c>
      <c r="AI39" s="171">
        <f t="shared" si="25"/>
        <v>0</v>
      </c>
      <c r="AJ39" s="362">
        <f>[8]東京工場!$L$39</f>
        <v>0</v>
      </c>
      <c r="AK39" s="99">
        <f t="shared" si="36"/>
        <v>0</v>
      </c>
      <c r="AL39" s="547">
        <f t="shared" si="26"/>
        <v>71204</v>
      </c>
      <c r="AM39" s="314">
        <f t="shared" si="51"/>
        <v>3.4780793298000407E-4</v>
      </c>
      <c r="AN39" s="478">
        <f t="shared" si="27"/>
        <v>142408</v>
      </c>
      <c r="AO39" s="123">
        <f t="shared" si="52"/>
        <v>7.0991116312841383E-5</v>
      </c>
      <c r="AP39" s="527">
        <f t="shared" si="28"/>
        <v>236649</v>
      </c>
      <c r="AQ39" s="284">
        <f t="shared" si="53"/>
        <v>3.3945635624679207E-4</v>
      </c>
      <c r="AR39" s="487">
        <f t="shared" si="29"/>
        <v>493186</v>
      </c>
      <c r="AS39" s="285">
        <f t="shared" si="54"/>
        <v>7.6933907673486926E-5</v>
      </c>
      <c r="AT39" s="584">
        <f>[8]全社合計!$G$39</f>
        <v>268917</v>
      </c>
      <c r="AU39" s="124">
        <f t="shared" si="30"/>
        <v>3.3232644045979708E-4</v>
      </c>
      <c r="AV39" s="578">
        <f>[8]全社合計!$N$39</f>
        <v>485894</v>
      </c>
      <c r="AW39" s="125">
        <f t="shared" si="31"/>
        <v>6.7227108724106458E-5</v>
      </c>
      <c r="AX39" s="584">
        <f t="shared" si="32"/>
        <v>-32268</v>
      </c>
      <c r="AY39" s="124">
        <f t="shared" si="33"/>
        <v>0.88000758598377937</v>
      </c>
      <c r="AZ39" s="578">
        <f t="shared" si="34"/>
        <v>7292</v>
      </c>
      <c r="BA39" s="125">
        <f t="shared" si="35"/>
        <v>1.0150073884427468</v>
      </c>
      <c r="BB39" s="11"/>
    </row>
    <row r="40" spans="1:54" ht="15.95" customHeight="1">
      <c r="A40" s="37" t="s">
        <v>33</v>
      </c>
      <c r="B40" s="703">
        <f>[8]本部!$I$40</f>
        <v>0</v>
      </c>
      <c r="C40" s="259" t="str">
        <f t="shared" si="38"/>
        <v/>
      </c>
      <c r="D40" s="728">
        <f>[8]本部!$L$40</f>
        <v>0</v>
      </c>
      <c r="E40" s="122" t="str">
        <f t="shared" si="39"/>
        <v/>
      </c>
      <c r="F40" s="352">
        <f>[8]本社営業!$I$40</f>
        <v>15093</v>
      </c>
      <c r="G40" s="9">
        <f t="shared" si="40"/>
        <v>3.3009885158187424E-5</v>
      </c>
      <c r="H40" s="362">
        <f>[8]本社営業!$L$40</f>
        <v>186289</v>
      </c>
      <c r="I40" s="124">
        <f t="shared" si="19"/>
        <v>4.5271437458891676E-5</v>
      </c>
      <c r="J40" s="745">
        <f>[8]東大阪!$I$40</f>
        <v>0</v>
      </c>
      <c r="K40" s="9">
        <f t="shared" si="20"/>
        <v>0</v>
      </c>
      <c r="L40" s="362">
        <f>[8]東大阪!$L$40</f>
        <v>0</v>
      </c>
      <c r="M40" s="124">
        <f t="shared" si="37"/>
        <v>0</v>
      </c>
      <c r="N40" s="403">
        <f>[8]南港工場!$I$40</f>
        <v>0</v>
      </c>
      <c r="O40" s="9">
        <f t="shared" si="41"/>
        <v>0</v>
      </c>
      <c r="P40" s="362">
        <f>[8]南港工場!$L$40</f>
        <v>0</v>
      </c>
      <c r="Q40" s="204">
        <f t="shared" si="42"/>
        <v>0</v>
      </c>
      <c r="R40" s="437">
        <f>[8]南港事務!$I$40</f>
        <v>0</v>
      </c>
      <c r="S40" s="9" t="str">
        <f t="shared" si="43"/>
        <v/>
      </c>
      <c r="T40" s="362">
        <f>[8]南港事務!$L$40</f>
        <v>9600</v>
      </c>
      <c r="U40" s="204" t="str">
        <f t="shared" si="44"/>
        <v/>
      </c>
      <c r="V40" s="456">
        <f t="shared" si="21"/>
        <v>0</v>
      </c>
      <c r="W40" s="171">
        <f t="shared" si="45"/>
        <v>0</v>
      </c>
      <c r="X40" s="426">
        <f t="shared" si="22"/>
        <v>9600</v>
      </c>
      <c r="Y40" s="225">
        <f t="shared" si="46"/>
        <v>4.4386613618745176E-5</v>
      </c>
      <c r="Z40" s="460">
        <f t="shared" si="23"/>
        <v>15093</v>
      </c>
      <c r="AA40" s="189">
        <f t="shared" si="47"/>
        <v>3.0650727495006937E-5</v>
      </c>
      <c r="AB40" s="564">
        <f t="shared" si="24"/>
        <v>195889</v>
      </c>
      <c r="AC40" s="123">
        <f t="shared" si="48"/>
        <v>4.4474560723021889E-5</v>
      </c>
      <c r="AD40" s="352">
        <f>[8]東京事務!$I$40</f>
        <v>0</v>
      </c>
      <c r="AE40" s="9">
        <f t="shared" si="49"/>
        <v>0</v>
      </c>
      <c r="AF40" s="362">
        <f>[8]東京事務!$L$40</f>
        <v>4419</v>
      </c>
      <c r="AG40" s="81">
        <f t="shared" si="50"/>
        <v>2.2918008464459143E-6</v>
      </c>
      <c r="AH40" s="388">
        <f>[8]東京工場!$I$40</f>
        <v>0</v>
      </c>
      <c r="AI40" s="171">
        <f t="shared" si="25"/>
        <v>0</v>
      </c>
      <c r="AJ40" s="362">
        <f>[8]東京工場!$L$40</f>
        <v>0</v>
      </c>
      <c r="AK40" s="99">
        <f t="shared" si="36"/>
        <v>0</v>
      </c>
      <c r="AL40" s="547">
        <f t="shared" si="26"/>
        <v>0</v>
      </c>
      <c r="AM40" s="314">
        <f t="shared" si="51"/>
        <v>0</v>
      </c>
      <c r="AN40" s="478">
        <f t="shared" si="27"/>
        <v>4419</v>
      </c>
      <c r="AO40" s="123">
        <f t="shared" si="52"/>
        <v>2.202894099955382E-6</v>
      </c>
      <c r="AP40" s="527">
        <f t="shared" si="28"/>
        <v>15093</v>
      </c>
      <c r="AQ40" s="284">
        <f t="shared" si="53"/>
        <v>2.164984760059342E-5</v>
      </c>
      <c r="AR40" s="487">
        <f t="shared" si="29"/>
        <v>200308</v>
      </c>
      <c r="AS40" s="285">
        <f t="shared" si="54"/>
        <v>3.1246785549996998E-5</v>
      </c>
      <c r="AT40" s="584">
        <f>[8]全社合計!$G$40</f>
        <v>35370</v>
      </c>
      <c r="AU40" s="124">
        <f t="shared" si="30"/>
        <v>4.3710089726804267E-5</v>
      </c>
      <c r="AV40" s="578">
        <f>[8]全社合計!$N$40</f>
        <v>277809</v>
      </c>
      <c r="AW40" s="125">
        <f t="shared" si="31"/>
        <v>3.8436975652169585E-5</v>
      </c>
      <c r="AX40" s="584">
        <f t="shared" si="32"/>
        <v>-20277</v>
      </c>
      <c r="AY40" s="124">
        <f t="shared" si="33"/>
        <v>0.42671755725190841</v>
      </c>
      <c r="AZ40" s="578">
        <f t="shared" si="34"/>
        <v>-77501</v>
      </c>
      <c r="BA40" s="125">
        <f t="shared" si="35"/>
        <v>0.72102775648017159</v>
      </c>
      <c r="BB40" s="11"/>
    </row>
    <row r="41" spans="1:54" ht="15.95" customHeight="1">
      <c r="A41" s="37" t="s">
        <v>34</v>
      </c>
      <c r="B41" s="703">
        <f>[8]本部!$I$41</f>
        <v>0</v>
      </c>
      <c r="C41" s="259" t="str">
        <f t="shared" si="38"/>
        <v/>
      </c>
      <c r="D41" s="728">
        <f>[8]本部!$L$41</f>
        <v>437300</v>
      </c>
      <c r="E41" s="122" t="str">
        <f t="shared" si="39"/>
        <v/>
      </c>
      <c r="F41" s="352">
        <f>[8]本社営業!$I$41</f>
        <v>30000</v>
      </c>
      <c r="G41" s="9">
        <f t="shared" si="40"/>
        <v>6.5612969902976396E-5</v>
      </c>
      <c r="H41" s="362">
        <f>[8]本社営業!$L$41</f>
        <v>187000</v>
      </c>
      <c r="I41" s="124">
        <f t="shared" si="19"/>
        <v>4.5444222712091127E-5</v>
      </c>
      <c r="J41" s="745">
        <f>[8]東大阪!$I$41</f>
        <v>0</v>
      </c>
      <c r="K41" s="9">
        <f t="shared" si="20"/>
        <v>0</v>
      </c>
      <c r="L41" s="362">
        <f>[8]東大阪!$L$41</f>
        <v>10000</v>
      </c>
      <c r="M41" s="124">
        <f t="shared" si="37"/>
        <v>1.3642192573190364E-4</v>
      </c>
      <c r="N41" s="403">
        <f>[8]南港工場!$I$41</f>
        <v>0</v>
      </c>
      <c r="O41" s="9">
        <f t="shared" si="41"/>
        <v>0</v>
      </c>
      <c r="P41" s="362">
        <f>[8]南港工場!$L$41</f>
        <v>0</v>
      </c>
      <c r="Q41" s="204">
        <f t="shared" si="42"/>
        <v>0</v>
      </c>
      <c r="R41" s="437">
        <f>[8]南港事務!$I$41</f>
        <v>395958</v>
      </c>
      <c r="S41" s="9" t="str">
        <f t="shared" si="43"/>
        <v/>
      </c>
      <c r="T41" s="362">
        <f>[8]南港事務!$L$41</f>
        <v>1247874</v>
      </c>
      <c r="U41" s="204" t="str">
        <f t="shared" si="44"/>
        <v/>
      </c>
      <c r="V41" s="456">
        <f t="shared" si="21"/>
        <v>395958</v>
      </c>
      <c r="W41" s="171">
        <f t="shared" si="45"/>
        <v>1.5223293463681616E-2</v>
      </c>
      <c r="X41" s="426">
        <f t="shared" si="22"/>
        <v>1247874</v>
      </c>
      <c r="Y41" s="225">
        <f t="shared" si="46"/>
        <v>5.7696771961331271E-3</v>
      </c>
      <c r="Z41" s="460">
        <f t="shared" si="23"/>
        <v>425958</v>
      </c>
      <c r="AA41" s="189">
        <f t="shared" si="47"/>
        <v>8.650316426368625E-4</v>
      </c>
      <c r="AB41" s="564">
        <f t="shared" si="24"/>
        <v>1444874</v>
      </c>
      <c r="AC41" s="123">
        <f t="shared" si="48"/>
        <v>3.280436188357464E-4</v>
      </c>
      <c r="AD41" s="352">
        <f>[8]東京事務!$I$41</f>
        <v>0</v>
      </c>
      <c r="AE41" s="9">
        <f t="shared" si="49"/>
        <v>0</v>
      </c>
      <c r="AF41" s="362">
        <f>[8]東京事務!$L$41</f>
        <v>288000</v>
      </c>
      <c r="AG41" s="81">
        <f t="shared" si="50"/>
        <v>1.4936380261969297E-4</v>
      </c>
      <c r="AH41" s="388">
        <f>[8]東京工場!$I$41</f>
        <v>0</v>
      </c>
      <c r="AI41" s="171">
        <f t="shared" si="25"/>
        <v>0</v>
      </c>
      <c r="AJ41" s="362">
        <f>[8]東京工場!$L$41</f>
        <v>0</v>
      </c>
      <c r="AK41" s="99">
        <f t="shared" si="36"/>
        <v>0</v>
      </c>
      <c r="AL41" s="547">
        <f t="shared" si="26"/>
        <v>0</v>
      </c>
      <c r="AM41" s="314">
        <f t="shared" si="51"/>
        <v>0</v>
      </c>
      <c r="AN41" s="478">
        <f t="shared" si="27"/>
        <v>288000</v>
      </c>
      <c r="AO41" s="123">
        <f t="shared" si="52"/>
        <v>1.4356947290951574E-4</v>
      </c>
      <c r="AP41" s="527">
        <f t="shared" si="28"/>
        <v>425958</v>
      </c>
      <c r="AQ41" s="284">
        <f t="shared" si="53"/>
        <v>6.1100681006119215E-4</v>
      </c>
      <c r="AR41" s="487">
        <f t="shared" si="29"/>
        <v>2170174</v>
      </c>
      <c r="AS41" s="285">
        <f t="shared" si="54"/>
        <v>3.3853346638266661E-4</v>
      </c>
      <c r="AT41" s="584">
        <f>[8]全社合計!$G$41</f>
        <v>395958</v>
      </c>
      <c r="AU41" s="124">
        <f t="shared" si="30"/>
        <v>4.8932314696200068E-4</v>
      </c>
      <c r="AV41" s="578">
        <f>[8]全社合計!$N$41</f>
        <v>2213493</v>
      </c>
      <c r="AW41" s="125">
        <f t="shared" si="31"/>
        <v>3.062534926775152E-4</v>
      </c>
      <c r="AX41" s="584">
        <f t="shared" si="32"/>
        <v>30000</v>
      </c>
      <c r="AY41" s="124">
        <f t="shared" si="33"/>
        <v>1.0757656115042504</v>
      </c>
      <c r="AZ41" s="578">
        <f t="shared" si="34"/>
        <v>-43319</v>
      </c>
      <c r="BA41" s="125">
        <f t="shared" si="35"/>
        <v>0.9804295744328082</v>
      </c>
      <c r="BB41" s="11"/>
    </row>
    <row r="42" spans="1:54" ht="15.95" customHeight="1">
      <c r="A42" s="37" t="s">
        <v>35</v>
      </c>
      <c r="B42" s="703">
        <f>[8]本部!$I$42</f>
        <v>0</v>
      </c>
      <c r="C42" s="259" t="str">
        <f t="shared" si="38"/>
        <v/>
      </c>
      <c r="D42" s="728">
        <f>[8]本部!$L$42</f>
        <v>905750</v>
      </c>
      <c r="E42" s="122" t="str">
        <f t="shared" si="39"/>
        <v/>
      </c>
      <c r="F42" s="352">
        <f>[8]本社営業!$I$42</f>
        <v>0</v>
      </c>
      <c r="G42" s="9">
        <f t="shared" si="40"/>
        <v>0</v>
      </c>
      <c r="H42" s="362">
        <f>[8]本社営業!$L$42</f>
        <v>1261453</v>
      </c>
      <c r="I42" s="124">
        <f t="shared" si="19"/>
        <v>3.0655481857131274E-4</v>
      </c>
      <c r="J42" s="745">
        <f>[8]東大阪!$I$42</f>
        <v>0</v>
      </c>
      <c r="K42" s="9">
        <f t="shared" si="20"/>
        <v>0</v>
      </c>
      <c r="L42" s="362">
        <f>[8]東大阪!$L$42</f>
        <v>0</v>
      </c>
      <c r="M42" s="124">
        <f t="shared" si="37"/>
        <v>0</v>
      </c>
      <c r="N42" s="403">
        <f>[8]南港工場!$I$42</f>
        <v>0</v>
      </c>
      <c r="O42" s="9">
        <f t="shared" si="41"/>
        <v>0</v>
      </c>
      <c r="P42" s="362">
        <f>[8]南港工場!$L$42</f>
        <v>0</v>
      </c>
      <c r="Q42" s="204">
        <f t="shared" si="42"/>
        <v>0</v>
      </c>
      <c r="R42" s="437">
        <f>[8]南港事務!$I$42</f>
        <v>0</v>
      </c>
      <c r="S42" s="9" t="str">
        <f t="shared" si="43"/>
        <v/>
      </c>
      <c r="T42" s="362">
        <f>[8]南港事務!$L$42</f>
        <v>75900</v>
      </c>
      <c r="U42" s="204" t="str">
        <f t="shared" si="44"/>
        <v/>
      </c>
      <c r="V42" s="456">
        <f t="shared" si="21"/>
        <v>0</v>
      </c>
      <c r="W42" s="171">
        <f t="shared" si="45"/>
        <v>0</v>
      </c>
      <c r="X42" s="426">
        <f t="shared" si="22"/>
        <v>75900</v>
      </c>
      <c r="Y42" s="225">
        <f t="shared" si="46"/>
        <v>3.5093166392320403E-4</v>
      </c>
      <c r="Z42" s="460">
        <f t="shared" si="23"/>
        <v>0</v>
      </c>
      <c r="AA42" s="189">
        <f t="shared" si="47"/>
        <v>0</v>
      </c>
      <c r="AB42" s="564">
        <f t="shared" si="24"/>
        <v>1337353</v>
      </c>
      <c r="AC42" s="123">
        <f t="shared" si="48"/>
        <v>3.0363209371948142E-4</v>
      </c>
      <c r="AD42" s="352">
        <f>[8]東京事務!$I$42</f>
        <v>0</v>
      </c>
      <c r="AE42" s="9">
        <f t="shared" si="49"/>
        <v>0</v>
      </c>
      <c r="AF42" s="362">
        <f>[8]東京事務!$L$42</f>
        <v>177940</v>
      </c>
      <c r="AG42" s="81">
        <f t="shared" si="50"/>
        <v>9.2284010549125592E-5</v>
      </c>
      <c r="AH42" s="388">
        <f>[8]東京工場!$I$42</f>
        <v>0</v>
      </c>
      <c r="AI42" s="171">
        <f t="shared" si="25"/>
        <v>0</v>
      </c>
      <c r="AJ42" s="362">
        <f>[8]東京工場!$L$42</f>
        <v>0</v>
      </c>
      <c r="AK42" s="99">
        <f t="shared" si="36"/>
        <v>0</v>
      </c>
      <c r="AL42" s="547">
        <f t="shared" si="26"/>
        <v>0</v>
      </c>
      <c r="AM42" s="314">
        <f t="shared" si="51"/>
        <v>0</v>
      </c>
      <c r="AN42" s="478">
        <f t="shared" si="27"/>
        <v>177940</v>
      </c>
      <c r="AO42" s="123">
        <f t="shared" si="52"/>
        <v>8.8704000033052889E-5</v>
      </c>
      <c r="AP42" s="527">
        <f t="shared" si="28"/>
        <v>0</v>
      </c>
      <c r="AQ42" s="284">
        <f t="shared" si="53"/>
        <v>0</v>
      </c>
      <c r="AR42" s="487">
        <f t="shared" si="29"/>
        <v>2421043</v>
      </c>
      <c r="AS42" s="285">
        <f t="shared" si="54"/>
        <v>3.7766744926973149E-4</v>
      </c>
      <c r="AT42" s="584">
        <f>[8]全社合計!$G$42</f>
        <v>397866</v>
      </c>
      <c r="AU42" s="124">
        <f t="shared" si="30"/>
        <v>4.9168104493199616E-4</v>
      </c>
      <c r="AV42" s="578">
        <f>[8]全社合計!$N$42</f>
        <v>2566882</v>
      </c>
      <c r="AW42" s="125">
        <f t="shared" si="31"/>
        <v>3.551475327868873E-4</v>
      </c>
      <c r="AX42" s="584">
        <f t="shared" si="32"/>
        <v>-397866</v>
      </c>
      <c r="AY42" s="124">
        <f t="shared" si="33"/>
        <v>0</v>
      </c>
      <c r="AZ42" s="578">
        <f t="shared" si="34"/>
        <v>-145839</v>
      </c>
      <c r="BA42" s="125">
        <f t="shared" si="35"/>
        <v>0.94318437699902058</v>
      </c>
      <c r="BB42" s="11"/>
    </row>
    <row r="43" spans="1:54" ht="15.95" customHeight="1">
      <c r="A43" s="37" t="s">
        <v>36</v>
      </c>
      <c r="B43" s="703">
        <f>[8]本部!$I$43</f>
        <v>0</v>
      </c>
      <c r="C43" s="259" t="str">
        <f t="shared" si="38"/>
        <v/>
      </c>
      <c r="D43" s="728">
        <f>[8]本部!$L$43</f>
        <v>0</v>
      </c>
      <c r="E43" s="122" t="str">
        <f t="shared" si="39"/>
        <v/>
      </c>
      <c r="F43" s="352">
        <f>[8]本社営業!$I$43</f>
        <v>15346136</v>
      </c>
      <c r="G43" s="9">
        <f t="shared" si="40"/>
        <v>3.3563518649832751E-2</v>
      </c>
      <c r="H43" s="362">
        <f>[8]本社営業!$L$43</f>
        <v>111211811</v>
      </c>
      <c r="I43" s="124">
        <f t="shared" si="19"/>
        <v>2.7026386670048051E-2</v>
      </c>
      <c r="J43" s="745">
        <f>[8]東大阪!$I$43</f>
        <v>-473327</v>
      </c>
      <c r="K43" s="9">
        <f t="shared" si="20"/>
        <v>-5.1547771592688453E-2</v>
      </c>
      <c r="L43" s="362">
        <f>[8]東大阪!$L$43</f>
        <v>-3836834</v>
      </c>
      <c r="M43" s="124">
        <f t="shared" si="37"/>
        <v>-5.234282829936427E-2</v>
      </c>
      <c r="N43" s="403">
        <f>[8]南港工場!$I$43</f>
        <v>1861868</v>
      </c>
      <c r="O43" s="9">
        <f t="shared" si="41"/>
        <v>7.1582751086322186E-2</v>
      </c>
      <c r="P43" s="362">
        <f>[8]南港工場!$L$43</f>
        <v>14817941</v>
      </c>
      <c r="Q43" s="204">
        <f t="shared" si="42"/>
        <v>6.851231477003776E-2</v>
      </c>
      <c r="R43" s="437">
        <f>[8]南港事務!$I$43</f>
        <v>0</v>
      </c>
      <c r="S43" s="9" t="str">
        <f t="shared" si="43"/>
        <v/>
      </c>
      <c r="T43" s="362">
        <f>[8]南港事務!$L$43</f>
        <v>0</v>
      </c>
      <c r="U43" s="204" t="str">
        <f t="shared" si="44"/>
        <v/>
      </c>
      <c r="V43" s="456">
        <f t="shared" si="21"/>
        <v>1861868</v>
      </c>
      <c r="W43" s="171">
        <f t="shared" si="45"/>
        <v>7.1582751086322186E-2</v>
      </c>
      <c r="X43" s="426">
        <f t="shared" si="22"/>
        <v>14817941</v>
      </c>
      <c r="Y43" s="225">
        <f t="shared" si="46"/>
        <v>6.851231477003776E-2</v>
      </c>
      <c r="Z43" s="460">
        <f t="shared" si="23"/>
        <v>16734677</v>
      </c>
      <c r="AA43" s="189">
        <f t="shared" si="47"/>
        <v>3.398463025534753E-2</v>
      </c>
      <c r="AB43" s="564">
        <f t="shared" si="24"/>
        <v>122192918</v>
      </c>
      <c r="AC43" s="123">
        <f t="shared" si="48"/>
        <v>2.7742631549062147E-2</v>
      </c>
      <c r="AD43" s="352">
        <f>[8]東京事務!$I$43</f>
        <v>5857958</v>
      </c>
      <c r="AE43" s="9">
        <f t="shared" si="49"/>
        <v>2.9771644664324994E-2</v>
      </c>
      <c r="AF43" s="362">
        <f>[8]東京事務!$L$43</f>
        <v>48328424</v>
      </c>
      <c r="AG43" s="81">
        <f t="shared" si="50"/>
        <v>2.5064295775197337E-2</v>
      </c>
      <c r="AH43" s="388">
        <f>[8]東京工場!$I$43</f>
        <v>0</v>
      </c>
      <c r="AI43" s="171">
        <f t="shared" si="25"/>
        <v>0</v>
      </c>
      <c r="AJ43" s="362">
        <f>[8]東京工場!$L$43</f>
        <v>0</v>
      </c>
      <c r="AK43" s="99">
        <f t="shared" si="36"/>
        <v>0</v>
      </c>
      <c r="AL43" s="547">
        <f t="shared" si="26"/>
        <v>5857958</v>
      </c>
      <c r="AM43" s="314">
        <f t="shared" si="51"/>
        <v>2.8614182678833758E-2</v>
      </c>
      <c r="AN43" s="478">
        <f t="shared" si="27"/>
        <v>48328424</v>
      </c>
      <c r="AO43" s="123">
        <f t="shared" si="52"/>
        <v>2.4091966528568022E-2</v>
      </c>
      <c r="AP43" s="527">
        <f t="shared" si="28"/>
        <v>22592635</v>
      </c>
      <c r="AQ43" s="284">
        <f t="shared" si="53"/>
        <v>3.2407546852569601E-2</v>
      </c>
      <c r="AR43" s="487">
        <f t="shared" si="29"/>
        <v>170521342</v>
      </c>
      <c r="AS43" s="285">
        <f t="shared" si="54"/>
        <v>2.6600254633722547E-2</v>
      </c>
      <c r="AT43" s="584">
        <f>[8]全社合計!$G$43</f>
        <v>21108627</v>
      </c>
      <c r="AU43" s="124">
        <f t="shared" si="30"/>
        <v>2.6085947983591831E-2</v>
      </c>
      <c r="AV43" s="578">
        <f>[8]全社合計!$N$43</f>
        <v>169444977</v>
      </c>
      <c r="AW43" s="125">
        <f t="shared" si="31"/>
        <v>2.3443993734297435E-2</v>
      </c>
      <c r="AX43" s="584">
        <f t="shared" si="32"/>
        <v>1484008</v>
      </c>
      <c r="AY43" s="124">
        <f t="shared" si="33"/>
        <v>1.070303388278167</v>
      </c>
      <c r="AZ43" s="578">
        <f>AR43-AV43</f>
        <v>1076365</v>
      </c>
      <c r="BA43" s="125">
        <f t="shared" si="35"/>
        <v>1.0063522980678266</v>
      </c>
      <c r="BB43" s="11"/>
    </row>
    <row r="44" spans="1:54" ht="15.95" customHeight="1">
      <c r="A44" s="37" t="s">
        <v>37</v>
      </c>
      <c r="B44" s="703">
        <f>[8]本部!$I$44</f>
        <v>-165000</v>
      </c>
      <c r="C44" s="259" t="str">
        <f t="shared" si="38"/>
        <v/>
      </c>
      <c r="D44" s="728">
        <f>[8]本部!$L$44</f>
        <v>-1320000</v>
      </c>
      <c r="E44" s="122" t="str">
        <f t="shared" si="39"/>
        <v/>
      </c>
      <c r="F44" s="352">
        <f>[8]本社営業!$I$44</f>
        <v>475000</v>
      </c>
      <c r="G44" s="9">
        <f t="shared" si="40"/>
        <v>1.0388720234637929E-3</v>
      </c>
      <c r="H44" s="362">
        <f>[8]本社営業!$L$44</f>
        <v>3800000</v>
      </c>
      <c r="I44" s="124">
        <f t="shared" si="19"/>
        <v>9.2346548826709239E-4</v>
      </c>
      <c r="J44" s="745">
        <f>[8]東大阪!$I$44</f>
        <v>375000</v>
      </c>
      <c r="K44" s="9">
        <f t="shared" si="20"/>
        <v>4.0839449993890421E-2</v>
      </c>
      <c r="L44" s="362">
        <f>[8]東大阪!$L$44</f>
        <v>3000000</v>
      </c>
      <c r="M44" s="124">
        <f t="shared" si="37"/>
        <v>4.0926577719571089E-2</v>
      </c>
      <c r="N44" s="403">
        <f>[8]南港工場!$I$44</f>
        <v>360000</v>
      </c>
      <c r="O44" s="9">
        <f t="shared" si="41"/>
        <v>1.3840825660613959E-2</v>
      </c>
      <c r="P44" s="362">
        <f>[8]南港工場!$L$44</f>
        <v>2880000</v>
      </c>
      <c r="Q44" s="204">
        <f t="shared" si="42"/>
        <v>1.3315984085623553E-2</v>
      </c>
      <c r="R44" s="437">
        <f>[8]南港事務!$I$44</f>
        <v>80000</v>
      </c>
      <c r="S44" s="9" t="str">
        <f t="shared" si="43"/>
        <v/>
      </c>
      <c r="T44" s="362">
        <f>[8]南港事務!$L$44</f>
        <v>640000</v>
      </c>
      <c r="U44" s="204" t="str">
        <f t="shared" si="44"/>
        <v/>
      </c>
      <c r="V44" s="456">
        <f t="shared" si="21"/>
        <v>440000</v>
      </c>
      <c r="W44" s="171">
        <f t="shared" si="45"/>
        <v>1.6916564696305949E-2</v>
      </c>
      <c r="X44" s="426">
        <f t="shared" si="22"/>
        <v>3520000</v>
      </c>
      <c r="Y44" s="225">
        <f t="shared" si="46"/>
        <v>1.6275091660206565E-2</v>
      </c>
      <c r="Z44" s="460">
        <f t="shared" si="23"/>
        <v>1290000</v>
      </c>
      <c r="AA44" s="189">
        <f t="shared" si="47"/>
        <v>2.619720298718542E-3</v>
      </c>
      <c r="AB44" s="564">
        <f t="shared" si="24"/>
        <v>10320000</v>
      </c>
      <c r="AC44" s="123">
        <f t="shared" si="48"/>
        <v>2.3430486993225035E-3</v>
      </c>
      <c r="AD44" s="352">
        <f>[8]東京事務!$I$44</f>
        <v>55000</v>
      </c>
      <c r="AE44" s="9">
        <f t="shared" si="49"/>
        <v>2.795241032007868E-4</v>
      </c>
      <c r="AF44" s="362">
        <f>[8]東京事務!$L$44</f>
        <v>440000</v>
      </c>
      <c r="AG44" s="81">
        <f t="shared" si="50"/>
        <v>2.2819469844675316E-4</v>
      </c>
      <c r="AH44" s="388">
        <f>[8]東京工場!$I$44</f>
        <v>275000</v>
      </c>
      <c r="AI44" s="171">
        <f t="shared" si="25"/>
        <v>3.455125892851646E-2</v>
      </c>
      <c r="AJ44" s="362">
        <f>[8]東京工場!$L$44</f>
        <v>2200000</v>
      </c>
      <c r="AK44" s="99">
        <f t="shared" si="36"/>
        <v>2.8270562960201397E-2</v>
      </c>
      <c r="AL44" s="547">
        <f t="shared" si="26"/>
        <v>330000</v>
      </c>
      <c r="AM44" s="314">
        <f t="shared" si="51"/>
        <v>1.6119405915875702E-3</v>
      </c>
      <c r="AN44" s="478">
        <f t="shared" si="27"/>
        <v>2640000</v>
      </c>
      <c r="AO44" s="123">
        <f t="shared" si="52"/>
        <v>1.316053501670561E-3</v>
      </c>
      <c r="AP44" s="527">
        <f t="shared" si="28"/>
        <v>1455000</v>
      </c>
      <c r="AQ44" s="284">
        <f t="shared" si="53"/>
        <v>2.087095226851085E-3</v>
      </c>
      <c r="AR44" s="487">
        <f t="shared" si="29"/>
        <v>11640000</v>
      </c>
      <c r="AS44" s="285">
        <f t="shared" si="54"/>
        <v>1.8157666383867097E-3</v>
      </c>
      <c r="AT44" s="584">
        <f>[8]全社合計!$G$44</f>
        <v>1280000</v>
      </c>
      <c r="AU44" s="124">
        <f t="shared" si="30"/>
        <v>1.5818183446511015E-3</v>
      </c>
      <c r="AV44" s="578">
        <f>[8]全社合計!$N$44</f>
        <v>10240000</v>
      </c>
      <c r="AW44" s="125">
        <f t="shared" si="31"/>
        <v>1.4167814242094985E-3</v>
      </c>
      <c r="AX44" s="584">
        <f t="shared" si="32"/>
        <v>175000</v>
      </c>
      <c r="AY44" s="124">
        <f t="shared" si="33"/>
        <v>1.13671875</v>
      </c>
      <c r="AZ44" s="578">
        <f t="shared" si="34"/>
        <v>1400000</v>
      </c>
      <c r="BA44" s="125">
        <f t="shared" si="35"/>
        <v>1.13671875</v>
      </c>
      <c r="BB44" s="14"/>
    </row>
    <row r="45" spans="1:54" ht="15.95" customHeight="1">
      <c r="A45" s="37" t="s">
        <v>57</v>
      </c>
      <c r="B45" s="703">
        <f>[8]本部!$I$45</f>
        <v>0</v>
      </c>
      <c r="C45" s="259" t="str">
        <f t="shared" si="38"/>
        <v/>
      </c>
      <c r="D45" s="728">
        <f>[8]本部!$L$45</f>
        <v>0</v>
      </c>
      <c r="E45" s="122" t="str">
        <f t="shared" si="39"/>
        <v/>
      </c>
      <c r="F45" s="352">
        <f>[8]本社営業!$I$45</f>
        <v>0</v>
      </c>
      <c r="G45" s="9">
        <f t="shared" si="40"/>
        <v>0</v>
      </c>
      <c r="H45" s="362">
        <f>[8]本社営業!$L$45</f>
        <v>0</v>
      </c>
      <c r="I45" s="124">
        <f t="shared" si="19"/>
        <v>0</v>
      </c>
      <c r="J45" s="745">
        <f>[8]東大阪!$I$45</f>
        <v>0</v>
      </c>
      <c r="K45" s="9">
        <f t="shared" si="20"/>
        <v>0</v>
      </c>
      <c r="L45" s="362">
        <f>[8]東大阪!$L$45</f>
        <v>0</v>
      </c>
      <c r="M45" s="124">
        <f t="shared" si="37"/>
        <v>0</v>
      </c>
      <c r="N45" s="403">
        <f>[8]南港工場!$I$45</f>
        <v>0</v>
      </c>
      <c r="O45" s="9">
        <f t="shared" si="41"/>
        <v>0</v>
      </c>
      <c r="P45" s="362">
        <f>[8]南港工場!$L$45</f>
        <v>0</v>
      </c>
      <c r="Q45" s="204">
        <f t="shared" si="42"/>
        <v>0</v>
      </c>
      <c r="R45" s="437">
        <f>[8]南港事務!$I$45</f>
        <v>0</v>
      </c>
      <c r="S45" s="9" t="str">
        <f t="shared" si="43"/>
        <v/>
      </c>
      <c r="T45" s="362">
        <f>[8]南港事務!$L$45</f>
        <v>0</v>
      </c>
      <c r="U45" s="204" t="str">
        <f t="shared" si="44"/>
        <v/>
      </c>
      <c r="V45" s="456">
        <f t="shared" si="21"/>
        <v>0</v>
      </c>
      <c r="W45" s="171">
        <f t="shared" si="45"/>
        <v>0</v>
      </c>
      <c r="X45" s="426">
        <f t="shared" si="22"/>
        <v>0</v>
      </c>
      <c r="Y45" s="225">
        <f t="shared" si="46"/>
        <v>0</v>
      </c>
      <c r="Z45" s="460">
        <f t="shared" si="23"/>
        <v>0</v>
      </c>
      <c r="AA45" s="189">
        <f t="shared" si="47"/>
        <v>0</v>
      </c>
      <c r="AB45" s="564">
        <f t="shared" si="24"/>
        <v>0</v>
      </c>
      <c r="AC45" s="123">
        <f t="shared" si="48"/>
        <v>0</v>
      </c>
      <c r="AD45" s="352">
        <f>[8]東京事務!$I$45</f>
        <v>0</v>
      </c>
      <c r="AE45" s="9">
        <f t="shared" si="49"/>
        <v>0</v>
      </c>
      <c r="AF45" s="362">
        <f>[8]東京事務!$L$45</f>
        <v>0</v>
      </c>
      <c r="AG45" s="81">
        <f t="shared" si="50"/>
        <v>0</v>
      </c>
      <c r="AH45" s="388">
        <f>[8]東京工場!$I$45</f>
        <v>0</v>
      </c>
      <c r="AI45" s="171">
        <f t="shared" si="25"/>
        <v>0</v>
      </c>
      <c r="AJ45" s="362">
        <f>[8]東京工場!$L$45</f>
        <v>0</v>
      </c>
      <c r="AK45" s="99">
        <f t="shared" si="36"/>
        <v>0</v>
      </c>
      <c r="AL45" s="547">
        <f t="shared" si="26"/>
        <v>0</v>
      </c>
      <c r="AM45" s="314">
        <f t="shared" si="51"/>
        <v>0</v>
      </c>
      <c r="AN45" s="478">
        <f t="shared" si="27"/>
        <v>0</v>
      </c>
      <c r="AO45" s="123">
        <f t="shared" si="52"/>
        <v>0</v>
      </c>
      <c r="AP45" s="527">
        <f t="shared" si="28"/>
        <v>0</v>
      </c>
      <c r="AQ45" s="284">
        <f t="shared" si="53"/>
        <v>0</v>
      </c>
      <c r="AR45" s="487">
        <f t="shared" si="29"/>
        <v>0</v>
      </c>
      <c r="AS45" s="285">
        <f t="shared" si="54"/>
        <v>0</v>
      </c>
      <c r="AT45" s="584">
        <f>[8]全社合計!$G$45</f>
        <v>0</v>
      </c>
      <c r="AU45" s="124">
        <f t="shared" si="30"/>
        <v>0</v>
      </c>
      <c r="AV45" s="578">
        <f>[8]全社合計!$N$45</f>
        <v>0</v>
      </c>
      <c r="AW45" s="125">
        <f t="shared" si="31"/>
        <v>0</v>
      </c>
      <c r="AX45" s="584">
        <f t="shared" si="32"/>
        <v>0</v>
      </c>
      <c r="AY45" s="124" t="str">
        <f t="shared" si="33"/>
        <v/>
      </c>
      <c r="AZ45" s="578">
        <f t="shared" si="34"/>
        <v>0</v>
      </c>
      <c r="BA45" s="125" t="str">
        <f t="shared" si="35"/>
        <v/>
      </c>
      <c r="BB45" s="11"/>
    </row>
    <row r="46" spans="1:54" ht="15.95" customHeight="1">
      <c r="A46" s="36" t="s">
        <v>38</v>
      </c>
      <c r="B46" s="704">
        <f>[8]本部!$I$46</f>
        <v>70000</v>
      </c>
      <c r="C46" s="260" t="str">
        <f t="shared" si="38"/>
        <v/>
      </c>
      <c r="D46" s="729">
        <f>[8]本部!$L$46</f>
        <v>161000</v>
      </c>
      <c r="E46" s="126" t="str">
        <f t="shared" si="39"/>
        <v/>
      </c>
      <c r="F46" s="353">
        <f>[8]本社営業!$I$46</f>
        <v>0</v>
      </c>
      <c r="G46" s="12">
        <f t="shared" si="40"/>
        <v>0</v>
      </c>
      <c r="H46" s="362">
        <f>[8]本社営業!$L$46</f>
        <v>27555</v>
      </c>
      <c r="I46" s="128">
        <f t="shared" si="19"/>
        <v>6.6963398761051921E-6</v>
      </c>
      <c r="J46" s="746">
        <f>[8]東大阪!$I$46</f>
        <v>0</v>
      </c>
      <c r="K46" s="12">
        <f t="shared" si="20"/>
        <v>0</v>
      </c>
      <c r="L46" s="362">
        <f>[8]東大阪!$L$46</f>
        <v>0</v>
      </c>
      <c r="M46" s="128">
        <f t="shared" si="37"/>
        <v>0</v>
      </c>
      <c r="N46" s="403">
        <f>[8]南港工場!$I$46</f>
        <v>0</v>
      </c>
      <c r="O46" s="12">
        <f t="shared" si="41"/>
        <v>0</v>
      </c>
      <c r="P46" s="362">
        <f>[8]南港工場!$L$46</f>
        <v>0</v>
      </c>
      <c r="Q46" s="205">
        <f t="shared" si="42"/>
        <v>0</v>
      </c>
      <c r="R46" s="438">
        <f>[8]南港事務!$I$46</f>
        <v>0</v>
      </c>
      <c r="S46" s="12" t="str">
        <f t="shared" si="43"/>
        <v/>
      </c>
      <c r="T46" s="362">
        <f>[8]南港事務!$L$46</f>
        <v>0</v>
      </c>
      <c r="U46" s="205" t="str">
        <f t="shared" si="44"/>
        <v/>
      </c>
      <c r="V46" s="457">
        <f t="shared" si="21"/>
        <v>0</v>
      </c>
      <c r="W46" s="172">
        <f t="shared" si="45"/>
        <v>0</v>
      </c>
      <c r="X46" s="427">
        <f t="shared" si="22"/>
        <v>0</v>
      </c>
      <c r="Y46" s="226">
        <f t="shared" si="46"/>
        <v>0</v>
      </c>
      <c r="Z46" s="461">
        <f t="shared" si="23"/>
        <v>0</v>
      </c>
      <c r="AA46" s="190">
        <f t="shared" si="47"/>
        <v>0</v>
      </c>
      <c r="AB46" s="565">
        <f t="shared" si="24"/>
        <v>27555</v>
      </c>
      <c r="AC46" s="127">
        <f t="shared" si="48"/>
        <v>6.2560762509526734E-6</v>
      </c>
      <c r="AD46" s="353">
        <f>[8]東京事務!$I$46</f>
        <v>0</v>
      </c>
      <c r="AE46" s="12">
        <f t="shared" si="49"/>
        <v>0</v>
      </c>
      <c r="AF46" s="362">
        <f>[8]東京事務!$L$46</f>
        <v>33000</v>
      </c>
      <c r="AG46" s="82">
        <f t="shared" si="50"/>
        <v>1.7114602383506489E-5</v>
      </c>
      <c r="AH46" s="389">
        <f>[8]東京工場!$I$46</f>
        <v>0</v>
      </c>
      <c r="AI46" s="172">
        <f t="shared" si="25"/>
        <v>0</v>
      </c>
      <c r="AJ46" s="362">
        <f>[8]東京工場!$L$46</f>
        <v>0</v>
      </c>
      <c r="AK46" s="100">
        <f t="shared" si="36"/>
        <v>0</v>
      </c>
      <c r="AL46" s="548">
        <f t="shared" si="26"/>
        <v>0</v>
      </c>
      <c r="AM46" s="315">
        <f t="shared" si="51"/>
        <v>0</v>
      </c>
      <c r="AN46" s="479">
        <f t="shared" si="27"/>
        <v>33000</v>
      </c>
      <c r="AO46" s="127">
        <f t="shared" si="52"/>
        <v>1.6450668770882013E-5</v>
      </c>
      <c r="AP46" s="528">
        <f t="shared" si="28"/>
        <v>70000</v>
      </c>
      <c r="AQ46" s="286">
        <f t="shared" si="53"/>
        <v>1.0041007964232024E-4</v>
      </c>
      <c r="AR46" s="488">
        <f t="shared" si="29"/>
        <v>221555</v>
      </c>
      <c r="AS46" s="287">
        <f t="shared" si="54"/>
        <v>3.4561183639842567E-5</v>
      </c>
      <c r="AT46" s="585">
        <f>[8]全社合計!$G$46</f>
        <v>44255</v>
      </c>
      <c r="AU46" s="128">
        <f t="shared" si="30"/>
        <v>5.4690133470730074E-5</v>
      </c>
      <c r="AV46" s="579">
        <f>[8]全社合計!$N$46</f>
        <v>181798</v>
      </c>
      <c r="AW46" s="129">
        <f t="shared" si="31"/>
        <v>2.5153127867035002E-5</v>
      </c>
      <c r="AX46" s="585">
        <f t="shared" si="32"/>
        <v>25745</v>
      </c>
      <c r="AY46" s="128">
        <f t="shared" si="33"/>
        <v>1.5817421760253079</v>
      </c>
      <c r="AZ46" s="579">
        <f t="shared" si="34"/>
        <v>39757</v>
      </c>
      <c r="BA46" s="129">
        <f t="shared" si="35"/>
        <v>1.2186877743429521</v>
      </c>
      <c r="BB46" s="11"/>
    </row>
    <row r="47" spans="1:54" ht="19.899999999999999" customHeight="1">
      <c r="A47" s="62" t="s">
        <v>39</v>
      </c>
      <c r="B47" s="708">
        <f>SUM(B19:B46)</f>
        <v>9244587</v>
      </c>
      <c r="C47" s="141" t="str">
        <f t="shared" si="38"/>
        <v/>
      </c>
      <c r="D47" s="401">
        <f>SUM(D19:D46)</f>
        <v>85254522</v>
      </c>
      <c r="E47" s="139" t="str">
        <f t="shared" si="39"/>
        <v/>
      </c>
      <c r="F47" s="466">
        <f>SUM(F19:F46)</f>
        <v>33355628</v>
      </c>
      <c r="G47" s="64">
        <f t="shared" si="40"/>
        <v>7.295206053529589E-2</v>
      </c>
      <c r="H47" s="359">
        <f>SUM(H19:H46)</f>
        <v>245265207</v>
      </c>
      <c r="I47" s="141">
        <f t="shared" si="19"/>
        <v>5.9603672141364333E-2</v>
      </c>
      <c r="J47" s="747">
        <f>SUM(J19:J46)</f>
        <v>10683766</v>
      </c>
      <c r="K47" s="64">
        <f t="shared" si="20"/>
        <v>1.1635176728091376</v>
      </c>
      <c r="L47" s="359">
        <f>SUM(L19:L46)</f>
        <v>55764817</v>
      </c>
      <c r="M47" s="141">
        <f t="shared" si="37"/>
        <v>0.7607543723227197</v>
      </c>
      <c r="N47" s="405">
        <f>SUM(N19:N46)</f>
        <v>16760528</v>
      </c>
      <c r="O47" s="64">
        <f t="shared" si="41"/>
        <v>0.64438762785510761</v>
      </c>
      <c r="P47" s="359">
        <f>SUM(P19:P46)</f>
        <v>168864415</v>
      </c>
      <c r="Q47" s="177">
        <f t="shared" si="42"/>
        <v>0.7807624523500456</v>
      </c>
      <c r="R47" s="442">
        <f>SUM(R19:R46)</f>
        <v>4612016</v>
      </c>
      <c r="S47" s="64" t="str">
        <f t="shared" si="43"/>
        <v/>
      </c>
      <c r="T47" s="359">
        <f>SUM(T19:T46)</f>
        <v>32422722</v>
      </c>
      <c r="U47" s="209" t="str">
        <f t="shared" si="44"/>
        <v/>
      </c>
      <c r="V47" s="458">
        <f t="shared" si="21"/>
        <v>21372544</v>
      </c>
      <c r="W47" s="177">
        <f t="shared" si="45"/>
        <v>0.82170459841055798</v>
      </c>
      <c r="X47" s="428">
        <f t="shared" si="22"/>
        <v>201287137</v>
      </c>
      <c r="Y47" s="230">
        <f t="shared" si="46"/>
        <v>0.93067233087941936</v>
      </c>
      <c r="Z47" s="458">
        <f t="shared" si="23"/>
        <v>65411938</v>
      </c>
      <c r="AA47" s="194">
        <f t="shared" si="47"/>
        <v>0.1328379703543556</v>
      </c>
      <c r="AB47" s="428">
        <f t="shared" si="24"/>
        <v>502317161</v>
      </c>
      <c r="AC47" s="140">
        <f t="shared" si="48"/>
        <v>0.11404588863647507</v>
      </c>
      <c r="AD47" s="466">
        <f>SUM(AD19:AD46)</f>
        <v>11747234</v>
      </c>
      <c r="AE47" s="64">
        <f t="shared" si="49"/>
        <v>5.9702455435268934E-2</v>
      </c>
      <c r="AF47" s="359">
        <f>SUM(AF19:AF46)</f>
        <v>97499285</v>
      </c>
      <c r="AG47" s="141">
        <f t="shared" si="50"/>
        <v>5.0565499862156915E-2</v>
      </c>
      <c r="AH47" s="560">
        <f>SUM(AH19:AH46)</f>
        <v>6919801</v>
      </c>
      <c r="AI47" s="177">
        <f t="shared" si="25"/>
        <v>0.8694103130356623</v>
      </c>
      <c r="AJ47" s="359">
        <f>SUM(AJ19:AJ46)</f>
        <v>57344435</v>
      </c>
      <c r="AK47" s="105">
        <f t="shared" si="36"/>
        <v>0.73689066367485301</v>
      </c>
      <c r="AL47" s="549">
        <f t="shared" si="26"/>
        <v>18667035</v>
      </c>
      <c r="AM47" s="319">
        <f t="shared" si="51"/>
        <v>9.118227709419964E-2</v>
      </c>
      <c r="AN47" s="480">
        <f t="shared" si="27"/>
        <v>154843720</v>
      </c>
      <c r="AO47" s="140">
        <f t="shared" si="52"/>
        <v>7.7190386332460559E-2</v>
      </c>
      <c r="AP47" s="529">
        <f t="shared" si="28"/>
        <v>93323560</v>
      </c>
      <c r="AQ47" s="141">
        <f t="shared" si="53"/>
        <v>0.1338660870300693</v>
      </c>
      <c r="AR47" s="428">
        <f t="shared" si="29"/>
        <v>742415403</v>
      </c>
      <c r="AS47" s="140">
        <f t="shared" si="54"/>
        <v>0.11581212376218422</v>
      </c>
      <c r="AT47" s="529">
        <f>SUM(AT19:AT46)</f>
        <v>95576430</v>
      </c>
      <c r="AU47" s="141">
        <f t="shared" si="30"/>
        <v>0.11811292991426708</v>
      </c>
      <c r="AV47" s="410">
        <f>SUM(AV19:AV46)</f>
        <v>721671445</v>
      </c>
      <c r="AW47" s="140">
        <f t="shared" si="31"/>
        <v>9.9848700943205734E-2</v>
      </c>
      <c r="AX47" s="529">
        <f t="shared" si="32"/>
        <v>-2252870</v>
      </c>
      <c r="AY47" s="141">
        <f t="shared" si="33"/>
        <v>0.97642860274232879</v>
      </c>
      <c r="AZ47" s="410">
        <f t="shared" si="34"/>
        <v>20743958</v>
      </c>
      <c r="BA47" s="140">
        <f t="shared" si="35"/>
        <v>1.0287443242263798</v>
      </c>
      <c r="BB47" s="14"/>
    </row>
    <row r="48" spans="1:54" ht="19.899999999999999" customHeight="1">
      <c r="A48" s="55" t="s">
        <v>40</v>
      </c>
      <c r="B48" s="709">
        <f>+B18-B47</f>
        <v>-9244587</v>
      </c>
      <c r="C48" s="138" t="str">
        <f t="shared" si="38"/>
        <v/>
      </c>
      <c r="D48" s="376">
        <f>D18-D47</f>
        <v>-85254522</v>
      </c>
      <c r="E48" s="136" t="str">
        <f t="shared" si="39"/>
        <v/>
      </c>
      <c r="F48" s="375">
        <f>F18-F47</f>
        <v>25418045</v>
      </c>
      <c r="G48" s="56">
        <f t="shared" si="40"/>
        <v>5.5591780719249986E-2</v>
      </c>
      <c r="H48" s="376">
        <f>H18-H47</f>
        <v>296583132</v>
      </c>
      <c r="I48" s="138">
        <f t="shared" si="19"/>
        <v>7.2074812316885131E-2</v>
      </c>
      <c r="J48" s="374">
        <f>J18-J47</f>
        <v>-2024346</v>
      </c>
      <c r="K48" s="56">
        <f t="shared" si="20"/>
        <v>-0.22046180596621892</v>
      </c>
      <c r="L48" s="376">
        <f>L18-L47</f>
        <v>13320999</v>
      </c>
      <c r="M48" s="138">
        <f t="shared" si="37"/>
        <v>0.18172763362527625</v>
      </c>
      <c r="N48" s="412">
        <f>N18-N47</f>
        <v>7449985</v>
      </c>
      <c r="O48" s="56">
        <f t="shared" si="41"/>
        <v>0.28642762099774743</v>
      </c>
      <c r="P48" s="376">
        <f>P18-P47</f>
        <v>33105735</v>
      </c>
      <c r="Q48" s="176">
        <f t="shared" si="42"/>
        <v>0.15306786125099675</v>
      </c>
      <c r="R48" s="443">
        <f>R18-R47</f>
        <v>-4612016</v>
      </c>
      <c r="S48" s="56" t="str">
        <f t="shared" si="43"/>
        <v/>
      </c>
      <c r="T48" s="376">
        <f>T18-T47</f>
        <v>-32422722</v>
      </c>
      <c r="U48" s="208" t="str">
        <f t="shared" si="44"/>
        <v/>
      </c>
      <c r="V48" s="490">
        <f t="shared" si="21"/>
        <v>2837969</v>
      </c>
      <c r="W48" s="176">
        <f t="shared" si="45"/>
        <v>0.10911065044229704</v>
      </c>
      <c r="X48" s="424">
        <f t="shared" si="22"/>
        <v>683013</v>
      </c>
      <c r="Y48" s="229">
        <f t="shared" si="46"/>
        <v>3.1579827216229165E-3</v>
      </c>
      <c r="Z48" s="490">
        <f t="shared" si="23"/>
        <v>26231668</v>
      </c>
      <c r="AA48" s="193">
        <f t="shared" si="47"/>
        <v>5.3271033433213655E-2</v>
      </c>
      <c r="AB48" s="424">
        <f t="shared" si="24"/>
        <v>310587144</v>
      </c>
      <c r="AC48" s="137">
        <f t="shared" si="48"/>
        <v>7.0515581761191007E-2</v>
      </c>
      <c r="AD48" s="375">
        <f>AD18-AD47</f>
        <v>6299393</v>
      </c>
      <c r="AE48" s="56">
        <f t="shared" si="49"/>
        <v>3.2015130527896618E-2</v>
      </c>
      <c r="AF48" s="376">
        <f>AF18-AF47</f>
        <v>72155526</v>
      </c>
      <c r="AG48" s="138">
        <f t="shared" si="50"/>
        <v>3.7421610220083765E-2</v>
      </c>
      <c r="AH48" s="398">
        <f>AH18-AH47</f>
        <v>1039388</v>
      </c>
      <c r="AI48" s="176">
        <f t="shared" si="25"/>
        <v>0.1305896869643377</v>
      </c>
      <c r="AJ48" s="376">
        <f>AJ18-AJ47</f>
        <v>20475027</v>
      </c>
      <c r="AK48" s="104">
        <f t="shared" si="36"/>
        <v>0.26310933632514705</v>
      </c>
      <c r="AL48" s="545">
        <f t="shared" si="26"/>
        <v>7338781</v>
      </c>
      <c r="AM48" s="318">
        <f t="shared" si="51"/>
        <v>3.5847512080823089E-2</v>
      </c>
      <c r="AN48" s="537">
        <f t="shared" si="27"/>
        <v>92630553</v>
      </c>
      <c r="AO48" s="137">
        <f t="shared" si="52"/>
        <v>4.6176804408079732E-2</v>
      </c>
      <c r="AP48" s="525">
        <f t="shared" si="28"/>
        <v>24325862</v>
      </c>
      <c r="AQ48" s="305">
        <f t="shared" si="53"/>
        <v>3.4893739154115595E-2</v>
      </c>
      <c r="AR48" s="517">
        <f t="shared" si="29"/>
        <v>317963175</v>
      </c>
      <c r="AS48" s="304">
        <f t="shared" si="54"/>
        <v>4.9600251323068306E-2</v>
      </c>
      <c r="AT48" s="582">
        <f>AT18-AT47</f>
        <v>41419632</v>
      </c>
      <c r="AU48" s="138">
        <f t="shared" si="30"/>
        <v>5.1186198223670147E-2</v>
      </c>
      <c r="AV48" s="597">
        <f>AV18-AV47</f>
        <v>466501973</v>
      </c>
      <c r="AW48" s="137">
        <f t="shared" si="31"/>
        <v>6.4544075166355575E-2</v>
      </c>
      <c r="AX48" s="582">
        <f t="shared" si="32"/>
        <v>-17093770</v>
      </c>
      <c r="AY48" s="138">
        <f t="shared" si="33"/>
        <v>0.5873027070834429</v>
      </c>
      <c r="AZ48" s="597">
        <f t="shared" si="34"/>
        <v>-148538798</v>
      </c>
      <c r="BA48" s="137">
        <f t="shared" si="35"/>
        <v>0.6815902041211731</v>
      </c>
      <c r="BB48" s="11"/>
    </row>
    <row r="49" spans="1:54" ht="15.95" customHeight="1">
      <c r="A49" s="37" t="s">
        <v>41</v>
      </c>
      <c r="B49" s="710">
        <f>[8]本部!$I$49</f>
        <v>1013914</v>
      </c>
      <c r="C49" s="258" t="str">
        <f t="shared" si="38"/>
        <v/>
      </c>
      <c r="D49" s="727">
        <f>[8]本部!$L$49</f>
        <v>11110539</v>
      </c>
      <c r="E49" s="118" t="str">
        <f t="shared" si="39"/>
        <v/>
      </c>
      <c r="F49" s="351">
        <f>[8]本社営業!$I$49</f>
        <v>0</v>
      </c>
      <c r="G49" s="7">
        <f t="shared" si="40"/>
        <v>0</v>
      </c>
      <c r="H49" s="364">
        <f>[8]本社営業!$L$49</f>
        <v>0</v>
      </c>
      <c r="I49" s="120">
        <f t="shared" si="19"/>
        <v>0</v>
      </c>
      <c r="J49" s="744">
        <f>[8]東大阪!$I$49</f>
        <v>0</v>
      </c>
      <c r="K49" s="7">
        <f t="shared" si="20"/>
        <v>0</v>
      </c>
      <c r="L49" s="364">
        <f>[8]東大阪!$L$49</f>
        <v>0</v>
      </c>
      <c r="M49" s="120">
        <f t="shared" si="37"/>
        <v>0</v>
      </c>
      <c r="N49" s="402">
        <f>[8]南港工場!$I$49</f>
        <v>0</v>
      </c>
      <c r="O49" s="7">
        <f t="shared" si="41"/>
        <v>0</v>
      </c>
      <c r="P49" s="364">
        <f>[8]南港工場!$L$49</f>
        <v>0</v>
      </c>
      <c r="Q49" s="174">
        <f t="shared" si="42"/>
        <v>0</v>
      </c>
      <c r="R49" s="444">
        <f>[8]南港事務!$I$49</f>
        <v>0</v>
      </c>
      <c r="S49" s="7" t="str">
        <f t="shared" si="43"/>
        <v/>
      </c>
      <c r="T49" s="364">
        <f>[8]南港事務!$L$49</f>
        <v>0</v>
      </c>
      <c r="U49" s="203" t="str">
        <f t="shared" si="44"/>
        <v/>
      </c>
      <c r="V49" s="455">
        <f t="shared" si="21"/>
        <v>0</v>
      </c>
      <c r="W49" s="174">
        <f t="shared" si="45"/>
        <v>0</v>
      </c>
      <c r="X49" s="429">
        <f t="shared" si="22"/>
        <v>0</v>
      </c>
      <c r="Y49" s="224">
        <f t="shared" si="46"/>
        <v>0</v>
      </c>
      <c r="Z49" s="459">
        <f t="shared" si="23"/>
        <v>0</v>
      </c>
      <c r="AA49" s="188">
        <f t="shared" si="47"/>
        <v>0</v>
      </c>
      <c r="AB49" s="563">
        <f t="shared" si="24"/>
        <v>0</v>
      </c>
      <c r="AC49" s="119">
        <f t="shared" si="48"/>
        <v>0</v>
      </c>
      <c r="AD49" s="351">
        <f>[8]東京事務!$I$49</f>
        <v>0</v>
      </c>
      <c r="AE49" s="7">
        <f t="shared" si="49"/>
        <v>0</v>
      </c>
      <c r="AF49" s="364">
        <f>[8]東京事務!$L$49</f>
        <v>2936</v>
      </c>
      <c r="AG49" s="80">
        <f t="shared" si="50"/>
        <v>1.5226809878174256E-6</v>
      </c>
      <c r="AH49" s="387">
        <f>[8]東京工場!$I$49</f>
        <v>0</v>
      </c>
      <c r="AI49" s="174">
        <f t="shared" si="25"/>
        <v>0</v>
      </c>
      <c r="AJ49" s="364">
        <f>[8]東京工場!$L$49</f>
        <v>0</v>
      </c>
      <c r="AK49" s="102">
        <f t="shared" si="36"/>
        <v>0</v>
      </c>
      <c r="AL49" s="546">
        <f t="shared" si="26"/>
        <v>0</v>
      </c>
      <c r="AM49" s="313">
        <f t="shared" si="51"/>
        <v>0</v>
      </c>
      <c r="AN49" s="477">
        <f t="shared" si="27"/>
        <v>2936</v>
      </c>
      <c r="AO49" s="119">
        <f t="shared" si="52"/>
        <v>1.4636110154942298E-6</v>
      </c>
      <c r="AP49" s="526">
        <f t="shared" si="28"/>
        <v>1013914</v>
      </c>
      <c r="AQ49" s="282">
        <f t="shared" si="53"/>
        <v>1.4543883641494784E-3</v>
      </c>
      <c r="AR49" s="486">
        <f t="shared" si="29"/>
        <v>11113475</v>
      </c>
      <c r="AS49" s="283">
        <f t="shared" si="54"/>
        <v>1.7336320568337403E-3</v>
      </c>
      <c r="AT49" s="586">
        <f>[8]全社合計!$G$49</f>
        <v>707843</v>
      </c>
      <c r="AU49" s="120">
        <f t="shared" si="30"/>
        <v>8.7474925197880444E-4</v>
      </c>
      <c r="AV49" s="577">
        <f>[8]全社合計!$N$49</f>
        <v>8154177</v>
      </c>
      <c r="AW49" s="121">
        <f t="shared" si="31"/>
        <v>1.128192041339486E-3</v>
      </c>
      <c r="AX49" s="586">
        <f t="shared" si="32"/>
        <v>306071</v>
      </c>
      <c r="AY49" s="120">
        <f t="shared" si="33"/>
        <v>1.4323995575290001</v>
      </c>
      <c r="AZ49" s="577">
        <f t="shared" si="34"/>
        <v>2959298</v>
      </c>
      <c r="BA49" s="121">
        <f t="shared" si="35"/>
        <v>1.3629180480139198</v>
      </c>
      <c r="BB49" s="11"/>
    </row>
    <row r="50" spans="1:54" ht="15.95" customHeight="1">
      <c r="A50" s="37" t="s">
        <v>42</v>
      </c>
      <c r="B50" s="703">
        <f>[8]本部!$I$50</f>
        <v>0</v>
      </c>
      <c r="C50" s="259" t="str">
        <f t="shared" si="38"/>
        <v/>
      </c>
      <c r="D50" s="728">
        <f>[8]本部!$L$50</f>
        <v>0</v>
      </c>
      <c r="E50" s="122" t="str">
        <f t="shared" si="39"/>
        <v/>
      </c>
      <c r="F50" s="352">
        <f>[8]本社営業!$I$50</f>
        <v>0</v>
      </c>
      <c r="G50" s="9">
        <f t="shared" si="40"/>
        <v>0</v>
      </c>
      <c r="H50" s="362">
        <f>[8]本社営業!$L$50</f>
        <v>0</v>
      </c>
      <c r="I50" s="124">
        <f t="shared" si="19"/>
        <v>0</v>
      </c>
      <c r="J50" s="745">
        <f>[8]東大阪!$I$50</f>
        <v>0</v>
      </c>
      <c r="K50" s="9">
        <f t="shared" si="20"/>
        <v>0</v>
      </c>
      <c r="L50" s="362">
        <f>[8]東大阪!$L$50</f>
        <v>0</v>
      </c>
      <c r="M50" s="124">
        <f t="shared" si="37"/>
        <v>0</v>
      </c>
      <c r="N50" s="403">
        <f>[8]南港工場!$I$50</f>
        <v>0</v>
      </c>
      <c r="O50" s="9">
        <f t="shared" si="41"/>
        <v>0</v>
      </c>
      <c r="P50" s="362">
        <f>[8]南港工場!$L$50</f>
        <v>0</v>
      </c>
      <c r="Q50" s="171">
        <f t="shared" si="42"/>
        <v>0</v>
      </c>
      <c r="R50" s="445">
        <f>[8]南港事務!$I$50</f>
        <v>0</v>
      </c>
      <c r="S50" s="9" t="str">
        <f t="shared" si="43"/>
        <v/>
      </c>
      <c r="T50" s="362">
        <f>[8]南港事務!$L$50</f>
        <v>0</v>
      </c>
      <c r="U50" s="204" t="str">
        <f t="shared" si="44"/>
        <v/>
      </c>
      <c r="V50" s="456">
        <f t="shared" si="21"/>
        <v>0</v>
      </c>
      <c r="W50" s="171">
        <f t="shared" si="45"/>
        <v>0</v>
      </c>
      <c r="X50" s="426">
        <f t="shared" si="22"/>
        <v>0</v>
      </c>
      <c r="Y50" s="225">
        <f t="shared" si="46"/>
        <v>0</v>
      </c>
      <c r="Z50" s="460">
        <f t="shared" si="23"/>
        <v>0</v>
      </c>
      <c r="AA50" s="189">
        <f t="shared" si="47"/>
        <v>0</v>
      </c>
      <c r="AB50" s="564">
        <f t="shared" si="24"/>
        <v>0</v>
      </c>
      <c r="AC50" s="123">
        <f t="shared" si="48"/>
        <v>0</v>
      </c>
      <c r="AD50" s="352">
        <f>[8]東京事務!$I$50</f>
        <v>0</v>
      </c>
      <c r="AE50" s="9">
        <f t="shared" si="49"/>
        <v>0</v>
      </c>
      <c r="AF50" s="362">
        <f>[8]東京事務!$L$50</f>
        <v>0</v>
      </c>
      <c r="AG50" s="81">
        <f t="shared" si="50"/>
        <v>0</v>
      </c>
      <c r="AH50" s="388">
        <f>[8]東京工場!$I$50</f>
        <v>0</v>
      </c>
      <c r="AI50" s="171">
        <f t="shared" si="25"/>
        <v>0</v>
      </c>
      <c r="AJ50" s="362">
        <f>[8]東京工場!$L$50</f>
        <v>0</v>
      </c>
      <c r="AK50" s="99">
        <f t="shared" si="36"/>
        <v>0</v>
      </c>
      <c r="AL50" s="547">
        <f t="shared" si="26"/>
        <v>0</v>
      </c>
      <c r="AM50" s="314">
        <f t="shared" si="51"/>
        <v>0</v>
      </c>
      <c r="AN50" s="478">
        <f t="shared" si="27"/>
        <v>0</v>
      </c>
      <c r="AO50" s="123">
        <f t="shared" si="52"/>
        <v>0</v>
      </c>
      <c r="AP50" s="527">
        <f t="shared" si="28"/>
        <v>0</v>
      </c>
      <c r="AQ50" s="284">
        <f t="shared" si="53"/>
        <v>0</v>
      </c>
      <c r="AR50" s="487">
        <f t="shared" si="29"/>
        <v>0</v>
      </c>
      <c r="AS50" s="285">
        <f t="shared" si="54"/>
        <v>0</v>
      </c>
      <c r="AT50" s="584">
        <f>[8]全社合計!$G$50</f>
        <v>0</v>
      </c>
      <c r="AU50" s="124">
        <f t="shared" si="30"/>
        <v>0</v>
      </c>
      <c r="AV50" s="578">
        <f>[8]全社合計!$N$50</f>
        <v>1065084</v>
      </c>
      <c r="AW50" s="125">
        <f t="shared" si="31"/>
        <v>1.4736242445534663E-4</v>
      </c>
      <c r="AX50" s="584">
        <f t="shared" si="32"/>
        <v>0</v>
      </c>
      <c r="AY50" s="124" t="str">
        <f t="shared" si="33"/>
        <v/>
      </c>
      <c r="AZ50" s="578">
        <f t="shared" si="34"/>
        <v>-1065084</v>
      </c>
      <c r="BA50" s="125">
        <f t="shared" si="35"/>
        <v>0</v>
      </c>
      <c r="BB50" s="11"/>
    </row>
    <row r="51" spans="1:54" ht="15.95" customHeight="1">
      <c r="A51" s="37" t="s">
        <v>43</v>
      </c>
      <c r="B51" s="703">
        <f>[8]本部!$I$51</f>
        <v>1063000</v>
      </c>
      <c r="C51" s="259" t="str">
        <f t="shared" si="38"/>
        <v/>
      </c>
      <c r="D51" s="728">
        <f>[8]本部!$L$51</f>
        <v>8504000</v>
      </c>
      <c r="E51" s="122" t="str">
        <f t="shared" si="39"/>
        <v/>
      </c>
      <c r="F51" s="352">
        <f>[8]本社営業!$I$51</f>
        <v>0</v>
      </c>
      <c r="G51" s="9">
        <f t="shared" si="40"/>
        <v>0</v>
      </c>
      <c r="H51" s="362">
        <f>[8]本社営業!$L$51</f>
        <v>0</v>
      </c>
      <c r="I51" s="124">
        <f t="shared" si="19"/>
        <v>0</v>
      </c>
      <c r="J51" s="745">
        <f>[8]東大阪!$I$51</f>
        <v>850000</v>
      </c>
      <c r="K51" s="9">
        <f t="shared" si="20"/>
        <v>9.2569419986151619E-2</v>
      </c>
      <c r="L51" s="362">
        <f>[8]東大阪!$L$51</f>
        <v>6800000</v>
      </c>
      <c r="M51" s="124">
        <f t="shared" si="37"/>
        <v>9.2766909497694464E-2</v>
      </c>
      <c r="N51" s="403">
        <f>[8]南港工場!$I$51</f>
        <v>100000</v>
      </c>
      <c r="O51" s="9">
        <f t="shared" si="41"/>
        <v>3.8446737946149882E-3</v>
      </c>
      <c r="P51" s="362">
        <f>[8]南港工場!$L$51</f>
        <v>800000</v>
      </c>
      <c r="Q51" s="171">
        <f t="shared" si="42"/>
        <v>3.6988844682287647E-3</v>
      </c>
      <c r="R51" s="445">
        <f>[8]南港事務!$I$51</f>
        <v>0</v>
      </c>
      <c r="S51" s="9" t="str">
        <f t="shared" si="43"/>
        <v/>
      </c>
      <c r="T51" s="362">
        <f>[8]南港事務!$L$51</f>
        <v>0</v>
      </c>
      <c r="U51" s="204" t="str">
        <f t="shared" si="44"/>
        <v/>
      </c>
      <c r="V51" s="456">
        <f t="shared" si="21"/>
        <v>100000</v>
      </c>
      <c r="W51" s="171">
        <f t="shared" si="45"/>
        <v>3.8446737946149882E-3</v>
      </c>
      <c r="X51" s="426">
        <f t="shared" si="22"/>
        <v>800000</v>
      </c>
      <c r="Y51" s="225">
        <f t="shared" si="46"/>
        <v>3.6988844682287647E-3</v>
      </c>
      <c r="Z51" s="460">
        <f t="shared" si="23"/>
        <v>950000</v>
      </c>
      <c r="AA51" s="189">
        <f t="shared" si="47"/>
        <v>1.9292513827772208E-3</v>
      </c>
      <c r="AB51" s="564">
        <f t="shared" si="24"/>
        <v>7600000</v>
      </c>
      <c r="AC51" s="123">
        <f t="shared" si="48"/>
        <v>1.7255009801212236E-3</v>
      </c>
      <c r="AD51" s="352">
        <f>[8]東京事務!$I$51</f>
        <v>0</v>
      </c>
      <c r="AE51" s="9">
        <f t="shared" si="49"/>
        <v>0</v>
      </c>
      <c r="AF51" s="362">
        <f>[8]東京事務!$L$51</f>
        <v>0</v>
      </c>
      <c r="AG51" s="81">
        <f t="shared" si="50"/>
        <v>0</v>
      </c>
      <c r="AH51" s="388">
        <f>[8]東京工場!$I$51</f>
        <v>0</v>
      </c>
      <c r="AI51" s="171">
        <f t="shared" si="25"/>
        <v>0</v>
      </c>
      <c r="AJ51" s="362">
        <f>[8]東京工場!$L$51</f>
        <v>0</v>
      </c>
      <c r="AK51" s="99">
        <f t="shared" si="36"/>
        <v>0</v>
      </c>
      <c r="AL51" s="547">
        <f t="shared" si="26"/>
        <v>0</v>
      </c>
      <c r="AM51" s="314">
        <f t="shared" si="51"/>
        <v>0</v>
      </c>
      <c r="AN51" s="478">
        <f t="shared" si="27"/>
        <v>0</v>
      </c>
      <c r="AO51" s="123">
        <f t="shared" si="52"/>
        <v>0</v>
      </c>
      <c r="AP51" s="527">
        <f t="shared" si="28"/>
        <v>2013000</v>
      </c>
      <c r="AQ51" s="284">
        <f t="shared" si="53"/>
        <v>2.8875070045712953E-3</v>
      </c>
      <c r="AR51" s="487">
        <f t="shared" si="29"/>
        <v>16104000</v>
      </c>
      <c r="AS51" s="285">
        <f t="shared" si="54"/>
        <v>2.5121225038298601E-3</v>
      </c>
      <c r="AT51" s="584">
        <f>[8]全社合計!$G$51</f>
        <v>2013000</v>
      </c>
      <c r="AU51" s="124">
        <f t="shared" si="30"/>
        <v>2.487656506080209E-3</v>
      </c>
      <c r="AV51" s="578">
        <f>[8]全社合計!$N$51</f>
        <v>15898000</v>
      </c>
      <c r="AW51" s="125">
        <f t="shared" si="31"/>
        <v>2.1996085041096295E-3</v>
      </c>
      <c r="AX51" s="584">
        <f t="shared" si="32"/>
        <v>0</v>
      </c>
      <c r="AY51" s="124">
        <f t="shared" si="33"/>
        <v>1</v>
      </c>
      <c r="AZ51" s="578">
        <f t="shared" si="34"/>
        <v>206000</v>
      </c>
      <c r="BA51" s="125">
        <f t="shared" si="35"/>
        <v>1.0129576047301547</v>
      </c>
      <c r="BB51" s="11"/>
    </row>
    <row r="52" spans="1:54" ht="15.95" customHeight="1">
      <c r="A52" s="37" t="s">
        <v>44</v>
      </c>
      <c r="B52" s="703">
        <f>[8]本部!$I$52</f>
        <v>0</v>
      </c>
      <c r="C52" s="259" t="str">
        <f t="shared" si="38"/>
        <v/>
      </c>
      <c r="D52" s="728">
        <f>[8]本部!$L$52</f>
        <v>0</v>
      </c>
      <c r="E52" s="122" t="str">
        <f t="shared" si="39"/>
        <v/>
      </c>
      <c r="F52" s="352">
        <f>[8]本社営業!$I$52</f>
        <v>0</v>
      </c>
      <c r="G52" s="9">
        <f t="shared" si="40"/>
        <v>0</v>
      </c>
      <c r="H52" s="362">
        <f>[8]本社営業!$L$52</f>
        <v>0</v>
      </c>
      <c r="I52" s="124">
        <f t="shared" si="19"/>
        <v>0</v>
      </c>
      <c r="J52" s="745">
        <f>[8]東大阪!$I$52</f>
        <v>0</v>
      </c>
      <c r="K52" s="9">
        <f t="shared" si="20"/>
        <v>0</v>
      </c>
      <c r="L52" s="362">
        <f>[8]東大阪!$L$52</f>
        <v>0</v>
      </c>
      <c r="M52" s="124">
        <f t="shared" si="37"/>
        <v>0</v>
      </c>
      <c r="N52" s="403">
        <f>[8]南港工場!$I$52</f>
        <v>0</v>
      </c>
      <c r="O52" s="9">
        <f t="shared" si="41"/>
        <v>0</v>
      </c>
      <c r="P52" s="362">
        <f>[8]南港工場!$L$52</f>
        <v>0</v>
      </c>
      <c r="Q52" s="171">
        <f t="shared" si="42"/>
        <v>0</v>
      </c>
      <c r="R52" s="445">
        <f>[8]南港事務!$I$52</f>
        <v>0</v>
      </c>
      <c r="S52" s="9" t="str">
        <f t="shared" si="43"/>
        <v/>
      </c>
      <c r="T52" s="362">
        <f>[8]南港事務!$L$52</f>
        <v>0</v>
      </c>
      <c r="U52" s="204" t="str">
        <f t="shared" si="44"/>
        <v/>
      </c>
      <c r="V52" s="456">
        <f t="shared" si="21"/>
        <v>0</v>
      </c>
      <c r="W52" s="171">
        <f t="shared" si="45"/>
        <v>0</v>
      </c>
      <c r="X52" s="426">
        <f t="shared" si="22"/>
        <v>0</v>
      </c>
      <c r="Y52" s="225">
        <f t="shared" si="46"/>
        <v>0</v>
      </c>
      <c r="Z52" s="460">
        <f t="shared" si="23"/>
        <v>0</v>
      </c>
      <c r="AA52" s="189">
        <f t="shared" si="47"/>
        <v>0</v>
      </c>
      <c r="AB52" s="564">
        <f t="shared" si="24"/>
        <v>0</v>
      </c>
      <c r="AC52" s="123">
        <f t="shared" si="48"/>
        <v>0</v>
      </c>
      <c r="AD52" s="352">
        <f>[8]東京事務!$I$52</f>
        <v>0</v>
      </c>
      <c r="AE52" s="9">
        <f t="shared" si="49"/>
        <v>0</v>
      </c>
      <c r="AF52" s="362">
        <f>[8]東京事務!$L$52</f>
        <v>0</v>
      </c>
      <c r="AG52" s="81">
        <f t="shared" si="50"/>
        <v>0</v>
      </c>
      <c r="AH52" s="388">
        <f>[8]東京工場!$I$52</f>
        <v>0</v>
      </c>
      <c r="AI52" s="171">
        <f t="shared" si="25"/>
        <v>0</v>
      </c>
      <c r="AJ52" s="362">
        <f>[8]東京工場!$L$52</f>
        <v>0</v>
      </c>
      <c r="AK52" s="99">
        <f t="shared" si="36"/>
        <v>0</v>
      </c>
      <c r="AL52" s="547">
        <f t="shared" si="26"/>
        <v>0</v>
      </c>
      <c r="AM52" s="314">
        <f t="shared" si="51"/>
        <v>0</v>
      </c>
      <c r="AN52" s="478">
        <f t="shared" si="27"/>
        <v>0</v>
      </c>
      <c r="AO52" s="123">
        <f t="shared" si="52"/>
        <v>0</v>
      </c>
      <c r="AP52" s="527">
        <f t="shared" si="28"/>
        <v>0</v>
      </c>
      <c r="AQ52" s="284">
        <f t="shared" si="53"/>
        <v>0</v>
      </c>
      <c r="AR52" s="487">
        <f t="shared" si="29"/>
        <v>0</v>
      </c>
      <c r="AS52" s="285">
        <f t="shared" si="54"/>
        <v>0</v>
      </c>
      <c r="AT52" s="584">
        <f>[8]全社合計!$G$52</f>
        <v>0</v>
      </c>
      <c r="AU52" s="124">
        <f t="shared" si="30"/>
        <v>0</v>
      </c>
      <c r="AV52" s="578">
        <f>[8]全社合計!$N$52</f>
        <v>0</v>
      </c>
      <c r="AW52" s="125">
        <f t="shared" si="31"/>
        <v>0</v>
      </c>
      <c r="AX52" s="584">
        <f t="shared" si="32"/>
        <v>0</v>
      </c>
      <c r="AY52" s="124" t="str">
        <f t="shared" si="33"/>
        <v/>
      </c>
      <c r="AZ52" s="578">
        <f t="shared" si="34"/>
        <v>0</v>
      </c>
      <c r="BA52" s="125" t="str">
        <f t="shared" si="35"/>
        <v/>
      </c>
      <c r="BB52" s="11"/>
    </row>
    <row r="53" spans="1:54" ht="15.95" customHeight="1">
      <c r="A53" s="35" t="s">
        <v>45</v>
      </c>
      <c r="B53" s="704">
        <f>[8]本部!$I$53</f>
        <v>0</v>
      </c>
      <c r="C53" s="260" t="str">
        <f t="shared" si="38"/>
        <v/>
      </c>
      <c r="D53" s="729">
        <f>[8]本部!$L$53</f>
        <v>1260812</v>
      </c>
      <c r="E53" s="126" t="str">
        <f t="shared" si="39"/>
        <v/>
      </c>
      <c r="F53" s="353">
        <f>[8]本社営業!$I$53</f>
        <v>7747776</v>
      </c>
      <c r="G53" s="12">
        <f t="shared" si="40"/>
        <v>1.694515311676676E-2</v>
      </c>
      <c r="H53" s="363">
        <f>[8]本社営業!$L$53</f>
        <v>89649453</v>
      </c>
      <c r="I53" s="128">
        <f t="shared" si="19"/>
        <v>2.1786362075663881E-2</v>
      </c>
      <c r="J53" s="746">
        <f>[8]東大阪!$I$53</f>
        <v>50000</v>
      </c>
      <c r="K53" s="12">
        <f t="shared" si="20"/>
        <v>5.445259999185389E-3</v>
      </c>
      <c r="L53" s="363">
        <f>[8]東大阪!$L$53</f>
        <v>450000</v>
      </c>
      <c r="M53" s="128">
        <f t="shared" si="37"/>
        <v>6.1389866579356633E-3</v>
      </c>
      <c r="N53" s="404">
        <f>[8]南港工場!$I$53</f>
        <v>48</v>
      </c>
      <c r="O53" s="12">
        <f t="shared" si="41"/>
        <v>1.8454434214151944E-6</v>
      </c>
      <c r="P53" s="363">
        <f>[8]南港工場!$L$53</f>
        <v>168</v>
      </c>
      <c r="Q53" s="172">
        <f t="shared" si="42"/>
        <v>7.7676573832804065E-7</v>
      </c>
      <c r="R53" s="446">
        <f>[8]南港事務!$I$53</f>
        <v>0</v>
      </c>
      <c r="S53" s="12" t="str">
        <f t="shared" si="43"/>
        <v/>
      </c>
      <c r="T53" s="363">
        <f>[8]南港事務!$L$53</f>
        <v>0</v>
      </c>
      <c r="U53" s="205" t="str">
        <f t="shared" si="44"/>
        <v/>
      </c>
      <c r="V53" s="457">
        <f t="shared" si="21"/>
        <v>48</v>
      </c>
      <c r="W53" s="172">
        <f t="shared" si="45"/>
        <v>1.8454434214151944E-6</v>
      </c>
      <c r="X53" s="427">
        <f t="shared" si="22"/>
        <v>168</v>
      </c>
      <c r="Y53" s="226">
        <f t="shared" si="46"/>
        <v>7.7676573832804065E-7</v>
      </c>
      <c r="Z53" s="461">
        <f t="shared" si="23"/>
        <v>7797824</v>
      </c>
      <c r="AA53" s="190">
        <f t="shared" si="47"/>
        <v>1.5835750247003576E-2</v>
      </c>
      <c r="AB53" s="565">
        <f t="shared" si="24"/>
        <v>90099621</v>
      </c>
      <c r="AC53" s="127">
        <f t="shared" si="48"/>
        <v>2.0456182150532999E-2</v>
      </c>
      <c r="AD53" s="353">
        <f>[8]東京事務!$I$53</f>
        <v>6</v>
      </c>
      <c r="AE53" s="12">
        <f t="shared" si="49"/>
        <v>3.0493538530994923E-8</v>
      </c>
      <c r="AF53" s="363">
        <f>[8]東京事務!$L$53</f>
        <v>307161</v>
      </c>
      <c r="AG53" s="82">
        <f t="shared" si="50"/>
        <v>1.5930116311273443E-4</v>
      </c>
      <c r="AH53" s="389">
        <f>[8]東京工場!$I$53</f>
        <v>0</v>
      </c>
      <c r="AI53" s="172">
        <f t="shared" si="25"/>
        <v>0</v>
      </c>
      <c r="AJ53" s="363">
        <f>[8]東京工場!$L$53</f>
        <v>406123</v>
      </c>
      <c r="AK53" s="100">
        <f t="shared" si="36"/>
        <v>5.2187844732208503E-3</v>
      </c>
      <c r="AL53" s="548">
        <f t="shared" si="26"/>
        <v>6</v>
      </c>
      <c r="AM53" s="315">
        <f t="shared" si="51"/>
        <v>2.930801075613764E-8</v>
      </c>
      <c r="AN53" s="479">
        <f t="shared" si="27"/>
        <v>713284</v>
      </c>
      <c r="AO53" s="127">
        <f t="shared" si="52"/>
        <v>3.5557572192635773E-4</v>
      </c>
      <c r="AP53" s="528">
        <f t="shared" si="28"/>
        <v>7797830</v>
      </c>
      <c r="AQ53" s="286">
        <f t="shared" si="53"/>
        <v>1.1185439019103915E-2</v>
      </c>
      <c r="AR53" s="488">
        <f t="shared" si="29"/>
        <v>92073717</v>
      </c>
      <c r="AS53" s="287">
        <f t="shared" si="54"/>
        <v>1.4362919553338422E-2</v>
      </c>
      <c r="AT53" s="585">
        <f>[8]全社合計!$G$53</f>
        <v>8333709</v>
      </c>
      <c r="AU53" s="128">
        <f t="shared" si="30"/>
        <v>1.0298760761862489E-2</v>
      </c>
      <c r="AV53" s="579">
        <f>[8]全社合計!$N$53</f>
        <v>66105600</v>
      </c>
      <c r="AW53" s="129">
        <f t="shared" si="31"/>
        <v>9.1462095816624445E-3</v>
      </c>
      <c r="AX53" s="585">
        <f t="shared" si="32"/>
        <v>-535879</v>
      </c>
      <c r="AY53" s="128">
        <f t="shared" si="33"/>
        <v>0.93569741876036228</v>
      </c>
      <c r="AZ53" s="579">
        <f t="shared" si="34"/>
        <v>25968117</v>
      </c>
      <c r="BA53" s="129">
        <f t="shared" si="35"/>
        <v>1.3928277937118791</v>
      </c>
      <c r="BB53" s="11"/>
    </row>
    <row r="54" spans="1:54" ht="15.95" customHeight="1">
      <c r="A54" s="62" t="s">
        <v>46</v>
      </c>
      <c r="B54" s="708">
        <f>SUM(B49:B53)</f>
        <v>2076914</v>
      </c>
      <c r="C54" s="141" t="str">
        <f t="shared" si="38"/>
        <v/>
      </c>
      <c r="D54" s="730">
        <f>SUM(D49:D53)</f>
        <v>20875351</v>
      </c>
      <c r="E54" s="139" t="str">
        <f t="shared" si="39"/>
        <v/>
      </c>
      <c r="F54" s="466">
        <f>SUM(F49:F53)</f>
        <v>7747776</v>
      </c>
      <c r="G54" s="64">
        <f t="shared" si="40"/>
        <v>1.694515311676676E-2</v>
      </c>
      <c r="H54" s="401">
        <f>SUM(H49:H53)</f>
        <v>89649453</v>
      </c>
      <c r="I54" s="141">
        <f t="shared" si="19"/>
        <v>2.1786362075663881E-2</v>
      </c>
      <c r="J54" s="747">
        <f>SUM(J49:J53)</f>
        <v>900000</v>
      </c>
      <c r="K54" s="64">
        <f t="shared" si="20"/>
        <v>9.8014679985337E-2</v>
      </c>
      <c r="L54" s="401">
        <f>SUM(L49:L53)</f>
        <v>7250000</v>
      </c>
      <c r="M54" s="141">
        <f t="shared" si="37"/>
        <v>9.8905896155630127E-2</v>
      </c>
      <c r="N54" s="405">
        <f>SUM(N49:N53)</f>
        <v>100048</v>
      </c>
      <c r="O54" s="64">
        <f t="shared" si="41"/>
        <v>3.8465192380364036E-3</v>
      </c>
      <c r="P54" s="401">
        <f>SUM(P49:P53)</f>
        <v>800168</v>
      </c>
      <c r="Q54" s="177">
        <f t="shared" si="42"/>
        <v>3.699661233967093E-3</v>
      </c>
      <c r="R54" s="442">
        <f>SUM(R49:R53)</f>
        <v>0</v>
      </c>
      <c r="S54" s="64" t="str">
        <f t="shared" si="43"/>
        <v/>
      </c>
      <c r="T54" s="401">
        <f>SUM(T49:T53)</f>
        <v>0</v>
      </c>
      <c r="U54" s="209" t="str">
        <f t="shared" si="44"/>
        <v/>
      </c>
      <c r="V54" s="458">
        <f t="shared" si="21"/>
        <v>100048</v>
      </c>
      <c r="W54" s="177">
        <f t="shared" si="45"/>
        <v>3.8465192380364036E-3</v>
      </c>
      <c r="X54" s="428">
        <f t="shared" si="22"/>
        <v>800168</v>
      </c>
      <c r="Y54" s="230">
        <f t="shared" si="46"/>
        <v>3.699661233967093E-3</v>
      </c>
      <c r="Z54" s="458">
        <f t="shared" si="23"/>
        <v>8747824</v>
      </c>
      <c r="AA54" s="194">
        <f t="shared" si="47"/>
        <v>1.7765001629780799E-2</v>
      </c>
      <c r="AB54" s="428">
        <f t="shared" si="24"/>
        <v>97699621</v>
      </c>
      <c r="AC54" s="140">
        <f t="shared" si="48"/>
        <v>2.2181683130654221E-2</v>
      </c>
      <c r="AD54" s="466">
        <f>SUM(AD49:AD53)</f>
        <v>6</v>
      </c>
      <c r="AE54" s="64">
        <f t="shared" si="49"/>
        <v>3.0493538530994923E-8</v>
      </c>
      <c r="AF54" s="401">
        <f>SUM(AF49:AF53)</f>
        <v>310097</v>
      </c>
      <c r="AG54" s="85">
        <f t="shared" si="50"/>
        <v>1.6082384410055184E-4</v>
      </c>
      <c r="AH54" s="390">
        <f>SUM(AH49:AH53)</f>
        <v>0</v>
      </c>
      <c r="AI54" s="177">
        <f t="shared" si="25"/>
        <v>0</v>
      </c>
      <c r="AJ54" s="401">
        <f>SUM(AJ49:AJ53)</f>
        <v>406123</v>
      </c>
      <c r="AK54" s="105">
        <f t="shared" si="36"/>
        <v>5.2187844732208503E-3</v>
      </c>
      <c r="AL54" s="549">
        <f t="shared" si="26"/>
        <v>6</v>
      </c>
      <c r="AM54" s="319">
        <f t="shared" si="51"/>
        <v>2.930801075613764E-8</v>
      </c>
      <c r="AN54" s="480">
        <f t="shared" si="27"/>
        <v>716220</v>
      </c>
      <c r="AO54" s="140">
        <f t="shared" si="52"/>
        <v>3.5703933294185195E-4</v>
      </c>
      <c r="AP54" s="529">
        <f t="shared" si="28"/>
        <v>10824744</v>
      </c>
      <c r="AQ54" s="141">
        <f t="shared" si="53"/>
        <v>1.5527334387824689E-2</v>
      </c>
      <c r="AR54" s="428">
        <f t="shared" si="29"/>
        <v>119291192</v>
      </c>
      <c r="AS54" s="140">
        <f t="shared" si="54"/>
        <v>1.8608674114002022E-2</v>
      </c>
      <c r="AT54" s="529">
        <f>SUM(AT49:AT53)</f>
        <v>11054552</v>
      </c>
      <c r="AU54" s="141">
        <f t="shared" si="30"/>
        <v>1.3661166519921502E-2</v>
      </c>
      <c r="AV54" s="410">
        <f>SUM(AV49:AV53)</f>
        <v>91222861</v>
      </c>
      <c r="AW54" s="140">
        <f t="shared" si="31"/>
        <v>1.2621372551566905E-2</v>
      </c>
      <c r="AX54" s="529">
        <f t="shared" si="32"/>
        <v>-229808</v>
      </c>
      <c r="AY54" s="141">
        <f t="shared" si="33"/>
        <v>0.97921145967742518</v>
      </c>
      <c r="AZ54" s="410">
        <f t="shared" si="34"/>
        <v>28068331</v>
      </c>
      <c r="BA54" s="140">
        <f t="shared" si="35"/>
        <v>1.3076896590647382</v>
      </c>
      <c r="BB54" s="11"/>
    </row>
    <row r="55" spans="1:54" ht="15.95" customHeight="1">
      <c r="A55" s="37" t="s">
        <v>47</v>
      </c>
      <c r="B55" s="710">
        <f>[8]本部!$I$55</f>
        <v>545679</v>
      </c>
      <c r="C55" s="258" t="str">
        <f t="shared" si="38"/>
        <v/>
      </c>
      <c r="D55" s="727">
        <f>[8]本部!$L$55</f>
        <v>4780466</v>
      </c>
      <c r="E55" s="118" t="str">
        <f t="shared" si="39"/>
        <v/>
      </c>
      <c r="F55" s="351">
        <f>[8]本社営業!$I$55</f>
        <v>302463</v>
      </c>
      <c r="G55" s="7">
        <f t="shared" si="40"/>
        <v>6.6151652385879837E-4</v>
      </c>
      <c r="H55" s="361">
        <f>[8]本社営業!$L$55</f>
        <v>2114443</v>
      </c>
      <c r="I55" s="120">
        <f t="shared" si="19"/>
        <v>5.1384608879156198E-4</v>
      </c>
      <c r="J55" s="744">
        <f>[8]東大阪!$I$55</f>
        <v>0</v>
      </c>
      <c r="K55" s="7">
        <f t="shared" si="20"/>
        <v>0</v>
      </c>
      <c r="L55" s="361">
        <f>[8]東大阪!$L$55</f>
        <v>0</v>
      </c>
      <c r="M55" s="120">
        <f t="shared" si="37"/>
        <v>0</v>
      </c>
      <c r="N55" s="402">
        <f>[8]南港工場!$I$55</f>
        <v>0</v>
      </c>
      <c r="O55" s="7">
        <f t="shared" si="41"/>
        <v>0</v>
      </c>
      <c r="P55" s="361">
        <f>[8]南港工場!$L$55</f>
        <v>0</v>
      </c>
      <c r="Q55" s="174">
        <f t="shared" si="42"/>
        <v>0</v>
      </c>
      <c r="R55" s="444">
        <f>[8]南港事務!$I$55</f>
        <v>0</v>
      </c>
      <c r="S55" s="7" t="str">
        <f t="shared" si="43"/>
        <v/>
      </c>
      <c r="T55" s="361">
        <f>[8]南港事務!$L$55</f>
        <v>0</v>
      </c>
      <c r="U55" s="203" t="str">
        <f t="shared" si="44"/>
        <v/>
      </c>
      <c r="V55" s="455">
        <f t="shared" si="21"/>
        <v>0</v>
      </c>
      <c r="W55" s="174">
        <f t="shared" si="45"/>
        <v>0</v>
      </c>
      <c r="X55" s="425">
        <f t="shared" si="22"/>
        <v>0</v>
      </c>
      <c r="Y55" s="224">
        <f t="shared" si="46"/>
        <v>0</v>
      </c>
      <c r="Z55" s="459">
        <f t="shared" si="23"/>
        <v>302463</v>
      </c>
      <c r="AA55" s="188">
        <f t="shared" si="47"/>
        <v>6.1423911683047003E-4</v>
      </c>
      <c r="AB55" s="563">
        <f t="shared" si="24"/>
        <v>2114443</v>
      </c>
      <c r="AC55" s="119">
        <f t="shared" si="48"/>
        <v>4.8006229854085004E-4</v>
      </c>
      <c r="AD55" s="351">
        <f>[8]東京事務!$I$55</f>
        <v>0</v>
      </c>
      <c r="AE55" s="7">
        <f t="shared" si="49"/>
        <v>0</v>
      </c>
      <c r="AF55" s="361">
        <f>[8]東京事務!$L$55</f>
        <v>0</v>
      </c>
      <c r="AG55" s="80">
        <f t="shared" si="50"/>
        <v>0</v>
      </c>
      <c r="AH55" s="387">
        <f>[8]東京工場!$I$55</f>
        <v>0</v>
      </c>
      <c r="AI55" s="174">
        <f t="shared" si="25"/>
        <v>0</v>
      </c>
      <c r="AJ55" s="361">
        <f>[8]東京工場!$L$55</f>
        <v>0</v>
      </c>
      <c r="AK55" s="102">
        <f t="shared" si="36"/>
        <v>0</v>
      </c>
      <c r="AL55" s="546">
        <f t="shared" si="26"/>
        <v>0</v>
      </c>
      <c r="AM55" s="313">
        <f t="shared" si="51"/>
        <v>0</v>
      </c>
      <c r="AN55" s="477">
        <f t="shared" si="27"/>
        <v>0</v>
      </c>
      <c r="AO55" s="119">
        <f t="shared" si="52"/>
        <v>0</v>
      </c>
      <c r="AP55" s="526">
        <f t="shared" si="28"/>
        <v>848142</v>
      </c>
      <c r="AQ55" s="282">
        <f t="shared" si="53"/>
        <v>1.216600082399954E-3</v>
      </c>
      <c r="AR55" s="486">
        <f t="shared" si="29"/>
        <v>6894909</v>
      </c>
      <c r="AS55" s="283">
        <f t="shared" si="54"/>
        <v>1.0755623485319819E-3</v>
      </c>
      <c r="AT55" s="583">
        <f>[8]全社合計!$G$55</f>
        <v>720281</v>
      </c>
      <c r="AU55" s="120">
        <f t="shared" si="30"/>
        <v>8.9012007742471876E-4</v>
      </c>
      <c r="AV55" s="577">
        <f>[8]全社合計!$N$55</f>
        <v>6793507</v>
      </c>
      <c r="AW55" s="121">
        <f t="shared" si="31"/>
        <v>9.3993305887082011E-4</v>
      </c>
      <c r="AX55" s="583">
        <f t="shared" si="32"/>
        <v>127861</v>
      </c>
      <c r="AY55" s="120">
        <f t="shared" si="33"/>
        <v>1.1775154418900402</v>
      </c>
      <c r="AZ55" s="577">
        <f t="shared" si="34"/>
        <v>101402</v>
      </c>
      <c r="BA55" s="121">
        <f t="shared" si="35"/>
        <v>1.014926311255733</v>
      </c>
      <c r="BB55" s="11"/>
    </row>
    <row r="56" spans="1:54" ht="15.95" customHeight="1">
      <c r="A56" s="37" t="s">
        <v>97</v>
      </c>
      <c r="B56" s="711">
        <f>[8]本部!$I$56</f>
        <v>0</v>
      </c>
      <c r="C56" s="336" t="str">
        <f>IF(ISERR(B56/$B$11),"",B56/$B$11)</f>
        <v/>
      </c>
      <c r="D56" s="731">
        <f>[8]本部!$L$56</f>
        <v>0</v>
      </c>
      <c r="E56" s="337" t="str">
        <f>IF(ISERR(D56/$D$11),"",D56/$D$11)</f>
        <v/>
      </c>
      <c r="F56" s="365">
        <f>[8]本社営業!$I$56</f>
        <v>0</v>
      </c>
      <c r="G56" s="338">
        <f>IF(ISERR(F56/$F$11),"",F56/$F$11)</f>
        <v>0</v>
      </c>
      <c r="H56" s="366">
        <f>[8]本社営業!$L$56</f>
        <v>0</v>
      </c>
      <c r="I56" s="339">
        <f>IF(ISERR(H56/$H$11),"",H56/$H$11)</f>
        <v>0</v>
      </c>
      <c r="J56" s="751">
        <f>[8]東大阪!$I$56</f>
        <v>0</v>
      </c>
      <c r="K56" s="338">
        <f>IF(ISERR(J56/$J$11),"",J56/$J$11)</f>
        <v>0</v>
      </c>
      <c r="L56" s="366">
        <f>[8]東大阪!$L$56</f>
        <v>0</v>
      </c>
      <c r="M56" s="339">
        <f t="shared" si="37"/>
        <v>0</v>
      </c>
      <c r="N56" s="413">
        <f>[8]南港工場!$I$56</f>
        <v>0</v>
      </c>
      <c r="O56" s="338">
        <f>IF(ISERR(N56/$N$11),"",N56/$N$11)</f>
        <v>0</v>
      </c>
      <c r="P56" s="366">
        <f>[8]南港工場!$L$56</f>
        <v>0</v>
      </c>
      <c r="Q56" s="340">
        <f>IF(ISERR(P56/$P$11),"",P56/$P$11)</f>
        <v>0</v>
      </c>
      <c r="R56" s="447">
        <f>[8]南港事務!$I$56</f>
        <v>0</v>
      </c>
      <c r="S56" s="338" t="str">
        <f>IF(ISERR(R56/$R$11),"",R56/$R$11)</f>
        <v/>
      </c>
      <c r="T56" s="366">
        <f>[8]南港事務!$L$56</f>
        <v>0</v>
      </c>
      <c r="U56" s="341" t="str">
        <f>IF(ISERR(T56/$T$11),"",T56/$T$11)</f>
        <v/>
      </c>
      <c r="V56" s="491">
        <f>N56+R56</f>
        <v>0</v>
      </c>
      <c r="W56" s="340">
        <f>IF(ISERR(V56/$V$11),"",V56/$V$11)</f>
        <v>0</v>
      </c>
      <c r="X56" s="430">
        <f>P56+T56</f>
        <v>0</v>
      </c>
      <c r="Y56" s="342">
        <f>IF(ISERR(X56/$X$11),"",X56/$X$11)</f>
        <v>0</v>
      </c>
      <c r="Z56" s="570">
        <f>F56+J56+N56+R56</f>
        <v>0</v>
      </c>
      <c r="AA56" s="343">
        <f>IF(ISERR(Z56/$Z$11),"",Z56/$Z$11)</f>
        <v>0</v>
      </c>
      <c r="AB56" s="566">
        <f>H56+L56+P56+T56</f>
        <v>0</v>
      </c>
      <c r="AC56" s="344">
        <f>IF(ISERR(AB56/$AB$11),"",AB56/$AB$11)</f>
        <v>0</v>
      </c>
      <c r="AD56" s="365">
        <f>[8]東京事務!$I$56</f>
        <v>0</v>
      </c>
      <c r="AE56" s="338">
        <f>IF(ISERR(AD56/$AD$11),"",AD56/$AD$11)</f>
        <v>0</v>
      </c>
      <c r="AF56" s="366">
        <f>[8]東京事務!$L$56</f>
        <v>0</v>
      </c>
      <c r="AG56" s="345">
        <f>IF(ISERR(AF56/$AF$11),"",AF56/$AF$11)</f>
        <v>0</v>
      </c>
      <c r="AH56" s="393">
        <f>[8]東京工場!$I$56</f>
        <v>0</v>
      </c>
      <c r="AI56" s="340">
        <f>IF(ISERR(AH56/$AH$11),"",AH56/$AH$11)</f>
        <v>0</v>
      </c>
      <c r="AJ56" s="366">
        <f>[8]東京工場!$L$56</f>
        <v>0</v>
      </c>
      <c r="AK56" s="346">
        <f>IF(ISERR(AJ56/$AJ$11),"",AJ56/$AJ$11)</f>
        <v>0</v>
      </c>
      <c r="AL56" s="550">
        <f>AD56+AH56</f>
        <v>0</v>
      </c>
      <c r="AM56" s="347">
        <f>IF(ISERR(AL56/$AL$11),"",AL56/AL$11)</f>
        <v>0</v>
      </c>
      <c r="AN56" s="538">
        <f>AF56+AJ56</f>
        <v>0</v>
      </c>
      <c r="AO56" s="344">
        <f>IF(ISERR(AN56/$AN$11),"",AN56/$AN$11)</f>
        <v>0</v>
      </c>
      <c r="AP56" s="530">
        <f>B56+Z56+AL56</f>
        <v>0</v>
      </c>
      <c r="AQ56" s="348">
        <f>IF(ISERR(AP56/$AP$11),"",AP56/$AP$11)</f>
        <v>0</v>
      </c>
      <c r="AR56" s="518">
        <f>D56+AB56+AN56</f>
        <v>0</v>
      </c>
      <c r="AS56" s="349">
        <f>IF(ISERR(AR56/$AR$11),"",AR56/$AR$11)</f>
        <v>0</v>
      </c>
      <c r="AT56" s="587">
        <f>[8]全社合計!$G$56</f>
        <v>0</v>
      </c>
      <c r="AU56" s="339">
        <f>IF(ISERR(AT56/$AT$11),"",AT56/$AT$11)</f>
        <v>0</v>
      </c>
      <c r="AV56" s="598">
        <f>[8]全社合計!$N$56</f>
        <v>0</v>
      </c>
      <c r="AW56" s="350">
        <f>IF(ISERR(AV56/$AV$11),"",AV56/$AV$11)</f>
        <v>0</v>
      </c>
      <c r="AX56" s="587">
        <f>AP56-AT56</f>
        <v>0</v>
      </c>
      <c r="AY56" s="339" t="str">
        <f>IF(ISERROR(AP56/AT56),"",AP56/AT56)</f>
        <v/>
      </c>
      <c r="AZ56" s="598">
        <f>AR56-AV56</f>
        <v>0</v>
      </c>
      <c r="BA56" s="350" t="str">
        <f>IF(ISERROR(AR56/AV56),"",AR56/AV56)</f>
        <v/>
      </c>
      <c r="BB56" s="11"/>
    </row>
    <row r="57" spans="1:54" ht="15.95" customHeight="1">
      <c r="A57" s="37" t="s">
        <v>58</v>
      </c>
      <c r="B57" s="703">
        <f>[8]本部!$I$57</f>
        <v>0</v>
      </c>
      <c r="C57" s="259" t="str">
        <f>IF(ISERR(B57/$B$11),"",B57/$B$11)</f>
        <v/>
      </c>
      <c r="D57" s="728">
        <f>[8]本部!$L$57</f>
        <v>0</v>
      </c>
      <c r="E57" s="122" t="str">
        <f t="shared" si="39"/>
        <v/>
      </c>
      <c r="F57" s="352">
        <f>[8]本社営業!$I$57</f>
        <v>0</v>
      </c>
      <c r="G57" s="9">
        <f t="shared" si="40"/>
        <v>0</v>
      </c>
      <c r="H57" s="362">
        <f>[8]本社営業!$L$57</f>
        <v>0</v>
      </c>
      <c r="I57" s="124">
        <f t="shared" si="19"/>
        <v>0</v>
      </c>
      <c r="J57" s="745">
        <f>[8]東大阪!$I$57</f>
        <v>0</v>
      </c>
      <c r="K57" s="9">
        <f t="shared" si="20"/>
        <v>0</v>
      </c>
      <c r="L57" s="362">
        <f>[8]東大阪!$L$57</f>
        <v>0</v>
      </c>
      <c r="M57" s="124">
        <f t="shared" si="37"/>
        <v>0</v>
      </c>
      <c r="N57" s="403">
        <f>[8]南港工場!$I$57</f>
        <v>0</v>
      </c>
      <c r="O57" s="9">
        <f t="shared" si="41"/>
        <v>0</v>
      </c>
      <c r="P57" s="362">
        <f>[8]南港工場!$L$57</f>
        <v>0</v>
      </c>
      <c r="Q57" s="171">
        <f t="shared" si="42"/>
        <v>0</v>
      </c>
      <c r="R57" s="445">
        <f>[8]南港事務!$I$57</f>
        <v>0</v>
      </c>
      <c r="S57" s="9" t="str">
        <f t="shared" si="43"/>
        <v/>
      </c>
      <c r="T57" s="362">
        <f>[8]南港事務!$L$57</f>
        <v>0</v>
      </c>
      <c r="U57" s="204" t="str">
        <f t="shared" si="44"/>
        <v/>
      </c>
      <c r="V57" s="456">
        <f t="shared" si="21"/>
        <v>0</v>
      </c>
      <c r="W57" s="171">
        <f t="shared" si="45"/>
        <v>0</v>
      </c>
      <c r="X57" s="426">
        <f t="shared" si="22"/>
        <v>0</v>
      </c>
      <c r="Y57" s="225">
        <f t="shared" si="46"/>
        <v>0</v>
      </c>
      <c r="Z57" s="460">
        <f t="shared" si="23"/>
        <v>0</v>
      </c>
      <c r="AA57" s="189">
        <f t="shared" si="47"/>
        <v>0</v>
      </c>
      <c r="AB57" s="564">
        <f t="shared" si="24"/>
        <v>0</v>
      </c>
      <c r="AC57" s="123">
        <f t="shared" si="48"/>
        <v>0</v>
      </c>
      <c r="AD57" s="352">
        <f>[8]東京事務!$I$57</f>
        <v>0</v>
      </c>
      <c r="AE57" s="9">
        <f t="shared" si="49"/>
        <v>0</v>
      </c>
      <c r="AF57" s="362">
        <f>[8]東京事務!$L$57</f>
        <v>0</v>
      </c>
      <c r="AG57" s="81">
        <f t="shared" si="50"/>
        <v>0</v>
      </c>
      <c r="AH57" s="388">
        <f>[8]東京工場!$I$57</f>
        <v>0</v>
      </c>
      <c r="AI57" s="171">
        <f t="shared" si="25"/>
        <v>0</v>
      </c>
      <c r="AJ57" s="362">
        <f>[8]東京工場!$L$57</f>
        <v>0</v>
      </c>
      <c r="AK57" s="99">
        <f t="shared" si="36"/>
        <v>0</v>
      </c>
      <c r="AL57" s="547">
        <f t="shared" si="26"/>
        <v>0</v>
      </c>
      <c r="AM57" s="314">
        <f t="shared" si="51"/>
        <v>0</v>
      </c>
      <c r="AN57" s="478">
        <f t="shared" si="27"/>
        <v>0</v>
      </c>
      <c r="AO57" s="123">
        <f t="shared" si="52"/>
        <v>0</v>
      </c>
      <c r="AP57" s="527">
        <f>B57+Z57+AL57</f>
        <v>0</v>
      </c>
      <c r="AQ57" s="284">
        <f t="shared" si="53"/>
        <v>0</v>
      </c>
      <c r="AR57" s="487">
        <f t="shared" si="29"/>
        <v>0</v>
      </c>
      <c r="AS57" s="285">
        <f t="shared" si="54"/>
        <v>0</v>
      </c>
      <c r="AT57" s="584">
        <f>[8]全社合計!$G$57</f>
        <v>0</v>
      </c>
      <c r="AU57" s="124">
        <f t="shared" si="30"/>
        <v>0</v>
      </c>
      <c r="AV57" s="578">
        <f>[8]全社合計!$N$57</f>
        <v>0</v>
      </c>
      <c r="AW57" s="125">
        <f t="shared" si="31"/>
        <v>0</v>
      </c>
      <c r="AX57" s="584">
        <f t="shared" si="32"/>
        <v>0</v>
      </c>
      <c r="AY57" s="124" t="str">
        <f t="shared" si="33"/>
        <v/>
      </c>
      <c r="AZ57" s="578">
        <f t="shared" si="34"/>
        <v>0</v>
      </c>
      <c r="BA57" s="125" t="str">
        <f t="shared" si="35"/>
        <v/>
      </c>
      <c r="BB57" s="11"/>
    </row>
    <row r="58" spans="1:54" ht="15.95" customHeight="1">
      <c r="A58" s="37" t="s">
        <v>98</v>
      </c>
      <c r="B58" s="703">
        <f>[8]本部!$I$58</f>
        <v>0</v>
      </c>
      <c r="C58" s="259" t="str">
        <f t="shared" si="38"/>
        <v/>
      </c>
      <c r="D58" s="728">
        <f>[8]本部!$L$58</f>
        <v>0</v>
      </c>
      <c r="E58" s="122" t="str">
        <f t="shared" si="39"/>
        <v/>
      </c>
      <c r="F58" s="352">
        <f>[8]本社営業!$I$58</f>
        <v>0</v>
      </c>
      <c r="G58" s="9">
        <f t="shared" si="40"/>
        <v>0</v>
      </c>
      <c r="H58" s="362">
        <f>[8]本社営業!$L$58</f>
        <v>0</v>
      </c>
      <c r="I58" s="124">
        <f t="shared" si="19"/>
        <v>0</v>
      </c>
      <c r="J58" s="745">
        <f>[8]東大阪!$I$58</f>
        <v>0</v>
      </c>
      <c r="K58" s="9">
        <f t="shared" si="20"/>
        <v>0</v>
      </c>
      <c r="L58" s="362">
        <f>[8]東大阪!$L$58</f>
        <v>0</v>
      </c>
      <c r="M58" s="124">
        <f t="shared" si="37"/>
        <v>0</v>
      </c>
      <c r="N58" s="403">
        <f>[8]南港工場!$I$58</f>
        <v>0</v>
      </c>
      <c r="O58" s="9">
        <f t="shared" si="41"/>
        <v>0</v>
      </c>
      <c r="P58" s="362">
        <f>[8]南港工場!$L$58</f>
        <v>0</v>
      </c>
      <c r="Q58" s="171">
        <f t="shared" si="42"/>
        <v>0</v>
      </c>
      <c r="R58" s="445">
        <f>[8]南港事務!$I$58</f>
        <v>0</v>
      </c>
      <c r="S58" s="9" t="str">
        <f t="shared" si="43"/>
        <v/>
      </c>
      <c r="T58" s="362">
        <f>[8]南港事務!$L$58</f>
        <v>0</v>
      </c>
      <c r="U58" s="204" t="str">
        <f t="shared" si="44"/>
        <v/>
      </c>
      <c r="V58" s="456">
        <f t="shared" si="21"/>
        <v>0</v>
      </c>
      <c r="W58" s="171">
        <f t="shared" si="45"/>
        <v>0</v>
      </c>
      <c r="X58" s="426">
        <f t="shared" si="22"/>
        <v>0</v>
      </c>
      <c r="Y58" s="225">
        <f t="shared" si="46"/>
        <v>0</v>
      </c>
      <c r="Z58" s="460">
        <f>F58+J58+N58+R58</f>
        <v>0</v>
      </c>
      <c r="AA58" s="189">
        <f>IF(ISERR(Z58/$Z$11),"",Z58/$Z$11)</f>
        <v>0</v>
      </c>
      <c r="AB58" s="564">
        <f>H58+L58+P58+T58</f>
        <v>0</v>
      </c>
      <c r="AC58" s="123">
        <f>IF(ISERR(AB58/$AB$11),"",AB58/$AB$11)</f>
        <v>0</v>
      </c>
      <c r="AD58" s="352">
        <f>[8]東京事務!$I$58</f>
        <v>0</v>
      </c>
      <c r="AE58" s="9">
        <f>IF(ISERR(AD58/$AD$11),"",AD58/$AD$11)</f>
        <v>0</v>
      </c>
      <c r="AF58" s="362">
        <f>[8]東京事務!$L$58</f>
        <v>0</v>
      </c>
      <c r="AG58" s="81">
        <f>IF(ISERR(AF58/$AF$11),"",AF58/$AF$11)</f>
        <v>0</v>
      </c>
      <c r="AH58" s="388">
        <f>[8]東京工場!$I$58</f>
        <v>0</v>
      </c>
      <c r="AI58" s="171">
        <f>IF(ISERR(AH58/$AH$11),"",AH58/$AH$11)</f>
        <v>0</v>
      </c>
      <c r="AJ58" s="362">
        <f>[8]東京工場!$L$58</f>
        <v>0</v>
      </c>
      <c r="AK58" s="99">
        <f>IF(ISERR(AJ58/$AJ$11),"",AJ58/$AJ$11)</f>
        <v>0</v>
      </c>
      <c r="AL58" s="547">
        <f>AD58+AH58</f>
        <v>0</v>
      </c>
      <c r="AM58" s="314">
        <f>IF(ISERR(AL58/$AL$11),"",AL58/AL$11)</f>
        <v>0</v>
      </c>
      <c r="AN58" s="478">
        <f>AF58+AJ58</f>
        <v>0</v>
      </c>
      <c r="AO58" s="123">
        <f>IF(ISERR(AN58/$AN$11),"",AN58/$AN$11)</f>
        <v>0</v>
      </c>
      <c r="AP58" s="527">
        <f>B58+Z58+AL58</f>
        <v>0</v>
      </c>
      <c r="AQ58" s="284">
        <f>IF(ISERR(AP58/$AP$11),"",AP58/$AP$11)</f>
        <v>0</v>
      </c>
      <c r="AR58" s="487">
        <f>D58+AB58+AN58</f>
        <v>0</v>
      </c>
      <c r="AS58" s="285">
        <f>IF(ISERR(AR58/$AR$11),"",AR58/$AR$11)</f>
        <v>0</v>
      </c>
      <c r="AT58" s="584">
        <f>[8]全社合計!$G$58</f>
        <v>0</v>
      </c>
      <c r="AU58" s="124">
        <f>IF(ISERR(AT58/$AT$11),"",AT58/$AT$11)</f>
        <v>0</v>
      </c>
      <c r="AV58" s="578">
        <f>[8]全社合計!$N$58</f>
        <v>402213</v>
      </c>
      <c r="AW58" s="125">
        <f>IF(ISERR(AV58/$AV$11),"",AV58/$AV$11)</f>
        <v>5.5649209665583501E-5</v>
      </c>
      <c r="AX58" s="584">
        <f t="shared" si="32"/>
        <v>0</v>
      </c>
      <c r="AY58" s="124" t="str">
        <f>IF(ISERROR(AP58/AT58),"",AP58/AT58)</f>
        <v/>
      </c>
      <c r="AZ58" s="578">
        <f>AR58-AV58</f>
        <v>-402213</v>
      </c>
      <c r="BA58" s="125">
        <f>IF(ISERROR(AR58/AV58),"",AR58/AV58)</f>
        <v>0</v>
      </c>
      <c r="BB58" s="11"/>
    </row>
    <row r="59" spans="1:54" ht="15.95" customHeight="1">
      <c r="A59" s="37" t="s">
        <v>95</v>
      </c>
      <c r="B59" s="703">
        <f>[8]本部!$I$59</f>
        <v>0</v>
      </c>
      <c r="C59" s="259" t="str">
        <f t="shared" si="38"/>
        <v/>
      </c>
      <c r="D59" s="728">
        <f>[8]本部!$L$59</f>
        <v>0</v>
      </c>
      <c r="E59" s="122" t="str">
        <f t="shared" si="39"/>
        <v/>
      </c>
      <c r="F59" s="352">
        <f>[8]本社営業!$I$59</f>
        <v>0</v>
      </c>
      <c r="G59" s="9">
        <f t="shared" si="40"/>
        <v>0</v>
      </c>
      <c r="H59" s="362">
        <f>[8]本社営業!$L$59</f>
        <v>0</v>
      </c>
      <c r="I59" s="124">
        <f t="shared" si="19"/>
        <v>0</v>
      </c>
      <c r="J59" s="745">
        <f>[8]東大阪!$I$59</f>
        <v>0</v>
      </c>
      <c r="K59" s="9">
        <f t="shared" si="20"/>
        <v>0</v>
      </c>
      <c r="L59" s="362">
        <f>[8]東大阪!$L$59</f>
        <v>0</v>
      </c>
      <c r="M59" s="124">
        <f t="shared" si="37"/>
        <v>0</v>
      </c>
      <c r="N59" s="403">
        <f>[8]南港工場!$I$59</f>
        <v>0</v>
      </c>
      <c r="O59" s="9">
        <f t="shared" si="41"/>
        <v>0</v>
      </c>
      <c r="P59" s="362">
        <f>[8]南港工場!$L$59</f>
        <v>0</v>
      </c>
      <c r="Q59" s="171">
        <f t="shared" si="42"/>
        <v>0</v>
      </c>
      <c r="R59" s="445">
        <f>[8]南港事務!$I$59</f>
        <v>0</v>
      </c>
      <c r="S59" s="9" t="str">
        <f t="shared" si="43"/>
        <v/>
      </c>
      <c r="T59" s="362">
        <f>[8]南港事務!$L$59</f>
        <v>0</v>
      </c>
      <c r="U59" s="204" t="str">
        <f t="shared" si="44"/>
        <v/>
      </c>
      <c r="V59" s="456">
        <f t="shared" si="21"/>
        <v>0</v>
      </c>
      <c r="W59" s="171">
        <f t="shared" si="45"/>
        <v>0</v>
      </c>
      <c r="X59" s="426">
        <f t="shared" si="22"/>
        <v>0</v>
      </c>
      <c r="Y59" s="225">
        <f t="shared" si="46"/>
        <v>0</v>
      </c>
      <c r="Z59" s="460">
        <f>F59+J59+N59+R59</f>
        <v>0</v>
      </c>
      <c r="AA59" s="189">
        <f>IF(ISERR(Z59/$Z$11),"",Z59/$Z$11)</f>
        <v>0</v>
      </c>
      <c r="AB59" s="564">
        <f>H59+L59+P59+T59</f>
        <v>0</v>
      </c>
      <c r="AC59" s="123">
        <f>IF(ISERR(AB59/$AB$11),"",AB59/$AB$11)</f>
        <v>0</v>
      </c>
      <c r="AD59" s="352">
        <f>[8]東京事務!$I$59</f>
        <v>0</v>
      </c>
      <c r="AE59" s="9">
        <f>IF(ISERR(AD59/$AD$11),"",AD59/$AD$11)</f>
        <v>0</v>
      </c>
      <c r="AF59" s="362">
        <f>[8]東京事務!$L$59</f>
        <v>0</v>
      </c>
      <c r="AG59" s="81">
        <f>IF(ISERR(AF59/$AF$11),"",AF59/$AF$11)</f>
        <v>0</v>
      </c>
      <c r="AH59" s="388">
        <f>[8]東京工場!$I$59</f>
        <v>0</v>
      </c>
      <c r="AI59" s="171">
        <f>IF(ISERR(AH59/$AH$11),"",AH59/$AH$11)</f>
        <v>0</v>
      </c>
      <c r="AJ59" s="362">
        <f>[8]東京工場!$L$59</f>
        <v>0</v>
      </c>
      <c r="AK59" s="99">
        <f>IF(ISERR(AJ59/$AJ$11),"",AJ59/$AJ$11)</f>
        <v>0</v>
      </c>
      <c r="AL59" s="547">
        <f>AD59+AH59</f>
        <v>0</v>
      </c>
      <c r="AM59" s="314">
        <f>IF(ISERR(AL59/$AL$11),"",AL59/AL$11)</f>
        <v>0</v>
      </c>
      <c r="AN59" s="478">
        <f>AF59+AJ59</f>
        <v>0</v>
      </c>
      <c r="AO59" s="123">
        <f>IF(ISERR(AN59/$AN$11),"",AN59/$AN$11)</f>
        <v>0</v>
      </c>
      <c r="AP59" s="527">
        <f>B59+Z59+AL59</f>
        <v>0</v>
      </c>
      <c r="AQ59" s="284">
        <f>IF(ISERR(AP59/$AP$11),"",AP59/$AP$11)</f>
        <v>0</v>
      </c>
      <c r="AR59" s="487">
        <f>D59+AB59+AN59</f>
        <v>0</v>
      </c>
      <c r="AS59" s="285">
        <f>IF(ISERR(AR59/$AR$11),"",AR59/$AR$11)</f>
        <v>0</v>
      </c>
      <c r="AT59" s="584">
        <f>[8]全社合計!$G$59</f>
        <v>0</v>
      </c>
      <c r="AU59" s="124">
        <f>IF(ISERR(AT59/$AT$11),"",AT59/$AT$11)</f>
        <v>0</v>
      </c>
      <c r="AV59" s="578">
        <f>[8]全社合計!$N$59</f>
        <v>0</v>
      </c>
      <c r="AW59" s="125">
        <f>IF(ISERR(AV59/$AV$11),"",AV59/$AV$11)</f>
        <v>0</v>
      </c>
      <c r="AX59" s="584">
        <f t="shared" si="32"/>
        <v>0</v>
      </c>
      <c r="AY59" s="124" t="str">
        <f>IF(ISERROR(AP59/AT59),"",AP59/AT59)</f>
        <v/>
      </c>
      <c r="AZ59" s="578">
        <f>AR59-AV59</f>
        <v>0</v>
      </c>
      <c r="BA59" s="125" t="str">
        <f>IF(ISERROR(AR59/AV59),"",AR59/AV59)</f>
        <v/>
      </c>
      <c r="BB59" s="11"/>
    </row>
    <row r="60" spans="1:54" ht="15.95" customHeight="1">
      <c r="A60" s="37" t="s">
        <v>93</v>
      </c>
      <c r="B60" s="703">
        <f>[8]本部!$I$60</f>
        <v>500000</v>
      </c>
      <c r="C60" s="259" t="str">
        <f>IF(ISERR(B60/$B$11),"",B60/$B$11)</f>
        <v/>
      </c>
      <c r="D60" s="728">
        <f>[8]本部!$L$60</f>
        <v>4000000</v>
      </c>
      <c r="E60" s="122" t="str">
        <f t="shared" si="39"/>
        <v/>
      </c>
      <c r="F60" s="352">
        <f>[8]本社営業!$I$60</f>
        <v>0</v>
      </c>
      <c r="G60" s="9">
        <f t="shared" si="40"/>
        <v>0</v>
      </c>
      <c r="H60" s="362">
        <f>[8]本社営業!$L$60</f>
        <v>0</v>
      </c>
      <c r="I60" s="124">
        <f t="shared" si="19"/>
        <v>0</v>
      </c>
      <c r="J60" s="745">
        <f>[8]東大阪!$I$60</f>
        <v>0</v>
      </c>
      <c r="K60" s="9">
        <f t="shared" si="20"/>
        <v>0</v>
      </c>
      <c r="L60" s="362">
        <f>[8]東大阪!$L$60</f>
        <v>0</v>
      </c>
      <c r="M60" s="124">
        <f t="shared" si="37"/>
        <v>0</v>
      </c>
      <c r="N60" s="403">
        <f>[8]南港工場!$I$60</f>
        <v>0</v>
      </c>
      <c r="O60" s="9">
        <f t="shared" si="41"/>
        <v>0</v>
      </c>
      <c r="P60" s="362">
        <f>[8]南港工場!$L$60</f>
        <v>0</v>
      </c>
      <c r="Q60" s="171">
        <f t="shared" si="42"/>
        <v>0</v>
      </c>
      <c r="R60" s="445">
        <f>[8]南港事務!$I$60</f>
        <v>0</v>
      </c>
      <c r="S60" s="9" t="str">
        <f t="shared" si="43"/>
        <v/>
      </c>
      <c r="T60" s="362">
        <f>[8]南港事務!$L$60</f>
        <v>0</v>
      </c>
      <c r="U60" s="204" t="str">
        <f t="shared" si="44"/>
        <v/>
      </c>
      <c r="V60" s="456">
        <f t="shared" si="21"/>
        <v>0</v>
      </c>
      <c r="W60" s="171">
        <f t="shared" si="45"/>
        <v>0</v>
      </c>
      <c r="X60" s="426">
        <f t="shared" si="22"/>
        <v>0</v>
      </c>
      <c r="Y60" s="225">
        <f t="shared" si="46"/>
        <v>0</v>
      </c>
      <c r="Z60" s="460">
        <f t="shared" si="23"/>
        <v>0</v>
      </c>
      <c r="AA60" s="189">
        <f t="shared" si="47"/>
        <v>0</v>
      </c>
      <c r="AB60" s="564">
        <f t="shared" si="24"/>
        <v>0</v>
      </c>
      <c r="AC60" s="123">
        <f t="shared" si="48"/>
        <v>0</v>
      </c>
      <c r="AD60" s="352">
        <f>[8]東京事務!$I$60</f>
        <v>0</v>
      </c>
      <c r="AE60" s="9">
        <f t="shared" si="49"/>
        <v>0</v>
      </c>
      <c r="AF60" s="362">
        <f>[8]東京事務!$L$60</f>
        <v>0</v>
      </c>
      <c r="AG60" s="81">
        <f t="shared" si="50"/>
        <v>0</v>
      </c>
      <c r="AH60" s="388">
        <f>[8]東京工場!$I$60</f>
        <v>0</v>
      </c>
      <c r="AI60" s="171">
        <f t="shared" si="25"/>
        <v>0</v>
      </c>
      <c r="AJ60" s="362">
        <f>[8]東京工場!$L$60</f>
        <v>0</v>
      </c>
      <c r="AK60" s="99">
        <f t="shared" si="36"/>
        <v>0</v>
      </c>
      <c r="AL60" s="547">
        <f t="shared" si="26"/>
        <v>0</v>
      </c>
      <c r="AM60" s="314">
        <f t="shared" si="51"/>
        <v>0</v>
      </c>
      <c r="AN60" s="478">
        <f t="shared" si="27"/>
        <v>0</v>
      </c>
      <c r="AO60" s="123">
        <f t="shared" si="52"/>
        <v>0</v>
      </c>
      <c r="AP60" s="527">
        <f>B60+Z60+AL60</f>
        <v>500000</v>
      </c>
      <c r="AQ60" s="284">
        <f t="shared" si="53"/>
        <v>7.172148545880018E-4</v>
      </c>
      <c r="AR60" s="487">
        <f t="shared" si="29"/>
        <v>4000000</v>
      </c>
      <c r="AS60" s="285">
        <f t="shared" si="54"/>
        <v>6.2397478982361158E-4</v>
      </c>
      <c r="AT60" s="584">
        <f>[8]全社合計!$G$60</f>
        <v>500000</v>
      </c>
      <c r="AU60" s="124">
        <f t="shared" si="30"/>
        <v>6.1789779087933648E-4</v>
      </c>
      <c r="AV60" s="578">
        <f>[8]全社合計!$N$60</f>
        <v>4000000</v>
      </c>
      <c r="AW60" s="125">
        <f t="shared" si="31"/>
        <v>5.5343024383183541E-4</v>
      </c>
      <c r="AX60" s="584">
        <f t="shared" si="32"/>
        <v>0</v>
      </c>
      <c r="AY60" s="124">
        <f t="shared" si="33"/>
        <v>1</v>
      </c>
      <c r="AZ60" s="578">
        <f t="shared" si="34"/>
        <v>0</v>
      </c>
      <c r="BA60" s="125">
        <f t="shared" si="35"/>
        <v>1</v>
      </c>
      <c r="BB60" s="11"/>
    </row>
    <row r="61" spans="1:54" ht="15.95" customHeight="1">
      <c r="A61" s="35" t="s">
        <v>48</v>
      </c>
      <c r="B61" s="704">
        <f>[8]本部!$I$61</f>
        <v>0</v>
      </c>
      <c r="C61" s="260" t="str">
        <f t="shared" si="38"/>
        <v/>
      </c>
      <c r="D61" s="729">
        <f>[8]本部!$L$61</f>
        <v>7001</v>
      </c>
      <c r="E61" s="126" t="str">
        <f t="shared" si="39"/>
        <v/>
      </c>
      <c r="F61" s="353">
        <f>[8]本社営業!$I$61</f>
        <v>140935</v>
      </c>
      <c r="G61" s="12">
        <f t="shared" si="40"/>
        <v>3.082387971091993E-4</v>
      </c>
      <c r="H61" s="363">
        <f>[8]本社営業!$L$61</f>
        <v>423050</v>
      </c>
      <c r="I61" s="128">
        <f t="shared" si="19"/>
        <v>1.0280844073984037E-4</v>
      </c>
      <c r="J61" s="746">
        <f>[8]東大阪!$I$61</f>
        <v>0</v>
      </c>
      <c r="K61" s="12">
        <f t="shared" si="20"/>
        <v>0</v>
      </c>
      <c r="L61" s="363">
        <f>[8]東大阪!$L$61</f>
        <v>0</v>
      </c>
      <c r="M61" s="128">
        <f t="shared" si="37"/>
        <v>0</v>
      </c>
      <c r="N61" s="404">
        <f>[8]南港工場!$I$61</f>
        <v>0</v>
      </c>
      <c r="O61" s="12">
        <f t="shared" si="41"/>
        <v>0</v>
      </c>
      <c r="P61" s="363">
        <f>[8]南港工場!$L$61</f>
        <v>6</v>
      </c>
      <c r="Q61" s="172">
        <f t="shared" si="42"/>
        <v>2.7741633511715735E-8</v>
      </c>
      <c r="R61" s="446">
        <f>[8]南港事務!$I$61</f>
        <v>0</v>
      </c>
      <c r="S61" s="12" t="str">
        <f t="shared" si="43"/>
        <v/>
      </c>
      <c r="T61" s="363">
        <f>[8]南港事務!$L$61</f>
        <v>0</v>
      </c>
      <c r="U61" s="205" t="str">
        <f t="shared" si="44"/>
        <v/>
      </c>
      <c r="V61" s="457">
        <f t="shared" si="21"/>
        <v>0</v>
      </c>
      <c r="W61" s="172">
        <f t="shared" si="45"/>
        <v>0</v>
      </c>
      <c r="X61" s="427">
        <f t="shared" si="22"/>
        <v>6</v>
      </c>
      <c r="Y61" s="226">
        <f t="shared" si="46"/>
        <v>2.7741633511715735E-8</v>
      </c>
      <c r="Z61" s="461">
        <f t="shared" si="23"/>
        <v>140935</v>
      </c>
      <c r="AA61" s="190">
        <f t="shared" si="47"/>
        <v>2.8620951961232381E-4</v>
      </c>
      <c r="AB61" s="565">
        <f t="shared" si="24"/>
        <v>423056</v>
      </c>
      <c r="AC61" s="127">
        <f t="shared" si="48"/>
        <v>9.6050466137653206E-5</v>
      </c>
      <c r="AD61" s="353">
        <f>[8]東京事務!$I$61</f>
        <v>1</v>
      </c>
      <c r="AE61" s="12">
        <f t="shared" si="49"/>
        <v>5.0822564218324871E-9</v>
      </c>
      <c r="AF61" s="363">
        <f>[8]東京事務!$L$61</f>
        <v>154</v>
      </c>
      <c r="AG61" s="82">
        <f t="shared" si="50"/>
        <v>7.9868144456363608E-8</v>
      </c>
      <c r="AH61" s="389">
        <f>[8]東京工場!$I$61</f>
        <v>0</v>
      </c>
      <c r="AI61" s="172">
        <f t="shared" si="25"/>
        <v>0</v>
      </c>
      <c r="AJ61" s="363">
        <f>[8]東京工場!$L$61</f>
        <v>0</v>
      </c>
      <c r="AK61" s="100">
        <f t="shared" si="36"/>
        <v>0</v>
      </c>
      <c r="AL61" s="548">
        <f t="shared" si="26"/>
        <v>1</v>
      </c>
      <c r="AM61" s="315">
        <f t="shared" si="51"/>
        <v>4.8846684593562736E-9</v>
      </c>
      <c r="AN61" s="479">
        <f t="shared" si="27"/>
        <v>154</v>
      </c>
      <c r="AO61" s="127">
        <f t="shared" si="52"/>
        <v>7.6769787597449382E-8</v>
      </c>
      <c r="AP61" s="528">
        <f t="shared" si="28"/>
        <v>140936</v>
      </c>
      <c r="AQ61" s="286">
        <f t="shared" si="53"/>
        <v>2.0216278549242925E-4</v>
      </c>
      <c r="AR61" s="488">
        <f t="shared" si="29"/>
        <v>430211</v>
      </c>
      <c r="AS61" s="287">
        <f t="shared" si="54"/>
        <v>6.7110204576201438E-5</v>
      </c>
      <c r="AT61" s="585">
        <f>[8]全社合計!$G$61</f>
        <v>169622</v>
      </c>
      <c r="AU61" s="128">
        <f t="shared" si="30"/>
        <v>2.0961811816906965E-4</v>
      </c>
      <c r="AV61" s="579">
        <f>[8]全社合計!$N$61</f>
        <v>1834392</v>
      </c>
      <c r="AW61" s="129">
        <f t="shared" si="31"/>
        <v>2.5380200296079206E-4</v>
      </c>
      <c r="AX61" s="585">
        <f t="shared" si="32"/>
        <v>-28686</v>
      </c>
      <c r="AY61" s="128">
        <f>IF(ISERROR(AP61/AT61),"",AP61/AT61)</f>
        <v>0.83088278643100544</v>
      </c>
      <c r="AZ61" s="579">
        <f t="shared" si="34"/>
        <v>-1404181</v>
      </c>
      <c r="BA61" s="129">
        <f t="shared" si="35"/>
        <v>0.2345251178592144</v>
      </c>
      <c r="BB61" s="14"/>
    </row>
    <row r="62" spans="1:54" ht="15.95" customHeight="1">
      <c r="A62" s="62" t="s">
        <v>49</v>
      </c>
      <c r="B62" s="708">
        <f>SUM(B55:B61)</f>
        <v>1045679</v>
      </c>
      <c r="C62" s="141" t="str">
        <f t="shared" si="38"/>
        <v/>
      </c>
      <c r="D62" s="401">
        <f>SUM(D55:D61)</f>
        <v>8787467</v>
      </c>
      <c r="E62" s="139" t="str">
        <f t="shared" si="39"/>
        <v/>
      </c>
      <c r="F62" s="466">
        <f>SUM(F55:F61)</f>
        <v>443398</v>
      </c>
      <c r="G62" s="64">
        <f t="shared" si="40"/>
        <v>9.6975532096799761E-4</v>
      </c>
      <c r="H62" s="401">
        <f>SUM(H55:H61)</f>
        <v>2537493</v>
      </c>
      <c r="I62" s="141">
        <f t="shared" si="19"/>
        <v>6.1665452953140235E-4</v>
      </c>
      <c r="J62" s="747">
        <f>SUM(J55:J61)</f>
        <v>0</v>
      </c>
      <c r="K62" s="64">
        <f t="shared" si="20"/>
        <v>0</v>
      </c>
      <c r="L62" s="401">
        <f>SUM(L55:L61)</f>
        <v>0</v>
      </c>
      <c r="M62" s="141">
        <f t="shared" si="37"/>
        <v>0</v>
      </c>
      <c r="N62" s="405">
        <f>SUM(N55:N61)</f>
        <v>0</v>
      </c>
      <c r="O62" s="64">
        <f t="shared" si="41"/>
        <v>0</v>
      </c>
      <c r="P62" s="401">
        <f>SUM(P55:P61)</f>
        <v>6</v>
      </c>
      <c r="Q62" s="177">
        <f t="shared" si="42"/>
        <v>2.7741633511715735E-8</v>
      </c>
      <c r="R62" s="442">
        <f>SUM(R55:R61)</f>
        <v>0</v>
      </c>
      <c r="S62" s="64" t="str">
        <f t="shared" si="43"/>
        <v/>
      </c>
      <c r="T62" s="401">
        <f>SUM(T55:T61)</f>
        <v>0</v>
      </c>
      <c r="U62" s="209" t="str">
        <f t="shared" si="44"/>
        <v/>
      </c>
      <c r="V62" s="458">
        <f t="shared" si="21"/>
        <v>0</v>
      </c>
      <c r="W62" s="177">
        <f t="shared" si="45"/>
        <v>0</v>
      </c>
      <c r="X62" s="428">
        <f t="shared" si="22"/>
        <v>6</v>
      </c>
      <c r="Y62" s="230">
        <f t="shared" si="46"/>
        <v>2.7741633511715735E-8</v>
      </c>
      <c r="Z62" s="458">
        <f t="shared" si="23"/>
        <v>443398</v>
      </c>
      <c r="AA62" s="194">
        <f t="shared" si="47"/>
        <v>9.0044863644279385E-4</v>
      </c>
      <c r="AB62" s="428">
        <f t="shared" si="24"/>
        <v>2537499</v>
      </c>
      <c r="AC62" s="140">
        <f t="shared" si="48"/>
        <v>5.7611276467850329E-4</v>
      </c>
      <c r="AD62" s="466">
        <f>SUM(AD55:AD61)</f>
        <v>1</v>
      </c>
      <c r="AE62" s="64">
        <f t="shared" si="49"/>
        <v>5.0822564218324871E-9</v>
      </c>
      <c r="AF62" s="401">
        <f>SUM(AF55:AF61)</f>
        <v>154</v>
      </c>
      <c r="AG62" s="85">
        <f t="shared" si="50"/>
        <v>7.9868144456363608E-8</v>
      </c>
      <c r="AH62" s="390">
        <f>SUM(AH55:AH61)</f>
        <v>0</v>
      </c>
      <c r="AI62" s="177">
        <f t="shared" si="25"/>
        <v>0</v>
      </c>
      <c r="AJ62" s="401">
        <f>SUM(AJ55:AJ61)</f>
        <v>0</v>
      </c>
      <c r="AK62" s="105">
        <f t="shared" si="36"/>
        <v>0</v>
      </c>
      <c r="AL62" s="549">
        <f t="shared" si="26"/>
        <v>1</v>
      </c>
      <c r="AM62" s="319">
        <f t="shared" si="51"/>
        <v>4.8846684593562736E-9</v>
      </c>
      <c r="AN62" s="480">
        <f t="shared" si="27"/>
        <v>154</v>
      </c>
      <c r="AO62" s="140">
        <f t="shared" si="52"/>
        <v>7.6769787597449382E-8</v>
      </c>
      <c r="AP62" s="529">
        <f t="shared" si="28"/>
        <v>1489078</v>
      </c>
      <c r="AQ62" s="141">
        <f t="shared" si="53"/>
        <v>2.1359777224803848E-3</v>
      </c>
      <c r="AR62" s="428">
        <f t="shared" si="29"/>
        <v>11325120</v>
      </c>
      <c r="AS62" s="140">
        <f t="shared" si="54"/>
        <v>1.766647342931795E-3</v>
      </c>
      <c r="AT62" s="529">
        <f>SUM(AT55:AT61)</f>
        <v>1389903</v>
      </c>
      <c r="AU62" s="141">
        <f t="shared" si="30"/>
        <v>1.7176359864731249E-3</v>
      </c>
      <c r="AV62" s="410">
        <f>SUM(AV55:AV61)</f>
        <v>13030112</v>
      </c>
      <c r="AW62" s="140">
        <f t="shared" si="31"/>
        <v>1.802814515329031E-3</v>
      </c>
      <c r="AX62" s="529">
        <f t="shared" si="32"/>
        <v>99175</v>
      </c>
      <c r="AY62" s="141">
        <f t="shared" si="33"/>
        <v>1.0713539002362036</v>
      </c>
      <c r="AZ62" s="410">
        <f t="shared" si="34"/>
        <v>-1704992</v>
      </c>
      <c r="BA62" s="140">
        <f t="shared" si="35"/>
        <v>0.86914985842024994</v>
      </c>
      <c r="BB62" s="11"/>
    </row>
    <row r="63" spans="1:54" ht="15.95" customHeight="1">
      <c r="A63" s="38" t="s">
        <v>59</v>
      </c>
      <c r="B63" s="712">
        <f>[8]本部!$I$63</f>
        <v>-8213352</v>
      </c>
      <c r="C63" s="221" t="str">
        <f t="shared" si="38"/>
        <v/>
      </c>
      <c r="D63" s="732">
        <f>[8]本部!$L$63</f>
        <v>-73166638</v>
      </c>
      <c r="E63" s="142" t="str">
        <f t="shared" si="39"/>
        <v/>
      </c>
      <c r="F63" s="365">
        <f>[8]本社営業!$I$63</f>
        <v>4065609</v>
      </c>
      <c r="G63" s="15">
        <f t="shared" si="40"/>
        <v>8.8918893651423313E-3</v>
      </c>
      <c r="H63" s="367">
        <f>[8]本社営業!$L$63</f>
        <v>37146511</v>
      </c>
      <c r="I63" s="144">
        <f t="shared" si="19"/>
        <v>9.0272423468510301E-3</v>
      </c>
      <c r="J63" s="751">
        <f>[8]東大阪!$I$63</f>
        <v>566721</v>
      </c>
      <c r="K63" s="15">
        <f t="shared" si="20"/>
        <v>6.1718863839966859E-2</v>
      </c>
      <c r="L63" s="367">
        <f>[8]東大阪!$L$63</f>
        <v>4095676</v>
      </c>
      <c r="M63" s="144">
        <f t="shared" si="37"/>
        <v>5.5874000709394016E-2</v>
      </c>
      <c r="N63" s="413">
        <f>[8]南港工場!$I$63</f>
        <v>1248430</v>
      </c>
      <c r="O63" s="15">
        <f t="shared" si="41"/>
        <v>4.7998061054111897E-2</v>
      </c>
      <c r="P63" s="367">
        <f>[8]南港工場!$L$63</f>
        <v>10189044</v>
      </c>
      <c r="Q63" s="178">
        <f t="shared" si="42"/>
        <v>4.7110120747124361E-2</v>
      </c>
      <c r="R63" s="447">
        <f>[8]南港事務!$I$63</f>
        <v>246401</v>
      </c>
      <c r="S63" s="15" t="str">
        <f t="shared" si="43"/>
        <v/>
      </c>
      <c r="T63" s="367">
        <f>[8]南港事務!$L$63</f>
        <v>1950403</v>
      </c>
      <c r="U63" s="210" t="str">
        <f t="shared" si="44"/>
        <v/>
      </c>
      <c r="V63" s="491">
        <f t="shared" si="21"/>
        <v>1494831</v>
      </c>
      <c r="W63" s="178">
        <f t="shared" si="45"/>
        <v>5.7471375730781177E-2</v>
      </c>
      <c r="X63" s="431">
        <f t="shared" si="22"/>
        <v>12139447</v>
      </c>
      <c r="Y63" s="231">
        <f t="shared" si="46"/>
        <v>5.6128014951482841E-2</v>
      </c>
      <c r="Z63" s="570">
        <f t="shared" si="23"/>
        <v>6127161</v>
      </c>
      <c r="AA63" s="195">
        <f t="shared" si="47"/>
        <v>1.2442982980788062E-2</v>
      </c>
      <c r="AB63" s="567">
        <f t="shared" si="24"/>
        <v>53381634</v>
      </c>
      <c r="AC63" s="143">
        <f t="shared" si="48"/>
        <v>1.2119744972035846E-2</v>
      </c>
      <c r="AD63" s="365">
        <f>[8]東京事務!$I$63</f>
        <v>1519470</v>
      </c>
      <c r="AE63" s="15">
        <f t="shared" si="49"/>
        <v>7.7223361652818097E-3</v>
      </c>
      <c r="AF63" s="367">
        <f>[8]東京事務!$L$63</f>
        <v>14842434</v>
      </c>
      <c r="AG63" s="86">
        <f t="shared" si="50"/>
        <v>7.6976471610132645E-3</v>
      </c>
      <c r="AH63" s="393">
        <f>[8]東京工場!$I$63</f>
        <v>566721</v>
      </c>
      <c r="AI63" s="178">
        <f t="shared" si="25"/>
        <v>7.1203360040828279E-2</v>
      </c>
      <c r="AJ63" s="367">
        <f>[8]東京工場!$L$63</f>
        <v>4942570</v>
      </c>
      <c r="AK63" s="106">
        <f t="shared" si="36"/>
        <v>6.3513289259183009E-2</v>
      </c>
      <c r="AL63" s="551">
        <f t="shared" si="26"/>
        <v>2086191</v>
      </c>
      <c r="AM63" s="320">
        <f t="shared" si="51"/>
        <v>1.0190351377892924E-2</v>
      </c>
      <c r="AN63" s="538">
        <f t="shared" si="27"/>
        <v>19785004</v>
      </c>
      <c r="AO63" s="143">
        <f t="shared" si="52"/>
        <v>9.8629256798356268E-3</v>
      </c>
      <c r="AP63" s="531">
        <f t="shared" si="28"/>
        <v>0</v>
      </c>
      <c r="AQ63" s="288">
        <f t="shared" si="53"/>
        <v>0</v>
      </c>
      <c r="AR63" s="518">
        <f t="shared" si="29"/>
        <v>0</v>
      </c>
      <c r="AS63" s="289">
        <f t="shared" si="54"/>
        <v>0</v>
      </c>
      <c r="AT63" s="588">
        <f>[8]全社合計!$G$63</f>
        <v>0</v>
      </c>
      <c r="AU63" s="144">
        <f t="shared" si="30"/>
        <v>0</v>
      </c>
      <c r="AV63" s="598">
        <f>[8]全社合計!$N$63</f>
        <v>0</v>
      </c>
      <c r="AW63" s="145">
        <f t="shared" si="31"/>
        <v>0</v>
      </c>
      <c r="AX63" s="588">
        <f t="shared" si="32"/>
        <v>0</v>
      </c>
      <c r="AY63" s="144" t="str">
        <f t="shared" si="33"/>
        <v/>
      </c>
      <c r="AZ63" s="598">
        <f t="shared" si="34"/>
        <v>0</v>
      </c>
      <c r="BA63" s="145" t="str">
        <f t="shared" si="35"/>
        <v/>
      </c>
      <c r="BB63" s="11"/>
    </row>
    <row r="64" spans="1:54" ht="19.899999999999999" customHeight="1">
      <c r="A64" s="57" t="s">
        <v>50</v>
      </c>
      <c r="B64" s="713">
        <f>+B48+B54-B62-B63</f>
        <v>0</v>
      </c>
      <c r="C64" s="146" t="str">
        <f t="shared" si="38"/>
        <v/>
      </c>
      <c r="D64" s="376">
        <f>D48+D54-D62-D63</f>
        <v>0</v>
      </c>
      <c r="E64" s="136" t="str">
        <f t="shared" si="39"/>
        <v/>
      </c>
      <c r="F64" s="375">
        <f>F48+F54-F62-F63</f>
        <v>28656814</v>
      </c>
      <c r="G64" s="56">
        <f t="shared" si="40"/>
        <v>6.2675289149906416E-2</v>
      </c>
      <c r="H64" s="376">
        <f>H48+H54-H62-H63</f>
        <v>346548581</v>
      </c>
      <c r="I64" s="146">
        <f t="shared" si="19"/>
        <v>8.4217277516166575E-2</v>
      </c>
      <c r="J64" s="374">
        <f>J48+J54-J62-J63</f>
        <v>-1691067</v>
      </c>
      <c r="K64" s="56">
        <f t="shared" si="20"/>
        <v>-0.18416598982084878</v>
      </c>
      <c r="L64" s="376">
        <f>L48+L54-L62-L63</f>
        <v>16475323</v>
      </c>
      <c r="M64" s="146">
        <f t="shared" si="37"/>
        <v>0.22475952907151237</v>
      </c>
      <c r="N64" s="412">
        <f>N48+N54-N62-N63</f>
        <v>6301603</v>
      </c>
      <c r="O64" s="56">
        <f t="shared" si="41"/>
        <v>0.24227607918167196</v>
      </c>
      <c r="P64" s="376">
        <f>P48+P54-P62-P63</f>
        <v>23716853</v>
      </c>
      <c r="Q64" s="176">
        <f t="shared" si="42"/>
        <v>0.10965737399620598</v>
      </c>
      <c r="R64" s="443">
        <f>R48+R54-R62-R63</f>
        <v>-4858417</v>
      </c>
      <c r="S64" s="56" t="str">
        <f t="shared" si="43"/>
        <v/>
      </c>
      <c r="T64" s="376">
        <f>T48+T54-T62-T63</f>
        <v>-34373125</v>
      </c>
      <c r="U64" s="211" t="str">
        <f t="shared" si="44"/>
        <v/>
      </c>
      <c r="V64" s="490">
        <f t="shared" si="21"/>
        <v>1443186</v>
      </c>
      <c r="W64" s="176">
        <f t="shared" si="45"/>
        <v>5.5485793949552269E-2</v>
      </c>
      <c r="X64" s="424">
        <f t="shared" si="22"/>
        <v>-10656272</v>
      </c>
      <c r="Y64" s="232">
        <f t="shared" si="46"/>
        <v>-4.9270398737526346E-2</v>
      </c>
      <c r="Z64" s="490">
        <f t="shared" si="23"/>
        <v>28408933</v>
      </c>
      <c r="AA64" s="193">
        <f t="shared" si="47"/>
        <v>5.7692603445763602E-2</v>
      </c>
      <c r="AB64" s="424">
        <f t="shared" si="24"/>
        <v>352367632</v>
      </c>
      <c r="AC64" s="185">
        <f t="shared" si="48"/>
        <v>8.0001407155130877E-2</v>
      </c>
      <c r="AD64" s="375">
        <f>AD48+AD54-AD62-AD63</f>
        <v>4779928</v>
      </c>
      <c r="AE64" s="56">
        <f t="shared" si="49"/>
        <v>2.4292819773896916E-2</v>
      </c>
      <c r="AF64" s="376">
        <f>AF48+AF54-AF62-AF63</f>
        <v>57623035</v>
      </c>
      <c r="AG64" s="87">
        <f t="shared" si="50"/>
        <v>2.98847070350266E-2</v>
      </c>
      <c r="AH64" s="392">
        <f>AH48+AH54-AH62-AH63</f>
        <v>472667</v>
      </c>
      <c r="AI64" s="176">
        <f t="shared" si="25"/>
        <v>5.9386326923509418E-2</v>
      </c>
      <c r="AJ64" s="376">
        <f>AJ48+AJ54-AJ62-AJ63</f>
        <v>15938580</v>
      </c>
      <c r="AK64" s="104">
        <f t="shared" si="36"/>
        <v>0.20481483153918489</v>
      </c>
      <c r="AL64" s="545">
        <f t="shared" si="26"/>
        <v>5252595</v>
      </c>
      <c r="AM64" s="321">
        <f t="shared" si="51"/>
        <v>2.5657185126272464E-2</v>
      </c>
      <c r="AN64" s="537">
        <f t="shared" si="27"/>
        <v>73561615</v>
      </c>
      <c r="AO64" s="137">
        <f t="shared" si="52"/>
        <v>3.6670841291398353E-2</v>
      </c>
      <c r="AP64" s="525">
        <f t="shared" si="28"/>
        <v>33661528</v>
      </c>
      <c r="AQ64" s="303">
        <f t="shared" si="53"/>
        <v>4.8285095819459903E-2</v>
      </c>
      <c r="AR64" s="517">
        <f t="shared" si="29"/>
        <v>425929247</v>
      </c>
      <c r="AS64" s="304">
        <f t="shared" si="54"/>
        <v>6.6442278094138538E-2</v>
      </c>
      <c r="AT64" s="582">
        <f>AT48+AT54-AT62-AT63</f>
        <v>51084281</v>
      </c>
      <c r="AU64" s="146">
        <f t="shared" si="30"/>
        <v>6.3129728757118531E-2</v>
      </c>
      <c r="AV64" s="597">
        <f>AV48+AV54-AV62-AV63</f>
        <v>544694722</v>
      </c>
      <c r="AW64" s="137">
        <f t="shared" si="31"/>
        <v>7.536263320259344E-2</v>
      </c>
      <c r="AX64" s="582">
        <f t="shared" si="32"/>
        <v>-17422753</v>
      </c>
      <c r="AY64" s="146">
        <f t="shared" si="33"/>
        <v>0.65894101553470041</v>
      </c>
      <c r="AZ64" s="597">
        <f t="shared" si="34"/>
        <v>-118765475</v>
      </c>
      <c r="BA64" s="137">
        <f t="shared" si="35"/>
        <v>0.78195956339742168</v>
      </c>
      <c r="BB64" s="11"/>
    </row>
    <row r="65" spans="1:54" ht="15.95" customHeight="1">
      <c r="A65" s="39" t="s">
        <v>51</v>
      </c>
      <c r="B65" s="714">
        <f>[8]本部!$I$65</f>
        <v>0</v>
      </c>
      <c r="C65" s="261" t="str">
        <f t="shared" si="38"/>
        <v/>
      </c>
      <c r="D65" s="733">
        <f>[8]本部!$L$65</f>
        <v>0</v>
      </c>
      <c r="E65" s="142" t="str">
        <f t="shared" si="39"/>
        <v/>
      </c>
      <c r="F65" s="368">
        <f>[8]本社営業!$I$65</f>
        <v>0</v>
      </c>
      <c r="G65" s="15">
        <f t="shared" si="40"/>
        <v>0</v>
      </c>
      <c r="H65" s="370">
        <f>[8]本社営業!$L$65</f>
        <v>0</v>
      </c>
      <c r="I65" s="144">
        <f t="shared" si="19"/>
        <v>0</v>
      </c>
      <c r="J65" s="752">
        <f>[8]東大阪!$I$65</f>
        <v>0</v>
      </c>
      <c r="K65" s="15">
        <f t="shared" si="20"/>
        <v>0</v>
      </c>
      <c r="L65" s="370">
        <f>[8]東大阪!$L$65</f>
        <v>0</v>
      </c>
      <c r="M65" s="144">
        <f t="shared" si="37"/>
        <v>0</v>
      </c>
      <c r="N65" s="414">
        <f>[8]南港工場!$I$65</f>
        <v>0</v>
      </c>
      <c r="O65" s="15">
        <f t="shared" si="41"/>
        <v>0</v>
      </c>
      <c r="P65" s="370">
        <f>[8]南港工場!$L$65</f>
        <v>0</v>
      </c>
      <c r="Q65" s="178">
        <f t="shared" si="42"/>
        <v>0</v>
      </c>
      <c r="R65" s="448">
        <f>[8]南港事務!$I$65</f>
        <v>0</v>
      </c>
      <c r="S65" s="15" t="str">
        <f t="shared" si="43"/>
        <v/>
      </c>
      <c r="T65" s="370">
        <f>[8]南港事務!$L$65</f>
        <v>0</v>
      </c>
      <c r="U65" s="210" t="str">
        <f t="shared" si="44"/>
        <v/>
      </c>
      <c r="V65" s="492">
        <f t="shared" si="21"/>
        <v>0</v>
      </c>
      <c r="W65" s="178">
        <f t="shared" si="45"/>
        <v>0</v>
      </c>
      <c r="X65" s="432">
        <f t="shared" si="22"/>
        <v>0</v>
      </c>
      <c r="Y65" s="231">
        <f t="shared" si="46"/>
        <v>0</v>
      </c>
      <c r="Z65" s="571">
        <f t="shared" si="23"/>
        <v>0</v>
      </c>
      <c r="AA65" s="195">
        <f t="shared" si="47"/>
        <v>0</v>
      </c>
      <c r="AB65" s="568">
        <f t="shared" si="24"/>
        <v>0</v>
      </c>
      <c r="AC65" s="143">
        <f t="shared" si="48"/>
        <v>0</v>
      </c>
      <c r="AD65" s="368">
        <f>[8]東京事務!$I$65</f>
        <v>0</v>
      </c>
      <c r="AE65" s="15">
        <f t="shared" si="49"/>
        <v>0</v>
      </c>
      <c r="AF65" s="370">
        <f>[8]東京事務!$L$65</f>
        <v>0</v>
      </c>
      <c r="AG65" s="86">
        <f t="shared" si="50"/>
        <v>0</v>
      </c>
      <c r="AH65" s="394">
        <f>[8]東京工場!$I$65</f>
        <v>0</v>
      </c>
      <c r="AI65" s="178">
        <f t="shared" si="25"/>
        <v>0</v>
      </c>
      <c r="AJ65" s="370">
        <f>[8]東京工場!$L$65</f>
        <v>0</v>
      </c>
      <c r="AK65" s="106">
        <f t="shared" si="36"/>
        <v>0</v>
      </c>
      <c r="AL65" s="552">
        <f t="shared" si="26"/>
        <v>0</v>
      </c>
      <c r="AM65" s="320">
        <f t="shared" si="51"/>
        <v>0</v>
      </c>
      <c r="AN65" s="539">
        <f t="shared" si="27"/>
        <v>0</v>
      </c>
      <c r="AO65" s="143">
        <f t="shared" si="52"/>
        <v>0</v>
      </c>
      <c r="AP65" s="532">
        <f t="shared" si="28"/>
        <v>0</v>
      </c>
      <c r="AQ65" s="288">
        <f t="shared" si="53"/>
        <v>0</v>
      </c>
      <c r="AR65" s="519">
        <f t="shared" si="29"/>
        <v>0</v>
      </c>
      <c r="AS65" s="289">
        <f t="shared" si="54"/>
        <v>0</v>
      </c>
      <c r="AT65" s="589">
        <f>[8]全社合計!$G$65</f>
        <v>0</v>
      </c>
      <c r="AU65" s="144">
        <f t="shared" si="30"/>
        <v>0</v>
      </c>
      <c r="AV65" s="599">
        <f>[8]全社合計!$N$65</f>
        <v>0</v>
      </c>
      <c r="AW65" s="145">
        <f t="shared" si="31"/>
        <v>0</v>
      </c>
      <c r="AX65" s="589">
        <f t="shared" si="32"/>
        <v>0</v>
      </c>
      <c r="AY65" s="144" t="str">
        <f t="shared" si="33"/>
        <v/>
      </c>
      <c r="AZ65" s="599">
        <f t="shared" si="34"/>
        <v>0</v>
      </c>
      <c r="BA65" s="145" t="str">
        <f t="shared" si="35"/>
        <v/>
      </c>
      <c r="BB65" s="11"/>
    </row>
    <row r="66" spans="1:54" ht="15.95" customHeight="1">
      <c r="A66" s="40" t="s">
        <v>52</v>
      </c>
      <c r="B66" s="715">
        <f>[8]本部!$I$66</f>
        <v>0</v>
      </c>
      <c r="C66" s="262" t="str">
        <f t="shared" si="38"/>
        <v/>
      </c>
      <c r="D66" s="734">
        <f>[8]本部!$L$66</f>
        <v>0</v>
      </c>
      <c r="E66" s="147" t="str">
        <f t="shared" si="39"/>
        <v/>
      </c>
      <c r="F66" s="369">
        <f>[8]本社営業!$I$66</f>
        <v>0</v>
      </c>
      <c r="G66" s="16">
        <f t="shared" si="40"/>
        <v>0</v>
      </c>
      <c r="H66" s="371">
        <f>[8]本社営業!$L$66</f>
        <v>0</v>
      </c>
      <c r="I66" s="149">
        <f t="shared" si="19"/>
        <v>0</v>
      </c>
      <c r="J66" s="753">
        <f>[8]東大阪!$I$66</f>
        <v>0</v>
      </c>
      <c r="K66" s="16">
        <f>IF(ISERR(J66/$J$11),"",J66/$J$11)</f>
        <v>0</v>
      </c>
      <c r="L66" s="371">
        <f>[8]東大阪!$L$66</f>
        <v>0</v>
      </c>
      <c r="M66" s="149">
        <f t="shared" si="37"/>
        <v>0</v>
      </c>
      <c r="N66" s="415">
        <f>[8]南港工場!$I$66</f>
        <v>0</v>
      </c>
      <c r="O66" s="16">
        <f t="shared" si="41"/>
        <v>0</v>
      </c>
      <c r="P66" s="371">
        <f>[8]南港工場!$L$66</f>
        <v>0</v>
      </c>
      <c r="Q66" s="179">
        <f t="shared" si="42"/>
        <v>0</v>
      </c>
      <c r="R66" s="449">
        <f>[8]南港事務!$I$66</f>
        <v>0</v>
      </c>
      <c r="S66" s="16" t="str">
        <f t="shared" si="43"/>
        <v/>
      </c>
      <c r="T66" s="371">
        <f>[8]南港事務!$L$66</f>
        <v>0</v>
      </c>
      <c r="U66" s="212" t="str">
        <f t="shared" si="44"/>
        <v/>
      </c>
      <c r="V66" s="493">
        <f t="shared" si="21"/>
        <v>0</v>
      </c>
      <c r="W66" s="179">
        <f t="shared" si="45"/>
        <v>0</v>
      </c>
      <c r="X66" s="433">
        <f t="shared" si="22"/>
        <v>0</v>
      </c>
      <c r="Y66" s="233">
        <f t="shared" si="46"/>
        <v>0</v>
      </c>
      <c r="Z66" s="572">
        <f t="shared" si="23"/>
        <v>0</v>
      </c>
      <c r="AA66" s="196">
        <f t="shared" si="47"/>
        <v>0</v>
      </c>
      <c r="AB66" s="569">
        <f t="shared" si="24"/>
        <v>0</v>
      </c>
      <c r="AC66" s="148">
        <f t="shared" si="48"/>
        <v>0</v>
      </c>
      <c r="AD66" s="369">
        <f>[8]東京事務!$I$66</f>
        <v>0</v>
      </c>
      <c r="AE66" s="16">
        <f t="shared" si="49"/>
        <v>0</v>
      </c>
      <c r="AF66" s="371">
        <f>[8]東京事務!$L$66</f>
        <v>0</v>
      </c>
      <c r="AG66" s="88">
        <f t="shared" si="50"/>
        <v>0</v>
      </c>
      <c r="AH66" s="395">
        <f>[8]東京工場!$I$66</f>
        <v>0</v>
      </c>
      <c r="AI66" s="179">
        <f t="shared" si="25"/>
        <v>0</v>
      </c>
      <c r="AJ66" s="371">
        <f>[8]東京工場!$L$66</f>
        <v>0</v>
      </c>
      <c r="AK66" s="107">
        <f t="shared" si="36"/>
        <v>0</v>
      </c>
      <c r="AL66" s="553">
        <f t="shared" si="26"/>
        <v>0</v>
      </c>
      <c r="AM66" s="322">
        <f t="shared" si="51"/>
        <v>0</v>
      </c>
      <c r="AN66" s="540">
        <f t="shared" si="27"/>
        <v>0</v>
      </c>
      <c r="AO66" s="148">
        <f t="shared" si="52"/>
        <v>0</v>
      </c>
      <c r="AP66" s="533">
        <f t="shared" si="28"/>
        <v>0</v>
      </c>
      <c r="AQ66" s="290">
        <f t="shared" si="53"/>
        <v>0</v>
      </c>
      <c r="AR66" s="520">
        <f t="shared" si="29"/>
        <v>0</v>
      </c>
      <c r="AS66" s="291">
        <f t="shared" si="54"/>
        <v>0</v>
      </c>
      <c r="AT66" s="590">
        <f>[8]全社合計!$G$66</f>
        <v>0</v>
      </c>
      <c r="AU66" s="149">
        <f t="shared" si="30"/>
        <v>0</v>
      </c>
      <c r="AV66" s="600">
        <f>[8]全社合計!$N$66</f>
        <v>0</v>
      </c>
      <c r="AW66" s="150">
        <f t="shared" si="31"/>
        <v>0</v>
      </c>
      <c r="AX66" s="590">
        <f t="shared" si="32"/>
        <v>0</v>
      </c>
      <c r="AY66" s="149" t="str">
        <f t="shared" si="33"/>
        <v/>
      </c>
      <c r="AZ66" s="600">
        <f t="shared" si="34"/>
        <v>0</v>
      </c>
      <c r="BA66" s="150" t="str">
        <f t="shared" si="35"/>
        <v/>
      </c>
      <c r="BB66" s="11"/>
    </row>
    <row r="67" spans="1:54" ht="18" customHeight="1">
      <c r="A67" s="68" t="s">
        <v>60</v>
      </c>
      <c r="B67" s="716">
        <f>+B64+B65-B66</f>
        <v>0</v>
      </c>
      <c r="C67" s="152" t="str">
        <f t="shared" si="38"/>
        <v/>
      </c>
      <c r="D67" s="377">
        <f>D64+D65-D66</f>
        <v>0</v>
      </c>
      <c r="E67" s="218" t="str">
        <f t="shared" si="39"/>
        <v/>
      </c>
      <c r="F67" s="372">
        <f>F64+F65-F66</f>
        <v>28656814</v>
      </c>
      <c r="G67" s="69">
        <f t="shared" si="40"/>
        <v>6.2675289149906416E-2</v>
      </c>
      <c r="H67" s="377">
        <f>H64+H65-H66</f>
        <v>346548581</v>
      </c>
      <c r="I67" s="152">
        <f t="shared" si="19"/>
        <v>8.4217277516166575E-2</v>
      </c>
      <c r="J67" s="754">
        <f>J64+J65-J66</f>
        <v>-1691067</v>
      </c>
      <c r="K67" s="69">
        <f>IF(ISERR(J67/$J$11),"",J67/$J$11)</f>
        <v>-0.18416598982084878</v>
      </c>
      <c r="L67" s="377">
        <f>L64+L65-L66</f>
        <v>16475323</v>
      </c>
      <c r="M67" s="152">
        <f t="shared" si="37"/>
        <v>0.22475952907151237</v>
      </c>
      <c r="N67" s="416">
        <f>N64+N65-N66</f>
        <v>6301603</v>
      </c>
      <c r="O67" s="69">
        <f t="shared" si="41"/>
        <v>0.24227607918167196</v>
      </c>
      <c r="P67" s="377">
        <f>P64+P65-P66</f>
        <v>23716853</v>
      </c>
      <c r="Q67" s="180">
        <f t="shared" si="42"/>
        <v>0.10965737399620598</v>
      </c>
      <c r="R67" s="450">
        <f>R64+R65-R66</f>
        <v>-4858417</v>
      </c>
      <c r="S67" s="69" t="str">
        <f t="shared" si="43"/>
        <v/>
      </c>
      <c r="T67" s="377">
        <f>T64+T65-T66</f>
        <v>-34373125</v>
      </c>
      <c r="U67" s="213" t="str">
        <f t="shared" si="44"/>
        <v/>
      </c>
      <c r="V67" s="494">
        <f t="shared" si="21"/>
        <v>1443186</v>
      </c>
      <c r="W67" s="180">
        <f t="shared" si="45"/>
        <v>5.5485793949552269E-2</v>
      </c>
      <c r="X67" s="434">
        <f t="shared" si="22"/>
        <v>-10656272</v>
      </c>
      <c r="Y67" s="234">
        <f t="shared" si="46"/>
        <v>-4.9270398737526346E-2</v>
      </c>
      <c r="Z67" s="494">
        <f t="shared" si="23"/>
        <v>28408933</v>
      </c>
      <c r="AA67" s="197">
        <f t="shared" si="47"/>
        <v>5.7692603445763602E-2</v>
      </c>
      <c r="AB67" s="434">
        <f t="shared" si="24"/>
        <v>352367632</v>
      </c>
      <c r="AC67" s="186">
        <f t="shared" si="48"/>
        <v>8.0001407155130877E-2</v>
      </c>
      <c r="AD67" s="372">
        <f>AD64+AD65-AD66</f>
        <v>4779928</v>
      </c>
      <c r="AE67" s="69">
        <f t="shared" si="49"/>
        <v>2.4292819773896916E-2</v>
      </c>
      <c r="AF67" s="377">
        <f>AF64+AF65-AF66</f>
        <v>57623035</v>
      </c>
      <c r="AG67" s="89">
        <f t="shared" si="50"/>
        <v>2.98847070350266E-2</v>
      </c>
      <c r="AH67" s="396">
        <f>AH64+AH65-AH66</f>
        <v>472667</v>
      </c>
      <c r="AI67" s="180">
        <f t="shared" si="25"/>
        <v>5.9386326923509418E-2</v>
      </c>
      <c r="AJ67" s="377">
        <f>AJ64+AJ65-AJ66</f>
        <v>15938580</v>
      </c>
      <c r="AK67" s="108">
        <f t="shared" si="36"/>
        <v>0.20481483153918489</v>
      </c>
      <c r="AL67" s="554">
        <f t="shared" si="26"/>
        <v>5252595</v>
      </c>
      <c r="AM67" s="323">
        <f t="shared" si="51"/>
        <v>2.5657185126272464E-2</v>
      </c>
      <c r="AN67" s="541">
        <f t="shared" si="27"/>
        <v>73561615</v>
      </c>
      <c r="AO67" s="151">
        <f t="shared" si="52"/>
        <v>3.6670841291398353E-2</v>
      </c>
      <c r="AP67" s="534">
        <f t="shared" si="28"/>
        <v>33661528</v>
      </c>
      <c r="AQ67" s="152">
        <f t="shared" si="53"/>
        <v>4.8285095819459903E-2</v>
      </c>
      <c r="AR67" s="521">
        <f t="shared" si="29"/>
        <v>425929247</v>
      </c>
      <c r="AS67" s="151">
        <f t="shared" si="54"/>
        <v>6.6442278094138538E-2</v>
      </c>
      <c r="AT67" s="534">
        <f>AT64+AT65-AT66</f>
        <v>51084281</v>
      </c>
      <c r="AU67" s="152">
        <f t="shared" si="30"/>
        <v>6.3129728757118531E-2</v>
      </c>
      <c r="AV67" s="601">
        <f>AV64+AV65-AV66</f>
        <v>544694722</v>
      </c>
      <c r="AW67" s="151">
        <f t="shared" si="31"/>
        <v>7.536263320259344E-2</v>
      </c>
      <c r="AX67" s="534">
        <f t="shared" si="32"/>
        <v>-17422753</v>
      </c>
      <c r="AY67" s="152">
        <f t="shared" si="33"/>
        <v>0.65894101553470041</v>
      </c>
      <c r="AZ67" s="601">
        <f t="shared" si="34"/>
        <v>-118765475</v>
      </c>
      <c r="BA67" s="151">
        <f t="shared" si="35"/>
        <v>0.78195956339742168</v>
      </c>
      <c r="BB67" s="11"/>
    </row>
    <row r="68" spans="1:54" ht="18" customHeight="1">
      <c r="A68" s="70" t="s">
        <v>61</v>
      </c>
      <c r="B68" s="717"/>
      <c r="C68" s="155" t="str">
        <f t="shared" si="38"/>
        <v/>
      </c>
      <c r="D68" s="378"/>
      <c r="E68" s="153" t="str">
        <f t="shared" si="39"/>
        <v/>
      </c>
      <c r="F68" s="373"/>
      <c r="G68" s="71">
        <f t="shared" si="40"/>
        <v>0</v>
      </c>
      <c r="H68" s="378"/>
      <c r="I68" s="155">
        <f t="shared" si="19"/>
        <v>0</v>
      </c>
      <c r="J68" s="755"/>
      <c r="K68" s="71">
        <f t="shared" si="20"/>
        <v>0</v>
      </c>
      <c r="L68" s="378"/>
      <c r="M68" s="155">
        <f t="shared" si="37"/>
        <v>0</v>
      </c>
      <c r="N68" s="417"/>
      <c r="O68" s="71">
        <f t="shared" si="41"/>
        <v>0</v>
      </c>
      <c r="P68" s="378"/>
      <c r="Q68" s="181">
        <f t="shared" si="42"/>
        <v>0</v>
      </c>
      <c r="R68" s="451"/>
      <c r="S68" s="71" t="str">
        <f t="shared" si="43"/>
        <v/>
      </c>
      <c r="T68" s="378"/>
      <c r="U68" s="214" t="str">
        <f t="shared" si="44"/>
        <v/>
      </c>
      <c r="V68" s="495">
        <f t="shared" si="21"/>
        <v>0</v>
      </c>
      <c r="W68" s="181">
        <f t="shared" si="45"/>
        <v>0</v>
      </c>
      <c r="X68" s="435">
        <f t="shared" si="22"/>
        <v>0</v>
      </c>
      <c r="Y68" s="235">
        <f t="shared" si="46"/>
        <v>0</v>
      </c>
      <c r="Z68" s="495">
        <f t="shared" si="23"/>
        <v>0</v>
      </c>
      <c r="AA68" s="198">
        <f t="shared" si="47"/>
        <v>0</v>
      </c>
      <c r="AB68" s="435">
        <f t="shared" si="24"/>
        <v>0</v>
      </c>
      <c r="AC68" s="154">
        <f t="shared" si="48"/>
        <v>0</v>
      </c>
      <c r="AD68" s="373"/>
      <c r="AE68" s="71">
        <f t="shared" si="49"/>
        <v>0</v>
      </c>
      <c r="AF68" s="378"/>
      <c r="AG68" s="90">
        <f t="shared" si="50"/>
        <v>0</v>
      </c>
      <c r="AH68" s="561"/>
      <c r="AI68" s="181">
        <f t="shared" si="25"/>
        <v>0</v>
      </c>
      <c r="AJ68" s="378"/>
      <c r="AK68" s="109">
        <f t="shared" si="36"/>
        <v>0</v>
      </c>
      <c r="AL68" s="555">
        <f t="shared" si="26"/>
        <v>0</v>
      </c>
      <c r="AM68" s="324"/>
      <c r="AN68" s="542">
        <f t="shared" si="27"/>
        <v>0</v>
      </c>
      <c r="AO68" s="154">
        <f t="shared" si="52"/>
        <v>0</v>
      </c>
      <c r="AP68" s="535">
        <f t="shared" si="28"/>
        <v>0</v>
      </c>
      <c r="AQ68" s="293">
        <f t="shared" si="53"/>
        <v>0</v>
      </c>
      <c r="AR68" s="522">
        <f t="shared" si="29"/>
        <v>0</v>
      </c>
      <c r="AS68" s="292">
        <f t="shared" si="54"/>
        <v>0</v>
      </c>
      <c r="AT68" s="591"/>
      <c r="AU68" s="155">
        <f t="shared" si="30"/>
        <v>0</v>
      </c>
      <c r="AV68" s="602"/>
      <c r="AW68" s="154">
        <f t="shared" si="31"/>
        <v>0</v>
      </c>
      <c r="AX68" s="591">
        <f t="shared" si="32"/>
        <v>0</v>
      </c>
      <c r="AY68" s="155" t="str">
        <f t="shared" si="33"/>
        <v/>
      </c>
      <c r="AZ68" s="602">
        <f t="shared" si="34"/>
        <v>0</v>
      </c>
      <c r="BA68" s="154" t="str">
        <f t="shared" si="35"/>
        <v/>
      </c>
      <c r="BB68" s="11"/>
    </row>
    <row r="69" spans="1:54" ht="18" customHeight="1">
      <c r="A69" s="58" t="s">
        <v>62</v>
      </c>
      <c r="B69" s="718">
        <f>+B67-B68</f>
        <v>0</v>
      </c>
      <c r="C69" s="157" t="str">
        <f t="shared" si="38"/>
        <v/>
      </c>
      <c r="D69" s="376">
        <f>D67-D68</f>
        <v>0</v>
      </c>
      <c r="E69" s="219" t="str">
        <f t="shared" si="39"/>
        <v/>
      </c>
      <c r="F69" s="374">
        <f>F67-F68</f>
        <v>28656814</v>
      </c>
      <c r="G69" s="59">
        <f t="shared" si="40"/>
        <v>6.2675289149906416E-2</v>
      </c>
      <c r="H69" s="376">
        <f>H67-H68</f>
        <v>346548581</v>
      </c>
      <c r="I69" s="157">
        <f t="shared" si="19"/>
        <v>8.4217277516166575E-2</v>
      </c>
      <c r="J69" s="374">
        <f>J67-J68</f>
        <v>-1691067</v>
      </c>
      <c r="K69" s="59">
        <f t="shared" si="20"/>
        <v>-0.18416598982084878</v>
      </c>
      <c r="L69" s="376">
        <f>L67-L68</f>
        <v>16475323</v>
      </c>
      <c r="M69" s="157">
        <f t="shared" si="37"/>
        <v>0.22475952907151237</v>
      </c>
      <c r="N69" s="418">
        <f>N67-N68</f>
        <v>6301603</v>
      </c>
      <c r="O69" s="59">
        <f t="shared" si="41"/>
        <v>0.24227607918167196</v>
      </c>
      <c r="P69" s="376">
        <f>P67-P68</f>
        <v>23716853</v>
      </c>
      <c r="Q69" s="182">
        <f t="shared" si="42"/>
        <v>0.10965737399620598</v>
      </c>
      <c r="R69" s="443">
        <f>R67-R68</f>
        <v>-4858417</v>
      </c>
      <c r="S69" s="59" t="str">
        <f t="shared" si="43"/>
        <v/>
      </c>
      <c r="T69" s="376">
        <f>T67-T68</f>
        <v>-34373125</v>
      </c>
      <c r="U69" s="215" t="str">
        <f t="shared" si="44"/>
        <v/>
      </c>
      <c r="V69" s="496">
        <f t="shared" si="21"/>
        <v>1443186</v>
      </c>
      <c r="W69" s="182">
        <f t="shared" si="45"/>
        <v>5.5485793949552269E-2</v>
      </c>
      <c r="X69" s="424">
        <f t="shared" si="22"/>
        <v>-10656272</v>
      </c>
      <c r="Y69" s="236">
        <f t="shared" si="46"/>
        <v>-4.9270398737526346E-2</v>
      </c>
      <c r="Z69" s="490">
        <f t="shared" si="23"/>
        <v>28408933</v>
      </c>
      <c r="AA69" s="199">
        <f t="shared" si="47"/>
        <v>5.7692603445763602E-2</v>
      </c>
      <c r="AB69" s="424">
        <f t="shared" si="24"/>
        <v>352367632</v>
      </c>
      <c r="AC69" s="187">
        <f t="shared" si="48"/>
        <v>8.0001407155130877E-2</v>
      </c>
      <c r="AD69" s="374">
        <f>AD67-AD68</f>
        <v>4779928</v>
      </c>
      <c r="AE69" s="59">
        <f t="shared" si="49"/>
        <v>2.4292819773896916E-2</v>
      </c>
      <c r="AF69" s="376">
        <f>AF67-AF68</f>
        <v>57623035</v>
      </c>
      <c r="AG69" s="91">
        <f t="shared" si="50"/>
        <v>2.98847070350266E-2</v>
      </c>
      <c r="AH69" s="398">
        <f>+AH67-AH68</f>
        <v>472667</v>
      </c>
      <c r="AI69" s="182">
        <f t="shared" si="25"/>
        <v>5.9386326923509418E-2</v>
      </c>
      <c r="AJ69" s="376">
        <f>AJ67-AJ68</f>
        <v>15938580</v>
      </c>
      <c r="AK69" s="110">
        <f t="shared" si="36"/>
        <v>0.20481483153918489</v>
      </c>
      <c r="AL69" s="545">
        <f t="shared" si="26"/>
        <v>5252595</v>
      </c>
      <c r="AM69" s="325"/>
      <c r="AN69" s="543">
        <f t="shared" si="27"/>
        <v>73561615</v>
      </c>
      <c r="AO69" s="156">
        <f t="shared" si="52"/>
        <v>3.6670841291398353E-2</v>
      </c>
      <c r="AP69" s="525">
        <f t="shared" si="28"/>
        <v>33661528</v>
      </c>
      <c r="AQ69" s="152">
        <f t="shared" si="53"/>
        <v>4.8285095819459903E-2</v>
      </c>
      <c r="AR69" s="523">
        <f t="shared" si="29"/>
        <v>425929247</v>
      </c>
      <c r="AS69" s="151">
        <f t="shared" si="54"/>
        <v>6.6442278094138538E-2</v>
      </c>
      <c r="AT69" s="582">
        <f>AT67-AT68</f>
        <v>51084281</v>
      </c>
      <c r="AU69" s="157">
        <f t="shared" si="30"/>
        <v>6.3129728757118531E-2</v>
      </c>
      <c r="AV69" s="603">
        <f>AV67-AV68</f>
        <v>544694722</v>
      </c>
      <c r="AW69" s="156">
        <f t="shared" si="31"/>
        <v>7.536263320259344E-2</v>
      </c>
      <c r="AX69" s="582">
        <f t="shared" si="32"/>
        <v>-17422753</v>
      </c>
      <c r="AY69" s="157">
        <f t="shared" si="33"/>
        <v>0.65894101553470041</v>
      </c>
      <c r="AZ69" s="603">
        <f t="shared" si="34"/>
        <v>-118765475</v>
      </c>
      <c r="BA69" s="156">
        <f t="shared" si="35"/>
        <v>0.78195956339742168</v>
      </c>
      <c r="BB69" s="11"/>
    </row>
    <row r="70" spans="1:54" ht="15.95" customHeight="1" thickBot="1">
      <c r="A70" s="41" t="s">
        <v>84</v>
      </c>
      <c r="B70" s="263">
        <f>[8]本部!$I$68</f>
        <v>6</v>
      </c>
      <c r="C70" s="264"/>
      <c r="D70" s="248">
        <f>[8]本部!$L$68</f>
        <v>6</v>
      </c>
      <c r="E70" s="46"/>
      <c r="F70" s="28">
        <f>[8]本社営業!$I$68</f>
        <v>18</v>
      </c>
      <c r="G70" s="19"/>
      <c r="H70" s="249">
        <f>[8]本社営業!$L$68</f>
        <v>18</v>
      </c>
      <c r="I70" s="20"/>
      <c r="J70" s="756">
        <f>[8]東大阪!$I$68</f>
        <v>15</v>
      </c>
      <c r="K70" s="19"/>
      <c r="L70" s="249">
        <f>J70</f>
        <v>15</v>
      </c>
      <c r="M70" s="20"/>
      <c r="N70" s="237">
        <f>[8]南港工場!$I$68</f>
        <v>17</v>
      </c>
      <c r="O70" s="19"/>
      <c r="P70" s="249">
        <f>N70</f>
        <v>17</v>
      </c>
      <c r="Q70" s="246"/>
      <c r="R70" s="247">
        <f>[8]南港事務!$I$68</f>
        <v>6</v>
      </c>
      <c r="S70" s="19"/>
      <c r="T70" s="249">
        <f>R70</f>
        <v>6</v>
      </c>
      <c r="U70" s="73"/>
      <c r="V70" s="18">
        <f t="shared" si="21"/>
        <v>23</v>
      </c>
      <c r="W70" s="19"/>
      <c r="X70" s="250">
        <f t="shared" si="22"/>
        <v>23</v>
      </c>
      <c r="Y70" s="238"/>
      <c r="Z70" s="53">
        <f t="shared" si="23"/>
        <v>56</v>
      </c>
      <c r="AA70" s="75"/>
      <c r="AB70" s="251">
        <f t="shared" si="24"/>
        <v>56</v>
      </c>
      <c r="AC70" s="333"/>
      <c r="AD70" s="28">
        <f>[8]東京事務!$I$68</f>
        <v>8</v>
      </c>
      <c r="AE70" s="19"/>
      <c r="AF70" s="249">
        <f>AD70</f>
        <v>8</v>
      </c>
      <c r="AG70" s="32"/>
      <c r="AH70" s="31">
        <f>[8]東京工場!$I$68</f>
        <v>11</v>
      </c>
      <c r="AI70" s="19"/>
      <c r="AJ70" s="249">
        <f>AH70</f>
        <v>11</v>
      </c>
      <c r="AK70" s="45"/>
      <c r="AL70" s="48">
        <f t="shared" si="26"/>
        <v>19</v>
      </c>
      <c r="AM70" s="326"/>
      <c r="AN70" s="252">
        <f t="shared" si="27"/>
        <v>19</v>
      </c>
      <c r="AO70" s="54"/>
      <c r="AP70" s="294">
        <f t="shared" si="28"/>
        <v>81</v>
      </c>
      <c r="AQ70" s="295"/>
      <c r="AR70" s="296">
        <f t="shared" si="29"/>
        <v>81</v>
      </c>
      <c r="AS70" s="297"/>
      <c r="AT70" s="17">
        <f>[8]全社合計!$G$68</f>
        <v>79</v>
      </c>
      <c r="AU70" s="20"/>
      <c r="AV70" s="257">
        <f>[8]全社合計!$N$68</f>
        <v>79</v>
      </c>
      <c r="AW70" s="34"/>
      <c r="AX70" s="17">
        <f t="shared" si="32"/>
        <v>2</v>
      </c>
      <c r="AY70" s="311"/>
      <c r="AZ70" s="257">
        <f t="shared" si="34"/>
        <v>2</v>
      </c>
      <c r="BA70" s="34"/>
      <c r="BB70" s="11"/>
    </row>
    <row r="71" spans="1:54" ht="16.149999999999999" customHeight="1" thickTop="1">
      <c r="A71" s="42" t="s">
        <v>63</v>
      </c>
      <c r="B71" s="705">
        <f>[8]本部!$I$71</f>
        <v>850000</v>
      </c>
      <c r="C71" s="265" t="str">
        <f t="shared" ref="C71:C79" si="55">IF(ISERR(B71/$B$11),"",B71/$B$11)</f>
        <v/>
      </c>
      <c r="D71" s="725">
        <f>[8]本部!$L$71</f>
        <v>6800000</v>
      </c>
      <c r="E71" s="158" t="str">
        <f t="shared" ref="E71:E76" si="56">IF(ISERR(D72/$D$11),"",D72/$D$11)</f>
        <v/>
      </c>
      <c r="F71" s="379">
        <f>[8]本社営業!$I$71</f>
        <v>2050000</v>
      </c>
      <c r="G71" s="307">
        <f t="shared" ref="G71:G78" si="57">IF(ISERR(F71/$F$11),"",F71/$F$11)</f>
        <v>4.483552943370054E-3</v>
      </c>
      <c r="H71" s="360">
        <f>[8]本社営業!$L$71</f>
        <v>16400000</v>
      </c>
      <c r="I71" s="160">
        <f t="shared" si="19"/>
        <v>3.9854826335737666E-3</v>
      </c>
      <c r="J71" s="757">
        <f>[8]東大阪!$I$71</f>
        <v>750000</v>
      </c>
      <c r="K71" s="308">
        <f t="shared" si="20"/>
        <v>8.1678899987780842E-2</v>
      </c>
      <c r="L71" s="360">
        <f>[8]東大阪!$L$71</f>
        <v>2406000</v>
      </c>
      <c r="M71" s="160">
        <f t="shared" si="37"/>
        <v>3.2823115331096012E-2</v>
      </c>
      <c r="N71" s="419">
        <f>[8]南港工場!$I$71</f>
        <v>1550000</v>
      </c>
      <c r="O71" s="79">
        <f t="shared" ref="O71:O78" si="58">IF(ISERR(N71/$N$11),"",N71/$N$11)</f>
        <v>5.9592443816532323E-2</v>
      </c>
      <c r="P71" s="360">
        <f>[8]南港工場!$L$71</f>
        <v>12400000</v>
      </c>
      <c r="Q71" s="169">
        <f t="shared" ref="Q71:Q79" si="59">IF(ISERR(P71/$P$11),"",P71/$P$11)</f>
        <v>5.7332709257545855E-2</v>
      </c>
      <c r="R71" s="452">
        <f>[8]南港事務!$I$71</f>
        <v>520000</v>
      </c>
      <c r="S71" s="21" t="str">
        <f t="shared" ref="S71:S78" si="60">IF(ISERR(R71/$R$11),"",R71/$R$11)</f>
        <v/>
      </c>
      <c r="T71" s="360">
        <f>[8]南港事務!$L$71</f>
        <v>4160000</v>
      </c>
      <c r="U71" s="216" t="str">
        <f t="shared" ref="U71:U79" si="61">IF(ISERR(T71/$T$11),"",T71/$T$11)</f>
        <v/>
      </c>
      <c r="V71" s="497">
        <f t="shared" si="21"/>
        <v>2070000</v>
      </c>
      <c r="W71" s="21">
        <f t="shared" ref="W71:W78" si="62">IF(ISERR(V71/$V$11),"",V71/$V$11)</f>
        <v>7.958474754853026E-2</v>
      </c>
      <c r="X71" s="421">
        <f t="shared" si="22"/>
        <v>16560000</v>
      </c>
      <c r="Y71" s="239">
        <f t="shared" ref="Y71:Y79" si="63">IF(ISERR(X71/$X$11),"",X71/$X$11)</f>
        <v>7.6566908492335425E-2</v>
      </c>
      <c r="Z71" s="500">
        <f t="shared" si="23"/>
        <v>4870000</v>
      </c>
      <c r="AA71" s="200">
        <f t="shared" ref="AA71:AA78" si="64">IF(ISERR(Z71/$Z$11),"",Z71/$Z$11)</f>
        <v>9.8899518253948056E-3</v>
      </c>
      <c r="AB71" s="502">
        <f t="shared" si="24"/>
        <v>35366000</v>
      </c>
      <c r="AC71" s="334">
        <f t="shared" ref="AC71:AC79" si="65">IF(ISERR(AB71/$AB$11),"",AB71/$AB$11)</f>
        <v>8.0294825872325257E-3</v>
      </c>
      <c r="AD71" s="379">
        <f>[8]東京事務!$I$71</f>
        <v>750000</v>
      </c>
      <c r="AE71" s="22">
        <f t="shared" ref="AE71:AE79" si="66">IF(ISERR(AD71/$AD$11),"",AD71/$AD$11)</f>
        <v>3.8116923163743653E-3</v>
      </c>
      <c r="AF71" s="360">
        <f>[8]東京事務!$L$71</f>
        <v>6000000</v>
      </c>
      <c r="AG71" s="92">
        <f t="shared" ref="AG71:AG79" si="67">IF(ISERR(AF71/$AF$11),"",AF71/$AF$11)</f>
        <v>3.1117458879102704E-3</v>
      </c>
      <c r="AH71" s="399">
        <f>[8]東京工場!$I$71</f>
        <v>920000</v>
      </c>
      <c r="AI71" s="183">
        <f t="shared" si="25"/>
        <v>0.11558966623358234</v>
      </c>
      <c r="AJ71" s="360">
        <f>[8]東京工場!$L$71</f>
        <v>7360000</v>
      </c>
      <c r="AK71" s="111">
        <f t="shared" si="36"/>
        <v>9.4577883357764667E-2</v>
      </c>
      <c r="AL71" s="506">
        <f t="shared" si="26"/>
        <v>1670000</v>
      </c>
      <c r="AM71" s="327">
        <f t="shared" ref="AM71:AM79" si="68">IF(ISERR(AL71/$AL$11),"",AL71/AL$11)</f>
        <v>8.1573963271249772E-3</v>
      </c>
      <c r="AN71" s="508">
        <f t="shared" si="27"/>
        <v>13360000</v>
      </c>
      <c r="AO71" s="159">
        <f t="shared" ref="AO71:AO78" si="69">IF(ISERR(AN71/$AN$11),"",AN71/$AN$11)</f>
        <v>6.6600283266358687E-3</v>
      </c>
      <c r="AP71" s="511">
        <f t="shared" si="28"/>
        <v>7390000</v>
      </c>
      <c r="AQ71" s="298">
        <f t="shared" ref="AQ71:AQ79" si="70">IF(ISERR(AP71/$AP$11),"",AP71/$AP$11)</f>
        <v>1.0600435550810666E-2</v>
      </c>
      <c r="AR71" s="513">
        <f t="shared" si="29"/>
        <v>55526000</v>
      </c>
      <c r="AS71" s="310">
        <f t="shared" ref="AS71:AS78" si="71">IF(ISERR(AR71/$AR$11),"",AR71/$AR$11)</f>
        <v>8.6617060449364642E-3</v>
      </c>
      <c r="AT71" s="592">
        <f>[8]全社合計!$G$71</f>
        <v>7095000</v>
      </c>
      <c r="AU71" s="160">
        <f t="shared" si="30"/>
        <v>8.7679696525777857E-3</v>
      </c>
      <c r="AV71" s="594">
        <f>[8]全社合計!$N$71</f>
        <v>53018000</v>
      </c>
      <c r="AW71" s="306">
        <f t="shared" si="31"/>
        <v>7.3354411668690618E-3</v>
      </c>
      <c r="AX71" s="592">
        <f t="shared" si="32"/>
        <v>295000</v>
      </c>
      <c r="AY71" s="160">
        <f t="shared" si="33"/>
        <v>1.0415785764622973</v>
      </c>
      <c r="AZ71" s="594">
        <f t="shared" si="34"/>
        <v>2508000</v>
      </c>
      <c r="BA71" s="306">
        <f t="shared" si="35"/>
        <v>1.0473046889735562</v>
      </c>
      <c r="BB71" s="11"/>
    </row>
    <row r="72" spans="1:54" ht="16.149999999999999" customHeight="1">
      <c r="A72" s="43" t="s">
        <v>64</v>
      </c>
      <c r="B72" s="706">
        <f>[8]本部!$I$72</f>
        <v>115000</v>
      </c>
      <c r="C72" s="266" t="str">
        <f t="shared" si="55"/>
        <v/>
      </c>
      <c r="D72" s="723">
        <f>[8]本部!$L$72</f>
        <v>920000</v>
      </c>
      <c r="E72" s="161" t="str">
        <f t="shared" si="56"/>
        <v/>
      </c>
      <c r="F72" s="352">
        <f>[8]本社営業!$I$72</f>
        <v>55000</v>
      </c>
      <c r="G72" s="10">
        <f t="shared" si="57"/>
        <v>1.2029044482212339E-4</v>
      </c>
      <c r="H72" s="356">
        <f>[8]本社営業!$L$72</f>
        <v>440000</v>
      </c>
      <c r="I72" s="163">
        <f t="shared" si="19"/>
        <v>1.0692758285197911E-4</v>
      </c>
      <c r="J72" s="745">
        <f>[8]東大阪!$I$72</f>
        <v>440000</v>
      </c>
      <c r="K72" s="77">
        <f t="shared" si="20"/>
        <v>4.7918287992831425E-2</v>
      </c>
      <c r="L72" s="356">
        <f>[8]東大阪!$L$72</f>
        <v>3520000</v>
      </c>
      <c r="M72" s="163">
        <f t="shared" si="37"/>
        <v>4.8020517857630077E-2</v>
      </c>
      <c r="N72" s="403">
        <f>[8]南港工場!$I$72</f>
        <v>525000</v>
      </c>
      <c r="O72" s="77">
        <f t="shared" si="58"/>
        <v>2.0184537421728689E-2</v>
      </c>
      <c r="P72" s="356">
        <f>[8]南港工場!$L$72</f>
        <v>4200000</v>
      </c>
      <c r="Q72" s="170">
        <f t="shared" si="59"/>
        <v>1.9419143458201015E-2</v>
      </c>
      <c r="R72" s="445">
        <f>[8]南港事務!$I$72</f>
        <v>20000</v>
      </c>
      <c r="S72" s="10" t="str">
        <f t="shared" si="60"/>
        <v/>
      </c>
      <c r="T72" s="356">
        <f>[8]南港事務!$L$72</f>
        <v>160000</v>
      </c>
      <c r="U72" s="217" t="str">
        <f t="shared" si="61"/>
        <v/>
      </c>
      <c r="V72" s="456">
        <f t="shared" si="21"/>
        <v>545000</v>
      </c>
      <c r="W72" s="170">
        <f t="shared" si="62"/>
        <v>2.0953472180651685E-2</v>
      </c>
      <c r="X72" s="408">
        <f t="shared" si="22"/>
        <v>4360000</v>
      </c>
      <c r="Y72" s="240">
        <f t="shared" si="63"/>
        <v>2.0158920351846767E-2</v>
      </c>
      <c r="Z72" s="460">
        <f t="shared" si="23"/>
        <v>1040000</v>
      </c>
      <c r="AA72" s="201">
        <f t="shared" si="64"/>
        <v>2.112022566408747E-3</v>
      </c>
      <c r="AB72" s="464">
        <f t="shared" si="24"/>
        <v>8320000</v>
      </c>
      <c r="AC72" s="162">
        <f t="shared" si="65"/>
        <v>1.8889694940274447E-3</v>
      </c>
      <c r="AD72" s="352">
        <f>[8]東京事務!$I$72</f>
        <v>55000</v>
      </c>
      <c r="AE72" s="10">
        <f t="shared" si="66"/>
        <v>2.795241032007868E-4</v>
      </c>
      <c r="AF72" s="356">
        <f>[8]東京事務!$L$72</f>
        <v>440000</v>
      </c>
      <c r="AG72" s="93">
        <f t="shared" si="67"/>
        <v>2.2819469844675316E-4</v>
      </c>
      <c r="AH72" s="388">
        <f>[8]東京工場!$I$72</f>
        <v>325000</v>
      </c>
      <c r="AI72" s="170">
        <f t="shared" si="25"/>
        <v>4.0833306006428545E-2</v>
      </c>
      <c r="AJ72" s="356">
        <f>[8]東京工場!$L$72</f>
        <v>2600000</v>
      </c>
      <c r="AK72" s="98">
        <f t="shared" si="36"/>
        <v>3.3410665316601647E-2</v>
      </c>
      <c r="AL72" s="474">
        <f t="shared" si="26"/>
        <v>380000</v>
      </c>
      <c r="AM72" s="328">
        <f t="shared" si="68"/>
        <v>1.856174014555384E-3</v>
      </c>
      <c r="AN72" s="478">
        <f t="shared" si="27"/>
        <v>3040000</v>
      </c>
      <c r="AO72" s="162">
        <f t="shared" si="69"/>
        <v>1.5154555473782217E-3</v>
      </c>
      <c r="AP72" s="483">
        <f t="shared" si="28"/>
        <v>1535000</v>
      </c>
      <c r="AQ72" s="299">
        <f t="shared" si="70"/>
        <v>2.2018496035851654E-3</v>
      </c>
      <c r="AR72" s="487">
        <f t="shared" si="29"/>
        <v>12280000</v>
      </c>
      <c r="AS72" s="300">
        <f t="shared" si="71"/>
        <v>1.9156026047584874E-3</v>
      </c>
      <c r="AT72" s="575">
        <f>[8]全社合計!$G$72</f>
        <v>1495000</v>
      </c>
      <c r="AU72" s="163">
        <f t="shared" si="30"/>
        <v>1.8475143947292161E-3</v>
      </c>
      <c r="AV72" s="578">
        <f>[8]全社合計!$N$72</f>
        <v>11960000</v>
      </c>
      <c r="AW72" s="164">
        <f t="shared" si="31"/>
        <v>1.6547564290571876E-3</v>
      </c>
      <c r="AX72" s="575">
        <f t="shared" si="32"/>
        <v>40000</v>
      </c>
      <c r="AY72" s="163">
        <f t="shared" si="33"/>
        <v>1.0267558528428093</v>
      </c>
      <c r="AZ72" s="578">
        <f t="shared" si="34"/>
        <v>320000</v>
      </c>
      <c r="BA72" s="164">
        <f t="shared" si="35"/>
        <v>1.0267558528428093</v>
      </c>
      <c r="BB72" s="11"/>
    </row>
    <row r="73" spans="1:54" ht="16.149999999999999" customHeight="1">
      <c r="A73" s="43" t="s">
        <v>65</v>
      </c>
      <c r="B73" s="706">
        <f>[8]本部!$I$70</f>
        <v>606045</v>
      </c>
      <c r="C73" s="266" t="str">
        <f t="shared" si="55"/>
        <v/>
      </c>
      <c r="D73" s="723">
        <f>[8]本部!$L$70</f>
        <v>13988765</v>
      </c>
      <c r="E73" s="161" t="str">
        <f t="shared" si="56"/>
        <v/>
      </c>
      <c r="F73" s="352">
        <f>[8]本社営業!$I$70</f>
        <v>1683864</v>
      </c>
      <c r="G73" s="10">
        <f t="shared" si="57"/>
        <v>3.6827772650901815E-3</v>
      </c>
      <c r="H73" s="356">
        <f>[8]本社営業!$L$70</f>
        <v>4349260</v>
      </c>
      <c r="I73" s="163">
        <f t="shared" si="19"/>
        <v>1.056945134079088E-3</v>
      </c>
      <c r="J73" s="745">
        <f>[8]東大阪!$I$70</f>
        <v>994304</v>
      </c>
      <c r="K73" s="77">
        <f t="shared" si="20"/>
        <v>0.10828487596460058</v>
      </c>
      <c r="L73" s="356">
        <f>[8]東大阪!$L$70</f>
        <v>2948796</v>
      </c>
      <c r="M73" s="163">
        <f t="shared" si="37"/>
        <v>4.0228042891053452E-2</v>
      </c>
      <c r="N73" s="403">
        <f>[8]南港工場!$I$70</f>
        <v>1421729</v>
      </c>
      <c r="O73" s="77">
        <f t="shared" si="58"/>
        <v>5.466084229344173E-2</v>
      </c>
      <c r="P73" s="356">
        <f>[8]南港工場!$L$70</f>
        <v>4262047</v>
      </c>
      <c r="Q73" s="170">
        <f t="shared" si="59"/>
        <v>1.9706024313951253E-2</v>
      </c>
      <c r="R73" s="445">
        <f>[8]南港事務!$I$70</f>
        <v>478618</v>
      </c>
      <c r="S73" s="10" t="str">
        <f t="shared" si="60"/>
        <v/>
      </c>
      <c r="T73" s="356">
        <f>[8]南港事務!$L$70</f>
        <v>1576230</v>
      </c>
      <c r="U73" s="217" t="str">
        <f t="shared" si="61"/>
        <v/>
      </c>
      <c r="V73" s="456">
        <f t="shared" si="21"/>
        <v>1900347</v>
      </c>
      <c r="W73" s="170">
        <f t="shared" si="62"/>
        <v>7.3062143115752098E-2</v>
      </c>
      <c r="X73" s="408">
        <f t="shared" si="22"/>
        <v>5838277</v>
      </c>
      <c r="Y73" s="240">
        <f t="shared" si="63"/>
        <v>2.6993890145646536E-2</v>
      </c>
      <c r="Z73" s="460">
        <f t="shared" si="23"/>
        <v>4578515</v>
      </c>
      <c r="AA73" s="201">
        <f t="shared" si="64"/>
        <v>9.2980067313855226E-3</v>
      </c>
      <c r="AB73" s="464">
        <f t="shared" si="24"/>
        <v>13136333</v>
      </c>
      <c r="AC73" s="162">
        <f t="shared" si="65"/>
        <v>2.9824678245656279E-3</v>
      </c>
      <c r="AD73" s="352">
        <f>[8]東京事務!$I$70</f>
        <v>549838</v>
      </c>
      <c r="AE73" s="10">
        <f t="shared" si="66"/>
        <v>2.7944177064675312E-3</v>
      </c>
      <c r="AF73" s="356">
        <f>[8]東京事務!$L$70</f>
        <v>1862411</v>
      </c>
      <c r="AG73" s="93">
        <f t="shared" si="67"/>
        <v>9.6589162847480906E-4</v>
      </c>
      <c r="AH73" s="388">
        <f>[8]東京工場!$I$70</f>
        <v>831819</v>
      </c>
      <c r="AI73" s="170">
        <f t="shared" si="25"/>
        <v>0.10451052236603503</v>
      </c>
      <c r="AJ73" s="356">
        <f>[8]東京工場!$L$70</f>
        <v>2540514</v>
      </c>
      <c r="AK73" s="98">
        <f t="shared" si="36"/>
        <v>3.2646254994669582E-2</v>
      </c>
      <c r="AL73" s="474">
        <f t="shared" si="26"/>
        <v>1381657</v>
      </c>
      <c r="AM73" s="328">
        <f t="shared" si="68"/>
        <v>6.7489363695488105E-3</v>
      </c>
      <c r="AN73" s="478">
        <f t="shared" si="27"/>
        <v>4402925</v>
      </c>
      <c r="AO73" s="162">
        <f t="shared" si="69"/>
        <v>2.1948806302435056E-3</v>
      </c>
      <c r="AP73" s="483">
        <f t="shared" si="28"/>
        <v>6566217</v>
      </c>
      <c r="AQ73" s="299">
        <f t="shared" si="70"/>
        <v>9.4187767416965308E-3</v>
      </c>
      <c r="AR73" s="487">
        <f t="shared" si="29"/>
        <v>31528023</v>
      </c>
      <c r="AS73" s="300">
        <f t="shared" si="71"/>
        <v>4.9181728812447475E-3</v>
      </c>
      <c r="AT73" s="575">
        <f>[8]全社合計!$G$70</f>
        <v>6630613</v>
      </c>
      <c r="AU73" s="163">
        <f t="shared" si="30"/>
        <v>8.1940822497516205E-3</v>
      </c>
      <c r="AV73" s="578">
        <f>[8]全社合計!$N$70</f>
        <v>30171596</v>
      </c>
      <c r="AW73" s="164">
        <f t="shared" si="31"/>
        <v>4.1744684327689073E-3</v>
      </c>
      <c r="AX73" s="575">
        <f t="shared" si="32"/>
        <v>-64396</v>
      </c>
      <c r="AY73" s="163">
        <f t="shared" si="33"/>
        <v>0.99028807743718417</v>
      </c>
      <c r="AZ73" s="578">
        <f t="shared" si="34"/>
        <v>1356427</v>
      </c>
      <c r="BA73" s="164">
        <f t="shared" si="35"/>
        <v>1.0449570848025407</v>
      </c>
      <c r="BB73" s="11"/>
    </row>
    <row r="74" spans="1:54" ht="16.149999999999999" customHeight="1">
      <c r="A74" s="43" t="s">
        <v>66</v>
      </c>
      <c r="B74" s="706">
        <f>[8]本部!$I$74</f>
        <v>0</v>
      </c>
      <c r="C74" s="266" t="str">
        <f t="shared" si="55"/>
        <v/>
      </c>
      <c r="D74" s="723">
        <f>[8]本部!$L$74</f>
        <v>0</v>
      </c>
      <c r="E74" s="161" t="str">
        <f t="shared" si="56"/>
        <v/>
      </c>
      <c r="F74" s="352">
        <f>[8]本社営業!$I$74</f>
        <v>0</v>
      </c>
      <c r="G74" s="10">
        <f t="shared" si="57"/>
        <v>0</v>
      </c>
      <c r="H74" s="356">
        <f>[8]本社営業!$L$74</f>
        <v>0</v>
      </c>
      <c r="I74" s="163">
        <f t="shared" ref="I74:I79" si="72">IF(ISERR(H74/$H$11),"",H74/$H$11)</f>
        <v>0</v>
      </c>
      <c r="J74" s="745">
        <f>[8]東大阪!$I$74</f>
        <v>0</v>
      </c>
      <c r="K74" s="77">
        <f t="shared" ref="K74:K79" si="73">IF(ISERR(J74/$J$11),"",J74/$J$11)</f>
        <v>0</v>
      </c>
      <c r="L74" s="356">
        <f>[8]東大阪!$L$74</f>
        <v>1189000</v>
      </c>
      <c r="M74" s="163">
        <f t="shared" si="37"/>
        <v>1.6220566969523342E-2</v>
      </c>
      <c r="N74" s="403">
        <f>[8]南港工場!$I$74</f>
        <v>0</v>
      </c>
      <c r="O74" s="77">
        <f t="shared" si="58"/>
        <v>0</v>
      </c>
      <c r="P74" s="356">
        <f>[8]南港工場!$L$74</f>
        <v>0</v>
      </c>
      <c r="Q74" s="170">
        <f t="shared" si="59"/>
        <v>0</v>
      </c>
      <c r="R74" s="445">
        <f>[8]南港事務!$I$74</f>
        <v>0</v>
      </c>
      <c r="S74" s="10" t="str">
        <f t="shared" si="60"/>
        <v/>
      </c>
      <c r="T74" s="356">
        <f>[8]南港事務!$L$74</f>
        <v>0</v>
      </c>
      <c r="U74" s="217" t="str">
        <f t="shared" si="61"/>
        <v/>
      </c>
      <c r="V74" s="456">
        <f t="shared" ref="V74:V79" si="74">N74+R74</f>
        <v>0</v>
      </c>
      <c r="W74" s="170">
        <f t="shared" si="62"/>
        <v>0</v>
      </c>
      <c r="X74" s="408">
        <f t="shared" ref="X74:X79" si="75">P74+T74</f>
        <v>0</v>
      </c>
      <c r="Y74" s="240">
        <f t="shared" si="63"/>
        <v>0</v>
      </c>
      <c r="Z74" s="460">
        <f>F74+J74+N74+R74</f>
        <v>0</v>
      </c>
      <c r="AA74" s="201">
        <f t="shared" si="64"/>
        <v>0</v>
      </c>
      <c r="AB74" s="464">
        <f t="shared" ref="AB74:AB79" si="76">H74+L74+P74+T74</f>
        <v>1189000</v>
      </c>
      <c r="AC74" s="162">
        <f t="shared" si="65"/>
        <v>2.6995008754791247E-4</v>
      </c>
      <c r="AD74" s="352">
        <f>[8]東京事務!$I$74</f>
        <v>0</v>
      </c>
      <c r="AE74" s="10">
        <f t="shared" si="66"/>
        <v>0</v>
      </c>
      <c r="AF74" s="356">
        <f>[8]東京事務!$L$74</f>
        <v>760000</v>
      </c>
      <c r="AG74" s="93">
        <f t="shared" si="67"/>
        <v>3.941544791353009E-4</v>
      </c>
      <c r="AH74" s="388">
        <f>[8]東京工場!$I$74</f>
        <v>0</v>
      </c>
      <c r="AI74" s="170">
        <f t="shared" ref="AI74:AI79" si="77">IF(ISERR(AH74/$AH$11),"",AH74/$AH$11)</f>
        <v>0</v>
      </c>
      <c r="AJ74" s="356">
        <f>[8]東京工場!$L$74</f>
        <v>0</v>
      </c>
      <c r="AK74" s="98">
        <f t="shared" si="36"/>
        <v>0</v>
      </c>
      <c r="AL74" s="474">
        <f t="shared" ref="AL74:AL79" si="78">AD74+AH74</f>
        <v>0</v>
      </c>
      <c r="AM74" s="328">
        <f t="shared" si="68"/>
        <v>0</v>
      </c>
      <c r="AN74" s="478">
        <f t="shared" ref="AN74:AN79" si="79">AF74+AJ74</f>
        <v>760000</v>
      </c>
      <c r="AO74" s="162">
        <f t="shared" si="69"/>
        <v>3.7886388684455543E-4</v>
      </c>
      <c r="AP74" s="483">
        <f t="shared" ref="AP74:AP79" si="80">B74+Z74+AL74</f>
        <v>0</v>
      </c>
      <c r="AQ74" s="299">
        <f t="shared" si="70"/>
        <v>0</v>
      </c>
      <c r="AR74" s="487">
        <f t="shared" ref="AR74:AR79" si="81">D74+AB74+AN74</f>
        <v>1949000</v>
      </c>
      <c r="AS74" s="300">
        <f t="shared" si="71"/>
        <v>3.0403171634155472E-4</v>
      </c>
      <c r="AT74" s="575">
        <f>[8]全社合計!$G$74</f>
        <v>0</v>
      </c>
      <c r="AU74" s="163">
        <f t="shared" ref="AU74:AU79" si="82">IF(ISERR(AT74/$AT$11),"",AT74/$AT$11)</f>
        <v>0</v>
      </c>
      <c r="AV74" s="578">
        <f>[8]全社合計!$N$74</f>
        <v>1949000</v>
      </c>
      <c r="AW74" s="164">
        <f t="shared" ref="AW74:AW79" si="83">IF(ISERR(AV74/$AV$11),"",AV74/$AV$11)</f>
        <v>2.696588863070618E-4</v>
      </c>
      <c r="AX74" s="575">
        <f t="shared" ref="AX74:AX79" si="84">AP74-AT74</f>
        <v>0</v>
      </c>
      <c r="AY74" s="163" t="str">
        <f t="shared" ref="AY74:AY79" si="85">IF(ISERROR(AP74/AT74),"",AP74/AT74)</f>
        <v/>
      </c>
      <c r="AZ74" s="578">
        <f t="shared" ref="AZ74:AZ79" si="86">AR74-AV74</f>
        <v>0</v>
      </c>
      <c r="BA74" s="164">
        <f t="shared" ref="BA74:BA79" si="87">IF(ISERROR(AR74/AV74),"",AR74/AV74)</f>
        <v>1</v>
      </c>
      <c r="BB74" s="11"/>
    </row>
    <row r="75" spans="1:54" ht="16.149999999999999" customHeight="1">
      <c r="A75" s="43" t="s">
        <v>67</v>
      </c>
      <c r="B75" s="706">
        <f>[8]本部!$I$73</f>
        <v>0</v>
      </c>
      <c r="C75" s="266" t="str">
        <f t="shared" si="55"/>
        <v/>
      </c>
      <c r="D75" s="723">
        <f>[8]本部!$L$73</f>
        <v>24000</v>
      </c>
      <c r="E75" s="161" t="str">
        <f t="shared" si="56"/>
        <v/>
      </c>
      <c r="F75" s="352">
        <f>[8]本社営業!$I$73</f>
        <v>0</v>
      </c>
      <c r="G75" s="10">
        <f t="shared" si="57"/>
        <v>0</v>
      </c>
      <c r="H75" s="356">
        <f>[8]本社営業!$L$73</f>
        <v>829600</v>
      </c>
      <c r="I75" s="163">
        <f t="shared" si="72"/>
        <v>2.0160709712273154E-4</v>
      </c>
      <c r="J75" s="745">
        <f>[8]東大阪!$I$73</f>
        <v>0</v>
      </c>
      <c r="K75" s="77">
        <f t="shared" si="73"/>
        <v>0</v>
      </c>
      <c r="L75" s="356">
        <f>[8]東大阪!$L$73</f>
        <v>0</v>
      </c>
      <c r="M75" s="163">
        <f t="shared" si="37"/>
        <v>0</v>
      </c>
      <c r="N75" s="403">
        <f>[8]南港工場!$I$73</f>
        <v>0</v>
      </c>
      <c r="O75" s="77">
        <f t="shared" si="58"/>
        <v>0</v>
      </c>
      <c r="P75" s="356">
        <f>[8]南港工場!$L$73</f>
        <v>0</v>
      </c>
      <c r="Q75" s="170">
        <f t="shared" si="59"/>
        <v>0</v>
      </c>
      <c r="R75" s="445">
        <f>[8]南港事務!$I$73</f>
        <v>0</v>
      </c>
      <c r="S75" s="10" t="str">
        <f t="shared" si="60"/>
        <v/>
      </c>
      <c r="T75" s="356">
        <f>[8]南港事務!$L$73</f>
        <v>41100</v>
      </c>
      <c r="U75" s="217" t="str">
        <f t="shared" si="61"/>
        <v/>
      </c>
      <c r="V75" s="456">
        <f t="shared" si="74"/>
        <v>0</v>
      </c>
      <c r="W75" s="170">
        <f t="shared" si="62"/>
        <v>0</v>
      </c>
      <c r="X75" s="408">
        <f t="shared" si="75"/>
        <v>41100</v>
      </c>
      <c r="Y75" s="240">
        <f t="shared" si="63"/>
        <v>1.9003018955525278E-4</v>
      </c>
      <c r="Z75" s="460">
        <f>F75+J75+N75+R75</f>
        <v>0</v>
      </c>
      <c r="AA75" s="201">
        <f t="shared" si="64"/>
        <v>0</v>
      </c>
      <c r="AB75" s="464">
        <f t="shared" si="76"/>
        <v>870700</v>
      </c>
      <c r="AC75" s="162">
        <f t="shared" si="65"/>
        <v>1.9768338202520385E-4</v>
      </c>
      <c r="AD75" s="352">
        <f>[8]東京事務!$I$73</f>
        <v>0</v>
      </c>
      <c r="AE75" s="10">
        <f t="shared" si="66"/>
        <v>0</v>
      </c>
      <c r="AF75" s="356">
        <f>[8]東京事務!$L$73</f>
        <v>568976</v>
      </c>
      <c r="AG75" s="93">
        <f t="shared" si="67"/>
        <v>2.9508478805327236E-4</v>
      </c>
      <c r="AH75" s="388">
        <f>[8]東京工場!$I$73</f>
        <v>0</v>
      </c>
      <c r="AI75" s="170">
        <f t="shared" si="77"/>
        <v>0</v>
      </c>
      <c r="AJ75" s="356">
        <f>[8]東京工場!$L$73</f>
        <v>0</v>
      </c>
      <c r="AK75" s="98">
        <f t="shared" si="36"/>
        <v>0</v>
      </c>
      <c r="AL75" s="474">
        <f t="shared" si="78"/>
        <v>0</v>
      </c>
      <c r="AM75" s="328">
        <f t="shared" si="68"/>
        <v>0</v>
      </c>
      <c r="AN75" s="478">
        <f t="shared" si="79"/>
        <v>568976</v>
      </c>
      <c r="AO75" s="162">
        <f t="shared" si="69"/>
        <v>2.8363744589640497E-4</v>
      </c>
      <c r="AP75" s="483">
        <f t="shared" si="80"/>
        <v>0</v>
      </c>
      <c r="AQ75" s="299">
        <f t="shared" si="70"/>
        <v>0</v>
      </c>
      <c r="AR75" s="487">
        <f t="shared" si="81"/>
        <v>1463676</v>
      </c>
      <c r="AS75" s="300">
        <f t="shared" si="71"/>
        <v>2.2832423111746611E-4</v>
      </c>
      <c r="AT75" s="575">
        <f>[8]全社合計!$G$73</f>
        <v>371300</v>
      </c>
      <c r="AU75" s="163">
        <f t="shared" si="82"/>
        <v>4.5885089950699527E-4</v>
      </c>
      <c r="AV75" s="578">
        <f>[8]全社合計!$N$73</f>
        <v>1507666</v>
      </c>
      <c r="AW75" s="164">
        <f t="shared" si="83"/>
        <v>2.0859699049924197E-4</v>
      </c>
      <c r="AX75" s="575">
        <f t="shared" si="84"/>
        <v>-371300</v>
      </c>
      <c r="AY75" s="163">
        <f t="shared" si="85"/>
        <v>0</v>
      </c>
      <c r="AZ75" s="578">
        <f t="shared" si="86"/>
        <v>-43990</v>
      </c>
      <c r="BA75" s="164">
        <f t="shared" si="87"/>
        <v>0.97082245006520007</v>
      </c>
      <c r="BB75" s="11"/>
    </row>
    <row r="76" spans="1:54" ht="16.149999999999999" customHeight="1">
      <c r="A76" s="43" t="s">
        <v>68</v>
      </c>
      <c r="B76" s="706"/>
      <c r="C76" s="266" t="str">
        <f t="shared" si="55"/>
        <v/>
      </c>
      <c r="D76" s="723">
        <f>B76</f>
        <v>0</v>
      </c>
      <c r="E76" s="161" t="str">
        <f t="shared" si="56"/>
        <v/>
      </c>
      <c r="F76" s="352"/>
      <c r="G76" s="10">
        <f t="shared" si="57"/>
        <v>0</v>
      </c>
      <c r="H76" s="356">
        <f>F76</f>
        <v>0</v>
      </c>
      <c r="I76" s="163">
        <f t="shared" si="72"/>
        <v>0</v>
      </c>
      <c r="J76" s="745"/>
      <c r="K76" s="77">
        <f t="shared" si="73"/>
        <v>0</v>
      </c>
      <c r="L76" s="356">
        <f>J76</f>
        <v>0</v>
      </c>
      <c r="M76" s="163">
        <f t="shared" si="37"/>
        <v>0</v>
      </c>
      <c r="N76" s="403"/>
      <c r="O76" s="77">
        <f t="shared" si="58"/>
        <v>0</v>
      </c>
      <c r="P76" s="356">
        <f>N76</f>
        <v>0</v>
      </c>
      <c r="Q76" s="170">
        <f t="shared" si="59"/>
        <v>0</v>
      </c>
      <c r="R76" s="445"/>
      <c r="S76" s="10" t="str">
        <f t="shared" si="60"/>
        <v/>
      </c>
      <c r="T76" s="356">
        <f>R76</f>
        <v>0</v>
      </c>
      <c r="U76" s="217" t="str">
        <f t="shared" si="61"/>
        <v/>
      </c>
      <c r="V76" s="456">
        <f t="shared" si="74"/>
        <v>0</v>
      </c>
      <c r="W76" s="170">
        <f t="shared" si="62"/>
        <v>0</v>
      </c>
      <c r="X76" s="408">
        <f t="shared" si="75"/>
        <v>0</v>
      </c>
      <c r="Y76" s="240">
        <f t="shared" si="63"/>
        <v>0</v>
      </c>
      <c r="Z76" s="460">
        <f>F76+J76+N76+R76</f>
        <v>0</v>
      </c>
      <c r="AA76" s="201">
        <f t="shared" si="64"/>
        <v>0</v>
      </c>
      <c r="AB76" s="464">
        <f t="shared" si="76"/>
        <v>0</v>
      </c>
      <c r="AC76" s="162">
        <f t="shared" si="65"/>
        <v>0</v>
      </c>
      <c r="AD76" s="352"/>
      <c r="AE76" s="10">
        <f t="shared" si="66"/>
        <v>0</v>
      </c>
      <c r="AF76" s="356">
        <f>AD76</f>
        <v>0</v>
      </c>
      <c r="AG76" s="93">
        <f t="shared" si="67"/>
        <v>0</v>
      </c>
      <c r="AH76" s="388"/>
      <c r="AI76" s="170">
        <f t="shared" si="77"/>
        <v>0</v>
      </c>
      <c r="AJ76" s="356">
        <f>AH76</f>
        <v>0</v>
      </c>
      <c r="AK76" s="98">
        <f t="shared" si="36"/>
        <v>0</v>
      </c>
      <c r="AL76" s="474">
        <f t="shared" si="78"/>
        <v>0</v>
      </c>
      <c r="AM76" s="328">
        <f t="shared" si="68"/>
        <v>0</v>
      </c>
      <c r="AN76" s="478">
        <f t="shared" si="79"/>
        <v>0</v>
      </c>
      <c r="AO76" s="162">
        <f t="shared" si="69"/>
        <v>0</v>
      </c>
      <c r="AP76" s="483">
        <f t="shared" si="80"/>
        <v>0</v>
      </c>
      <c r="AQ76" s="299">
        <f t="shared" si="70"/>
        <v>0</v>
      </c>
      <c r="AR76" s="487">
        <f t="shared" si="81"/>
        <v>0</v>
      </c>
      <c r="AS76" s="300">
        <f t="shared" si="71"/>
        <v>0</v>
      </c>
      <c r="AT76" s="575">
        <v>0</v>
      </c>
      <c r="AU76" s="163">
        <f t="shared" si="82"/>
        <v>0</v>
      </c>
      <c r="AV76" s="578">
        <f>AT76</f>
        <v>0</v>
      </c>
      <c r="AW76" s="164">
        <f t="shared" si="83"/>
        <v>0</v>
      </c>
      <c r="AX76" s="575">
        <f t="shared" si="84"/>
        <v>0</v>
      </c>
      <c r="AY76" s="163" t="str">
        <f t="shared" si="85"/>
        <v/>
      </c>
      <c r="AZ76" s="578">
        <f t="shared" si="86"/>
        <v>0</v>
      </c>
      <c r="BA76" s="164" t="str">
        <f t="shared" si="87"/>
        <v/>
      </c>
      <c r="BB76" s="11"/>
    </row>
    <row r="77" spans="1:54" ht="16.149999999999999" customHeight="1">
      <c r="A77" s="43" t="s">
        <v>69</v>
      </c>
      <c r="B77" s="706"/>
      <c r="C77" s="266" t="str">
        <f t="shared" si="55"/>
        <v/>
      </c>
      <c r="D77" s="723">
        <f>[8]本部!$L$75</f>
        <v>0</v>
      </c>
      <c r="E77" s="161" t="str">
        <f>IF(ISERR(#REF!/$D$11),"",#REF!/$D$11)</f>
        <v/>
      </c>
      <c r="F77" s="352">
        <f>[8]本社営業!$I$75</f>
        <v>0</v>
      </c>
      <c r="G77" s="10">
        <f t="shared" si="57"/>
        <v>0</v>
      </c>
      <c r="H77" s="356">
        <f>[8]本社営業!$L$75</f>
        <v>672000</v>
      </c>
      <c r="I77" s="163">
        <f t="shared" si="72"/>
        <v>1.6330758108302264E-4</v>
      </c>
      <c r="J77" s="745"/>
      <c r="K77" s="77">
        <f t="shared" si="73"/>
        <v>0</v>
      </c>
      <c r="L77" s="356">
        <f>[8]東大阪!$L$75</f>
        <v>0</v>
      </c>
      <c r="M77" s="163">
        <f t="shared" si="37"/>
        <v>0</v>
      </c>
      <c r="N77" s="403"/>
      <c r="O77" s="77">
        <f t="shared" si="58"/>
        <v>0</v>
      </c>
      <c r="P77" s="356">
        <f>[8]南港工場!$L$75</f>
        <v>0</v>
      </c>
      <c r="Q77" s="170">
        <f t="shared" si="59"/>
        <v>0</v>
      </c>
      <c r="R77" s="445"/>
      <c r="S77" s="10" t="str">
        <f t="shared" si="60"/>
        <v/>
      </c>
      <c r="T77" s="356">
        <f>[8]南港事務!$L$75</f>
        <v>0</v>
      </c>
      <c r="U77" s="217" t="str">
        <f t="shared" si="61"/>
        <v/>
      </c>
      <c r="V77" s="456">
        <f t="shared" si="74"/>
        <v>0</v>
      </c>
      <c r="W77" s="170">
        <f t="shared" si="62"/>
        <v>0</v>
      </c>
      <c r="X77" s="408">
        <f t="shared" si="75"/>
        <v>0</v>
      </c>
      <c r="Y77" s="240">
        <f t="shared" si="63"/>
        <v>0</v>
      </c>
      <c r="Z77" s="460">
        <f>F77+J77+N77+R77</f>
        <v>0</v>
      </c>
      <c r="AA77" s="201">
        <f t="shared" si="64"/>
        <v>0</v>
      </c>
      <c r="AB77" s="464">
        <f t="shared" si="76"/>
        <v>672000</v>
      </c>
      <c r="AC77" s="162">
        <f t="shared" si="65"/>
        <v>1.5257061297913976E-4</v>
      </c>
      <c r="AD77" s="352"/>
      <c r="AE77" s="10">
        <f t="shared" si="66"/>
        <v>0</v>
      </c>
      <c r="AF77" s="356">
        <f>[8]東京事務!$L$75</f>
        <v>0</v>
      </c>
      <c r="AG77" s="93">
        <f t="shared" si="67"/>
        <v>0</v>
      </c>
      <c r="AH77" s="388"/>
      <c r="AI77" s="170">
        <f t="shared" si="77"/>
        <v>0</v>
      </c>
      <c r="AJ77" s="356">
        <f>[8]東京工場!$L$75</f>
        <v>0</v>
      </c>
      <c r="AK77" s="98">
        <f t="shared" si="36"/>
        <v>0</v>
      </c>
      <c r="AL77" s="474">
        <f t="shared" si="78"/>
        <v>0</v>
      </c>
      <c r="AM77" s="328">
        <f t="shared" si="68"/>
        <v>0</v>
      </c>
      <c r="AN77" s="478">
        <f t="shared" si="79"/>
        <v>0</v>
      </c>
      <c r="AO77" s="162">
        <f t="shared" si="69"/>
        <v>0</v>
      </c>
      <c r="AP77" s="483">
        <f t="shared" si="80"/>
        <v>0</v>
      </c>
      <c r="AQ77" s="299">
        <f t="shared" si="70"/>
        <v>0</v>
      </c>
      <c r="AR77" s="487">
        <f t="shared" si="81"/>
        <v>672000</v>
      </c>
      <c r="AS77" s="300">
        <f t="shared" si="71"/>
        <v>1.0482776469036674E-4</v>
      </c>
      <c r="AT77" s="575">
        <f>[8]全社合計!$G$75</f>
        <v>0</v>
      </c>
      <c r="AU77" s="163">
        <f t="shared" si="82"/>
        <v>0</v>
      </c>
      <c r="AV77" s="578">
        <f>[8]全社合計!$N$75</f>
        <v>672000</v>
      </c>
      <c r="AW77" s="164">
        <f t="shared" si="83"/>
        <v>9.2976280963748346E-5</v>
      </c>
      <c r="AX77" s="575">
        <f t="shared" si="84"/>
        <v>0</v>
      </c>
      <c r="AY77" s="163" t="str">
        <f t="shared" si="85"/>
        <v/>
      </c>
      <c r="AZ77" s="578">
        <f t="shared" si="86"/>
        <v>0</v>
      </c>
      <c r="BA77" s="164">
        <f t="shared" si="87"/>
        <v>1</v>
      </c>
      <c r="BB77" s="11"/>
    </row>
    <row r="78" spans="1:54" ht="16.149999999999999" customHeight="1" thickBot="1">
      <c r="A78" s="44"/>
      <c r="B78" s="707"/>
      <c r="C78" s="267" t="str">
        <f t="shared" si="55"/>
        <v/>
      </c>
      <c r="D78" s="735">
        <f>B78</f>
        <v>0</v>
      </c>
      <c r="E78" s="165" t="str">
        <f>IF(ISERR(#REF!/$D$11),"",#REF!/$D$11)</f>
        <v/>
      </c>
      <c r="F78" s="380"/>
      <c r="G78" s="23">
        <f t="shared" si="57"/>
        <v>0</v>
      </c>
      <c r="H78" s="381">
        <f>F78</f>
        <v>0</v>
      </c>
      <c r="I78" s="167">
        <f t="shared" si="72"/>
        <v>0</v>
      </c>
      <c r="J78" s="758"/>
      <c r="K78" s="78">
        <f t="shared" si="73"/>
        <v>0</v>
      </c>
      <c r="L78" s="381">
        <f>J78</f>
        <v>0</v>
      </c>
      <c r="M78" s="167">
        <f t="shared" si="37"/>
        <v>0</v>
      </c>
      <c r="N78" s="420"/>
      <c r="O78" s="241">
        <f t="shared" si="58"/>
        <v>0</v>
      </c>
      <c r="P78" s="381">
        <f>N78</f>
        <v>0</v>
      </c>
      <c r="Q78" s="244">
        <f t="shared" si="59"/>
        <v>0</v>
      </c>
      <c r="R78" s="453"/>
      <c r="S78" s="243" t="str">
        <f t="shared" si="60"/>
        <v/>
      </c>
      <c r="T78" s="381">
        <f>R78</f>
        <v>0</v>
      </c>
      <c r="U78" s="242" t="str">
        <f t="shared" si="61"/>
        <v/>
      </c>
      <c r="V78" s="498">
        <f t="shared" si="74"/>
        <v>0</v>
      </c>
      <c r="W78" s="244">
        <f t="shared" si="62"/>
        <v>0</v>
      </c>
      <c r="X78" s="422">
        <f t="shared" si="75"/>
        <v>0</v>
      </c>
      <c r="Y78" s="245">
        <f t="shared" si="63"/>
        <v>0</v>
      </c>
      <c r="Z78" s="501">
        <f>F78+J78+N78+R78</f>
        <v>0</v>
      </c>
      <c r="AA78" s="202">
        <f t="shared" si="64"/>
        <v>0</v>
      </c>
      <c r="AB78" s="503">
        <f t="shared" si="76"/>
        <v>0</v>
      </c>
      <c r="AC78" s="166">
        <f t="shared" si="65"/>
        <v>0</v>
      </c>
      <c r="AD78" s="380"/>
      <c r="AE78" s="23">
        <f t="shared" si="66"/>
        <v>0</v>
      </c>
      <c r="AF78" s="381">
        <f>AD78</f>
        <v>0</v>
      </c>
      <c r="AG78" s="94">
        <f t="shared" si="67"/>
        <v>0</v>
      </c>
      <c r="AH78" s="400"/>
      <c r="AI78" s="184">
        <f t="shared" si="77"/>
        <v>0</v>
      </c>
      <c r="AJ78" s="381">
        <f>AH78</f>
        <v>0</v>
      </c>
      <c r="AK78" s="112">
        <f>IF(ISERR(AJ78/$AJ$11),"",AJ78/$AJ$11)</f>
        <v>0</v>
      </c>
      <c r="AL78" s="507">
        <f t="shared" si="78"/>
        <v>0</v>
      </c>
      <c r="AM78" s="329">
        <f t="shared" si="68"/>
        <v>0</v>
      </c>
      <c r="AN78" s="509">
        <f t="shared" si="79"/>
        <v>0</v>
      </c>
      <c r="AO78" s="166">
        <f t="shared" si="69"/>
        <v>0</v>
      </c>
      <c r="AP78" s="512">
        <f t="shared" si="80"/>
        <v>0</v>
      </c>
      <c r="AQ78" s="301">
        <f t="shared" si="70"/>
        <v>0</v>
      </c>
      <c r="AR78" s="514">
        <f t="shared" si="81"/>
        <v>0</v>
      </c>
      <c r="AS78" s="302">
        <f t="shared" si="71"/>
        <v>0</v>
      </c>
      <c r="AT78" s="593">
        <v>0</v>
      </c>
      <c r="AU78" s="167">
        <f t="shared" si="82"/>
        <v>0</v>
      </c>
      <c r="AV78" s="595">
        <f>AT78</f>
        <v>0</v>
      </c>
      <c r="AW78" s="168">
        <f t="shared" si="83"/>
        <v>0</v>
      </c>
      <c r="AX78" s="593">
        <f t="shared" si="84"/>
        <v>0</v>
      </c>
      <c r="AY78" s="167" t="str">
        <f t="shared" si="85"/>
        <v/>
      </c>
      <c r="AZ78" s="595">
        <f t="shared" si="86"/>
        <v>0</v>
      </c>
      <c r="BA78" s="168" t="str">
        <f t="shared" si="87"/>
        <v/>
      </c>
      <c r="BB78" s="11"/>
    </row>
    <row r="79" spans="1:54" s="25" customFormat="1" ht="15.75" thickTop="1">
      <c r="A79" s="24" t="s">
        <v>70</v>
      </c>
      <c r="B79" s="737">
        <f>+B18-B67</f>
        <v>0</v>
      </c>
      <c r="C79" s="220" t="str">
        <f t="shared" si="55"/>
        <v/>
      </c>
      <c r="D79" s="736">
        <f>D18-D67</f>
        <v>0</v>
      </c>
      <c r="E79" s="220" t="str">
        <f>IF(ISERR(#REF!/$D$11),"",#REF!/$D$11)</f>
        <v/>
      </c>
      <c r="F79" s="382">
        <f>F18-F67</f>
        <v>30116859</v>
      </c>
      <c r="G79" s="309">
        <f>IF(ISERR(F79/$F$11),"",F79/$F$11)</f>
        <v>6.5868552104639461E-2</v>
      </c>
      <c r="H79" s="383">
        <f>H18-H67</f>
        <v>195299758</v>
      </c>
      <c r="I79" s="95">
        <f t="shared" si="72"/>
        <v>4.746120694208289E-2</v>
      </c>
      <c r="J79" s="382">
        <f>J18-J67</f>
        <v>10350487</v>
      </c>
      <c r="K79" s="309">
        <f t="shared" si="73"/>
        <v>1.1272218566637675</v>
      </c>
      <c r="L79" s="383">
        <f>L18-L67</f>
        <v>52610493</v>
      </c>
      <c r="M79" s="95">
        <f>IF(ISERR(L79/$L$11),"",L79/$L$11)</f>
        <v>0.71772247687648361</v>
      </c>
      <c r="N79" s="382">
        <f>N18-N67</f>
        <v>17908910</v>
      </c>
      <c r="O79" s="95">
        <f>IF(ISERR(N79/$N$11),"",N79/$N$11)</f>
        <v>0.68853916967118312</v>
      </c>
      <c r="P79" s="383">
        <f>P18-P67</f>
        <v>178253297</v>
      </c>
      <c r="Q79" s="95">
        <f t="shared" si="59"/>
        <v>0.82417293960483629</v>
      </c>
      <c r="R79" s="382">
        <f>R18-R67</f>
        <v>4858417</v>
      </c>
      <c r="S79" s="113"/>
      <c r="T79" s="383">
        <f>T18-T67</f>
        <v>34373125</v>
      </c>
      <c r="U79" s="95" t="str">
        <f t="shared" si="61"/>
        <v/>
      </c>
      <c r="V79" s="499">
        <f t="shared" si="74"/>
        <v>22767327</v>
      </c>
      <c r="W79" s="95">
        <f>IF(ISERR(V79/$V$11),"",V79/$V$11)</f>
        <v>0.87532945490330283</v>
      </c>
      <c r="X79" s="383">
        <f t="shared" si="75"/>
        <v>212626422</v>
      </c>
      <c r="Y79" s="95">
        <f t="shared" si="63"/>
        <v>0.98310071233856866</v>
      </c>
      <c r="Z79" s="499">
        <f>F79+J79+V79</f>
        <v>63234673</v>
      </c>
      <c r="AA79" s="95">
        <f>IF(ISERR(Z79/$Z$11),"",Z79/$Z$11)</f>
        <v>0.12841640034180568</v>
      </c>
      <c r="AB79" s="383">
        <f t="shared" si="76"/>
        <v>460536673</v>
      </c>
      <c r="AC79" s="95">
        <f t="shared" si="65"/>
        <v>0.1045600632425352</v>
      </c>
      <c r="AD79" s="382">
        <f>AD18-AD67</f>
        <v>13266699</v>
      </c>
      <c r="AE79" s="309">
        <f t="shared" si="66"/>
        <v>6.742476618926864E-2</v>
      </c>
      <c r="AF79" s="383">
        <f>AF18-AF67</f>
        <v>112031776</v>
      </c>
      <c r="AG79" s="95">
        <f t="shared" si="67"/>
        <v>5.8102403047214084E-2</v>
      </c>
      <c r="AH79" s="382">
        <f>AH18-AH67</f>
        <v>7486522</v>
      </c>
      <c r="AI79" s="309">
        <f t="shared" si="77"/>
        <v>0.94061367307649058</v>
      </c>
      <c r="AJ79" s="383">
        <f>AJ18-AJ67</f>
        <v>61880882</v>
      </c>
      <c r="AK79" s="309">
        <f>IF(ISERR(AJ79/$AJ$11),"",AJ79/$AJ$11)</f>
        <v>0.79518516846081511</v>
      </c>
      <c r="AL79" s="382">
        <f t="shared" si="78"/>
        <v>20753221</v>
      </c>
      <c r="AM79" s="95">
        <f t="shared" si="68"/>
        <v>0.10137260404875026</v>
      </c>
      <c r="AN79" s="510">
        <f t="shared" si="79"/>
        <v>173912658</v>
      </c>
      <c r="AO79" s="113"/>
      <c r="AP79" s="382">
        <f t="shared" si="80"/>
        <v>83987894</v>
      </c>
      <c r="AQ79" s="95">
        <f t="shared" si="70"/>
        <v>0.12047473036472502</v>
      </c>
      <c r="AR79" s="515">
        <f t="shared" si="81"/>
        <v>634449331</v>
      </c>
      <c r="AS79" s="95">
        <f>IF(ISERR(AR79/$AR$11),"",AR79/$AR$11)</f>
        <v>9.897009699111399E-2</v>
      </c>
      <c r="AT79" s="382">
        <f>AT18-AT67</f>
        <v>85911781</v>
      </c>
      <c r="AU79" s="95">
        <f t="shared" si="82"/>
        <v>0.10616939938081871</v>
      </c>
      <c r="AV79" s="383">
        <f>AT79</f>
        <v>85911781</v>
      </c>
      <c r="AW79" s="309">
        <f t="shared" si="83"/>
        <v>1.1886544476714311E-2</v>
      </c>
      <c r="AX79" s="382">
        <f t="shared" si="84"/>
        <v>-1923887</v>
      </c>
      <c r="AY79" s="95">
        <f t="shared" si="85"/>
        <v>0.97760624936875651</v>
      </c>
      <c r="AZ79" s="383">
        <f t="shared" si="86"/>
        <v>548537550</v>
      </c>
      <c r="BA79" s="309">
        <f t="shared" si="87"/>
        <v>7.3848932429884089</v>
      </c>
    </row>
    <row r="80" spans="1:54">
      <c r="A80" s="26"/>
      <c r="B80" s="26"/>
    </row>
    <row r="81" spans="1:53" s="268" customFormat="1">
      <c r="A81" s="270" t="s">
        <v>85</v>
      </c>
      <c r="B81" s="271"/>
      <c r="C81" s="272"/>
      <c r="D81" s="824"/>
      <c r="E81" s="825"/>
      <c r="F81" s="773">
        <f>'12月'!F83</f>
        <v>5954313</v>
      </c>
      <c r="G81" s="774"/>
      <c r="H81" s="669">
        <f>'6月'!H81</f>
        <v>6712201</v>
      </c>
      <c r="I81" s="670"/>
      <c r="J81" s="667"/>
      <c r="K81" s="668"/>
      <c r="L81" s="669">
        <f>+J81</f>
        <v>0</v>
      </c>
      <c r="M81" s="670"/>
      <c r="N81" s="667"/>
      <c r="O81" s="668"/>
      <c r="P81" s="669">
        <f>+N81</f>
        <v>0</v>
      </c>
      <c r="Q81" s="670"/>
      <c r="R81" s="671"/>
      <c r="S81" s="672"/>
      <c r="T81" s="669">
        <f>+R81</f>
        <v>0</v>
      </c>
      <c r="U81" s="670"/>
      <c r="V81" s="667">
        <f>N81+R81</f>
        <v>0</v>
      </c>
      <c r="W81" s="668"/>
      <c r="X81" s="673">
        <f>P81+T81</f>
        <v>0</v>
      </c>
      <c r="Y81" s="674"/>
      <c r="Z81" s="667">
        <f>F81+J81+N81+R81</f>
        <v>5954313</v>
      </c>
      <c r="AA81" s="668"/>
      <c r="AB81" s="675">
        <f>H81+L81+P81+T81</f>
        <v>6712201</v>
      </c>
      <c r="AC81" s="676"/>
      <c r="AD81" s="671">
        <f>'12月'!AD83</f>
        <v>3547875</v>
      </c>
      <c r="AE81" s="672"/>
      <c r="AF81" s="669">
        <f>'6月'!AF81</f>
        <v>4214746</v>
      </c>
      <c r="AG81" s="670"/>
      <c r="AH81" s="671"/>
      <c r="AI81" s="672"/>
      <c r="AJ81" s="669">
        <f>+AH81</f>
        <v>0</v>
      </c>
      <c r="AK81" s="670"/>
      <c r="AL81" s="671">
        <f>+AD81+AH81</f>
        <v>3547875</v>
      </c>
      <c r="AM81" s="672"/>
      <c r="AN81" s="669">
        <f>AF81+AJ81</f>
        <v>4214746</v>
      </c>
      <c r="AO81" s="670"/>
      <c r="AP81" s="671">
        <f>+AB81+AL81</f>
        <v>10260076</v>
      </c>
      <c r="AQ81" s="672"/>
      <c r="AR81" s="669">
        <f>D81+AB81+AN81</f>
        <v>10926947</v>
      </c>
      <c r="AS81" s="670"/>
      <c r="AT81" s="671">
        <f>'12月'!AT83</f>
        <v>11531277</v>
      </c>
      <c r="AU81" s="672"/>
      <c r="AV81" s="669">
        <f>'6月'!AV81</f>
        <v>10388772</v>
      </c>
      <c r="AW81" s="670"/>
      <c r="AX81" s="671">
        <f>AP81-AT81</f>
        <v>-1271201</v>
      </c>
      <c r="AY81" s="677">
        <f>IF(ISERROR(AP81/AT81),"",AP81/AT81)</f>
        <v>0.88976060500497911</v>
      </c>
      <c r="AZ81" s="669">
        <f>AR81-AV81</f>
        <v>538175</v>
      </c>
      <c r="BA81" s="678">
        <f>IF(ISERROR(AR81/AV81),"",AR81/AV81)</f>
        <v>1.051803524035372</v>
      </c>
    </row>
    <row r="82" spans="1:53" s="268" customFormat="1">
      <c r="A82" s="269" t="s">
        <v>86</v>
      </c>
      <c r="B82" s="273"/>
      <c r="C82" s="274"/>
      <c r="D82" s="826"/>
      <c r="E82" s="827"/>
      <c r="F82" s="771">
        <v>2214047</v>
      </c>
      <c r="G82" s="772"/>
      <c r="H82" s="685">
        <f>F82+'12月'!H82</f>
        <v>19073302</v>
      </c>
      <c r="I82" s="686"/>
      <c r="J82" s="683">
        <v>35398</v>
      </c>
      <c r="K82" s="684"/>
      <c r="L82" s="685">
        <f>J82+'12月'!L82</f>
        <v>239924</v>
      </c>
      <c r="M82" s="686"/>
      <c r="N82" s="683">
        <v>59955</v>
      </c>
      <c r="O82" s="684"/>
      <c r="P82" s="685">
        <f>N82+'12月'!P82</f>
        <v>508386</v>
      </c>
      <c r="Q82" s="686"/>
      <c r="R82" s="683"/>
      <c r="S82" s="684"/>
      <c r="T82" s="685">
        <f>R82+'12月'!T82</f>
        <v>0</v>
      </c>
      <c r="U82" s="686"/>
      <c r="V82" s="683">
        <f>N82+R82</f>
        <v>59955</v>
      </c>
      <c r="W82" s="684"/>
      <c r="X82" s="687">
        <f>P82+T82</f>
        <v>508386</v>
      </c>
      <c r="Y82" s="688"/>
      <c r="Z82" s="683">
        <f>F82+J82+N82+R82</f>
        <v>2309400</v>
      </c>
      <c r="AA82" s="684"/>
      <c r="AB82" s="687">
        <f>H82+L82+P82+T82</f>
        <v>19821612</v>
      </c>
      <c r="AC82" s="688"/>
      <c r="AD82" s="683">
        <v>765997</v>
      </c>
      <c r="AE82" s="684"/>
      <c r="AF82" s="685">
        <f>AD82+'12月'!AF82</f>
        <v>7319545</v>
      </c>
      <c r="AG82" s="686"/>
      <c r="AH82" s="683"/>
      <c r="AI82" s="684"/>
      <c r="AJ82" s="685">
        <f>AH82+'12月'!AJ82</f>
        <v>0</v>
      </c>
      <c r="AK82" s="686"/>
      <c r="AL82" s="683">
        <f>+AD82+AH82</f>
        <v>765997</v>
      </c>
      <c r="AM82" s="684"/>
      <c r="AN82" s="685">
        <f>AF82+AJ82</f>
        <v>7319545</v>
      </c>
      <c r="AO82" s="686"/>
      <c r="AP82" s="683">
        <f>+AL82+Z82</f>
        <v>3075397</v>
      </c>
      <c r="AQ82" s="684"/>
      <c r="AR82" s="685">
        <f>D82+AB82+AN82</f>
        <v>27141157</v>
      </c>
      <c r="AS82" s="686"/>
      <c r="AT82" s="683">
        <v>3227954</v>
      </c>
      <c r="AU82" s="684"/>
      <c r="AV82" s="685">
        <f>AT82+'12月'!AV82</f>
        <v>30865769</v>
      </c>
      <c r="AW82" s="686"/>
      <c r="AX82" s="683">
        <f>AP82-AT82</f>
        <v>-152557</v>
      </c>
      <c r="AY82" s="689">
        <f>IF(ISERROR(AP82/AT82),"",AP82/AT82)</f>
        <v>0.95273879367549852</v>
      </c>
      <c r="AZ82" s="685">
        <f>AR82-AV82</f>
        <v>-3724612</v>
      </c>
      <c r="BA82" s="690">
        <f>IF(ISERROR(AR82/AV82),"",AR82/AV82)</f>
        <v>0.87932871525086576</v>
      </c>
    </row>
    <row r="83" spans="1:53" s="268" customFormat="1" ht="14.25" thickBot="1">
      <c r="A83" s="275" t="s">
        <v>87</v>
      </c>
      <c r="B83" s="276"/>
      <c r="C83" s="277"/>
      <c r="D83" s="828"/>
      <c r="E83" s="829"/>
      <c r="F83" s="769">
        <f>[8]本社営業!$I$13</f>
        <v>6085710</v>
      </c>
      <c r="G83" s="770"/>
      <c r="H83" s="696">
        <f>+F83</f>
        <v>6085710</v>
      </c>
      <c r="I83" s="697"/>
      <c r="J83" s="694"/>
      <c r="K83" s="695"/>
      <c r="L83" s="696">
        <f>+J83</f>
        <v>0</v>
      </c>
      <c r="M83" s="697"/>
      <c r="N83" s="694"/>
      <c r="O83" s="695"/>
      <c r="P83" s="696">
        <f>+N83</f>
        <v>0</v>
      </c>
      <c r="Q83" s="697"/>
      <c r="R83" s="694"/>
      <c r="S83" s="695"/>
      <c r="T83" s="696">
        <f>+R83</f>
        <v>0</v>
      </c>
      <c r="U83" s="697"/>
      <c r="V83" s="694">
        <f>N83+R83</f>
        <v>0</v>
      </c>
      <c r="W83" s="695"/>
      <c r="X83" s="698">
        <f>P83+T83</f>
        <v>0</v>
      </c>
      <c r="Y83" s="699"/>
      <c r="Z83" s="694">
        <f>F83+J83+N83+R83</f>
        <v>6085710</v>
      </c>
      <c r="AA83" s="695"/>
      <c r="AB83" s="698">
        <f>H83+L83+P83+T83</f>
        <v>6085710</v>
      </c>
      <c r="AC83" s="699"/>
      <c r="AD83" s="694">
        <f>[8]東京事務!$I$13</f>
        <v>3487473</v>
      </c>
      <c r="AE83" s="695"/>
      <c r="AF83" s="696">
        <f>+AD83</f>
        <v>3487473</v>
      </c>
      <c r="AG83" s="697"/>
      <c r="AH83" s="694"/>
      <c r="AI83" s="695"/>
      <c r="AJ83" s="696">
        <f>+AH83</f>
        <v>0</v>
      </c>
      <c r="AK83" s="697"/>
      <c r="AL83" s="694">
        <f>+AD83+AH83</f>
        <v>3487473</v>
      </c>
      <c r="AM83" s="695"/>
      <c r="AN83" s="696">
        <f>AF83+AJ83</f>
        <v>3487473</v>
      </c>
      <c r="AO83" s="697"/>
      <c r="AP83" s="694">
        <f>+AB83+AL83</f>
        <v>9573183</v>
      </c>
      <c r="AQ83" s="695"/>
      <c r="AR83" s="696">
        <f>D83+AB83+AN83</f>
        <v>9573183</v>
      </c>
      <c r="AS83" s="697"/>
      <c r="AT83" s="694">
        <f>[8]全社合計!$G$13</f>
        <v>11277048</v>
      </c>
      <c r="AU83" s="695"/>
      <c r="AV83" s="696">
        <f>AT83</f>
        <v>11277048</v>
      </c>
      <c r="AW83" s="697"/>
      <c r="AX83" s="694">
        <f>AP83-AT83</f>
        <v>-1703865</v>
      </c>
      <c r="AY83" s="700">
        <f>IF(ISERROR(AP83/AT83),"",AP83/AT83)</f>
        <v>0.8489085973563294</v>
      </c>
      <c r="AZ83" s="696">
        <f>AR83-AV83</f>
        <v>-1703865</v>
      </c>
      <c r="BA83" s="701">
        <f>IF(ISERROR(AR83/AV83),"",AR83/AV83)</f>
        <v>0.8489085973563294</v>
      </c>
    </row>
    <row r="84" spans="1:53" ht="14.25" thickTop="1">
      <c r="D84" s="26"/>
      <c r="H84" s="26"/>
      <c r="L84" s="26"/>
      <c r="P84" s="26"/>
      <c r="T84" s="26"/>
      <c r="AL84" s="26"/>
      <c r="AP84" s="26"/>
      <c r="AT84" s="26"/>
      <c r="AX84" s="26"/>
    </row>
    <row r="85" spans="1:53">
      <c r="AL85" s="26"/>
    </row>
    <row r="89" spans="1:53">
      <c r="B89" s="27"/>
      <c r="D89" s="27"/>
      <c r="H89" s="27"/>
      <c r="L89" s="27"/>
      <c r="P89" s="27"/>
      <c r="T89" s="27"/>
      <c r="X89" s="27"/>
      <c r="AB89" s="27"/>
      <c r="AF89" s="27"/>
      <c r="AL89" s="27"/>
      <c r="AP89" s="27"/>
      <c r="AT89" s="27"/>
      <c r="AX89" s="27"/>
    </row>
    <row r="90" spans="1:53">
      <c r="B90" s="27"/>
      <c r="D90" s="27"/>
      <c r="H90" s="27"/>
      <c r="L90" s="27"/>
      <c r="P90" s="27"/>
      <c r="T90" s="27"/>
      <c r="X90" s="27"/>
      <c r="AB90" s="27"/>
      <c r="AF90" s="27"/>
      <c r="AL90" s="27"/>
      <c r="AP90" s="27"/>
      <c r="AT90" s="27"/>
      <c r="AX90" s="27"/>
    </row>
    <row r="91" spans="1:53">
      <c r="B91" s="27"/>
      <c r="D91" s="27"/>
      <c r="H91" s="27"/>
      <c r="L91" s="27"/>
      <c r="P91" s="27"/>
      <c r="T91" s="27"/>
      <c r="X91" s="27"/>
      <c r="AB91" s="27"/>
      <c r="AF91" s="27"/>
      <c r="AL91" s="27"/>
      <c r="AP91" s="27"/>
      <c r="AT91" s="27"/>
      <c r="AX91" s="27"/>
    </row>
    <row r="92" spans="1:53">
      <c r="B92" s="27"/>
      <c r="D92" s="27"/>
      <c r="H92" s="27"/>
      <c r="L92" s="27"/>
      <c r="P92" s="27"/>
      <c r="T92" s="27"/>
      <c r="X92" s="27"/>
      <c r="AB92" s="27"/>
      <c r="AF92" s="27"/>
      <c r="AL92" s="27"/>
      <c r="AP92" s="27"/>
      <c r="AT92" s="27"/>
      <c r="AX92" s="27"/>
    </row>
    <row r="93" spans="1:53">
      <c r="B93" s="27"/>
      <c r="D93" s="27"/>
      <c r="H93" s="27"/>
      <c r="L93" s="27"/>
      <c r="P93" s="27"/>
      <c r="T93" s="27"/>
      <c r="X93" s="27"/>
      <c r="AB93" s="27"/>
      <c r="AF93" s="27"/>
      <c r="AL93" s="27"/>
      <c r="AP93" s="27"/>
      <c r="AT93" s="27"/>
      <c r="AX93" s="27"/>
    </row>
    <row r="94" spans="1:53">
      <c r="B94" s="27"/>
    </row>
    <row r="95" spans="1:53">
      <c r="B95" s="27"/>
    </row>
  </sheetData>
  <mergeCells count="48">
    <mergeCell ref="A2:A5"/>
    <mergeCell ref="B2:E3"/>
    <mergeCell ref="F2:AC2"/>
    <mergeCell ref="AD2:AO2"/>
    <mergeCell ref="AP2:AS3"/>
    <mergeCell ref="B4:C4"/>
    <mergeCell ref="D4:E4"/>
    <mergeCell ref="F4:G4"/>
    <mergeCell ref="H4:I4"/>
    <mergeCell ref="AD4:AE4"/>
    <mergeCell ref="J4:K4"/>
    <mergeCell ref="L4:M4"/>
    <mergeCell ref="N4:O4"/>
    <mergeCell ref="P4:Q4"/>
    <mergeCell ref="R4:S4"/>
    <mergeCell ref="T4:U4"/>
    <mergeCell ref="AX2:BA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T2:AW3"/>
    <mergeCell ref="AX4:AY4"/>
    <mergeCell ref="AZ4:BA4"/>
    <mergeCell ref="D81:E81"/>
    <mergeCell ref="F81:G81"/>
    <mergeCell ref="AH4:AI4"/>
    <mergeCell ref="AJ4:AK4"/>
    <mergeCell ref="AL4:AM4"/>
    <mergeCell ref="AN4:AO4"/>
    <mergeCell ref="AP4:AQ4"/>
    <mergeCell ref="AR4:AS4"/>
    <mergeCell ref="AV4:AW4"/>
    <mergeCell ref="AF4:AG4"/>
    <mergeCell ref="D82:E82"/>
    <mergeCell ref="F82:G82"/>
    <mergeCell ref="D83:E83"/>
    <mergeCell ref="F83:G83"/>
    <mergeCell ref="AT4:AU4"/>
    <mergeCell ref="V4:W4"/>
    <mergeCell ref="X4:Y4"/>
    <mergeCell ref="Z4:AA4"/>
    <mergeCell ref="AB4:AC4"/>
  </mergeCells>
  <phoneticPr fontId="36"/>
  <dataValidations count="2">
    <dataValidation imeMode="off" allowBlank="1" showInputMessage="1" showErrorMessage="1" sqref="B1 AP1 AR1:AT1 AZ1:BA1 AV1:AX1 B6:BA65536" xr:uid="{89F74BCC-16B4-44E5-A2AC-DC692E5C21D9}"/>
    <dataValidation imeMode="on" allowBlank="1" showInputMessage="1" showErrorMessage="1" sqref="A2:BA5" xr:uid="{3E23909D-8DD5-4928-8E66-FBAC2D440462}"/>
  </dataValidations>
  <printOptions gridLinesSet="0"/>
  <pageMargins left="0.39370078740157483" right="0.19685039370078741" top="0.39370078740157483" bottom="0.19685039370078741" header="0" footer="0"/>
  <pageSetup paperSize="8" scale="68" orientation="landscape" r:id="rId1"/>
  <headerFooter alignWithMargins="0">
    <oddHeader>&amp;L&amp;D&amp;T&amp;C&amp;"明朝,太字"&amp;16&amp;F&amp;R&amp;"明朝,太字"&amp;A</oddHeader>
    <oddFooter>&amp;C&amp;"明朝,太字"&amp;14&amp;F&amp;R&amp;"明朝,太字"&amp;14&amp;A</oddFooter>
  </headerFooter>
  <colBreaks count="1" manualBreakCount="1">
    <brk id="29" min="1" max="76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F37E-FC68-4DFC-BC2E-9D5DF14164B8}">
  <dimension ref="A1:BB95"/>
  <sheetViews>
    <sheetView tabSelected="1" view="pageBreakPreview" zoomScale="80" zoomScaleNormal="80" zoomScaleSheetLayoutView="80" workbookViewId="0">
      <pane xSplit="1" ySplit="5" topLeftCell="B6" activePane="bottomRight" state="frozen"/>
      <selection activeCell="B4" sqref="A4:XFD4"/>
      <selection pane="topRight" activeCell="B4" sqref="A4:XFD4"/>
      <selection pane="bottomLeft" activeCell="B4" sqref="A4:XFD4"/>
      <selection pane="bottomRight" activeCell="AD83" sqref="AD83"/>
    </sheetView>
  </sheetViews>
  <sheetFormatPr defaultRowHeight="13.5"/>
  <cols>
    <col min="1" max="1" width="23.75" style="1" customWidth="1"/>
    <col min="2" max="2" width="11.375" style="1" bestFit="1" customWidth="1"/>
    <col min="3" max="3" width="7.875" style="1" customWidth="1"/>
    <col min="4" max="4" width="12.625" style="1" customWidth="1"/>
    <col min="5" max="5" width="8.25" style="1" customWidth="1"/>
    <col min="6" max="6" width="11.625" style="1" customWidth="1"/>
    <col min="7" max="7" width="8.375" style="1" customWidth="1"/>
    <col min="8" max="8" width="12.625" style="1" customWidth="1"/>
    <col min="9" max="9" width="7.375" style="1" customWidth="1"/>
    <col min="10" max="10" width="11.625" style="1" customWidth="1"/>
    <col min="11" max="11" width="8.375" style="1" customWidth="1"/>
    <col min="12" max="12" width="12.625" style="1" customWidth="1"/>
    <col min="13" max="13" width="9" style="1" bestFit="1" customWidth="1"/>
    <col min="14" max="14" width="11.625" style="1" customWidth="1"/>
    <col min="15" max="15" width="8.375" style="1" customWidth="1"/>
    <col min="16" max="16" width="12.625" style="1" customWidth="1"/>
    <col min="17" max="17" width="8.625" style="1" customWidth="1"/>
    <col min="18" max="18" width="11.625" style="1" customWidth="1"/>
    <col min="19" max="19" width="8.375" style="1" customWidth="1"/>
    <col min="20" max="20" width="12.625" style="1" customWidth="1"/>
    <col min="21" max="21" width="7.25" style="1" customWidth="1"/>
    <col min="22" max="22" width="11.625" style="1" customWidth="1"/>
    <col min="23" max="23" width="8.375" style="1" customWidth="1"/>
    <col min="24" max="24" width="12.625" style="1" customWidth="1"/>
    <col min="25" max="25" width="7.375" style="1" customWidth="1"/>
    <col min="26" max="26" width="11.625" style="1" customWidth="1"/>
    <col min="27" max="27" width="8.375" style="1" customWidth="1"/>
    <col min="28" max="28" width="12.625" style="1" customWidth="1"/>
    <col min="29" max="29" width="7.375" style="1" customWidth="1"/>
    <col min="30" max="30" width="11.625" style="1" customWidth="1"/>
    <col min="31" max="31" width="8.375" style="1" customWidth="1"/>
    <col min="32" max="32" width="12.625" style="1" customWidth="1"/>
    <col min="33" max="33" width="7.375" style="1" customWidth="1"/>
    <col min="34" max="34" width="11.625" style="1" customWidth="1"/>
    <col min="35" max="35" width="8.375" style="1" customWidth="1"/>
    <col min="36" max="36" width="12.625" style="1" customWidth="1"/>
    <col min="37" max="37" width="8.375" style="1" customWidth="1"/>
    <col min="38" max="38" width="11.625" style="1" customWidth="1"/>
    <col min="39" max="39" width="7.375" style="1" customWidth="1"/>
    <col min="40" max="40" width="12.625" style="1" customWidth="1"/>
    <col min="41" max="41" width="8.375" style="1" customWidth="1"/>
    <col min="42" max="42" width="13.625" style="1" customWidth="1"/>
    <col min="43" max="43" width="7.375" style="1" customWidth="1"/>
    <col min="44" max="44" width="13.625" style="1" customWidth="1"/>
    <col min="45" max="45" width="8.375" style="1" customWidth="1"/>
    <col min="46" max="46" width="13.625" style="1" customWidth="1"/>
    <col min="47" max="47" width="7.375" style="1" customWidth="1"/>
    <col min="48" max="48" width="13.625" style="1" customWidth="1"/>
    <col min="49" max="49" width="8.375" style="1" customWidth="1"/>
    <col min="50" max="50" width="13.625" style="1" customWidth="1"/>
    <col min="51" max="51" width="7.375" style="1" customWidth="1"/>
    <col min="52" max="52" width="13.625" style="1" customWidth="1"/>
    <col min="53" max="53" width="8.375" style="1" customWidth="1"/>
  </cols>
  <sheetData>
    <row r="1" spans="1:54" ht="10.5" customHeight="1" thickBot="1"/>
    <row r="2" spans="1:54" ht="14.25" customHeight="1" thickTop="1">
      <c r="A2" s="798" t="s">
        <v>0</v>
      </c>
      <c r="B2" s="759" t="s">
        <v>71</v>
      </c>
      <c r="C2" s="760"/>
      <c r="D2" s="760"/>
      <c r="E2" s="761"/>
      <c r="F2" s="812" t="s">
        <v>82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4"/>
      <c r="AD2" s="807" t="s">
        <v>83</v>
      </c>
      <c r="AE2" s="808"/>
      <c r="AF2" s="808"/>
      <c r="AG2" s="808"/>
      <c r="AH2" s="808"/>
      <c r="AI2" s="808"/>
      <c r="AJ2" s="808"/>
      <c r="AK2" s="808"/>
      <c r="AL2" s="808"/>
      <c r="AM2" s="808"/>
      <c r="AN2" s="808"/>
      <c r="AO2" s="809"/>
      <c r="AP2" s="759" t="s">
        <v>81</v>
      </c>
      <c r="AQ2" s="760"/>
      <c r="AR2" s="760"/>
      <c r="AS2" s="761"/>
      <c r="AT2" s="759" t="s">
        <v>88</v>
      </c>
      <c r="AU2" s="760"/>
      <c r="AV2" s="760"/>
      <c r="AW2" s="761"/>
      <c r="AX2" s="759" t="s">
        <v>89</v>
      </c>
      <c r="AY2" s="760"/>
      <c r="AZ2" s="760"/>
      <c r="BA2" s="761"/>
    </row>
    <row r="3" spans="1:54">
      <c r="A3" s="799"/>
      <c r="B3" s="762"/>
      <c r="C3" s="763"/>
      <c r="D3" s="763"/>
      <c r="E3" s="764"/>
      <c r="F3" s="784" t="s">
        <v>73</v>
      </c>
      <c r="G3" s="785"/>
      <c r="H3" s="785"/>
      <c r="I3" s="823"/>
      <c r="J3" s="787" t="s">
        <v>74</v>
      </c>
      <c r="K3" s="787"/>
      <c r="L3" s="787"/>
      <c r="M3" s="787"/>
      <c r="N3" s="788" t="s">
        <v>92</v>
      </c>
      <c r="O3" s="789"/>
      <c r="P3" s="789"/>
      <c r="Q3" s="790"/>
      <c r="R3" s="820" t="s">
        <v>75</v>
      </c>
      <c r="S3" s="789"/>
      <c r="T3" s="789"/>
      <c r="U3" s="790"/>
      <c r="V3" s="789" t="s">
        <v>76</v>
      </c>
      <c r="W3" s="789"/>
      <c r="X3" s="789"/>
      <c r="Y3" s="821"/>
      <c r="Z3" s="816" t="s">
        <v>79</v>
      </c>
      <c r="AA3" s="817"/>
      <c r="AB3" s="817"/>
      <c r="AC3" s="818"/>
      <c r="AD3" s="819" t="s">
        <v>77</v>
      </c>
      <c r="AE3" s="805"/>
      <c r="AF3" s="805"/>
      <c r="AG3" s="805"/>
      <c r="AH3" s="804" t="s">
        <v>78</v>
      </c>
      <c r="AI3" s="805"/>
      <c r="AJ3" s="805"/>
      <c r="AK3" s="806"/>
      <c r="AL3" s="805" t="s">
        <v>80</v>
      </c>
      <c r="AM3" s="805"/>
      <c r="AN3" s="805"/>
      <c r="AO3" s="811"/>
      <c r="AP3" s="762"/>
      <c r="AQ3" s="763"/>
      <c r="AR3" s="763"/>
      <c r="AS3" s="764"/>
      <c r="AT3" s="762"/>
      <c r="AU3" s="763"/>
      <c r="AV3" s="763"/>
      <c r="AW3" s="764"/>
      <c r="AX3" s="762"/>
      <c r="AY3" s="763"/>
      <c r="AZ3" s="763"/>
      <c r="BA3" s="764"/>
    </row>
    <row r="4" spans="1:54" ht="15.95" customHeight="1">
      <c r="A4" s="799"/>
      <c r="B4" s="779">
        <v>46081</v>
      </c>
      <c r="C4" s="776"/>
      <c r="D4" s="780" t="s">
        <v>72</v>
      </c>
      <c r="E4" s="781"/>
      <c r="F4" s="765">
        <v>46081</v>
      </c>
      <c r="G4" s="766"/>
      <c r="H4" s="767" t="s">
        <v>72</v>
      </c>
      <c r="I4" s="822"/>
      <c r="J4" s="797">
        <v>46081</v>
      </c>
      <c r="K4" s="766"/>
      <c r="L4" s="767" t="s">
        <v>72</v>
      </c>
      <c r="M4" s="782"/>
      <c r="N4" s="795">
        <v>46081</v>
      </c>
      <c r="O4" s="766"/>
      <c r="P4" s="767" t="s">
        <v>72</v>
      </c>
      <c r="Q4" s="783"/>
      <c r="R4" s="796">
        <v>46081</v>
      </c>
      <c r="S4" s="766"/>
      <c r="T4" s="767" t="s">
        <v>72</v>
      </c>
      <c r="U4" s="783"/>
      <c r="V4" s="797">
        <v>46081</v>
      </c>
      <c r="W4" s="766"/>
      <c r="X4" s="767" t="s">
        <v>72</v>
      </c>
      <c r="Y4" s="793"/>
      <c r="Z4" s="775">
        <v>46081</v>
      </c>
      <c r="AA4" s="815"/>
      <c r="AB4" s="780" t="s">
        <v>72</v>
      </c>
      <c r="AC4" s="781"/>
      <c r="AD4" s="765">
        <v>46081</v>
      </c>
      <c r="AE4" s="766"/>
      <c r="AF4" s="791" t="s">
        <v>72</v>
      </c>
      <c r="AG4" s="792"/>
      <c r="AH4" s="797">
        <v>46081</v>
      </c>
      <c r="AI4" s="766"/>
      <c r="AJ4" s="767" t="s">
        <v>72</v>
      </c>
      <c r="AK4" s="810"/>
      <c r="AL4" s="775">
        <v>46081</v>
      </c>
      <c r="AM4" s="776"/>
      <c r="AN4" s="780" t="s">
        <v>72</v>
      </c>
      <c r="AO4" s="803"/>
      <c r="AP4" s="777">
        <v>46081</v>
      </c>
      <c r="AQ4" s="778"/>
      <c r="AR4" s="801" t="s">
        <v>72</v>
      </c>
      <c r="AS4" s="802"/>
      <c r="AT4" s="765">
        <v>45716</v>
      </c>
      <c r="AU4" s="766"/>
      <c r="AV4" s="767" t="s">
        <v>72</v>
      </c>
      <c r="AW4" s="768"/>
      <c r="AX4" s="765" t="s">
        <v>90</v>
      </c>
      <c r="AY4" s="766"/>
      <c r="AZ4" s="767" t="s">
        <v>91</v>
      </c>
      <c r="BA4" s="768"/>
    </row>
    <row r="5" spans="1:54" ht="15.95" customHeight="1">
      <c r="A5" s="800"/>
      <c r="B5" s="49" t="s">
        <v>1</v>
      </c>
      <c r="C5" s="50" t="s">
        <v>2</v>
      </c>
      <c r="D5" s="47" t="s">
        <v>1</v>
      </c>
      <c r="E5" s="51" t="s">
        <v>2</v>
      </c>
      <c r="F5" s="2" t="s">
        <v>1</v>
      </c>
      <c r="G5" s="4" t="s">
        <v>2</v>
      </c>
      <c r="H5" s="29" t="s">
        <v>1</v>
      </c>
      <c r="I5" s="335" t="s">
        <v>2</v>
      </c>
      <c r="J5" s="3" t="s">
        <v>1</v>
      </c>
      <c r="K5" s="4" t="s">
        <v>2</v>
      </c>
      <c r="L5" s="29" t="s">
        <v>1</v>
      </c>
      <c r="M5" s="5" t="s">
        <v>2</v>
      </c>
      <c r="N5" s="222" t="s">
        <v>1</v>
      </c>
      <c r="O5" s="4" t="s">
        <v>2</v>
      </c>
      <c r="P5" s="33" t="s">
        <v>1</v>
      </c>
      <c r="Q5" s="72" t="s">
        <v>2</v>
      </c>
      <c r="R5" s="67" t="s">
        <v>1</v>
      </c>
      <c r="S5" s="4" t="s">
        <v>2</v>
      </c>
      <c r="T5" s="33" t="s">
        <v>1</v>
      </c>
      <c r="U5" s="72" t="s">
        <v>2</v>
      </c>
      <c r="V5" s="3" t="s">
        <v>1</v>
      </c>
      <c r="W5" s="4" t="s">
        <v>2</v>
      </c>
      <c r="X5" s="33" t="s">
        <v>1</v>
      </c>
      <c r="Y5" s="223" t="s">
        <v>2</v>
      </c>
      <c r="Z5" s="52" t="s">
        <v>1</v>
      </c>
      <c r="AA5" s="74" t="s">
        <v>2</v>
      </c>
      <c r="AB5" s="76" t="s">
        <v>1</v>
      </c>
      <c r="AC5" s="332" t="s">
        <v>2</v>
      </c>
      <c r="AD5" s="2" t="s">
        <v>1</v>
      </c>
      <c r="AE5" s="4" t="s">
        <v>2</v>
      </c>
      <c r="AF5" s="29" t="s">
        <v>1</v>
      </c>
      <c r="AG5" s="6" t="s">
        <v>2</v>
      </c>
      <c r="AH5" s="3" t="s">
        <v>1</v>
      </c>
      <c r="AI5" s="4" t="s">
        <v>2</v>
      </c>
      <c r="AJ5" s="33" t="s">
        <v>1</v>
      </c>
      <c r="AK5" s="96" t="s">
        <v>2</v>
      </c>
      <c r="AL5" s="114" t="s">
        <v>1</v>
      </c>
      <c r="AM5" s="312" t="s">
        <v>2</v>
      </c>
      <c r="AN5" s="52" t="s">
        <v>1</v>
      </c>
      <c r="AO5" s="115" t="s">
        <v>2</v>
      </c>
      <c r="AP5" s="278" t="s">
        <v>1</v>
      </c>
      <c r="AQ5" s="279" t="s">
        <v>2</v>
      </c>
      <c r="AR5" s="280" t="s">
        <v>1</v>
      </c>
      <c r="AS5" s="281" t="s">
        <v>2</v>
      </c>
      <c r="AT5" s="116" t="s">
        <v>1</v>
      </c>
      <c r="AU5" s="5" t="s">
        <v>2</v>
      </c>
      <c r="AV5" s="33" t="s">
        <v>1</v>
      </c>
      <c r="AW5" s="117" t="s">
        <v>2</v>
      </c>
      <c r="AX5" s="116" t="s">
        <v>1</v>
      </c>
      <c r="AY5" s="5" t="s">
        <v>2</v>
      </c>
      <c r="AZ5" s="33" t="s">
        <v>1</v>
      </c>
      <c r="BA5" s="117" t="s">
        <v>2</v>
      </c>
    </row>
    <row r="6" spans="1:54" ht="15.95" customHeight="1">
      <c r="A6" s="253" t="s">
        <v>3</v>
      </c>
      <c r="B6" s="721"/>
      <c r="C6" s="258" t="str">
        <f t="shared" ref="C6:C11" si="0">IF(ISERR(B6/$B$11),"",B6/$B$11)</f>
        <v/>
      </c>
      <c r="D6" s="723"/>
      <c r="E6" s="118" t="str">
        <f t="shared" ref="E6:E11" si="1">IF(ISERR(D6/$D$11),"",D6/$D$11)</f>
        <v/>
      </c>
      <c r="F6" s="351">
        <f>[9]本社営業!$I$5</f>
        <v>372120934</v>
      </c>
      <c r="G6" s="7">
        <f t="shared" ref="G6:G11" si="2">IF(ISERR(F6/$F$11),"",F6/$F$11)</f>
        <v>0.7502357141875875</v>
      </c>
      <c r="H6" s="354">
        <f>[9]本社営業!$L$5</f>
        <v>3676505107</v>
      </c>
      <c r="I6" s="120">
        <f>IF(ISERR(H6/$H$11),"",H6/$H$11)</f>
        <v>0.79734397277579239</v>
      </c>
      <c r="J6" s="744">
        <f>[9]東大阪!$I$5</f>
        <v>418655</v>
      </c>
      <c r="K6" s="7">
        <f>IF(ISERR(J6/$J$11),"",J6/$J$11)</f>
        <v>4.9612937202491839E-2</v>
      </c>
      <c r="L6" s="354">
        <f>[9]東大阪!$L$5</f>
        <v>4130915</v>
      </c>
      <c r="M6" s="120">
        <f t="shared" ref="M6:M11" si="3">IF(ISERR(L6/$L$11),"",L6/$L$11)</f>
        <v>5.053699011886701E-2</v>
      </c>
      <c r="N6" s="402">
        <f>[9]南港工場!$I$5</f>
        <v>3226005</v>
      </c>
      <c r="O6" s="7">
        <f t="shared" ref="O6:O11" si="4">IF(ISERR(N6/$N$11),"",N6/$N$11)</f>
        <v>0.14722307410064456</v>
      </c>
      <c r="P6" s="354">
        <f>[9]南港工場!$L$5</f>
        <v>30530408</v>
      </c>
      <c r="Q6" s="203">
        <f t="shared" ref="Q6:Q11" si="5">IF(ISERR(P6/$P$11),"",P6/$P$11)</f>
        <v>0.12817466302982952</v>
      </c>
      <c r="R6" s="436"/>
      <c r="S6" s="7" t="str">
        <f t="shared" ref="S6:S11" si="6">IF(ISERR(R6/$R$11),"",R6/$R$11)</f>
        <v/>
      </c>
      <c r="T6" s="354">
        <f>[9]南港事務!$L$5</f>
        <v>0</v>
      </c>
      <c r="U6" s="203" t="str">
        <f t="shared" ref="U6:U11" si="7">IF(ISERR(T6/$T$11),"",T6/$T$11)</f>
        <v/>
      </c>
      <c r="V6" s="455">
        <f>N6+R6</f>
        <v>3226005</v>
      </c>
      <c r="W6" s="174">
        <f t="shared" ref="W6:W11" si="8">IF(ISERR(V6/$V$11),"",V6/$V$11)</f>
        <v>0.14722307410064456</v>
      </c>
      <c r="X6" s="406">
        <f>P6+T6</f>
        <v>30530408</v>
      </c>
      <c r="Y6" s="224">
        <f t="shared" ref="Y6:Y11" si="9">IF(ISERR(X6/$X$11),"",X6/$X$11)</f>
        <v>0.12817466302982952</v>
      </c>
      <c r="Z6" s="459">
        <f>F6+J6+N6+R6</f>
        <v>375765594</v>
      </c>
      <c r="AA6" s="188">
        <f t="shared" ref="AA6:AA11" si="10">IF(ISERR(Z6/$Z$11),"",Z6/$Z$11)</f>
        <v>0.7138998940379041</v>
      </c>
      <c r="AB6" s="462">
        <f>H6+L6+P6+T6</f>
        <v>3711166430</v>
      </c>
      <c r="AC6" s="119">
        <f t="shared" ref="AC6:AC11" si="11">IF(ISERR(AB6/$AB$11),"",AB6/$AB$11)</f>
        <v>0.75263865555435661</v>
      </c>
      <c r="AD6" s="351">
        <f>[9]東京事務!$I$5</f>
        <v>130230126</v>
      </c>
      <c r="AE6" s="7">
        <f t="shared" ref="AE6:AE11" si="12">IF(ISERR(AD6/$AD$11),"",AD6/$AD$11)</f>
        <v>0.64169655950753468</v>
      </c>
      <c r="AF6" s="354">
        <f>[9]東京事務!$L$5</f>
        <v>1349335208</v>
      </c>
      <c r="AG6" s="80">
        <f t="shared" ref="AG6:AG11" si="13">IF(ISERR(AF6/$AF$11),"",AF6/$AF$11)</f>
        <v>0.63315641387946664</v>
      </c>
      <c r="AH6" s="467">
        <f>[9]東京工場!$I$5</f>
        <v>0</v>
      </c>
      <c r="AI6" s="169">
        <f>IF(ISERR(AH6/$AH$11),"",AH6/$AH$11)</f>
        <v>0</v>
      </c>
      <c r="AJ6" s="354">
        <f>[9]東京工場!$L$5</f>
        <v>0</v>
      </c>
      <c r="AK6" s="97">
        <f t="shared" ref="AK6:AK11" si="14">IF(ISERR(AJ6/$AJ$11),"",AJ6/$AJ$11)</f>
        <v>0</v>
      </c>
      <c r="AL6" s="472">
        <f>AD6+AH6</f>
        <v>130230126</v>
      </c>
      <c r="AM6" s="313">
        <f t="shared" ref="AM6:AM11" si="15">IF(ISERR(AL6/$AL$11),"",AL6/AL$11)</f>
        <v>0.61785593088172941</v>
      </c>
      <c r="AN6" s="477">
        <f>AF6+AJ6</f>
        <v>1349335208</v>
      </c>
      <c r="AO6" s="119">
        <f t="shared" ref="AO6:AO11" si="16">IF(ISERR(AN6/$AN$11),"",AN6/$AN$11)</f>
        <v>0.60869291031376094</v>
      </c>
      <c r="AP6" s="481">
        <f>B6+Z6+AL6</f>
        <v>505995720</v>
      </c>
      <c r="AQ6" s="282">
        <f t="shared" ref="AQ6:AQ11" si="17">IF(ISERR(AP6/$AP$11),"",AP6/$AP$11)</f>
        <v>0.68643688730970653</v>
      </c>
      <c r="AR6" s="486">
        <f>D6+AB6+AN6</f>
        <v>5060501638</v>
      </c>
      <c r="AS6" s="283">
        <f t="shared" ref="AS6:AS11" si="18">IF(ISERR(AR6/$AR$11),"",AR6/$AR$11)</f>
        <v>0.70799525975438704</v>
      </c>
      <c r="AT6" s="573">
        <f>[9]全社合計!$G$5</f>
        <v>560244665</v>
      </c>
      <c r="AU6" s="120">
        <f>IF(ISERR(AT6/$AT$11),"",AT6/$AT$11)</f>
        <v>0.67737828908482711</v>
      </c>
      <c r="AV6" s="577">
        <f>[9]全社合計!$N$5</f>
        <v>5849720779</v>
      </c>
      <c r="AW6" s="121">
        <f>IF(ISERR(AV6/$AV$11),"",AV6/$AV$11)</f>
        <v>0.72624686138788308</v>
      </c>
      <c r="AX6" s="573">
        <f>AP6-AT6</f>
        <v>-54248945</v>
      </c>
      <c r="AY6" s="120">
        <f>IF(ISERROR(AP6/AT6),"",AP6/AT6)</f>
        <v>0.90316918948259861</v>
      </c>
      <c r="AZ6" s="577">
        <f>AR6-AV6</f>
        <v>-789219141</v>
      </c>
      <c r="BA6" s="121">
        <f>IF(ISERROR(AR6/AV6),"",AR6/AV6)</f>
        <v>0.86508430559057969</v>
      </c>
      <c r="BB6" s="8"/>
    </row>
    <row r="7" spans="1:54" ht="15.95" customHeight="1">
      <c r="A7" s="254" t="s">
        <v>53</v>
      </c>
      <c r="B7" s="719"/>
      <c r="C7" s="259" t="str">
        <f t="shared" si="0"/>
        <v/>
      </c>
      <c r="D7" s="723"/>
      <c r="E7" s="122" t="str">
        <f t="shared" si="1"/>
        <v/>
      </c>
      <c r="F7" s="352">
        <f>[9]本社営業!$I$6</f>
        <v>62838057</v>
      </c>
      <c r="G7" s="9">
        <f t="shared" si="2"/>
        <v>0.12668826250864815</v>
      </c>
      <c r="H7" s="355">
        <f>[9]本社営業!$L$6</f>
        <v>369078011</v>
      </c>
      <c r="I7" s="124">
        <f t="shared" ref="I7:I73" si="19">IF(ISERR(H7/$H$11),"",H7/$H$11)</f>
        <v>8.004398715362035E-2</v>
      </c>
      <c r="J7" s="745">
        <f>[9]東大阪!$I$6</f>
        <v>0</v>
      </c>
      <c r="K7" s="9">
        <f t="shared" ref="K7:K73" si="20">IF(ISERR(J7/$J$11),"",J7/$J$11)</f>
        <v>0</v>
      </c>
      <c r="L7" s="355">
        <f>[9]東大阪!$L$6</f>
        <v>0</v>
      </c>
      <c r="M7" s="124">
        <f t="shared" si="3"/>
        <v>0</v>
      </c>
      <c r="N7" s="403">
        <f>[9]南港工場!$I$6</f>
        <v>0</v>
      </c>
      <c r="O7" s="9">
        <f>IF(ISERR(N7/$N$11),"",N7/$N$11)</f>
        <v>0</v>
      </c>
      <c r="P7" s="355">
        <f>[9]南港工場!$L$6</f>
        <v>0</v>
      </c>
      <c r="Q7" s="204">
        <f t="shared" si="5"/>
        <v>0</v>
      </c>
      <c r="R7" s="437"/>
      <c r="S7" s="9" t="str">
        <f t="shared" si="6"/>
        <v/>
      </c>
      <c r="T7" s="355">
        <f>[9]南港事務!$L$6</f>
        <v>0</v>
      </c>
      <c r="U7" s="204" t="str">
        <f t="shared" si="7"/>
        <v/>
      </c>
      <c r="V7" s="456">
        <f t="shared" ref="V7:V73" si="21">N7+R7</f>
        <v>0</v>
      </c>
      <c r="W7" s="171">
        <f t="shared" si="8"/>
        <v>0</v>
      </c>
      <c r="X7" s="407">
        <f t="shared" ref="X7:X73" si="22">P7+T7</f>
        <v>0</v>
      </c>
      <c r="Y7" s="225">
        <f t="shared" si="9"/>
        <v>0</v>
      </c>
      <c r="Z7" s="460">
        <f t="shared" ref="Z7:Z73" si="23">F7+J7+N7+R7</f>
        <v>62838057</v>
      </c>
      <c r="AA7" s="189">
        <f t="shared" si="10"/>
        <v>0.11938315521736612</v>
      </c>
      <c r="AB7" s="463">
        <f t="shared" ref="AB7:AB73" si="24">H7+L7+P7+T7</f>
        <v>369078011</v>
      </c>
      <c r="AC7" s="123">
        <f t="shared" si="11"/>
        <v>7.4850423238419964E-2</v>
      </c>
      <c r="AD7" s="352">
        <f>[9]東京事務!$I$6</f>
        <v>0</v>
      </c>
      <c r="AE7" s="9">
        <f t="shared" si="12"/>
        <v>0</v>
      </c>
      <c r="AF7" s="355">
        <f>[9]東京事務!$L$6</f>
        <v>0</v>
      </c>
      <c r="AG7" s="81">
        <f t="shared" si="13"/>
        <v>0</v>
      </c>
      <c r="AH7" s="468">
        <f>[9]東京工場!$I$6</f>
        <v>0</v>
      </c>
      <c r="AI7" s="170">
        <f t="shared" ref="AI7:AI73" si="25">IF(ISERR(AH7/$AH$11),"",AH7/$AH$11)</f>
        <v>0</v>
      </c>
      <c r="AJ7" s="355">
        <f>[9]東京工場!$L$6</f>
        <v>0</v>
      </c>
      <c r="AK7" s="98">
        <f t="shared" si="14"/>
        <v>0</v>
      </c>
      <c r="AL7" s="473">
        <f t="shared" ref="AL7:AL73" si="26">AD7+AH7</f>
        <v>0</v>
      </c>
      <c r="AM7" s="314">
        <f t="shared" si="15"/>
        <v>0</v>
      </c>
      <c r="AN7" s="478">
        <f t="shared" ref="AN7:AN73" si="27">AF7+AJ7</f>
        <v>0</v>
      </c>
      <c r="AO7" s="123">
        <f t="shared" si="16"/>
        <v>0</v>
      </c>
      <c r="AP7" s="482">
        <f t="shared" ref="AP7:AP73" si="28">B7+Z7+AL7</f>
        <v>62838057</v>
      </c>
      <c r="AQ7" s="284">
        <f t="shared" si="17"/>
        <v>8.524649230564621E-2</v>
      </c>
      <c r="AR7" s="487">
        <f t="shared" ref="AR7:AR73" si="29">D7+AB7+AN7</f>
        <v>369078011</v>
      </c>
      <c r="AS7" s="285">
        <f t="shared" si="18"/>
        <v>5.1636280542900898E-2</v>
      </c>
      <c r="AT7" s="574">
        <f>[9]全社合計!$G$6</f>
        <v>23901379</v>
      </c>
      <c r="AU7" s="124">
        <f t="shared" ref="AU7:AU73" si="30">IF(ISERR(AT7/$AT$11),"",AT7/$AT$11)</f>
        <v>2.889857989774524E-2</v>
      </c>
      <c r="AV7" s="578">
        <f>[9]全社合計!$N$6</f>
        <v>266710901</v>
      </c>
      <c r="AW7" s="125">
        <f t="shared" ref="AW7:AW73" si="31">IF(ISERR(AV7/$AV$11),"",AV7/$AV$11)</f>
        <v>3.3112341950498489E-2</v>
      </c>
      <c r="AX7" s="574">
        <f t="shared" ref="AX7:AX73" si="32">AP7-AT7</f>
        <v>38936678</v>
      </c>
      <c r="AY7" s="124">
        <f t="shared" ref="AY7:AY73" si="33">IF(ISERROR(AP7/AT7),"",AP7/AT7)</f>
        <v>2.6290557126431908</v>
      </c>
      <c r="AZ7" s="578">
        <f t="shared" ref="AZ7:AZ73" si="34">AR7-AV7</f>
        <v>102367110</v>
      </c>
      <c r="BA7" s="125">
        <f t="shared" ref="BA7:BA73" si="35">IF(ISERROR(AR7/AV7),"",AR7/AV7)</f>
        <v>1.3838129960799765</v>
      </c>
      <c r="BB7" s="8"/>
    </row>
    <row r="8" spans="1:54" ht="15.95" customHeight="1">
      <c r="A8" s="255" t="s">
        <v>4</v>
      </c>
      <c r="B8" s="706"/>
      <c r="C8" s="259" t="str">
        <f t="shared" si="0"/>
        <v/>
      </c>
      <c r="D8" s="723"/>
      <c r="E8" s="122" t="str">
        <f t="shared" si="1"/>
        <v/>
      </c>
      <c r="F8" s="352">
        <f>[9]本社営業!$I$7</f>
        <v>1913915</v>
      </c>
      <c r="G8" s="9">
        <f t="shared" si="2"/>
        <v>3.8586579139332604E-3</v>
      </c>
      <c r="H8" s="356">
        <f>[9]本社営業!$L$7</f>
        <v>17142050</v>
      </c>
      <c r="I8" s="124">
        <f t="shared" si="19"/>
        <v>3.717691081809579E-3</v>
      </c>
      <c r="J8" s="745">
        <f>[9]東大阪!$I$7</f>
        <v>0</v>
      </c>
      <c r="K8" s="9">
        <f t="shared" si="20"/>
        <v>0</v>
      </c>
      <c r="L8" s="356">
        <f>[9]東大阪!$L$7</f>
        <v>0</v>
      </c>
      <c r="M8" s="124">
        <f t="shared" si="3"/>
        <v>0</v>
      </c>
      <c r="N8" s="403">
        <f>[9]南港工場!$I$7</f>
        <v>11134135</v>
      </c>
      <c r="O8" s="9">
        <f t="shared" si="4"/>
        <v>0.5081212156061693</v>
      </c>
      <c r="P8" s="356">
        <f>[9]南港工場!$L$7</f>
        <v>124744157</v>
      </c>
      <c r="Q8" s="204">
        <f t="shared" si="5"/>
        <v>0.52370870013971482</v>
      </c>
      <c r="R8" s="437"/>
      <c r="S8" s="9" t="str">
        <f t="shared" si="6"/>
        <v/>
      </c>
      <c r="T8" s="356">
        <f>[9]南港事務!$L$7</f>
        <v>0</v>
      </c>
      <c r="U8" s="204" t="str">
        <f t="shared" si="7"/>
        <v/>
      </c>
      <c r="V8" s="456">
        <f t="shared" si="21"/>
        <v>11134135</v>
      </c>
      <c r="W8" s="171">
        <f t="shared" si="8"/>
        <v>0.5081212156061693</v>
      </c>
      <c r="X8" s="408">
        <f t="shared" si="22"/>
        <v>124744157</v>
      </c>
      <c r="Y8" s="225">
        <f t="shared" si="9"/>
        <v>0.52370870013971482</v>
      </c>
      <c r="Z8" s="460">
        <f t="shared" si="23"/>
        <v>13048050</v>
      </c>
      <c r="AA8" s="189">
        <f t="shared" si="10"/>
        <v>2.478939440208907E-2</v>
      </c>
      <c r="AB8" s="464">
        <f t="shared" si="24"/>
        <v>141886207</v>
      </c>
      <c r="AC8" s="123">
        <f t="shared" si="11"/>
        <v>2.8775061989927287E-2</v>
      </c>
      <c r="AD8" s="352">
        <f>[9]東京事務!$I$7</f>
        <v>0</v>
      </c>
      <c r="AE8" s="9">
        <f t="shared" si="12"/>
        <v>0</v>
      </c>
      <c r="AF8" s="356">
        <f>[9]東京事務!$L$7</f>
        <v>1549800</v>
      </c>
      <c r="AG8" s="81">
        <f t="shared" si="13"/>
        <v>7.272216750979475E-4</v>
      </c>
      <c r="AH8" s="468">
        <f>[9]東京工場!$I$7</f>
        <v>0</v>
      </c>
      <c r="AI8" s="171">
        <f t="shared" si="25"/>
        <v>0</v>
      </c>
      <c r="AJ8" s="356">
        <f>[9]東京工場!$L$7</f>
        <v>0</v>
      </c>
      <c r="AK8" s="99">
        <f t="shared" si="14"/>
        <v>0</v>
      </c>
      <c r="AL8" s="474">
        <f t="shared" si="26"/>
        <v>0</v>
      </c>
      <c r="AM8" s="314">
        <f t="shared" si="15"/>
        <v>0</v>
      </c>
      <c r="AN8" s="478">
        <f t="shared" si="27"/>
        <v>1549800</v>
      </c>
      <c r="AO8" s="123">
        <f t="shared" si="16"/>
        <v>6.991237364972594E-4</v>
      </c>
      <c r="AP8" s="483">
        <f t="shared" si="28"/>
        <v>13048050</v>
      </c>
      <c r="AQ8" s="284">
        <f t="shared" si="17"/>
        <v>1.7701064403195774E-2</v>
      </c>
      <c r="AR8" s="487">
        <f t="shared" si="29"/>
        <v>143436007</v>
      </c>
      <c r="AS8" s="285">
        <f t="shared" si="18"/>
        <v>2.006757833482932E-2</v>
      </c>
      <c r="AT8" s="575">
        <f>[9]全社合計!$G$7</f>
        <v>15810732</v>
      </c>
      <c r="AU8" s="124">
        <f t="shared" si="30"/>
        <v>1.9116374077990956E-2</v>
      </c>
      <c r="AV8" s="578">
        <f>[9]全社合計!$N$7</f>
        <v>146267625</v>
      </c>
      <c r="AW8" s="125">
        <f t="shared" si="31"/>
        <v>1.8159226327563123E-2</v>
      </c>
      <c r="AX8" s="575">
        <f t="shared" si="32"/>
        <v>-2762682</v>
      </c>
      <c r="AY8" s="124">
        <f t="shared" si="33"/>
        <v>0.82526539568186974</v>
      </c>
      <c r="AZ8" s="578">
        <f t="shared" si="34"/>
        <v>-2831618</v>
      </c>
      <c r="BA8" s="125">
        <f t="shared" si="35"/>
        <v>0.98064084242839111</v>
      </c>
      <c r="BB8" s="11"/>
    </row>
    <row r="9" spans="1:54" ht="15.95" customHeight="1">
      <c r="A9" s="255" t="s">
        <v>5</v>
      </c>
      <c r="B9" s="706"/>
      <c r="C9" s="259" t="str">
        <f t="shared" si="0"/>
        <v/>
      </c>
      <c r="D9" s="723"/>
      <c r="E9" s="122" t="str">
        <f t="shared" si="1"/>
        <v/>
      </c>
      <c r="F9" s="352">
        <f>[9]本社営業!$I$8</f>
        <v>835814</v>
      </c>
      <c r="G9" s="9">
        <f t="shared" si="2"/>
        <v>1.6850906679116962E-3</v>
      </c>
      <c r="H9" s="356">
        <f>[9]本社営業!$L$8</f>
        <v>8910596</v>
      </c>
      <c r="I9" s="124">
        <f>IF(ISERR(H9/$H$11),"",H9/$H$11)</f>
        <v>1.932490179576428E-3</v>
      </c>
      <c r="J9" s="745">
        <f>[9]東大阪!$I$8</f>
        <v>0</v>
      </c>
      <c r="K9" s="9">
        <f>IF(ISERR(J9/$J$11),"",J9/$J$11)</f>
        <v>0</v>
      </c>
      <c r="L9" s="356">
        <f>[9]東大阪!$L$8</f>
        <v>0</v>
      </c>
      <c r="M9" s="124">
        <f t="shared" si="3"/>
        <v>0</v>
      </c>
      <c r="N9" s="403">
        <f>[9]南港工場!$I$8</f>
        <v>2568139</v>
      </c>
      <c r="O9" s="9">
        <f t="shared" si="4"/>
        <v>0.11720047498306892</v>
      </c>
      <c r="P9" s="356">
        <f>[9]南港工場!$L$8</f>
        <v>37018404</v>
      </c>
      <c r="Q9" s="204">
        <f t="shared" si="5"/>
        <v>0.15541297248965993</v>
      </c>
      <c r="R9" s="437"/>
      <c r="S9" s="9" t="str">
        <f t="shared" si="6"/>
        <v/>
      </c>
      <c r="T9" s="356">
        <f>[9]南港事務!$L$8</f>
        <v>0</v>
      </c>
      <c r="U9" s="204" t="str">
        <f t="shared" si="7"/>
        <v/>
      </c>
      <c r="V9" s="456">
        <f t="shared" si="21"/>
        <v>2568139</v>
      </c>
      <c r="W9" s="171">
        <f t="shared" si="8"/>
        <v>0.11720047498306892</v>
      </c>
      <c r="X9" s="408">
        <f t="shared" si="22"/>
        <v>37018404</v>
      </c>
      <c r="Y9" s="225">
        <f t="shared" si="9"/>
        <v>0.15541297248965993</v>
      </c>
      <c r="Z9" s="460">
        <f t="shared" si="23"/>
        <v>3403953</v>
      </c>
      <c r="AA9" s="189">
        <f t="shared" si="10"/>
        <v>6.4670148752629169E-3</v>
      </c>
      <c r="AB9" s="464">
        <f t="shared" si="24"/>
        <v>45929000</v>
      </c>
      <c r="AC9" s="123">
        <f t="shared" si="11"/>
        <v>9.314575744035292E-3</v>
      </c>
      <c r="AD9" s="352">
        <f>[9]東京事務!$I$8</f>
        <v>0</v>
      </c>
      <c r="AE9" s="9">
        <f t="shared" si="12"/>
        <v>0</v>
      </c>
      <c r="AF9" s="356">
        <f>[9]東京事務!$L$8</f>
        <v>101380</v>
      </c>
      <c r="AG9" s="81">
        <f t="shared" si="13"/>
        <v>4.7571127514150161E-5</v>
      </c>
      <c r="AH9" s="468">
        <f>[9]東京工場!$I$8</f>
        <v>0</v>
      </c>
      <c r="AI9" s="171">
        <f t="shared" si="25"/>
        <v>0</v>
      </c>
      <c r="AJ9" s="356">
        <f>[9]東京工場!$L$8</f>
        <v>0</v>
      </c>
      <c r="AK9" s="99">
        <f t="shared" si="14"/>
        <v>0</v>
      </c>
      <c r="AL9" s="474">
        <f t="shared" si="26"/>
        <v>0</v>
      </c>
      <c r="AM9" s="314">
        <f t="shared" si="15"/>
        <v>0</v>
      </c>
      <c r="AN9" s="478">
        <f t="shared" si="27"/>
        <v>101380</v>
      </c>
      <c r="AO9" s="123">
        <f t="shared" si="16"/>
        <v>4.5733103888303109E-5</v>
      </c>
      <c r="AP9" s="483">
        <f t="shared" si="28"/>
        <v>3403953</v>
      </c>
      <c r="AQ9" s="284">
        <f t="shared" si="17"/>
        <v>4.6178234508950739E-3</v>
      </c>
      <c r="AR9" s="487">
        <f t="shared" si="29"/>
        <v>46030380</v>
      </c>
      <c r="AS9" s="285">
        <f t="shared" si="18"/>
        <v>6.4399328714718112E-3</v>
      </c>
      <c r="AT9" s="575">
        <f>[9]全社合計!$G$8</f>
        <v>5314971</v>
      </c>
      <c r="AU9" s="124">
        <f t="shared" si="30"/>
        <v>6.426203027770863E-3</v>
      </c>
      <c r="AV9" s="578">
        <f>[9]全社合計!$N$8</f>
        <v>51367702</v>
      </c>
      <c r="AW9" s="125">
        <f t="shared" si="31"/>
        <v>6.3773355624309677E-3</v>
      </c>
      <c r="AX9" s="575">
        <f t="shared" si="32"/>
        <v>-1911018</v>
      </c>
      <c r="AY9" s="124">
        <f t="shared" si="33"/>
        <v>0.64044620375162908</v>
      </c>
      <c r="AZ9" s="578">
        <f t="shared" si="34"/>
        <v>-5337322</v>
      </c>
      <c r="BA9" s="125">
        <f t="shared" si="35"/>
        <v>0.89609576071750296</v>
      </c>
      <c r="BB9" s="11"/>
    </row>
    <row r="10" spans="1:54" ht="15.95" customHeight="1">
      <c r="A10" s="256" t="s">
        <v>6</v>
      </c>
      <c r="B10" s="720"/>
      <c r="C10" s="260" t="str">
        <f t="shared" si="0"/>
        <v/>
      </c>
      <c r="D10" s="724"/>
      <c r="E10" s="126" t="str">
        <f t="shared" si="1"/>
        <v/>
      </c>
      <c r="F10" s="353">
        <f>[9]本社営業!$I$9</f>
        <v>58296638</v>
      </c>
      <c r="G10" s="12">
        <f t="shared" si="2"/>
        <v>0.11753227472191943</v>
      </c>
      <c r="H10" s="357">
        <f>[9]本社営業!$L$9</f>
        <v>539304097</v>
      </c>
      <c r="I10" s="128">
        <f>IF(ISERR(H10/$H$11),"",H10/$H$11)</f>
        <v>0.11696185880920124</v>
      </c>
      <c r="J10" s="746">
        <f>[9]東大阪!$I$9</f>
        <v>8019769</v>
      </c>
      <c r="K10" s="12">
        <f t="shared" si="20"/>
        <v>0.95038706279750818</v>
      </c>
      <c r="L10" s="357">
        <f>[9]東大阪!$L$9</f>
        <v>77609509</v>
      </c>
      <c r="M10" s="128">
        <f t="shared" si="3"/>
        <v>0.94946300988113297</v>
      </c>
      <c r="N10" s="404">
        <f>[9]南港工場!$I$9</f>
        <v>4984081</v>
      </c>
      <c r="O10" s="12">
        <f t="shared" si="4"/>
        <v>0.22745523531011722</v>
      </c>
      <c r="P10" s="357">
        <f>[9]南港工場!$L$9</f>
        <v>45900815</v>
      </c>
      <c r="Q10" s="205">
        <f t="shared" si="5"/>
        <v>0.19270366434079572</v>
      </c>
      <c r="R10" s="438"/>
      <c r="S10" s="12" t="str">
        <f t="shared" si="6"/>
        <v/>
      </c>
      <c r="T10" s="357">
        <f>[9]南港事務!$L$9</f>
        <v>0</v>
      </c>
      <c r="U10" s="205" t="str">
        <f t="shared" si="7"/>
        <v/>
      </c>
      <c r="V10" s="457">
        <f t="shared" si="21"/>
        <v>4984081</v>
      </c>
      <c r="W10" s="172">
        <f t="shared" si="8"/>
        <v>0.22745523531011722</v>
      </c>
      <c r="X10" s="409">
        <f t="shared" si="22"/>
        <v>45900815</v>
      </c>
      <c r="Y10" s="226">
        <f t="shared" si="9"/>
        <v>0.19270366434079572</v>
      </c>
      <c r="Z10" s="461">
        <f t="shared" si="23"/>
        <v>71300488</v>
      </c>
      <c r="AA10" s="190">
        <f t="shared" si="10"/>
        <v>0.13546054146737779</v>
      </c>
      <c r="AB10" s="465">
        <f t="shared" si="24"/>
        <v>662814421</v>
      </c>
      <c r="AC10" s="127">
        <f t="shared" si="11"/>
        <v>0.13442128347326082</v>
      </c>
      <c r="AD10" s="353">
        <f>[9]東京事務!$I$9</f>
        <v>72716460</v>
      </c>
      <c r="AE10" s="12">
        <f t="shared" si="12"/>
        <v>0.35830344049246532</v>
      </c>
      <c r="AF10" s="357">
        <f>[9]東京事務!$L$9</f>
        <v>780138210</v>
      </c>
      <c r="AG10" s="82">
        <f t="shared" si="13"/>
        <v>0.36606879331792125</v>
      </c>
      <c r="AH10" s="469">
        <f>[9]東京工場!$I$9</f>
        <v>7830910</v>
      </c>
      <c r="AI10" s="172">
        <f t="shared" si="25"/>
        <v>1</v>
      </c>
      <c r="AJ10" s="357">
        <f>[9]東京工場!$L$9</f>
        <v>85650372</v>
      </c>
      <c r="AK10" s="100">
        <f t="shared" si="14"/>
        <v>1</v>
      </c>
      <c r="AL10" s="475">
        <f t="shared" si="26"/>
        <v>80547370</v>
      </c>
      <c r="AM10" s="315">
        <f t="shared" si="15"/>
        <v>0.38214406911827059</v>
      </c>
      <c r="AN10" s="479">
        <f t="shared" si="27"/>
        <v>865788582</v>
      </c>
      <c r="AO10" s="127">
        <f t="shared" si="16"/>
        <v>0.39056223284585356</v>
      </c>
      <c r="AP10" s="484">
        <f t="shared" si="28"/>
        <v>151847858</v>
      </c>
      <c r="AQ10" s="286">
        <f t="shared" si="17"/>
        <v>0.20599773253055642</v>
      </c>
      <c r="AR10" s="488">
        <f t="shared" si="29"/>
        <v>1528603003</v>
      </c>
      <c r="AS10" s="287">
        <f t="shared" si="18"/>
        <v>0.21386094849641091</v>
      </c>
      <c r="AT10" s="576">
        <f>[9]全社合計!$G$9</f>
        <v>221806230</v>
      </c>
      <c r="AU10" s="128">
        <f t="shared" si="30"/>
        <v>0.26818055391166584</v>
      </c>
      <c r="AV10" s="579">
        <f>[9]全社合計!$N$9</f>
        <v>1740660786</v>
      </c>
      <c r="AW10" s="129">
        <f t="shared" si="31"/>
        <v>0.21610423477162438</v>
      </c>
      <c r="AX10" s="576">
        <f t="shared" si="32"/>
        <v>-69958372</v>
      </c>
      <c r="AY10" s="128">
        <f t="shared" si="33"/>
        <v>0.684596902440477</v>
      </c>
      <c r="AZ10" s="579">
        <f t="shared" si="34"/>
        <v>-212057783</v>
      </c>
      <c r="BA10" s="129">
        <f t="shared" si="35"/>
        <v>0.87817397582253576</v>
      </c>
      <c r="BB10" s="11"/>
    </row>
    <row r="11" spans="1:54" ht="19.899999999999999" customHeight="1">
      <c r="A11" s="62" t="s">
        <v>7</v>
      </c>
      <c r="B11" s="722"/>
      <c r="C11" s="132" t="str">
        <f t="shared" si="0"/>
        <v/>
      </c>
      <c r="D11" s="359"/>
      <c r="E11" s="130" t="str">
        <f t="shared" si="1"/>
        <v/>
      </c>
      <c r="F11" s="358">
        <f>SUM(F6:F10)</f>
        <v>496005358</v>
      </c>
      <c r="G11" s="63">
        <f t="shared" si="2"/>
        <v>1</v>
      </c>
      <c r="H11" s="359">
        <f>SUM(H6:H10)</f>
        <v>4610939861</v>
      </c>
      <c r="I11" s="132">
        <f>IF(ISERR(H11/$H$11),"",H11/$H$11)</f>
        <v>1</v>
      </c>
      <c r="J11" s="747">
        <f>SUM(J6:J10)</f>
        <v>8438424</v>
      </c>
      <c r="K11" s="63">
        <f t="shared" si="20"/>
        <v>1</v>
      </c>
      <c r="L11" s="359">
        <f>SUM(L6:L10)</f>
        <v>81740424</v>
      </c>
      <c r="M11" s="132">
        <f t="shared" si="3"/>
        <v>1</v>
      </c>
      <c r="N11" s="405">
        <f>SUM(N6:N10)</f>
        <v>21912360</v>
      </c>
      <c r="O11" s="63">
        <f t="shared" si="4"/>
        <v>1</v>
      </c>
      <c r="P11" s="359">
        <f>SUM(P6:P10)</f>
        <v>238193784</v>
      </c>
      <c r="Q11" s="206">
        <f t="shared" si="5"/>
        <v>1</v>
      </c>
      <c r="R11" s="439">
        <f>SUM(R6:R10)</f>
        <v>0</v>
      </c>
      <c r="S11" s="63" t="str">
        <f t="shared" si="6"/>
        <v/>
      </c>
      <c r="T11" s="359">
        <f>SUM(T6:T10)</f>
        <v>0</v>
      </c>
      <c r="U11" s="206" t="str">
        <f t="shared" si="7"/>
        <v/>
      </c>
      <c r="V11" s="458">
        <f t="shared" si="21"/>
        <v>21912360</v>
      </c>
      <c r="W11" s="173">
        <f t="shared" si="8"/>
        <v>1</v>
      </c>
      <c r="X11" s="410">
        <f t="shared" si="22"/>
        <v>238193784</v>
      </c>
      <c r="Y11" s="227">
        <f t="shared" si="9"/>
        <v>1</v>
      </c>
      <c r="Z11" s="458">
        <f t="shared" si="23"/>
        <v>526356142</v>
      </c>
      <c r="AA11" s="191">
        <f t="shared" si="10"/>
        <v>1</v>
      </c>
      <c r="AB11" s="410">
        <f t="shared" si="24"/>
        <v>4930874069</v>
      </c>
      <c r="AC11" s="131">
        <f t="shared" si="11"/>
        <v>1</v>
      </c>
      <c r="AD11" s="466">
        <f>SUM(AD6:AD10)</f>
        <v>202946586</v>
      </c>
      <c r="AE11" s="63">
        <f t="shared" si="12"/>
        <v>1</v>
      </c>
      <c r="AF11" s="359">
        <f>SUM(AF6:AF10)</f>
        <v>2131124598</v>
      </c>
      <c r="AG11" s="83">
        <f t="shared" si="13"/>
        <v>1</v>
      </c>
      <c r="AH11" s="470">
        <f>SUM(AH6:AH10)</f>
        <v>7830910</v>
      </c>
      <c r="AI11" s="173">
        <f t="shared" si="25"/>
        <v>1</v>
      </c>
      <c r="AJ11" s="359">
        <f>SUM(AJ6:AJ10)</f>
        <v>85650372</v>
      </c>
      <c r="AK11" s="101">
        <f t="shared" si="14"/>
        <v>1</v>
      </c>
      <c r="AL11" s="476">
        <f t="shared" si="26"/>
        <v>210777496</v>
      </c>
      <c r="AM11" s="316">
        <f t="shared" si="15"/>
        <v>1</v>
      </c>
      <c r="AN11" s="480">
        <f t="shared" si="27"/>
        <v>2216774970</v>
      </c>
      <c r="AO11" s="131">
        <f t="shared" si="16"/>
        <v>1</v>
      </c>
      <c r="AP11" s="485">
        <f t="shared" si="28"/>
        <v>737133638</v>
      </c>
      <c r="AQ11" s="132">
        <f t="shared" si="17"/>
        <v>1</v>
      </c>
      <c r="AR11" s="428">
        <f t="shared" si="29"/>
        <v>7147649039</v>
      </c>
      <c r="AS11" s="131">
        <f t="shared" si="18"/>
        <v>1</v>
      </c>
      <c r="AT11" s="485">
        <f>SUM(AT6:AT10)</f>
        <v>827077977</v>
      </c>
      <c r="AU11" s="132">
        <f t="shared" si="30"/>
        <v>1</v>
      </c>
      <c r="AV11" s="410">
        <f>SUM(AV6:AV10)</f>
        <v>8054727793</v>
      </c>
      <c r="AW11" s="131">
        <f t="shared" si="31"/>
        <v>1</v>
      </c>
      <c r="AX11" s="485">
        <f t="shared" si="32"/>
        <v>-89944339</v>
      </c>
      <c r="AY11" s="132">
        <f t="shared" si="33"/>
        <v>0.8912504727471422</v>
      </c>
      <c r="AZ11" s="410">
        <f t="shared" si="34"/>
        <v>-907078754</v>
      </c>
      <c r="BA11" s="131">
        <f t="shared" si="35"/>
        <v>0.88738554830017957</v>
      </c>
      <c r="BB11" s="13"/>
    </row>
    <row r="12" spans="1:54" ht="15.95" customHeight="1">
      <c r="A12" s="65" t="s">
        <v>8</v>
      </c>
      <c r="B12" s="606"/>
      <c r="C12" s="607"/>
      <c r="D12" s="608"/>
      <c r="E12" s="609"/>
      <c r="F12" s="386">
        <f>[9]本社営業!$I$11</f>
        <v>2604297</v>
      </c>
      <c r="G12" s="610"/>
      <c r="H12" s="608">
        <f>[9]本社営業!$L$11</f>
        <v>22341455</v>
      </c>
      <c r="I12" s="607"/>
      <c r="J12" s="748">
        <f>[9]東大阪!$I$11</f>
        <v>36266</v>
      </c>
      <c r="K12" s="610"/>
      <c r="L12" s="608">
        <f>[9]東大阪!$L$11</f>
        <v>276190</v>
      </c>
      <c r="M12" s="607"/>
      <c r="N12" s="612">
        <f>[9]南港工場!$I$11</f>
        <v>76774</v>
      </c>
      <c r="O12" s="610"/>
      <c r="P12" s="608">
        <f>[9]南港工場!$L$11</f>
        <v>770837</v>
      </c>
      <c r="Q12" s="614"/>
      <c r="R12" s="615"/>
      <c r="S12" s="610"/>
      <c r="T12" s="608">
        <f>[9]南港事務!$L$11</f>
        <v>0</v>
      </c>
      <c r="U12" s="614"/>
      <c r="V12" s="616">
        <f t="shared" si="21"/>
        <v>76774</v>
      </c>
      <c r="W12" s="617"/>
      <c r="X12" s="613">
        <f t="shared" si="22"/>
        <v>770837</v>
      </c>
      <c r="Y12" s="618"/>
      <c r="Z12" s="616">
        <f t="shared" si="23"/>
        <v>2717337</v>
      </c>
      <c r="AA12" s="619"/>
      <c r="AB12" s="613">
        <f t="shared" si="24"/>
        <v>23388482</v>
      </c>
      <c r="AC12" s="620"/>
      <c r="AD12" s="386">
        <f>[9]東京事務!$I$11</f>
        <v>866965</v>
      </c>
      <c r="AE12" s="610"/>
      <c r="AF12" s="608">
        <f>[9]東京事務!$L$11</f>
        <v>9007088</v>
      </c>
      <c r="AG12" s="621"/>
      <c r="AH12" s="622"/>
      <c r="AI12" s="617">
        <f t="shared" si="25"/>
        <v>0</v>
      </c>
      <c r="AJ12" s="608">
        <f>[9]東京工場!$L$11</f>
        <v>0</v>
      </c>
      <c r="AK12" s="623"/>
      <c r="AL12" s="624">
        <f t="shared" si="26"/>
        <v>866965</v>
      </c>
      <c r="AM12" s="625"/>
      <c r="AN12" s="626">
        <f t="shared" si="27"/>
        <v>9007088</v>
      </c>
      <c r="AO12" s="620"/>
      <c r="AP12" s="627">
        <f t="shared" si="28"/>
        <v>3584302</v>
      </c>
      <c r="AQ12" s="628"/>
      <c r="AR12" s="629">
        <f t="shared" si="29"/>
        <v>32395570</v>
      </c>
      <c r="AS12" s="630"/>
      <c r="AT12" s="631">
        <f>[9]全社合計!$G$11</f>
        <v>3724732</v>
      </c>
      <c r="AU12" s="607"/>
      <c r="AV12" s="632">
        <f>[9]全社合計!$N$11</f>
        <v>33878644</v>
      </c>
      <c r="AW12" s="620"/>
      <c r="AX12" s="631">
        <f t="shared" si="32"/>
        <v>-140430</v>
      </c>
      <c r="AY12" s="607"/>
      <c r="AZ12" s="632">
        <f t="shared" si="34"/>
        <v>-1483074</v>
      </c>
      <c r="BA12" s="620"/>
      <c r="BB12" s="11"/>
    </row>
    <row r="13" spans="1:54" ht="15.95" customHeight="1">
      <c r="A13" s="66" t="s">
        <v>9</v>
      </c>
      <c r="B13" s="636"/>
      <c r="C13" s="637"/>
      <c r="D13" s="638"/>
      <c r="E13" s="639"/>
      <c r="F13" s="640"/>
      <c r="G13" s="641"/>
      <c r="H13" s="638">
        <f>[9]本社営業!$N$12</f>
        <v>0</v>
      </c>
      <c r="I13" s="637"/>
      <c r="J13" s="749"/>
      <c r="K13" s="641"/>
      <c r="L13" s="638">
        <f>[9]東大阪!$L$12</f>
        <v>0</v>
      </c>
      <c r="M13" s="637"/>
      <c r="N13" s="643">
        <f>[9]南港工場!$I$12</f>
        <v>3110429</v>
      </c>
      <c r="O13" s="641"/>
      <c r="P13" s="638">
        <f>[9]南港工場!$L$12</f>
        <v>33858553</v>
      </c>
      <c r="Q13" s="645"/>
      <c r="R13" s="646"/>
      <c r="S13" s="641"/>
      <c r="T13" s="638">
        <f>[9]南港事務!$N$12</f>
        <v>0</v>
      </c>
      <c r="U13" s="645"/>
      <c r="V13" s="647">
        <f t="shared" si="21"/>
        <v>3110429</v>
      </c>
      <c r="W13" s="648"/>
      <c r="X13" s="644">
        <f t="shared" si="22"/>
        <v>33858553</v>
      </c>
      <c r="Y13" s="649"/>
      <c r="Z13" s="647">
        <f t="shared" si="23"/>
        <v>3110429</v>
      </c>
      <c r="AA13" s="650"/>
      <c r="AB13" s="644">
        <f t="shared" si="24"/>
        <v>33858553</v>
      </c>
      <c r="AC13" s="651"/>
      <c r="AD13" s="640"/>
      <c r="AE13" s="641"/>
      <c r="AF13" s="638">
        <f>[9]東京事務!$L$12</f>
        <v>0</v>
      </c>
      <c r="AG13" s="652"/>
      <c r="AH13" s="653"/>
      <c r="AI13" s="648">
        <f t="shared" si="25"/>
        <v>0</v>
      </c>
      <c r="AJ13" s="638">
        <f>[9]東京工場!$L$12</f>
        <v>0</v>
      </c>
      <c r="AK13" s="654"/>
      <c r="AL13" s="655">
        <f t="shared" si="26"/>
        <v>0</v>
      </c>
      <c r="AM13" s="656"/>
      <c r="AN13" s="657">
        <f t="shared" si="27"/>
        <v>0</v>
      </c>
      <c r="AO13" s="651"/>
      <c r="AP13" s="658">
        <f t="shared" si="28"/>
        <v>3110429</v>
      </c>
      <c r="AQ13" s="659"/>
      <c r="AR13" s="660">
        <f t="shared" si="29"/>
        <v>33858553</v>
      </c>
      <c r="AS13" s="661"/>
      <c r="AT13" s="662">
        <f>[9]全社合計!$G$12</f>
        <v>3710022</v>
      </c>
      <c r="AU13" s="637"/>
      <c r="AV13" s="663">
        <f>[9]全社合計!$N$12</f>
        <v>35227609</v>
      </c>
      <c r="AW13" s="651"/>
      <c r="AX13" s="662">
        <f t="shared" si="32"/>
        <v>-599593</v>
      </c>
      <c r="AY13" s="637"/>
      <c r="AZ13" s="663">
        <f t="shared" si="34"/>
        <v>-1369056</v>
      </c>
      <c r="BA13" s="651"/>
      <c r="BB13" s="11"/>
    </row>
    <row r="14" spans="1:54" ht="15.95" customHeight="1">
      <c r="A14" s="35" t="s">
        <v>10</v>
      </c>
      <c r="B14" s="705"/>
      <c r="C14" s="258" t="str">
        <f>IF(ISERR(B14/$B$11),"",B14/$B$11)</f>
        <v/>
      </c>
      <c r="D14" s="725"/>
      <c r="E14" s="118" t="str">
        <f>IF(ISERR(D14/$D$11),"",D14/$D$11)</f>
        <v/>
      </c>
      <c r="F14" s="351">
        <f>[9]本社営業!$I$14</f>
        <v>1071946462</v>
      </c>
      <c r="G14" s="7">
        <f>IF(ISERR(F14/$F$11),"",F14/$F$11)</f>
        <v>2.1611590373183027</v>
      </c>
      <c r="H14" s="360">
        <f>[9]本社営業!$L$14</f>
        <v>1205973702</v>
      </c>
      <c r="I14" s="120">
        <f>IF(ISERR(H14/$H$11),"",H14/$H$11)</f>
        <v>0.26154617894722526</v>
      </c>
      <c r="J14" s="744"/>
      <c r="K14" s="7">
        <f t="shared" si="20"/>
        <v>0</v>
      </c>
      <c r="L14" s="360">
        <f>[9]東大阪!$L$14</f>
        <v>0</v>
      </c>
      <c r="M14" s="203">
        <f>IF(ISERR(L14/$L$11),"",L14/$L$11)</f>
        <v>0</v>
      </c>
      <c r="N14" s="402"/>
      <c r="O14" s="7">
        <f>IF(ISERR(N14/$N$11),"",N14/$N$11)</f>
        <v>0</v>
      </c>
      <c r="P14" s="360">
        <f>[9]南港工場!$L$14</f>
        <v>0</v>
      </c>
      <c r="Q14" s="203">
        <f>IF(ISERR(P14/$P$11),"",P14/$P$11)</f>
        <v>0</v>
      </c>
      <c r="R14" s="436"/>
      <c r="S14" s="7" t="str">
        <f>IF(ISERR(R14/$R$11),"",R14/$R$11)</f>
        <v/>
      </c>
      <c r="T14" s="360">
        <f>[9]南港事務!$L$14</f>
        <v>0</v>
      </c>
      <c r="U14" s="203" t="str">
        <f>IF(ISERR(T14/$T$11),"",T14/$T$11)</f>
        <v/>
      </c>
      <c r="V14" s="455">
        <f t="shared" si="21"/>
        <v>0</v>
      </c>
      <c r="W14" s="174">
        <f>IF(ISERR(V14/$V$11),"",V14/$V$11)</f>
        <v>0</v>
      </c>
      <c r="X14" s="421">
        <f t="shared" si="22"/>
        <v>0</v>
      </c>
      <c r="Y14" s="224">
        <f>IF(ISERR(X14/$X$11),"",X14/$X$11)</f>
        <v>0</v>
      </c>
      <c r="Z14" s="459">
        <f t="shared" si="23"/>
        <v>1071946462</v>
      </c>
      <c r="AA14" s="188">
        <f>IF(ISERR(Z14/$Z$11),"",Z14/$Z$11)</f>
        <v>2.0365421365217014</v>
      </c>
      <c r="AB14" s="502">
        <f t="shared" si="24"/>
        <v>1205973702</v>
      </c>
      <c r="AC14" s="119">
        <f>IF(ISERR(AB14/$AB$11),"",AB14/$AB$11)</f>
        <v>0.24457604982894565</v>
      </c>
      <c r="AD14" s="351">
        <f>[9]東京事務!$I$14</f>
        <v>671639662</v>
      </c>
      <c r="AE14" s="7">
        <f>IF(ISERR(AD14/$AD$11),"",AD14/$AD$11)</f>
        <v>3.3094405539790652</v>
      </c>
      <c r="AF14" s="360">
        <f>[9]東京事務!$L$14</f>
        <v>804499700</v>
      </c>
      <c r="AG14" s="80">
        <f>IF(ISERR(AF14/$AF$11),"",AF14/$AF$11)</f>
        <v>0.37750007707432975</v>
      </c>
      <c r="AH14" s="467"/>
      <c r="AI14" s="174">
        <f t="shared" si="25"/>
        <v>0</v>
      </c>
      <c r="AJ14" s="360">
        <f>[9]東京工場!$L$14</f>
        <v>0</v>
      </c>
      <c r="AK14" s="102">
        <f t="shared" ref="AK14:AK77" si="36">IF(ISERR(AJ14/$AJ$11),"",AJ14/$AJ$11)</f>
        <v>0</v>
      </c>
      <c r="AL14" s="506">
        <f t="shared" si="26"/>
        <v>671639662</v>
      </c>
      <c r="AM14" s="313">
        <f>IF(ISERR(AL14/$AL$11),"",AL14/AL$11)</f>
        <v>3.186486578244577</v>
      </c>
      <c r="AN14" s="477">
        <f>AF14+AJ14</f>
        <v>804499700</v>
      </c>
      <c r="AO14" s="119">
        <f>IF(ISERR(AN14/$AN$11),"",AN14/$AN$11)</f>
        <v>0.36291446397917421</v>
      </c>
      <c r="AP14" s="511">
        <f>B14+Z14+AL14</f>
        <v>1743586124</v>
      </c>
      <c r="AQ14" s="282">
        <f>IF(ISERR(AP14/$AP$11),"",AP14/$AP$11)</f>
        <v>2.3653595957589442</v>
      </c>
      <c r="AR14" s="486">
        <f>D14+AB14+AN14</f>
        <v>2010473402</v>
      </c>
      <c r="AS14" s="283">
        <f>IF(ISERR(AR14/$AR$11),"",AR14/$AR$11)</f>
        <v>0.28127757686900606</v>
      </c>
      <c r="AT14" s="580">
        <f>[9]全社合計!$G$14</f>
        <v>1994455700</v>
      </c>
      <c r="AU14" s="120">
        <f t="shared" si="30"/>
        <v>2.4114482013344674</v>
      </c>
      <c r="AV14" s="577">
        <f>[9]全社合計!$N$14</f>
        <v>1816376496</v>
      </c>
      <c r="AW14" s="121">
        <f t="shared" si="31"/>
        <v>0.2255043922872888</v>
      </c>
      <c r="AX14" s="592">
        <f t="shared" si="32"/>
        <v>-250869576</v>
      </c>
      <c r="AY14" s="120">
        <f t="shared" si="33"/>
        <v>0.87421652132960381</v>
      </c>
      <c r="AZ14" s="577">
        <f t="shared" si="34"/>
        <v>194096906</v>
      </c>
      <c r="BA14" s="121">
        <f t="shared" si="35"/>
        <v>1.1068594019067288</v>
      </c>
      <c r="BB14" s="13"/>
    </row>
    <row r="15" spans="1:54" ht="15.95" customHeight="1">
      <c r="A15" s="35" t="s">
        <v>11</v>
      </c>
      <c r="B15" s="719"/>
      <c r="C15" s="259" t="str">
        <f>IF(ISERR(B15/$B$11),"",B15/$B$11)</f>
        <v/>
      </c>
      <c r="D15" s="726"/>
      <c r="E15" s="122" t="str">
        <f>IF(ISERR(D15/$D$11),"",D15/$D$11)</f>
        <v/>
      </c>
      <c r="F15" s="352">
        <f>[9]本社営業!$I$15</f>
        <v>419555641</v>
      </c>
      <c r="G15" s="9">
        <f>IF(ISERR(F15/$F$11),"",F15/$F$11)</f>
        <v>0.84586917103423709</v>
      </c>
      <c r="H15" s="355">
        <f>[9]本社営業!$L$15</f>
        <v>3858614565</v>
      </c>
      <c r="I15" s="124">
        <f t="shared" si="19"/>
        <v>0.83683905696465988</v>
      </c>
      <c r="J15" s="745">
        <f>[9]東大阪!$I$15</f>
        <v>573541</v>
      </c>
      <c r="K15" s="9">
        <f>IF(ISERR(J15/$J$11),"",J15/$J$11)</f>
        <v>6.7967786401821009E-2</v>
      </c>
      <c r="L15" s="355">
        <f>[9]東大阪!$L$15</f>
        <v>4789725</v>
      </c>
      <c r="M15" s="124">
        <f>IF(ISERR(L15/$L$11),"",L15/$L$11)</f>
        <v>5.8596772142997446E-2</v>
      </c>
      <c r="N15" s="403">
        <f>[9]南港工場!$I$15</f>
        <v>1561730</v>
      </c>
      <c r="O15" s="9">
        <f>IF(ISERR(N15/$N$11),"",N15/$N$11)</f>
        <v>7.1271647599802118E-2</v>
      </c>
      <c r="P15" s="355">
        <f>[9]南港工場!$L$15</f>
        <v>15873004</v>
      </c>
      <c r="Q15" s="204">
        <f>IF(ISERR(P15/$P$11),"",P15/$P$11)</f>
        <v>6.6639035383056003E-2</v>
      </c>
      <c r="R15" s="437"/>
      <c r="S15" s="9" t="str">
        <f>IF(ISERR(R15/$R$11),"",R15/$R$11)</f>
        <v/>
      </c>
      <c r="T15" s="355">
        <f>[9]南港事務!$L$15</f>
        <v>0</v>
      </c>
      <c r="U15" s="204" t="str">
        <f>IF(ISERR(T15/$T$11),"",T15/$T$11)</f>
        <v/>
      </c>
      <c r="V15" s="456">
        <f t="shared" si="21"/>
        <v>1561730</v>
      </c>
      <c r="W15" s="171">
        <f>IF(ISERR(V15/$V$11),"",V15/$V$11)</f>
        <v>7.1271647599802118E-2</v>
      </c>
      <c r="X15" s="407">
        <f t="shared" si="22"/>
        <v>15873004</v>
      </c>
      <c r="Y15" s="225">
        <f>IF(ISERR(X15/$X$11),"",X15/$X$11)</f>
        <v>6.6639035383056003E-2</v>
      </c>
      <c r="Z15" s="460">
        <f t="shared" si="23"/>
        <v>421690912</v>
      </c>
      <c r="AA15" s="189">
        <f>IF(ISERR(Z15/$Z$11),"",Z15/$Z$11)</f>
        <v>0.80115130868939299</v>
      </c>
      <c r="AB15" s="463">
        <f t="shared" si="24"/>
        <v>3879277294</v>
      </c>
      <c r="AC15" s="123">
        <f>IF(ISERR(AB15/$AB$11),"",AB15/$AB$11)</f>
        <v>0.7867321776454802</v>
      </c>
      <c r="AD15" s="352">
        <f>[9]東京事務!$I$15</f>
        <v>180754756</v>
      </c>
      <c r="AE15" s="9">
        <f>IF(ISERR(AD15/$AD$11),"",AD15/$AD$11)</f>
        <v>0.89065186836895105</v>
      </c>
      <c r="AF15" s="355">
        <f>[9]東京事務!$L$15</f>
        <v>1806417919</v>
      </c>
      <c r="AG15" s="81">
        <f>IF(ISERR(AF15/$AF$11),"",AF15/$AF$11)</f>
        <v>0.84763599495556097</v>
      </c>
      <c r="AH15" s="468">
        <f>[9]東京工場!$I$15</f>
        <v>0</v>
      </c>
      <c r="AI15" s="171">
        <f t="shared" si="25"/>
        <v>0</v>
      </c>
      <c r="AJ15" s="355">
        <f>[9]東京工場!$L$15</f>
        <v>0</v>
      </c>
      <c r="AK15" s="99">
        <f t="shared" si="36"/>
        <v>0</v>
      </c>
      <c r="AL15" s="473">
        <f t="shared" si="26"/>
        <v>180754756</v>
      </c>
      <c r="AM15" s="314">
        <f>IF(ISERR(AL15/$AL$11),"",AL15/AL$11)</f>
        <v>0.85756192871747561</v>
      </c>
      <c r="AN15" s="478">
        <f t="shared" si="27"/>
        <v>1806417919</v>
      </c>
      <c r="AO15" s="123">
        <f>IF(ISERR(AN15/$AN$11),"",AN15/$AN$11)</f>
        <v>0.81488556278673607</v>
      </c>
      <c r="AP15" s="482">
        <f t="shared" si="28"/>
        <v>602445668</v>
      </c>
      <c r="AQ15" s="284">
        <f>IF(ISERR(AP15/$AP$11),"",AP15/$AP$11)</f>
        <v>0.81728147644240323</v>
      </c>
      <c r="AR15" s="487">
        <f t="shared" si="29"/>
        <v>5685695213</v>
      </c>
      <c r="AS15" s="285">
        <f>IF(ISERR(AR15/$AR$11),"",AR15/$AR$11)</f>
        <v>0.79546368071192586</v>
      </c>
      <c r="AT15" s="574">
        <f>[9]全社合計!$G$15</f>
        <v>744928623</v>
      </c>
      <c r="AU15" s="124">
        <f t="shared" si="30"/>
        <v>0.9006752007858142</v>
      </c>
      <c r="AV15" s="578">
        <f>[9]全社合計!$N$15</f>
        <v>6962484225</v>
      </c>
      <c r="AW15" s="125">
        <f t="shared" si="31"/>
        <v>0.86439720918325513</v>
      </c>
      <c r="AX15" s="574">
        <f t="shared" si="32"/>
        <v>-142482955</v>
      </c>
      <c r="AY15" s="124">
        <f t="shared" si="33"/>
        <v>0.80872938614415413</v>
      </c>
      <c r="AZ15" s="578">
        <f t="shared" si="34"/>
        <v>-1276789012</v>
      </c>
      <c r="BA15" s="125">
        <f t="shared" si="35"/>
        <v>0.81661875693513686</v>
      </c>
      <c r="BB15" s="11"/>
    </row>
    <row r="16" spans="1:54" ht="15.95" customHeight="1">
      <c r="A16" s="36" t="s">
        <v>12</v>
      </c>
      <c r="B16" s="720"/>
      <c r="C16" s="260" t="str">
        <f>IF(ISERR(B16/$B$11),"",B16/$B$11)</f>
        <v/>
      </c>
      <c r="D16" s="724"/>
      <c r="E16" s="126" t="str">
        <f>IF(ISERR(D16/$D$11),"",D16/$D$11)</f>
        <v/>
      </c>
      <c r="F16" s="353">
        <f>[9]本社営業!$I$16</f>
        <v>1063180113</v>
      </c>
      <c r="G16" s="12">
        <f>IF(ISERR(F16/$F$11),"",F16/$F$11)</f>
        <v>2.1434851375133732</v>
      </c>
      <c r="H16" s="357">
        <f>[9]本社営業!$L$16</f>
        <v>1063180113</v>
      </c>
      <c r="I16" s="128">
        <f t="shared" si="19"/>
        <v>0.23057774446215012</v>
      </c>
      <c r="J16" s="746"/>
      <c r="K16" s="12">
        <f t="shared" si="20"/>
        <v>0</v>
      </c>
      <c r="L16" s="357">
        <f>[9]東大阪!$L$16</f>
        <v>0</v>
      </c>
      <c r="M16" s="128">
        <f t="shared" ref="M16:M78" si="37">IF(ISERR(L16/$L$11),"",L16/$L$11)</f>
        <v>0</v>
      </c>
      <c r="N16" s="404"/>
      <c r="O16" s="12">
        <f>IF(ISERR(N16/$N$11),"",N16/$N$11)</f>
        <v>0</v>
      </c>
      <c r="P16" s="357">
        <f>[9]南港工場!$L$16</f>
        <v>0</v>
      </c>
      <c r="Q16" s="205">
        <f>IF(ISERR(P16/$P$11),"",P16/$P$11)</f>
        <v>0</v>
      </c>
      <c r="R16" s="438"/>
      <c r="S16" s="12" t="str">
        <f>IF(ISERR(R16/$R$11),"",R16/$R$11)</f>
        <v/>
      </c>
      <c r="T16" s="357">
        <f>[9]南港事務!$L$16</f>
        <v>0</v>
      </c>
      <c r="U16" s="205" t="str">
        <f>IF(ISERR(T16/$T$11),"",T16/$T$11)</f>
        <v/>
      </c>
      <c r="V16" s="457">
        <f t="shared" si="21"/>
        <v>0</v>
      </c>
      <c r="W16" s="172">
        <f>IF(ISERR(V16/$V$11),"",V16/$V$11)</f>
        <v>0</v>
      </c>
      <c r="X16" s="409">
        <f t="shared" si="22"/>
        <v>0</v>
      </c>
      <c r="Y16" s="226">
        <f>IF(ISERR(X16/$X$11),"",X16/$X$11)</f>
        <v>0</v>
      </c>
      <c r="Z16" s="461">
        <f t="shared" si="23"/>
        <v>1063180113</v>
      </c>
      <c r="AA16" s="190">
        <f>IF(ISERR(Z16/$Z$11),"",Z16/$Z$11)</f>
        <v>2.0198873503408268</v>
      </c>
      <c r="AB16" s="465">
        <f t="shared" si="24"/>
        <v>1063180113</v>
      </c>
      <c r="AC16" s="127">
        <f>IF(ISERR(AB16/$AB$11),"",AB16/$AB$11)</f>
        <v>0.21561696732109342</v>
      </c>
      <c r="AD16" s="353">
        <f>[9]東京事務!$I$16</f>
        <v>669061745</v>
      </c>
      <c r="AE16" s="12">
        <f>IF(ISERR(AD16/$AD$11),"",AD16/$AD$11)</f>
        <v>3.2967381131506199</v>
      </c>
      <c r="AF16" s="357">
        <f>[9]東京事務!$L$16</f>
        <v>669061745</v>
      </c>
      <c r="AG16" s="82">
        <f>IF(ISERR(AF16/$AF$11),"",AF16/$AF$11)</f>
        <v>0.31394773709049928</v>
      </c>
      <c r="AH16" s="469"/>
      <c r="AI16" s="172">
        <f t="shared" si="25"/>
        <v>0</v>
      </c>
      <c r="AJ16" s="357">
        <f>[9]東京工場!$L$16</f>
        <v>0</v>
      </c>
      <c r="AK16" s="100">
        <f t="shared" si="36"/>
        <v>0</v>
      </c>
      <c r="AL16" s="475">
        <f t="shared" si="26"/>
        <v>669061745</v>
      </c>
      <c r="AM16" s="315">
        <f>IF(ISERR(AL16/$AL$11),"",AL16/AL$11)</f>
        <v>3.1742560647935583</v>
      </c>
      <c r="AN16" s="479">
        <f t="shared" si="27"/>
        <v>669061745</v>
      </c>
      <c r="AO16" s="127">
        <f>IF(ISERR(AN16/$AN$11),"",AN16/$AN$11)</f>
        <v>0.30181761976498678</v>
      </c>
      <c r="AP16" s="484">
        <f t="shared" si="28"/>
        <v>1732241858</v>
      </c>
      <c r="AQ16" s="286">
        <f>IF(ISERR(AP16/$AP$11),"",AP16/$AP$11)</f>
        <v>2.3499698951467467</v>
      </c>
      <c r="AR16" s="488">
        <f t="shared" si="29"/>
        <v>1732241858</v>
      </c>
      <c r="AS16" s="287">
        <f>IF(ISERR(AR16/$AR$11),"",AR16/$AR$11)</f>
        <v>0.24235127502040185</v>
      </c>
      <c r="AT16" s="581">
        <f>[9]全社合計!$G$16</f>
        <v>2041490590</v>
      </c>
      <c r="AU16" s="128">
        <f t="shared" si="30"/>
        <v>2.468316950482651</v>
      </c>
      <c r="AV16" s="579">
        <f>[9]全社合計!$N$16</f>
        <v>2041490590</v>
      </c>
      <c r="AW16" s="129">
        <f t="shared" si="31"/>
        <v>0.25345246201543487</v>
      </c>
      <c r="AX16" s="576">
        <f t="shared" si="32"/>
        <v>-309248732</v>
      </c>
      <c r="AY16" s="128">
        <f t="shared" si="33"/>
        <v>0.84851816926572265</v>
      </c>
      <c r="AZ16" s="579">
        <f t="shared" si="34"/>
        <v>-309248732</v>
      </c>
      <c r="BA16" s="129">
        <f t="shared" si="35"/>
        <v>0.84851816926572265</v>
      </c>
      <c r="BB16" s="11"/>
    </row>
    <row r="17" spans="1:54" ht="19.899999999999999" customHeight="1">
      <c r="A17" s="60" t="s">
        <v>13</v>
      </c>
      <c r="B17" s="524"/>
      <c r="C17" s="135" t="str">
        <f>IF(ISERR(B17/$B$11),"",B17/$B$11)</f>
        <v/>
      </c>
      <c r="D17" s="385"/>
      <c r="E17" s="133" t="str">
        <f>IF(ISERR(D17/$D$11),"",D17/$D$11)</f>
        <v/>
      </c>
      <c r="F17" s="384">
        <f>F14+F15-F16</f>
        <v>428321990</v>
      </c>
      <c r="G17" s="61">
        <f>IF(ISERR(F17/$F$11),"",F17/$F$11)</f>
        <v>0.86354307083916626</v>
      </c>
      <c r="H17" s="385">
        <f>H14+H15-H16</f>
        <v>4001408154</v>
      </c>
      <c r="I17" s="135">
        <f>IF(ISERR(H17/$H$11),"",H17/$H$11)</f>
        <v>0.86780749144973501</v>
      </c>
      <c r="J17" s="750">
        <f>J14+J15-J16</f>
        <v>573541</v>
      </c>
      <c r="K17" s="61">
        <f t="shared" si="20"/>
        <v>6.7967786401821009E-2</v>
      </c>
      <c r="L17" s="385">
        <f>L14+L15-L16</f>
        <v>4789725</v>
      </c>
      <c r="M17" s="135">
        <f t="shared" si="37"/>
        <v>5.8596772142997446E-2</v>
      </c>
      <c r="N17" s="411">
        <f>N14+N15-N16</f>
        <v>1561730</v>
      </c>
      <c r="O17" s="61">
        <f>IF(ISERR(N17/$N$11),"",N17/$N$11)</f>
        <v>7.1271647599802118E-2</v>
      </c>
      <c r="P17" s="385">
        <f>P14+P15-P16</f>
        <v>15873004</v>
      </c>
      <c r="Q17" s="207">
        <f>IF(ISERR(P17/$P$11),"",P17/$P$11)</f>
        <v>6.6639035383056003E-2</v>
      </c>
      <c r="R17" s="440">
        <f>R14+R15-R16</f>
        <v>0</v>
      </c>
      <c r="S17" s="61" t="str">
        <f>IF(ISERR(R17/$R$11),"",R17/$R$11)</f>
        <v/>
      </c>
      <c r="T17" s="385">
        <f>T14+T15-T16</f>
        <v>0</v>
      </c>
      <c r="U17" s="207" t="str">
        <f>IF(ISERR(T17/$T$11),"",T17/$T$11)</f>
        <v/>
      </c>
      <c r="V17" s="489">
        <f t="shared" si="21"/>
        <v>1561730</v>
      </c>
      <c r="W17" s="175">
        <f>IF(ISERR(V17/$V$11),"",V17/$V$11)</f>
        <v>7.1271647599802118E-2</v>
      </c>
      <c r="X17" s="423">
        <f t="shared" si="22"/>
        <v>15873004</v>
      </c>
      <c r="Y17" s="228">
        <f>IF(ISERR(X17/$X$11),"",X17/$X$11)</f>
        <v>6.6639035383056003E-2</v>
      </c>
      <c r="Z17" s="489">
        <f t="shared" si="23"/>
        <v>430457261</v>
      </c>
      <c r="AA17" s="192">
        <f>IF(ISERR(Z17/$Z$11),"",Z17/$Z$11)</f>
        <v>0.81780609487026756</v>
      </c>
      <c r="AB17" s="423">
        <f t="shared" si="24"/>
        <v>4022070883</v>
      </c>
      <c r="AC17" s="134">
        <f>IF(ISERR(AB17/$AB$11),"",AB17/$AB$11)</f>
        <v>0.81569126015333249</v>
      </c>
      <c r="AD17" s="384">
        <f>AD14+AD15-AD16</f>
        <v>183332673</v>
      </c>
      <c r="AE17" s="331">
        <f>IF(ISERR(AD17/$AD$11),"",AD17/$AD$11)</f>
        <v>0.90335430919739645</v>
      </c>
      <c r="AF17" s="385">
        <f>AF14+AF15-AF16</f>
        <v>1941855874</v>
      </c>
      <c r="AG17" s="330">
        <f>IF(ISERR(AF17/$AF$11),"",AF17/$AF$11)</f>
        <v>0.91118833493939144</v>
      </c>
      <c r="AH17" s="489">
        <f>AH14+AH15-AH16</f>
        <v>0</v>
      </c>
      <c r="AI17" s="194">
        <f t="shared" si="25"/>
        <v>0</v>
      </c>
      <c r="AJ17" s="385">
        <f>AJ14+AJ15-AJ16</f>
        <v>0</v>
      </c>
      <c r="AK17" s="103">
        <f t="shared" si="36"/>
        <v>0</v>
      </c>
      <c r="AL17" s="544">
        <f t="shared" si="26"/>
        <v>183332673</v>
      </c>
      <c r="AM17" s="317">
        <f>IF(ISERR(AL17/$AL$11),"",AL17/AL$11)</f>
        <v>0.86979244216849416</v>
      </c>
      <c r="AN17" s="536">
        <f t="shared" si="27"/>
        <v>1941855874</v>
      </c>
      <c r="AO17" s="134">
        <f>IF(ISERR(AN17/$AN$11),"",AN17/$AN$11)</f>
        <v>0.87598240700092356</v>
      </c>
      <c r="AP17" s="524">
        <f t="shared" si="28"/>
        <v>613789934</v>
      </c>
      <c r="AQ17" s="135">
        <f>IF(ISERR(AP17/$AP$11),"",AP17/$AP$11)</f>
        <v>0.83267117705460081</v>
      </c>
      <c r="AR17" s="516">
        <f t="shared" si="29"/>
        <v>5963926757</v>
      </c>
      <c r="AS17" s="134">
        <f>IF(ISERR(AR17/$AR$11),"",AR17/$AR$11)</f>
        <v>0.8343899825605301</v>
      </c>
      <c r="AT17" s="524">
        <f>AT14+AT15-AT16</f>
        <v>697893733</v>
      </c>
      <c r="AU17" s="135">
        <f t="shared" si="30"/>
        <v>0.84380645163763079</v>
      </c>
      <c r="AV17" s="596">
        <f>AV14+AV15-AV16</f>
        <v>6737370131</v>
      </c>
      <c r="AW17" s="134">
        <f t="shared" si="31"/>
        <v>0.83644913945510913</v>
      </c>
      <c r="AX17" s="524">
        <f t="shared" si="32"/>
        <v>-84103799</v>
      </c>
      <c r="AY17" s="135">
        <f t="shared" si="33"/>
        <v>0.87948910410977998</v>
      </c>
      <c r="AZ17" s="596">
        <f t="shared" si="34"/>
        <v>-773443374</v>
      </c>
      <c r="BA17" s="134">
        <f t="shared" si="35"/>
        <v>0.88520099698230459</v>
      </c>
      <c r="BB17" s="11"/>
    </row>
    <row r="18" spans="1:54" ht="19.899999999999999" customHeight="1">
      <c r="A18" s="55" t="s">
        <v>14</v>
      </c>
      <c r="B18" s="709"/>
      <c r="C18" s="138" t="str">
        <f>IF(ISERR(B18/$B$11),"",B18/$B$11)</f>
        <v/>
      </c>
      <c r="D18" s="376"/>
      <c r="E18" s="136" t="str">
        <f>IF(ISERR(D18/$D$11),"",D18/$D$11)</f>
        <v/>
      </c>
      <c r="F18" s="375">
        <f>F11-F17</f>
        <v>67683368</v>
      </c>
      <c r="G18" s="56">
        <f>IF(ISERR(F18/$F$11),"",F18/$F$11)</f>
        <v>0.1364569291608338</v>
      </c>
      <c r="H18" s="376">
        <f>H11-H17</f>
        <v>609531707</v>
      </c>
      <c r="I18" s="138">
        <f t="shared" si="19"/>
        <v>0.13219250855026496</v>
      </c>
      <c r="J18" s="374">
        <f>J11-J17</f>
        <v>7864883</v>
      </c>
      <c r="K18" s="56">
        <f t="shared" si="20"/>
        <v>0.932032213598179</v>
      </c>
      <c r="L18" s="376">
        <f>L11-L17</f>
        <v>76950699</v>
      </c>
      <c r="M18" s="138">
        <f t="shared" si="37"/>
        <v>0.94140322785700259</v>
      </c>
      <c r="N18" s="412">
        <f>N11-N17</f>
        <v>20350630</v>
      </c>
      <c r="O18" s="56">
        <f>IF(ISERR(N18/$N$11),"",N18/$N$11)</f>
        <v>0.92872835240019791</v>
      </c>
      <c r="P18" s="376">
        <f>P11-P17</f>
        <v>222320780</v>
      </c>
      <c r="Q18" s="208">
        <f>IF(ISERR(P18/$P$11),"",P18/$P$11)</f>
        <v>0.93336096461694396</v>
      </c>
      <c r="R18" s="441">
        <f>R11-R17</f>
        <v>0</v>
      </c>
      <c r="S18" s="56" t="str">
        <f>IF(ISERR(R18/$R$11),"",R18/$R$11)</f>
        <v/>
      </c>
      <c r="T18" s="376">
        <f>T11-T17</f>
        <v>0</v>
      </c>
      <c r="U18" s="208" t="str">
        <f>IF(ISERR(T18/$T$11),"",T18/$T$11)</f>
        <v/>
      </c>
      <c r="V18" s="490">
        <f t="shared" si="21"/>
        <v>20350630</v>
      </c>
      <c r="W18" s="176">
        <f>IF(ISERR(V18/$V$11),"",V18/$V$11)</f>
        <v>0.92872835240019791</v>
      </c>
      <c r="X18" s="424">
        <f t="shared" si="22"/>
        <v>222320780</v>
      </c>
      <c r="Y18" s="229">
        <f>IF(ISERR(X18/$X$11),"",X18/$X$11)</f>
        <v>0.93336096461694396</v>
      </c>
      <c r="Z18" s="490">
        <f t="shared" si="23"/>
        <v>95898881</v>
      </c>
      <c r="AA18" s="193">
        <f>IF(ISERR(Z18/$Z$11),"",Z18/$Z$11)</f>
        <v>0.18219390512973249</v>
      </c>
      <c r="AB18" s="424">
        <f t="shared" si="24"/>
        <v>908803186</v>
      </c>
      <c r="AC18" s="137">
        <f>IF(ISERR(AB18/$AB$11),"",AB18/$AB$11)</f>
        <v>0.18430873984666754</v>
      </c>
      <c r="AD18" s="375">
        <f>AD11-AD17</f>
        <v>19613913</v>
      </c>
      <c r="AE18" s="56">
        <f>IF(ISERR(AD18/$AD$11),"",AD18/$AD$11)</f>
        <v>9.6645690802603601E-2</v>
      </c>
      <c r="AF18" s="376">
        <f>AF11-AF17</f>
        <v>189268724</v>
      </c>
      <c r="AG18" s="84">
        <f>IF(ISERR(AF18/$AF$11),"",AF18/$AF$11)</f>
        <v>8.881166506060853E-2</v>
      </c>
      <c r="AH18" s="392">
        <f>AH11-AH17</f>
        <v>7830910</v>
      </c>
      <c r="AI18" s="176">
        <f t="shared" si="25"/>
        <v>1</v>
      </c>
      <c r="AJ18" s="376">
        <f>AJ11-AJ17</f>
        <v>85650372</v>
      </c>
      <c r="AK18" s="104">
        <f t="shared" si="36"/>
        <v>1</v>
      </c>
      <c r="AL18" s="545">
        <f t="shared" si="26"/>
        <v>27444823</v>
      </c>
      <c r="AM18" s="318">
        <f>IF(ISERR(AL18/$AL$11),"",AL18/AL$11)</f>
        <v>0.13020755783150589</v>
      </c>
      <c r="AN18" s="537">
        <f t="shared" si="27"/>
        <v>274919096</v>
      </c>
      <c r="AO18" s="137">
        <f>IF(ISERR(AN18/$AN$11),"",AN18/$AN$11)</f>
        <v>0.1240175929990765</v>
      </c>
      <c r="AP18" s="525">
        <f t="shared" si="28"/>
        <v>123343704</v>
      </c>
      <c r="AQ18" s="305">
        <f>IF(ISERR(AP18/$AP$11),"",AP18/$AP$11)</f>
        <v>0.16732882294539922</v>
      </c>
      <c r="AR18" s="517">
        <f t="shared" si="29"/>
        <v>1183722282</v>
      </c>
      <c r="AS18" s="304">
        <f>IF(ISERR(AR18/$AR$11),"",AR18/$AR$11)</f>
        <v>0.16561001743946988</v>
      </c>
      <c r="AT18" s="582">
        <f>AT11-AT17</f>
        <v>129184244</v>
      </c>
      <c r="AU18" s="138">
        <f t="shared" si="30"/>
        <v>0.15619354836236923</v>
      </c>
      <c r="AV18" s="597">
        <f>AV11-AV17</f>
        <v>1317357662</v>
      </c>
      <c r="AW18" s="137">
        <f t="shared" si="31"/>
        <v>0.16355086054489093</v>
      </c>
      <c r="AX18" s="582">
        <f t="shared" si="32"/>
        <v>-5840540</v>
      </c>
      <c r="AY18" s="138">
        <f t="shared" si="33"/>
        <v>0.95478906854925749</v>
      </c>
      <c r="AZ18" s="597">
        <f t="shared" si="34"/>
        <v>-133635380</v>
      </c>
      <c r="BA18" s="137">
        <f t="shared" si="35"/>
        <v>0.89855801210651021</v>
      </c>
      <c r="BB18" s="13"/>
    </row>
    <row r="19" spans="1:54" ht="15.95" customHeight="1">
      <c r="A19" s="37" t="s">
        <v>15</v>
      </c>
      <c r="B19" s="702">
        <f>[9]本部!$I$19</f>
        <v>5756800</v>
      </c>
      <c r="C19" s="258" t="str">
        <f t="shared" ref="C19:C69" si="38">IF(ISERR(B19/$B$11),"",B19/$B$11)</f>
        <v/>
      </c>
      <c r="D19" s="727">
        <f>[9]本部!$L$19</f>
        <v>51811200</v>
      </c>
      <c r="E19" s="118" t="str">
        <f t="shared" ref="E19:E69" si="39">IF(ISERR(D19/$D$11),"",D19/$D$11)</f>
        <v/>
      </c>
      <c r="F19" s="351">
        <f>[9]本社営業!$I$19</f>
        <v>10283529</v>
      </c>
      <c r="G19" s="7">
        <f t="shared" ref="G19:G69" si="40">IF(ISERR(F19/$F$11),"",F19/$F$11)</f>
        <v>2.0732697407675988E-2</v>
      </c>
      <c r="H19" s="361">
        <f>[9]本社営業!$L$19</f>
        <v>92411904</v>
      </c>
      <c r="I19" s="120">
        <f t="shared" si="19"/>
        <v>2.0041880134163824E-2</v>
      </c>
      <c r="J19" s="744">
        <f>[9]東大阪!$I$19</f>
        <v>3826394</v>
      </c>
      <c r="K19" s="7">
        <f t="shared" si="20"/>
        <v>0.4534488904563222</v>
      </c>
      <c r="L19" s="361">
        <f>[9]東大阪!$L$19</f>
        <v>30502609</v>
      </c>
      <c r="M19" s="120">
        <f t="shared" si="37"/>
        <v>0.373164310965649</v>
      </c>
      <c r="N19" s="402">
        <f>[9]南港工場!$I$19</f>
        <v>6885758</v>
      </c>
      <c r="O19" s="7">
        <f t="shared" ref="O19:O69" si="41">IF(ISERR(N19/$N$11),"",N19/$N$11)</f>
        <v>0.31424082116212038</v>
      </c>
      <c r="P19" s="361">
        <f>[9]南港工場!$L$19</f>
        <v>63759453</v>
      </c>
      <c r="Q19" s="203">
        <f t="shared" ref="Q19:Q69" si="42">IF(ISERR(P19/$P$11),"",P19/$P$11)</f>
        <v>0.26767891222551804</v>
      </c>
      <c r="R19" s="436">
        <f>[9]南港事務!$I$19</f>
        <v>2787137</v>
      </c>
      <c r="S19" s="7" t="str">
        <f t="shared" ref="S19:S69" si="43">IF(ISERR(R19/$R$11),"",R19/$R$11)</f>
        <v/>
      </c>
      <c r="T19" s="361">
        <f>[9]南港事務!$L$19</f>
        <v>25176322</v>
      </c>
      <c r="U19" s="203" t="str">
        <f t="shared" ref="U19:U69" si="44">IF(ISERR(T19/$T$11),"",T19/$T$11)</f>
        <v/>
      </c>
      <c r="V19" s="455">
        <f t="shared" si="21"/>
        <v>9672895</v>
      </c>
      <c r="W19" s="174">
        <f t="shared" ref="W19:W69" si="45">IF(ISERR(V19/$V$11),"",V19/$V$11)</f>
        <v>0.44143556422037605</v>
      </c>
      <c r="X19" s="425">
        <f t="shared" si="22"/>
        <v>88935775</v>
      </c>
      <c r="Y19" s="224">
        <f t="shared" ref="Y19:Y69" si="46">IF(ISERR(X19/$X$11),"",X19/$X$11)</f>
        <v>0.37337571747884069</v>
      </c>
      <c r="Z19" s="459">
        <f t="shared" si="23"/>
        <v>23782818</v>
      </c>
      <c r="AA19" s="188">
        <f t="shared" ref="AA19:AA69" si="47">IF(ISERR(Z19/$Z$11),"",Z19/$Z$11)</f>
        <v>4.5183889960193527E-2</v>
      </c>
      <c r="AB19" s="563">
        <f t="shared" si="24"/>
        <v>211850288</v>
      </c>
      <c r="AC19" s="119">
        <f t="shared" ref="AC19:AC69" si="48">IF(ISERR(AB19/$AB$11),"",AB19/$AB$11)</f>
        <v>4.2964043501310521E-2</v>
      </c>
      <c r="AD19" s="351">
        <f>[9]東京事務!$I$19</f>
        <v>3735840</v>
      </c>
      <c r="AE19" s="7">
        <f t="shared" ref="AE19:AE69" si="49">IF(ISERR(AD19/$AD$11),"",AD19/$AD$11)</f>
        <v>1.8407996279375699E-2</v>
      </c>
      <c r="AF19" s="361">
        <f>[9]東京事務!$L$19</f>
        <v>35103691</v>
      </c>
      <c r="AG19" s="80">
        <f t="shared" ref="AG19:AG69" si="50">IF(ISERR(AF19/$AF$11),"",AF19/$AF$11)</f>
        <v>1.6471909259995317E-2</v>
      </c>
      <c r="AH19" s="387">
        <f>[9]東京工場!$I$19</f>
        <v>3928920</v>
      </c>
      <c r="AI19" s="174">
        <f t="shared" si="25"/>
        <v>0.50171946810779333</v>
      </c>
      <c r="AJ19" s="361">
        <f>[9]東京工場!$L$19</f>
        <v>38294218</v>
      </c>
      <c r="AK19" s="102">
        <f t="shared" si="36"/>
        <v>0.44709926070140127</v>
      </c>
      <c r="AL19" s="546">
        <f t="shared" si="26"/>
        <v>7664760</v>
      </c>
      <c r="AM19" s="313">
        <f t="shared" ref="AM19:AM67" si="51">IF(ISERR(AL19/$AL$11),"",AL19/AL$11)</f>
        <v>3.6364223626605754E-2</v>
      </c>
      <c r="AN19" s="477">
        <f t="shared" si="27"/>
        <v>73397909</v>
      </c>
      <c r="AO19" s="119">
        <f t="shared" ref="AO19:AO69" si="52">IF(ISERR(AN19/$AN$11),"",AN19/$AN$11)</f>
        <v>3.311022092603292E-2</v>
      </c>
      <c r="AP19" s="526">
        <f t="shared" si="28"/>
        <v>37204378</v>
      </c>
      <c r="AQ19" s="282">
        <f t="shared" ref="AQ19:AQ69" si="53">IF(ISERR(AP19/$AP$11),"",AP19/$AP$11)</f>
        <v>5.0471686655005156E-2</v>
      </c>
      <c r="AR19" s="486">
        <f t="shared" si="29"/>
        <v>337059397</v>
      </c>
      <c r="AS19" s="283">
        <f t="shared" ref="AS19:AS69" si="54">IF(ISERR(AR19/$AR$11),"",AR19/$AR$11)</f>
        <v>4.7156679792319051E-2</v>
      </c>
      <c r="AT19" s="583">
        <f>[9]全社合計!$G$19</f>
        <v>37564786</v>
      </c>
      <c r="AU19" s="120">
        <f t="shared" si="30"/>
        <v>4.5418675197054607E-2</v>
      </c>
      <c r="AV19" s="577">
        <f>[9]全社合計!$N$19</f>
        <v>335422511</v>
      </c>
      <c r="AW19" s="121">
        <f t="shared" si="31"/>
        <v>4.1642935629867039E-2</v>
      </c>
      <c r="AX19" s="583">
        <f t="shared" si="32"/>
        <v>-360408</v>
      </c>
      <c r="AY19" s="120">
        <f t="shared" si="33"/>
        <v>0.99040569537651568</v>
      </c>
      <c r="AZ19" s="577">
        <f t="shared" si="34"/>
        <v>1636886</v>
      </c>
      <c r="BA19" s="121">
        <f t="shared" si="35"/>
        <v>1.0048800719877742</v>
      </c>
      <c r="BB19" s="11"/>
    </row>
    <row r="20" spans="1:54" ht="15.95" customHeight="1">
      <c r="A20" s="37" t="s">
        <v>16</v>
      </c>
      <c r="B20" s="703">
        <f>[9]本部!$I$20</f>
        <v>56110</v>
      </c>
      <c r="C20" s="259" t="str">
        <f t="shared" si="38"/>
        <v/>
      </c>
      <c r="D20" s="728">
        <f>[9]本部!$L$20</f>
        <v>504990</v>
      </c>
      <c r="E20" s="122" t="str">
        <f t="shared" si="39"/>
        <v/>
      </c>
      <c r="F20" s="352">
        <f>[9]本社営業!$I$20</f>
        <v>140156</v>
      </c>
      <c r="G20" s="9">
        <f t="shared" si="40"/>
        <v>2.8256952821062068E-4</v>
      </c>
      <c r="H20" s="362">
        <f>[9]本社営業!$L$20</f>
        <v>1906622</v>
      </c>
      <c r="I20" s="124">
        <f t="shared" si="19"/>
        <v>4.1349964594560994E-4</v>
      </c>
      <c r="J20" s="745">
        <f>[9]東大阪!$I$20</f>
        <v>163642</v>
      </c>
      <c r="K20" s="9">
        <f t="shared" si="20"/>
        <v>1.9392483714968576E-2</v>
      </c>
      <c r="L20" s="362">
        <f>[9]東大阪!$L$20</f>
        <v>1472778</v>
      </c>
      <c r="M20" s="124">
        <f t="shared" si="37"/>
        <v>1.8017743583028149E-2</v>
      </c>
      <c r="N20" s="403">
        <f>[9]南港工場!$I$20</f>
        <v>236330</v>
      </c>
      <c r="O20" s="9">
        <f t="shared" si="41"/>
        <v>1.0785237190334588E-2</v>
      </c>
      <c r="P20" s="362">
        <f>[9]南港工場!$L$20</f>
        <v>2166970</v>
      </c>
      <c r="Q20" s="204">
        <f t="shared" si="42"/>
        <v>9.0975086066897529E-3</v>
      </c>
      <c r="R20" s="437">
        <f>[9]南港事務!$I$20</f>
        <v>88532</v>
      </c>
      <c r="S20" s="9" t="str">
        <f t="shared" si="43"/>
        <v/>
      </c>
      <c r="T20" s="362">
        <f>[9]南港事務!$L$20</f>
        <v>796788</v>
      </c>
      <c r="U20" s="204" t="str">
        <f t="shared" si="44"/>
        <v/>
      </c>
      <c r="V20" s="456">
        <f t="shared" si="21"/>
        <v>324862</v>
      </c>
      <c r="W20" s="171">
        <f t="shared" si="45"/>
        <v>1.4825514002143082E-2</v>
      </c>
      <c r="X20" s="426">
        <f t="shared" si="22"/>
        <v>2963758</v>
      </c>
      <c r="Y20" s="225">
        <f t="shared" si="46"/>
        <v>1.244263368350536E-2</v>
      </c>
      <c r="Z20" s="460">
        <f t="shared" si="23"/>
        <v>628660</v>
      </c>
      <c r="AA20" s="189">
        <f t="shared" si="47"/>
        <v>1.1943624284714816E-3</v>
      </c>
      <c r="AB20" s="564">
        <f t="shared" si="24"/>
        <v>6343158</v>
      </c>
      <c r="AC20" s="123">
        <f t="shared" si="48"/>
        <v>1.286416548311163E-3</v>
      </c>
      <c r="AD20" s="352">
        <f>[9]東京事務!$I$20</f>
        <v>86532</v>
      </c>
      <c r="AE20" s="9">
        <f t="shared" si="49"/>
        <v>4.2637819982840213E-4</v>
      </c>
      <c r="AF20" s="362">
        <f>[9]東京事務!$L$20</f>
        <v>864054</v>
      </c>
      <c r="AG20" s="81">
        <f t="shared" si="50"/>
        <v>4.0544508791784872E-4</v>
      </c>
      <c r="AH20" s="388">
        <f>[9]東京工場!$I$20</f>
        <v>111220</v>
      </c>
      <c r="AI20" s="171">
        <f t="shared" si="25"/>
        <v>1.4202691641201342E-2</v>
      </c>
      <c r="AJ20" s="362">
        <f>[9]東京工場!$L$20</f>
        <v>1007246</v>
      </c>
      <c r="AK20" s="99">
        <f t="shared" si="36"/>
        <v>1.1759972274259357E-2</v>
      </c>
      <c r="AL20" s="547">
        <f t="shared" si="26"/>
        <v>197752</v>
      </c>
      <c r="AM20" s="314">
        <f t="shared" si="51"/>
        <v>9.3820262481911253E-4</v>
      </c>
      <c r="AN20" s="478">
        <f t="shared" si="27"/>
        <v>1871300</v>
      </c>
      <c r="AO20" s="123">
        <f t="shared" si="52"/>
        <v>8.4415424448788324E-4</v>
      </c>
      <c r="AP20" s="527">
        <f t="shared" si="28"/>
        <v>882522</v>
      </c>
      <c r="AQ20" s="284">
        <f t="shared" si="53"/>
        <v>1.197234740764876E-3</v>
      </c>
      <c r="AR20" s="487">
        <f t="shared" si="29"/>
        <v>8719448</v>
      </c>
      <c r="AS20" s="285">
        <f t="shared" si="54"/>
        <v>1.2199043283216246E-3</v>
      </c>
      <c r="AT20" s="584">
        <f>[9]全社合計!$G$20</f>
        <v>1029384</v>
      </c>
      <c r="AU20" s="124">
        <f t="shared" si="30"/>
        <v>1.2446033247479396E-3</v>
      </c>
      <c r="AV20" s="578">
        <f>[9]全社合計!$N$20</f>
        <v>9467186</v>
      </c>
      <c r="AW20" s="125">
        <f t="shared" si="31"/>
        <v>1.1753576586694219E-3</v>
      </c>
      <c r="AX20" s="584">
        <f t="shared" si="32"/>
        <v>-146862</v>
      </c>
      <c r="AY20" s="124">
        <f t="shared" si="33"/>
        <v>0.85733020913478353</v>
      </c>
      <c r="AZ20" s="578">
        <f t="shared" si="34"/>
        <v>-747738</v>
      </c>
      <c r="BA20" s="125">
        <f t="shared" si="35"/>
        <v>0.9210179244392156</v>
      </c>
      <c r="BB20" s="11"/>
    </row>
    <row r="21" spans="1:54" ht="15.95" customHeight="1">
      <c r="A21" s="37" t="s">
        <v>17</v>
      </c>
      <c r="B21" s="703">
        <f>[9]本部!$I$21</f>
        <v>0</v>
      </c>
      <c r="C21" s="259" t="str">
        <f t="shared" si="38"/>
        <v/>
      </c>
      <c r="D21" s="728">
        <f>[9]本部!$L$21</f>
        <v>0</v>
      </c>
      <c r="E21" s="122" t="str">
        <f t="shared" si="39"/>
        <v/>
      </c>
      <c r="F21" s="352">
        <f>[9]本社営業!$I$21</f>
        <v>0</v>
      </c>
      <c r="G21" s="9">
        <f t="shared" si="40"/>
        <v>0</v>
      </c>
      <c r="H21" s="362">
        <f>[9]本社営業!$L$21</f>
        <v>0</v>
      </c>
      <c r="I21" s="124">
        <f t="shared" si="19"/>
        <v>0</v>
      </c>
      <c r="J21" s="745">
        <f>[9]東大阪!$I$21</f>
        <v>0</v>
      </c>
      <c r="K21" s="9">
        <f t="shared" si="20"/>
        <v>0</v>
      </c>
      <c r="L21" s="362">
        <f>[9]東大阪!$L$21</f>
        <v>0</v>
      </c>
      <c r="M21" s="124">
        <f t="shared" si="37"/>
        <v>0</v>
      </c>
      <c r="N21" s="403">
        <f>[9]南港工場!$I$21</f>
        <v>0</v>
      </c>
      <c r="O21" s="9">
        <f t="shared" si="41"/>
        <v>0</v>
      </c>
      <c r="P21" s="362">
        <f>[9]南港工場!$L$21</f>
        <v>149400</v>
      </c>
      <c r="Q21" s="204">
        <f t="shared" si="42"/>
        <v>6.2722039799325744E-4</v>
      </c>
      <c r="R21" s="437">
        <f>[9]南港事務!$I$21</f>
        <v>0</v>
      </c>
      <c r="S21" s="9" t="str">
        <f t="shared" si="43"/>
        <v/>
      </c>
      <c r="T21" s="362">
        <f>[9]南港事務!$L$21</f>
        <v>0</v>
      </c>
      <c r="U21" s="204" t="str">
        <f t="shared" si="44"/>
        <v/>
      </c>
      <c r="V21" s="456">
        <f t="shared" si="21"/>
        <v>0</v>
      </c>
      <c r="W21" s="171">
        <f t="shared" si="45"/>
        <v>0</v>
      </c>
      <c r="X21" s="426">
        <f t="shared" si="22"/>
        <v>149400</v>
      </c>
      <c r="Y21" s="225">
        <f t="shared" si="46"/>
        <v>6.2722039799325744E-4</v>
      </c>
      <c r="Z21" s="460">
        <f t="shared" si="23"/>
        <v>0</v>
      </c>
      <c r="AA21" s="189">
        <f t="shared" si="47"/>
        <v>0</v>
      </c>
      <c r="AB21" s="564">
        <f t="shared" si="24"/>
        <v>149400</v>
      </c>
      <c r="AC21" s="123">
        <f t="shared" si="48"/>
        <v>3.0298887765004085E-5</v>
      </c>
      <c r="AD21" s="352">
        <f>[9]東京事務!$I$21</f>
        <v>0</v>
      </c>
      <c r="AE21" s="9">
        <f t="shared" si="49"/>
        <v>0</v>
      </c>
      <c r="AF21" s="362">
        <f>[9]東京事務!$L$21</f>
        <v>0</v>
      </c>
      <c r="AG21" s="81">
        <f t="shared" si="50"/>
        <v>0</v>
      </c>
      <c r="AH21" s="388">
        <f>[9]東京工場!$I$21</f>
        <v>0</v>
      </c>
      <c r="AI21" s="171">
        <f t="shared" si="25"/>
        <v>0</v>
      </c>
      <c r="AJ21" s="362">
        <f>[9]東京工場!$L$21</f>
        <v>0</v>
      </c>
      <c r="AK21" s="99">
        <f t="shared" si="36"/>
        <v>0</v>
      </c>
      <c r="AL21" s="547">
        <f t="shared" si="26"/>
        <v>0</v>
      </c>
      <c r="AM21" s="314">
        <f t="shared" si="51"/>
        <v>0</v>
      </c>
      <c r="AN21" s="478">
        <f t="shared" si="27"/>
        <v>0</v>
      </c>
      <c r="AO21" s="123">
        <f t="shared" si="52"/>
        <v>0</v>
      </c>
      <c r="AP21" s="527">
        <f t="shared" si="28"/>
        <v>0</v>
      </c>
      <c r="AQ21" s="284">
        <f t="shared" si="53"/>
        <v>0</v>
      </c>
      <c r="AR21" s="487">
        <f t="shared" si="29"/>
        <v>149400</v>
      </c>
      <c r="AS21" s="285">
        <f t="shared" si="54"/>
        <v>2.0901977585192401E-5</v>
      </c>
      <c r="AT21" s="584">
        <f>[9]全社合計!$G$21</f>
        <v>0</v>
      </c>
      <c r="AU21" s="124">
        <f t="shared" si="30"/>
        <v>0</v>
      </c>
      <c r="AV21" s="578">
        <f>[9]全社合計!$N$21</f>
        <v>3051217</v>
      </c>
      <c r="AW21" s="125">
        <f t="shared" si="31"/>
        <v>3.7881069086551561E-4</v>
      </c>
      <c r="AX21" s="584">
        <f t="shared" si="32"/>
        <v>0</v>
      </c>
      <c r="AY21" s="124" t="str">
        <f t="shared" si="33"/>
        <v/>
      </c>
      <c r="AZ21" s="578">
        <f t="shared" si="34"/>
        <v>-2901817</v>
      </c>
      <c r="BA21" s="125">
        <f t="shared" si="35"/>
        <v>4.8964069091120034E-2</v>
      </c>
      <c r="BB21" s="11"/>
    </row>
    <row r="22" spans="1:54" ht="15.95" customHeight="1">
      <c r="A22" s="37" t="s">
        <v>18</v>
      </c>
      <c r="B22" s="703">
        <f>[9]本部!$I$22</f>
        <v>361534</v>
      </c>
      <c r="C22" s="259" t="str">
        <f t="shared" si="38"/>
        <v/>
      </c>
      <c r="D22" s="728">
        <f>[9]本部!$L$22</f>
        <v>4153357</v>
      </c>
      <c r="E22" s="122" t="str">
        <f t="shared" si="39"/>
        <v/>
      </c>
      <c r="F22" s="352">
        <f>[9]本社営業!$I$22</f>
        <v>1142568</v>
      </c>
      <c r="G22" s="9">
        <f t="shared" si="40"/>
        <v>2.3035396323279234E-3</v>
      </c>
      <c r="H22" s="362">
        <f>[9]本社営業!$L$22</f>
        <v>13663753</v>
      </c>
      <c r="I22" s="124">
        <f t="shared" si="19"/>
        <v>2.963333596165504E-3</v>
      </c>
      <c r="J22" s="745">
        <f>[9]東大阪!$I$22</f>
        <v>669138</v>
      </c>
      <c r="K22" s="9">
        <f t="shared" si="20"/>
        <v>7.929656058998695E-2</v>
      </c>
      <c r="L22" s="362">
        <f>[9]東大阪!$L$22</f>
        <v>8289156</v>
      </c>
      <c r="M22" s="124">
        <f t="shared" si="37"/>
        <v>0.10140828239403309</v>
      </c>
      <c r="N22" s="403">
        <f>[9]南港工場!$I$22</f>
        <v>887604</v>
      </c>
      <c r="O22" s="9">
        <f t="shared" si="41"/>
        <v>4.0507001527904797E-2</v>
      </c>
      <c r="P22" s="362">
        <f>[9]南港工場!$L$22</f>
        <v>11326015</v>
      </c>
      <c r="Q22" s="204">
        <f t="shared" si="42"/>
        <v>4.754958257013122E-2</v>
      </c>
      <c r="R22" s="437">
        <f>[9]南港事務!$I$22</f>
        <v>370086</v>
      </c>
      <c r="S22" s="9" t="str">
        <f t="shared" si="43"/>
        <v/>
      </c>
      <c r="T22" s="362">
        <f>[9]南港事務!$L$22</f>
        <v>4526115</v>
      </c>
      <c r="U22" s="204" t="str">
        <f t="shared" si="44"/>
        <v/>
      </c>
      <c r="V22" s="456">
        <f t="shared" si="21"/>
        <v>1257690</v>
      </c>
      <c r="W22" s="171">
        <f t="shared" si="45"/>
        <v>5.7396373553556077E-2</v>
      </c>
      <c r="X22" s="426">
        <f t="shared" si="22"/>
        <v>15852130</v>
      </c>
      <c r="Y22" s="225">
        <f t="shared" si="46"/>
        <v>6.6551400854356471E-2</v>
      </c>
      <c r="Z22" s="460">
        <f t="shared" si="23"/>
        <v>3069396</v>
      </c>
      <c r="AA22" s="189">
        <f t="shared" si="47"/>
        <v>5.8314053073213684E-3</v>
      </c>
      <c r="AB22" s="564">
        <f t="shared" si="24"/>
        <v>37805039</v>
      </c>
      <c r="AC22" s="123">
        <f t="shared" si="48"/>
        <v>7.667005579736293E-3</v>
      </c>
      <c r="AD22" s="352">
        <f>[9]東京事務!$I$22</f>
        <v>458706</v>
      </c>
      <c r="AE22" s="9">
        <f t="shared" si="49"/>
        <v>2.2602301868729145E-3</v>
      </c>
      <c r="AF22" s="362">
        <f>[9]東京事務!$L$22</f>
        <v>5626307</v>
      </c>
      <c r="AG22" s="81">
        <f t="shared" si="50"/>
        <v>2.6400647832980433E-3</v>
      </c>
      <c r="AH22" s="388">
        <f>[9]東京工場!$I$22</f>
        <v>497412</v>
      </c>
      <c r="AI22" s="171">
        <f t="shared" si="25"/>
        <v>6.3519054618173365E-2</v>
      </c>
      <c r="AJ22" s="362">
        <f>[9]東京工場!$L$22</f>
        <v>6580194</v>
      </c>
      <c r="AK22" s="99">
        <f t="shared" si="36"/>
        <v>7.6826216236398834E-2</v>
      </c>
      <c r="AL22" s="547">
        <f t="shared" si="26"/>
        <v>956118</v>
      </c>
      <c r="AM22" s="314">
        <f t="shared" si="51"/>
        <v>4.5361483941340685E-3</v>
      </c>
      <c r="AN22" s="478">
        <f t="shared" si="27"/>
        <v>12206501</v>
      </c>
      <c r="AO22" s="123">
        <f t="shared" si="52"/>
        <v>5.5064231440686102E-3</v>
      </c>
      <c r="AP22" s="527">
        <f t="shared" si="28"/>
        <v>4387048</v>
      </c>
      <c r="AQ22" s="284">
        <f t="shared" si="53"/>
        <v>5.9514961383433703E-3</v>
      </c>
      <c r="AR22" s="487">
        <f t="shared" si="29"/>
        <v>54164897</v>
      </c>
      <c r="AS22" s="285">
        <f t="shared" si="54"/>
        <v>7.5780017603631535E-3</v>
      </c>
      <c r="AT22" s="584">
        <f>[9]全社合計!$G$22</f>
        <v>4262279</v>
      </c>
      <c r="AU22" s="124">
        <f t="shared" si="30"/>
        <v>5.1534185633381946E-3</v>
      </c>
      <c r="AV22" s="578">
        <f>[9]全社合計!$N$22</f>
        <v>51897867</v>
      </c>
      <c r="AW22" s="125">
        <f t="shared" si="31"/>
        <v>6.4431559121218337E-3</v>
      </c>
      <c r="AX22" s="584">
        <f t="shared" si="32"/>
        <v>124769</v>
      </c>
      <c r="AY22" s="124">
        <f t="shared" si="33"/>
        <v>1.0292728373717441</v>
      </c>
      <c r="AZ22" s="578">
        <f t="shared" si="34"/>
        <v>2267030</v>
      </c>
      <c r="BA22" s="125">
        <f t="shared" si="35"/>
        <v>1.0436825274533923</v>
      </c>
      <c r="BB22" s="11"/>
    </row>
    <row r="23" spans="1:54" ht="15.95" customHeight="1">
      <c r="A23" s="37" t="s">
        <v>19</v>
      </c>
      <c r="B23" s="703">
        <f>[9]本部!$I$23</f>
        <v>543368</v>
      </c>
      <c r="C23" s="259" t="str">
        <f t="shared" si="38"/>
        <v/>
      </c>
      <c r="D23" s="728">
        <f>[9]本部!$L$23</f>
        <v>5070530</v>
      </c>
      <c r="E23" s="122" t="str">
        <f t="shared" si="39"/>
        <v/>
      </c>
      <c r="F23" s="352">
        <f>[9]本社営業!$I$23</f>
        <v>95471</v>
      </c>
      <c r="G23" s="9">
        <f t="shared" si="40"/>
        <v>1.9247977559145641E-4</v>
      </c>
      <c r="H23" s="362">
        <f>[9]本社営業!$L$23</f>
        <v>2591825</v>
      </c>
      <c r="I23" s="124">
        <f t="shared" si="19"/>
        <v>5.6210340584183995E-4</v>
      </c>
      <c r="J23" s="745">
        <f>[9]東大阪!$I$23</f>
        <v>92855</v>
      </c>
      <c r="K23" s="9">
        <f t="shared" si="20"/>
        <v>1.1003831995168765E-2</v>
      </c>
      <c r="L23" s="362">
        <f>[9]東大阪!$L$23</f>
        <v>799313</v>
      </c>
      <c r="M23" s="124">
        <f t="shared" si="37"/>
        <v>9.7786745025937229E-3</v>
      </c>
      <c r="N23" s="403">
        <f>[9]南港工場!$I$23</f>
        <v>94590</v>
      </c>
      <c r="O23" s="9">
        <f t="shared" si="41"/>
        <v>4.3167417840889802E-3</v>
      </c>
      <c r="P23" s="362">
        <f>[9]南港工場!$L$23</f>
        <v>753888</v>
      </c>
      <c r="Q23" s="204">
        <f t="shared" si="42"/>
        <v>3.1650196211669402E-3</v>
      </c>
      <c r="R23" s="437">
        <f>[9]南港事務!$I$23</f>
        <v>47325</v>
      </c>
      <c r="S23" s="9" t="str">
        <f t="shared" si="43"/>
        <v/>
      </c>
      <c r="T23" s="362">
        <f>[9]南港事務!$L$23</f>
        <v>573976</v>
      </c>
      <c r="U23" s="204" t="str">
        <f t="shared" si="44"/>
        <v/>
      </c>
      <c r="V23" s="456">
        <f t="shared" si="21"/>
        <v>141915</v>
      </c>
      <c r="W23" s="171">
        <f t="shared" si="45"/>
        <v>6.4764817664550965E-3</v>
      </c>
      <c r="X23" s="426">
        <f t="shared" si="22"/>
        <v>1327864</v>
      </c>
      <c r="Y23" s="225">
        <f t="shared" si="46"/>
        <v>5.5747214629244899E-3</v>
      </c>
      <c r="Z23" s="460">
        <f t="shared" si="23"/>
        <v>330241</v>
      </c>
      <c r="AA23" s="189">
        <f t="shared" si="47"/>
        <v>6.274097966163754E-4</v>
      </c>
      <c r="AB23" s="564">
        <f t="shared" si="24"/>
        <v>4719002</v>
      </c>
      <c r="AC23" s="123">
        <f t="shared" si="48"/>
        <v>9.5703153922911514E-4</v>
      </c>
      <c r="AD23" s="352">
        <f>[9]東京事務!$I$23</f>
        <v>57656</v>
      </c>
      <c r="AE23" s="9">
        <f t="shared" si="49"/>
        <v>2.8409445626249657E-4</v>
      </c>
      <c r="AF23" s="362">
        <f>[9]東京事務!$L$23</f>
        <v>861483</v>
      </c>
      <c r="AG23" s="81">
        <f t="shared" si="50"/>
        <v>4.0423868262253523E-4</v>
      </c>
      <c r="AH23" s="388">
        <f>[9]東京工場!$I$23</f>
        <v>55094</v>
      </c>
      <c r="AI23" s="171">
        <f t="shared" si="25"/>
        <v>7.0354530954895404E-3</v>
      </c>
      <c r="AJ23" s="362">
        <f>[9]東京工場!$L$23</f>
        <v>646526</v>
      </c>
      <c r="AK23" s="99">
        <f t="shared" si="36"/>
        <v>7.5484318970616962E-3</v>
      </c>
      <c r="AL23" s="547">
        <f t="shared" si="26"/>
        <v>112750</v>
      </c>
      <c r="AM23" s="314">
        <f t="shared" si="51"/>
        <v>5.349242786336166E-4</v>
      </c>
      <c r="AN23" s="478">
        <f t="shared" si="27"/>
        <v>1508009</v>
      </c>
      <c r="AO23" s="123">
        <f t="shared" si="52"/>
        <v>6.8027157488159478E-4</v>
      </c>
      <c r="AP23" s="527">
        <f t="shared" si="28"/>
        <v>986359</v>
      </c>
      <c r="AQ23" s="284">
        <f t="shared" si="53"/>
        <v>1.3381006498037469E-3</v>
      </c>
      <c r="AR23" s="487">
        <f t="shared" si="29"/>
        <v>11297541</v>
      </c>
      <c r="AS23" s="285">
        <f t="shared" si="54"/>
        <v>1.5805953731579125E-3</v>
      </c>
      <c r="AT23" s="584">
        <f>[9]全社合計!$G$23</f>
        <v>1428744</v>
      </c>
      <c r="AU23" s="124">
        <f t="shared" si="30"/>
        <v>1.7274598523132965E-3</v>
      </c>
      <c r="AV23" s="578">
        <f>[9]全社合計!$N$23</f>
        <v>12098580</v>
      </c>
      <c r="AW23" s="125">
        <f t="shared" si="31"/>
        <v>1.5020470350983592E-3</v>
      </c>
      <c r="AX23" s="584">
        <f t="shared" si="32"/>
        <v>-442385</v>
      </c>
      <c r="AY23" s="124">
        <f t="shared" si="33"/>
        <v>0.69036790355725031</v>
      </c>
      <c r="AZ23" s="578">
        <f t="shared" si="34"/>
        <v>-801039</v>
      </c>
      <c r="BA23" s="125">
        <f t="shared" si="35"/>
        <v>0.9337906597303155</v>
      </c>
      <c r="BB23" s="11"/>
    </row>
    <row r="24" spans="1:54" ht="15.95" customHeight="1">
      <c r="A24" s="37" t="s">
        <v>20</v>
      </c>
      <c r="B24" s="703">
        <f>[9]本部!$I$24</f>
        <v>45000</v>
      </c>
      <c r="C24" s="259" t="str">
        <f t="shared" si="38"/>
        <v/>
      </c>
      <c r="D24" s="728">
        <f>[9]本部!$L$24</f>
        <v>405000</v>
      </c>
      <c r="E24" s="122" t="str">
        <f t="shared" si="39"/>
        <v/>
      </c>
      <c r="F24" s="352">
        <f>[9]本社営業!$I$24</f>
        <v>181650</v>
      </c>
      <c r="G24" s="9">
        <f t="shared" si="40"/>
        <v>3.6622588258411514E-4</v>
      </c>
      <c r="H24" s="362">
        <f>[9]本社営業!$L$24</f>
        <v>2306850</v>
      </c>
      <c r="I24" s="124">
        <f t="shared" si="19"/>
        <v>5.0029930329642178E-4</v>
      </c>
      <c r="J24" s="745">
        <f>[9]東大阪!$I$24</f>
        <v>96410</v>
      </c>
      <c r="K24" s="9">
        <f t="shared" si="20"/>
        <v>1.1425119192872982E-2</v>
      </c>
      <c r="L24" s="362">
        <f>[9]東大阪!$L$24</f>
        <v>867690</v>
      </c>
      <c r="M24" s="124">
        <f t="shared" si="37"/>
        <v>1.0615188391976043E-2</v>
      </c>
      <c r="N24" s="403">
        <f>[9]南港工場!$I$24</f>
        <v>28600</v>
      </c>
      <c r="O24" s="9">
        <f t="shared" si="41"/>
        <v>1.3051994399507858E-3</v>
      </c>
      <c r="P24" s="362">
        <f>[9]南港工場!$L$24</f>
        <v>257400</v>
      </c>
      <c r="Q24" s="204">
        <f t="shared" si="42"/>
        <v>1.0806327338919977E-3</v>
      </c>
      <c r="R24" s="437">
        <f>[9]南港事務!$I$24</f>
        <v>0</v>
      </c>
      <c r="S24" s="9" t="str">
        <f t="shared" si="43"/>
        <v/>
      </c>
      <c r="T24" s="362">
        <f>[9]南港事務!$L$24</f>
        <v>0</v>
      </c>
      <c r="U24" s="204" t="str">
        <f t="shared" si="44"/>
        <v/>
      </c>
      <c r="V24" s="456">
        <f t="shared" si="21"/>
        <v>28600</v>
      </c>
      <c r="W24" s="171">
        <f t="shared" si="45"/>
        <v>1.3051994399507858E-3</v>
      </c>
      <c r="X24" s="426">
        <f t="shared" si="22"/>
        <v>257400</v>
      </c>
      <c r="Y24" s="225">
        <f t="shared" si="46"/>
        <v>1.0806327338919977E-3</v>
      </c>
      <c r="Z24" s="460">
        <f t="shared" si="23"/>
        <v>306660</v>
      </c>
      <c r="AA24" s="189">
        <f t="shared" si="47"/>
        <v>5.8260933145907893E-4</v>
      </c>
      <c r="AB24" s="564">
        <f t="shared" si="24"/>
        <v>3431940</v>
      </c>
      <c r="AC24" s="123">
        <f t="shared" si="48"/>
        <v>6.960104744058107E-4</v>
      </c>
      <c r="AD24" s="352">
        <f>[9]東京事務!$I$24</f>
        <v>155000</v>
      </c>
      <c r="AE24" s="9">
        <f t="shared" si="49"/>
        <v>7.6374775774744991E-4</v>
      </c>
      <c r="AF24" s="362">
        <f>[9]東京事務!$L$24</f>
        <v>1577500</v>
      </c>
      <c r="AG24" s="81">
        <f t="shared" si="50"/>
        <v>7.4021950733450261E-4</v>
      </c>
      <c r="AH24" s="388">
        <f>[9]東京工場!$I$24</f>
        <v>0</v>
      </c>
      <c r="AI24" s="171">
        <f t="shared" si="25"/>
        <v>0</v>
      </c>
      <c r="AJ24" s="362">
        <f>[9]東京工場!$L$24</f>
        <v>0</v>
      </c>
      <c r="AK24" s="99">
        <f t="shared" si="36"/>
        <v>0</v>
      </c>
      <c r="AL24" s="547">
        <f t="shared" si="26"/>
        <v>155000</v>
      </c>
      <c r="AM24" s="314">
        <f t="shared" si="51"/>
        <v>7.3537262251184544E-4</v>
      </c>
      <c r="AN24" s="478">
        <f t="shared" si="27"/>
        <v>1577500</v>
      </c>
      <c r="AO24" s="123">
        <f t="shared" si="52"/>
        <v>7.1161936657918869E-4</v>
      </c>
      <c r="AP24" s="527">
        <f t="shared" si="28"/>
        <v>506660</v>
      </c>
      <c r="AQ24" s="284">
        <f t="shared" si="53"/>
        <v>6.8733805361898296E-4</v>
      </c>
      <c r="AR24" s="487">
        <f t="shared" si="29"/>
        <v>5414440</v>
      </c>
      <c r="AS24" s="285">
        <f t="shared" si="54"/>
        <v>7.5751341041746414E-4</v>
      </c>
      <c r="AT24" s="584">
        <f>[9]全社合計!$G$24</f>
        <v>495160</v>
      </c>
      <c r="AU24" s="124">
        <f t="shared" si="30"/>
        <v>5.9868599306205441E-4</v>
      </c>
      <c r="AV24" s="578">
        <f>[9]全社合計!$N$24</f>
        <v>5062043</v>
      </c>
      <c r="AW24" s="125">
        <f t="shared" si="31"/>
        <v>6.2845612292437652E-4</v>
      </c>
      <c r="AX24" s="584">
        <f t="shared" si="32"/>
        <v>11500</v>
      </c>
      <c r="AY24" s="124">
        <f t="shared" si="33"/>
        <v>1.0232248162210196</v>
      </c>
      <c r="AZ24" s="578">
        <f t="shared" si="34"/>
        <v>352397</v>
      </c>
      <c r="BA24" s="125">
        <f t="shared" si="35"/>
        <v>1.0696155682596928</v>
      </c>
      <c r="BB24" s="11"/>
    </row>
    <row r="25" spans="1:54" ht="15.95" customHeight="1">
      <c r="A25" s="37" t="s">
        <v>54</v>
      </c>
      <c r="B25" s="703">
        <f>[9]本部!$I$25</f>
        <v>129379</v>
      </c>
      <c r="C25" s="259" t="str">
        <f t="shared" si="38"/>
        <v/>
      </c>
      <c r="D25" s="728">
        <f>[9]本部!$L$25</f>
        <v>1164411</v>
      </c>
      <c r="E25" s="122" t="str">
        <f t="shared" si="39"/>
        <v/>
      </c>
      <c r="F25" s="352">
        <f>[9]本社営業!$I$25</f>
        <v>86370</v>
      </c>
      <c r="G25" s="9">
        <f t="shared" si="40"/>
        <v>1.7413118347806234E-4</v>
      </c>
      <c r="H25" s="362">
        <f>[9]本社営業!$L$25</f>
        <v>788250</v>
      </c>
      <c r="I25" s="124">
        <f t="shared" si="19"/>
        <v>1.7095213205167413E-4</v>
      </c>
      <c r="J25" s="745">
        <f>[9]東大阪!$I$25</f>
        <v>10180</v>
      </c>
      <c r="K25" s="9">
        <f t="shared" si="20"/>
        <v>1.2063864058027896E-3</v>
      </c>
      <c r="L25" s="362">
        <f>[9]東大阪!$L$25</f>
        <v>91620</v>
      </c>
      <c r="M25" s="124">
        <f t="shared" si="37"/>
        <v>1.1208652404347695E-3</v>
      </c>
      <c r="N25" s="403">
        <f>[9]南港工場!$I$25</f>
        <v>0</v>
      </c>
      <c r="O25" s="9">
        <f t="shared" si="41"/>
        <v>0</v>
      </c>
      <c r="P25" s="362">
        <f>[9]南港工場!$L$25</f>
        <v>0</v>
      </c>
      <c r="Q25" s="204">
        <f t="shared" si="42"/>
        <v>0</v>
      </c>
      <c r="R25" s="437">
        <f>[9]南港事務!$I$25</f>
        <v>10180</v>
      </c>
      <c r="S25" s="9" t="str">
        <f t="shared" si="43"/>
        <v/>
      </c>
      <c r="T25" s="362">
        <f>[9]南港事務!$L$25</f>
        <v>115560</v>
      </c>
      <c r="U25" s="204" t="str">
        <f t="shared" si="44"/>
        <v/>
      </c>
      <c r="V25" s="456">
        <f t="shared" si="21"/>
        <v>10180</v>
      </c>
      <c r="W25" s="171">
        <f t="shared" si="45"/>
        <v>4.6457798247199296E-4</v>
      </c>
      <c r="X25" s="426">
        <f t="shared" si="22"/>
        <v>115560</v>
      </c>
      <c r="Y25" s="225">
        <f t="shared" si="46"/>
        <v>4.8515119941165214E-4</v>
      </c>
      <c r="Z25" s="460">
        <f t="shared" si="23"/>
        <v>106730</v>
      </c>
      <c r="AA25" s="189">
        <f t="shared" si="47"/>
        <v>2.0277145355321037E-4</v>
      </c>
      <c r="AB25" s="564">
        <f t="shared" si="24"/>
        <v>995430</v>
      </c>
      <c r="AC25" s="123">
        <f t="shared" si="48"/>
        <v>2.0187698693385553E-4</v>
      </c>
      <c r="AD25" s="352">
        <f>[9]東京事務!$I$25</f>
        <v>74542</v>
      </c>
      <c r="AE25" s="9">
        <f t="shared" si="49"/>
        <v>3.6729861521297036E-4</v>
      </c>
      <c r="AF25" s="362">
        <f>[9]東京事務!$L$25</f>
        <v>250418</v>
      </c>
      <c r="AG25" s="81">
        <f t="shared" si="50"/>
        <v>1.1750509577666655E-4</v>
      </c>
      <c r="AH25" s="388">
        <f>[9]東京工場!$I$25</f>
        <v>8300</v>
      </c>
      <c r="AI25" s="171">
        <f t="shared" si="25"/>
        <v>1.0599023612836822E-3</v>
      </c>
      <c r="AJ25" s="362">
        <f>[9]東京工場!$L$25</f>
        <v>74700</v>
      </c>
      <c r="AK25" s="99">
        <f t="shared" si="36"/>
        <v>8.7215032761328809E-4</v>
      </c>
      <c r="AL25" s="547">
        <f t="shared" si="26"/>
        <v>82842</v>
      </c>
      <c r="AM25" s="314">
        <f t="shared" si="51"/>
        <v>3.9303057286533096E-4</v>
      </c>
      <c r="AN25" s="478">
        <f t="shared" si="27"/>
        <v>325118</v>
      </c>
      <c r="AO25" s="123">
        <f t="shared" si="52"/>
        <v>1.4666260869951992E-4</v>
      </c>
      <c r="AP25" s="527">
        <f t="shared" si="28"/>
        <v>318951</v>
      </c>
      <c r="AQ25" s="284">
        <f t="shared" si="53"/>
        <v>4.3269087660330053E-4</v>
      </c>
      <c r="AR25" s="487">
        <f t="shared" si="29"/>
        <v>2484959</v>
      </c>
      <c r="AS25" s="285">
        <f t="shared" si="54"/>
        <v>3.47661026225717E-4</v>
      </c>
      <c r="AT25" s="584">
        <f>[9]全社合計!$G$25</f>
        <v>238121</v>
      </c>
      <c r="AU25" s="124">
        <f t="shared" si="30"/>
        <v>2.8790634815802866E-4</v>
      </c>
      <c r="AV25" s="578">
        <f>[9]全社合計!$N$25</f>
        <v>2133449</v>
      </c>
      <c r="AW25" s="125">
        <f t="shared" si="31"/>
        <v>2.6486916191681664E-4</v>
      </c>
      <c r="AX25" s="584">
        <f t="shared" si="32"/>
        <v>80830</v>
      </c>
      <c r="AY25" s="124">
        <f t="shared" si="33"/>
        <v>1.339449271588814</v>
      </c>
      <c r="AZ25" s="578">
        <f t="shared" si="34"/>
        <v>351510</v>
      </c>
      <c r="BA25" s="125">
        <f t="shared" si="35"/>
        <v>1.1647613793439637</v>
      </c>
      <c r="BB25" s="11"/>
    </row>
    <row r="26" spans="1:54" ht="15.95" customHeight="1">
      <c r="A26" s="37" t="s">
        <v>55</v>
      </c>
      <c r="B26" s="703">
        <f>[9]本部!$I$26</f>
        <v>348701</v>
      </c>
      <c r="C26" s="259" t="str">
        <f t="shared" si="38"/>
        <v/>
      </c>
      <c r="D26" s="728">
        <f>[9]本部!$L$26</f>
        <v>3098309</v>
      </c>
      <c r="E26" s="122" t="str">
        <f t="shared" si="39"/>
        <v/>
      </c>
      <c r="F26" s="352">
        <f>[9]本社営業!$I$26</f>
        <v>680</v>
      </c>
      <c r="G26" s="9">
        <f t="shared" si="40"/>
        <v>1.3709529323269931E-6</v>
      </c>
      <c r="H26" s="362">
        <f>[9]本社営業!$L$26</f>
        <v>6120</v>
      </c>
      <c r="I26" s="124">
        <f t="shared" si="19"/>
        <v>1.3272782088883549E-6</v>
      </c>
      <c r="J26" s="745">
        <f>[9]東大阪!$I$26</f>
        <v>55623</v>
      </c>
      <c r="K26" s="9">
        <f t="shared" si="20"/>
        <v>6.5916336984252035E-3</v>
      </c>
      <c r="L26" s="362">
        <f>[9]東大阪!$L$26</f>
        <v>204939</v>
      </c>
      <c r="M26" s="124">
        <f t="shared" si="37"/>
        <v>2.5071927691493255E-3</v>
      </c>
      <c r="N26" s="403">
        <f>[9]南港工場!$I$26</f>
        <v>78417</v>
      </c>
      <c r="O26" s="9">
        <f t="shared" si="41"/>
        <v>3.5786651917000269E-3</v>
      </c>
      <c r="P26" s="362">
        <f>[9]南港工場!$L$26</f>
        <v>235251</v>
      </c>
      <c r="Q26" s="204">
        <f t="shared" si="42"/>
        <v>9.8764542067143117E-4</v>
      </c>
      <c r="R26" s="437">
        <f>[9]南港事務!$I$26</f>
        <v>5520</v>
      </c>
      <c r="S26" s="9" t="str">
        <f t="shared" si="43"/>
        <v/>
      </c>
      <c r="T26" s="362">
        <f>[9]南港事務!$L$26</f>
        <v>49680</v>
      </c>
      <c r="U26" s="204" t="str">
        <f t="shared" si="44"/>
        <v/>
      </c>
      <c r="V26" s="456">
        <f>N26+R26</f>
        <v>83937</v>
      </c>
      <c r="W26" s="171">
        <f t="shared" si="45"/>
        <v>3.8305778108793393E-3</v>
      </c>
      <c r="X26" s="426">
        <f t="shared" si="22"/>
        <v>284931</v>
      </c>
      <c r="Y26" s="225">
        <f t="shared" si="46"/>
        <v>1.1962150951848516E-3</v>
      </c>
      <c r="Z26" s="460">
        <f t="shared" si="23"/>
        <v>140240</v>
      </c>
      <c r="AA26" s="189">
        <f t="shared" si="47"/>
        <v>2.6643557243794831E-4</v>
      </c>
      <c r="AB26" s="564">
        <f t="shared" si="24"/>
        <v>495990</v>
      </c>
      <c r="AC26" s="123">
        <f t="shared" si="48"/>
        <v>1.0058865691140813E-4</v>
      </c>
      <c r="AD26" s="352">
        <f>[9]東京事務!$I$26</f>
        <v>5520</v>
      </c>
      <c r="AE26" s="9">
        <f t="shared" si="49"/>
        <v>2.71992749855866E-5</v>
      </c>
      <c r="AF26" s="362">
        <f>[9]東京事務!$L$26</f>
        <v>54630</v>
      </c>
      <c r="AG26" s="81">
        <f t="shared" si="50"/>
        <v>2.5634352891083284E-5</v>
      </c>
      <c r="AH26" s="388">
        <f>[9]東京工場!$I$26</f>
        <v>25000</v>
      </c>
      <c r="AI26" s="171">
        <f t="shared" si="25"/>
        <v>3.1924769918183198E-3</v>
      </c>
      <c r="AJ26" s="362">
        <f>[9]東京工場!$L$26</f>
        <v>213000</v>
      </c>
      <c r="AK26" s="99">
        <f t="shared" si="36"/>
        <v>2.4868543478129904E-3</v>
      </c>
      <c r="AL26" s="547">
        <f t="shared" si="26"/>
        <v>30520</v>
      </c>
      <c r="AM26" s="314">
        <f t="shared" si="51"/>
        <v>1.4479724154233239E-4</v>
      </c>
      <c r="AN26" s="478">
        <f t="shared" si="27"/>
        <v>267630</v>
      </c>
      <c r="AO26" s="123">
        <f t="shared" si="52"/>
        <v>1.2072943966883567E-4</v>
      </c>
      <c r="AP26" s="527">
        <f t="shared" si="28"/>
        <v>519461</v>
      </c>
      <c r="AQ26" s="284">
        <f t="shared" si="53"/>
        <v>7.0470396848176396E-4</v>
      </c>
      <c r="AR26" s="487">
        <f t="shared" si="29"/>
        <v>3861929</v>
      </c>
      <c r="AS26" s="285">
        <f t="shared" si="54"/>
        <v>5.4030758630257362E-4</v>
      </c>
      <c r="AT26" s="584">
        <f>[9]全社合計!$G$26</f>
        <v>520651</v>
      </c>
      <c r="AU26" s="124">
        <f t="shared" si="30"/>
        <v>6.2950654530606609E-4</v>
      </c>
      <c r="AV26" s="578">
        <f>[9]全社合計!$N$26</f>
        <v>3950649</v>
      </c>
      <c r="AW26" s="125">
        <f t="shared" si="31"/>
        <v>4.9047579279256715E-4</v>
      </c>
      <c r="AX26" s="584">
        <f t="shared" si="32"/>
        <v>-1190</v>
      </c>
      <c r="AY26" s="124">
        <f t="shared" si="33"/>
        <v>0.99771439985710197</v>
      </c>
      <c r="AZ26" s="578">
        <f t="shared" si="34"/>
        <v>-88720</v>
      </c>
      <c r="BA26" s="125">
        <f t="shared" si="35"/>
        <v>0.97754293028816275</v>
      </c>
      <c r="BB26" s="11"/>
    </row>
    <row r="27" spans="1:54" ht="15.95" customHeight="1">
      <c r="A27" s="37" t="s">
        <v>21</v>
      </c>
      <c r="B27" s="703">
        <f>[9]本部!$I$27</f>
        <v>0</v>
      </c>
      <c r="C27" s="259" t="str">
        <f t="shared" si="38"/>
        <v/>
      </c>
      <c r="D27" s="728">
        <f>[9]本部!$L$27</f>
        <v>0</v>
      </c>
      <c r="E27" s="122" t="str">
        <f t="shared" si="39"/>
        <v/>
      </c>
      <c r="F27" s="352">
        <f>[9]本社営業!$I$27</f>
        <v>0</v>
      </c>
      <c r="G27" s="9">
        <f t="shared" si="40"/>
        <v>0</v>
      </c>
      <c r="H27" s="362">
        <f>[9]本社営業!$L$27</f>
        <v>0</v>
      </c>
      <c r="I27" s="124">
        <f t="shared" si="19"/>
        <v>0</v>
      </c>
      <c r="J27" s="745">
        <f>[9]東大阪!$I$27</f>
        <v>573778</v>
      </c>
      <c r="K27" s="9">
        <f t="shared" si="20"/>
        <v>6.799587221500128E-2</v>
      </c>
      <c r="L27" s="362">
        <f>[9]東大阪!$L$27</f>
        <v>4123296</v>
      </c>
      <c r="M27" s="124">
        <f t="shared" si="37"/>
        <v>5.0443780423747253E-2</v>
      </c>
      <c r="N27" s="403">
        <f>[9]南港工場!$I$27</f>
        <v>929440</v>
      </c>
      <c r="O27" s="9">
        <f t="shared" si="41"/>
        <v>4.2416243617757282E-2</v>
      </c>
      <c r="P27" s="362">
        <f>[9]南港工場!$L$27</f>
        <v>43041870</v>
      </c>
      <c r="Q27" s="204">
        <f t="shared" si="42"/>
        <v>0.18070106313101772</v>
      </c>
      <c r="R27" s="437">
        <f>[9]南港事務!$I$27</f>
        <v>0</v>
      </c>
      <c r="S27" s="9" t="str">
        <f t="shared" si="43"/>
        <v/>
      </c>
      <c r="T27" s="362">
        <f>[9]南港事務!$L$27</f>
        <v>2429</v>
      </c>
      <c r="U27" s="204" t="str">
        <f t="shared" si="44"/>
        <v/>
      </c>
      <c r="V27" s="456">
        <f>N27+R27</f>
        <v>929440</v>
      </c>
      <c r="W27" s="171">
        <f t="shared" si="45"/>
        <v>4.2416243617757282E-2</v>
      </c>
      <c r="X27" s="426">
        <f t="shared" si="22"/>
        <v>43044299</v>
      </c>
      <c r="Y27" s="225">
        <f t="shared" si="46"/>
        <v>0.18071126071031307</v>
      </c>
      <c r="Z27" s="460">
        <f t="shared" si="23"/>
        <v>1503218</v>
      </c>
      <c r="AA27" s="189">
        <f t="shared" si="47"/>
        <v>2.8558952390831983E-3</v>
      </c>
      <c r="AB27" s="564">
        <f t="shared" si="24"/>
        <v>47167595</v>
      </c>
      <c r="AC27" s="123">
        <f t="shared" si="48"/>
        <v>9.5657675170693953E-3</v>
      </c>
      <c r="AD27" s="352">
        <f>[9]東京事務!$I$27</f>
        <v>0</v>
      </c>
      <c r="AE27" s="9">
        <f t="shared" si="49"/>
        <v>0</v>
      </c>
      <c r="AF27" s="362">
        <f>[9]東京事務!$L$27</f>
        <v>0</v>
      </c>
      <c r="AG27" s="81">
        <f t="shared" si="50"/>
        <v>0</v>
      </c>
      <c r="AH27" s="388">
        <f>[9]東京工場!$I$27</f>
        <v>64240</v>
      </c>
      <c r="AI27" s="171">
        <f t="shared" si="25"/>
        <v>8.2033888781763552E-3</v>
      </c>
      <c r="AJ27" s="362">
        <f>[9]東京工場!$L$27</f>
        <v>1382469</v>
      </c>
      <c r="AK27" s="99">
        <f t="shared" si="36"/>
        <v>1.6140840579186275E-2</v>
      </c>
      <c r="AL27" s="547">
        <f t="shared" si="26"/>
        <v>64240</v>
      </c>
      <c r="AM27" s="314">
        <f t="shared" si="51"/>
        <v>3.0477636948490934E-4</v>
      </c>
      <c r="AN27" s="478">
        <f t="shared" si="27"/>
        <v>1382469</v>
      </c>
      <c r="AO27" s="123">
        <f t="shared" si="52"/>
        <v>6.236397553694862E-4</v>
      </c>
      <c r="AP27" s="527">
        <f t="shared" si="28"/>
        <v>1567458</v>
      </c>
      <c r="AQ27" s="284">
        <f t="shared" si="53"/>
        <v>2.126423105928046E-3</v>
      </c>
      <c r="AR27" s="487">
        <f t="shared" si="29"/>
        <v>48550064</v>
      </c>
      <c r="AS27" s="285">
        <f t="shared" si="54"/>
        <v>6.7924521384715962E-3</v>
      </c>
      <c r="AT27" s="584">
        <f>[9]全社合計!$G$27</f>
        <v>6808670</v>
      </c>
      <c r="AU27" s="124">
        <f t="shared" si="30"/>
        <v>8.2321984012881048E-3</v>
      </c>
      <c r="AV27" s="578">
        <f>[9]全社合計!$N$27</f>
        <v>26218084</v>
      </c>
      <c r="AW27" s="125">
        <f t="shared" si="31"/>
        <v>3.2549931759065717E-3</v>
      </c>
      <c r="AX27" s="584">
        <f t="shared" si="32"/>
        <v>-5241212</v>
      </c>
      <c r="AY27" s="124">
        <f t="shared" si="33"/>
        <v>0.23021500528003266</v>
      </c>
      <c r="AZ27" s="578">
        <f t="shared" si="34"/>
        <v>22331980</v>
      </c>
      <c r="BA27" s="125">
        <f t="shared" si="35"/>
        <v>1.8517777271596201</v>
      </c>
      <c r="BB27" s="11"/>
    </row>
    <row r="28" spans="1:54" ht="15.95" customHeight="1">
      <c r="A28" s="37" t="s">
        <v>22</v>
      </c>
      <c r="B28" s="703">
        <f>[9]本部!$I$28</f>
        <v>25694</v>
      </c>
      <c r="C28" s="259" t="str">
        <f t="shared" si="38"/>
        <v/>
      </c>
      <c r="D28" s="728">
        <f>[9]本部!$L$28</f>
        <v>1329881</v>
      </c>
      <c r="E28" s="122" t="str">
        <f t="shared" si="39"/>
        <v/>
      </c>
      <c r="F28" s="352">
        <f>[9]本社営業!$I$28</f>
        <v>108496</v>
      </c>
      <c r="G28" s="9">
        <f t="shared" si="40"/>
        <v>2.187395725672786E-4</v>
      </c>
      <c r="H28" s="362">
        <f>[9]本社営業!$L$28</f>
        <v>987650</v>
      </c>
      <c r="I28" s="124">
        <f t="shared" si="19"/>
        <v>2.1419711160270975E-4</v>
      </c>
      <c r="J28" s="745">
        <f>[9]東大阪!$I$28</f>
        <v>9444</v>
      </c>
      <c r="K28" s="9">
        <f t="shared" si="20"/>
        <v>1.1191663277408199E-3</v>
      </c>
      <c r="L28" s="362">
        <f>[9]東大阪!$L$28</f>
        <v>167617</v>
      </c>
      <c r="M28" s="124">
        <f t="shared" si="37"/>
        <v>2.0506010587857974E-3</v>
      </c>
      <c r="N28" s="403">
        <f>[9]南港工場!$I$28</f>
        <v>0</v>
      </c>
      <c r="O28" s="9">
        <f t="shared" si="41"/>
        <v>0</v>
      </c>
      <c r="P28" s="362">
        <f>[9]南港工場!$L$28</f>
        <v>60158</v>
      </c>
      <c r="Q28" s="204">
        <f t="shared" si="42"/>
        <v>2.5255906762033725E-4</v>
      </c>
      <c r="R28" s="437">
        <f>[9]南港事務!$I$28</f>
        <v>19930</v>
      </c>
      <c r="S28" s="9" t="str">
        <f t="shared" si="43"/>
        <v/>
      </c>
      <c r="T28" s="362">
        <f>[9]南港事務!$L$28</f>
        <v>223171</v>
      </c>
      <c r="U28" s="204" t="str">
        <f t="shared" si="44"/>
        <v/>
      </c>
      <c r="V28" s="456">
        <f>N28+R28</f>
        <v>19930</v>
      </c>
      <c r="W28" s="171">
        <f t="shared" si="45"/>
        <v>9.0953233700066989E-4</v>
      </c>
      <c r="X28" s="426">
        <f t="shared" si="22"/>
        <v>283329</v>
      </c>
      <c r="Y28" s="225">
        <f t="shared" si="46"/>
        <v>1.1894894788690203E-3</v>
      </c>
      <c r="Z28" s="460">
        <f t="shared" si="23"/>
        <v>137870</v>
      </c>
      <c r="AA28" s="189">
        <f t="shared" si="47"/>
        <v>2.6193291765558996E-4</v>
      </c>
      <c r="AB28" s="564">
        <f t="shared" si="24"/>
        <v>1438596</v>
      </c>
      <c r="AC28" s="123">
        <f t="shared" si="48"/>
        <v>2.9175273589815138E-4</v>
      </c>
      <c r="AD28" s="352">
        <f>[9]東京事務!$I$28</f>
        <v>5782</v>
      </c>
      <c r="AE28" s="9">
        <f t="shared" si="49"/>
        <v>2.8490255066424226E-5</v>
      </c>
      <c r="AF28" s="362">
        <f>[9]東京事務!$L$28</f>
        <v>165607</v>
      </c>
      <c r="AG28" s="81">
        <f t="shared" si="50"/>
        <v>7.770873657758794E-5</v>
      </c>
      <c r="AH28" s="388">
        <f>[9]東京工場!$I$28</f>
        <v>0</v>
      </c>
      <c r="AI28" s="171">
        <f t="shared" si="25"/>
        <v>0</v>
      </c>
      <c r="AJ28" s="362">
        <f>[9]東京工場!$L$28</f>
        <v>152388</v>
      </c>
      <c r="AK28" s="99">
        <f t="shared" si="36"/>
        <v>1.7791866683311078E-3</v>
      </c>
      <c r="AL28" s="547">
        <f t="shared" si="26"/>
        <v>5782</v>
      </c>
      <c r="AM28" s="314">
        <f t="shared" si="51"/>
        <v>2.7431770989441871E-5</v>
      </c>
      <c r="AN28" s="478">
        <f t="shared" si="27"/>
        <v>317995</v>
      </c>
      <c r="AO28" s="123">
        <f t="shared" si="52"/>
        <v>1.4344938223476964E-4</v>
      </c>
      <c r="AP28" s="527">
        <f t="shared" si="28"/>
        <v>169346</v>
      </c>
      <c r="AQ28" s="284">
        <f t="shared" si="53"/>
        <v>2.2973581894793411E-4</v>
      </c>
      <c r="AR28" s="487">
        <f t="shared" si="29"/>
        <v>3086472</v>
      </c>
      <c r="AS28" s="285">
        <f t="shared" si="54"/>
        <v>4.3181638929935714E-4</v>
      </c>
      <c r="AT28" s="584">
        <f>[9]全社合計!$G$28</f>
        <v>347784</v>
      </c>
      <c r="AU28" s="124">
        <f t="shared" si="30"/>
        <v>4.2049723202822024E-4</v>
      </c>
      <c r="AV28" s="578">
        <f>[9]全社合計!$N$28</f>
        <v>2788144</v>
      </c>
      <c r="AW28" s="125">
        <f t="shared" si="31"/>
        <v>3.4614999682832856E-4</v>
      </c>
      <c r="AX28" s="584">
        <f t="shared" si="32"/>
        <v>-178438</v>
      </c>
      <c r="AY28" s="124">
        <f t="shared" si="33"/>
        <v>0.48692866836887261</v>
      </c>
      <c r="AZ28" s="578">
        <f t="shared" si="34"/>
        <v>298328</v>
      </c>
      <c r="BA28" s="125">
        <f t="shared" si="35"/>
        <v>1.1069987776814971</v>
      </c>
      <c r="BB28" s="11"/>
    </row>
    <row r="29" spans="1:54" ht="15.95" customHeight="1">
      <c r="A29" s="37" t="s">
        <v>23</v>
      </c>
      <c r="B29" s="703">
        <f>[9]本部!$I$29</f>
        <v>0</v>
      </c>
      <c r="C29" s="259" t="str">
        <f t="shared" si="38"/>
        <v/>
      </c>
      <c r="D29" s="728">
        <f>[9]本部!$L$29</f>
        <v>0</v>
      </c>
      <c r="E29" s="122" t="str">
        <f t="shared" si="39"/>
        <v/>
      </c>
      <c r="F29" s="352">
        <f>[9]本社営業!$I$29</f>
        <v>0</v>
      </c>
      <c r="G29" s="9">
        <f t="shared" si="40"/>
        <v>0</v>
      </c>
      <c r="H29" s="362">
        <f>[9]本社営業!$L$29</f>
        <v>187291</v>
      </c>
      <c r="I29" s="124">
        <f t="shared" si="19"/>
        <v>4.0618833826945895E-5</v>
      </c>
      <c r="J29" s="745">
        <f>[9]東大阪!$I$29</f>
        <v>368349</v>
      </c>
      <c r="K29" s="9">
        <f t="shared" si="20"/>
        <v>4.3651397464739859E-2</v>
      </c>
      <c r="L29" s="362">
        <f>[9]東大阪!$L$29</f>
        <v>5003200</v>
      </c>
      <c r="M29" s="124">
        <f t="shared" si="37"/>
        <v>6.1208393046750041E-2</v>
      </c>
      <c r="N29" s="403">
        <f>[9]南港工場!$I$29</f>
        <v>3507766</v>
      </c>
      <c r="O29" s="9">
        <f t="shared" si="41"/>
        <v>0.16008161603770657</v>
      </c>
      <c r="P29" s="362">
        <f>[9]南港工場!$L$29</f>
        <v>29792487</v>
      </c>
      <c r="Q29" s="204">
        <f t="shared" si="42"/>
        <v>0.12507667706391531</v>
      </c>
      <c r="R29" s="437">
        <f>[9]南港事務!$I$29</f>
        <v>0</v>
      </c>
      <c r="S29" s="9" t="str">
        <f t="shared" si="43"/>
        <v/>
      </c>
      <c r="T29" s="362">
        <f>[9]南港事務!$L$29</f>
        <v>18979</v>
      </c>
      <c r="U29" s="204" t="str">
        <f t="shared" si="44"/>
        <v/>
      </c>
      <c r="V29" s="456">
        <f t="shared" si="21"/>
        <v>3507766</v>
      </c>
      <c r="W29" s="171">
        <f t="shared" si="45"/>
        <v>0.16008161603770657</v>
      </c>
      <c r="X29" s="426">
        <f t="shared" si="22"/>
        <v>29811466</v>
      </c>
      <c r="Y29" s="225">
        <f t="shared" si="46"/>
        <v>0.12515635588542479</v>
      </c>
      <c r="Z29" s="460">
        <f t="shared" si="23"/>
        <v>3876115</v>
      </c>
      <c r="AA29" s="189">
        <f t="shared" si="47"/>
        <v>7.3640538994603393E-3</v>
      </c>
      <c r="AB29" s="564">
        <f t="shared" si="24"/>
        <v>35001957</v>
      </c>
      <c r="AC29" s="123">
        <f t="shared" si="48"/>
        <v>7.0985298975803149E-3</v>
      </c>
      <c r="AD29" s="352">
        <f>[9]東京事務!$I$29</f>
        <v>0</v>
      </c>
      <c r="AE29" s="9">
        <f t="shared" si="49"/>
        <v>0</v>
      </c>
      <c r="AF29" s="362">
        <f>[9]東京事務!$L$29</f>
        <v>27443</v>
      </c>
      <c r="AG29" s="81">
        <f t="shared" si="50"/>
        <v>1.2877238630605868E-5</v>
      </c>
      <c r="AH29" s="388">
        <f>[9]東京工場!$I$29</f>
        <v>443458</v>
      </c>
      <c r="AI29" s="171">
        <f t="shared" si="25"/>
        <v>5.662917847351074E-2</v>
      </c>
      <c r="AJ29" s="362">
        <f>[9]東京工場!$L$29</f>
        <v>5228956</v>
      </c>
      <c r="AK29" s="99">
        <f t="shared" si="36"/>
        <v>6.1050009216539074E-2</v>
      </c>
      <c r="AL29" s="547">
        <f t="shared" si="26"/>
        <v>443458</v>
      </c>
      <c r="AM29" s="314">
        <f t="shared" si="51"/>
        <v>2.1039153060248899E-3</v>
      </c>
      <c r="AN29" s="478">
        <f t="shared" si="27"/>
        <v>5256399</v>
      </c>
      <c r="AO29" s="123">
        <f t="shared" si="52"/>
        <v>2.3711919663185299E-3</v>
      </c>
      <c r="AP29" s="527">
        <f t="shared" si="28"/>
        <v>4319573</v>
      </c>
      <c r="AQ29" s="284">
        <f t="shared" si="53"/>
        <v>5.8599591408145723E-3</v>
      </c>
      <c r="AR29" s="487">
        <f t="shared" si="29"/>
        <v>40258356</v>
      </c>
      <c r="AS29" s="285">
        <f t="shared" si="54"/>
        <v>5.6323912632442836E-3</v>
      </c>
      <c r="AT29" s="584">
        <f>[9]全社合計!$G$29</f>
        <v>4588034</v>
      </c>
      <c r="AU29" s="124">
        <f t="shared" si="30"/>
        <v>5.5472810636813755E-3</v>
      </c>
      <c r="AV29" s="578">
        <f>[9]全社合計!$N$29</f>
        <v>51017469</v>
      </c>
      <c r="AW29" s="125">
        <f t="shared" si="31"/>
        <v>6.3338538943969007E-3</v>
      </c>
      <c r="AX29" s="584">
        <f t="shared" si="32"/>
        <v>-268461</v>
      </c>
      <c r="AY29" s="124">
        <f t="shared" si="33"/>
        <v>0.94148670214736851</v>
      </c>
      <c r="AZ29" s="578">
        <f t="shared" si="34"/>
        <v>-10759113</v>
      </c>
      <c r="BA29" s="125">
        <f t="shared" si="35"/>
        <v>0.78910923628924046</v>
      </c>
      <c r="BB29" s="11"/>
    </row>
    <row r="30" spans="1:54" ht="15.95" customHeight="1">
      <c r="A30" s="37" t="s">
        <v>24</v>
      </c>
      <c r="B30" s="703">
        <f>[9]本部!$I$30</f>
        <v>27343</v>
      </c>
      <c r="C30" s="259" t="str">
        <f t="shared" si="38"/>
        <v/>
      </c>
      <c r="D30" s="728">
        <f>[9]本部!$L$30</f>
        <v>170866</v>
      </c>
      <c r="E30" s="122" t="str">
        <f t="shared" si="39"/>
        <v/>
      </c>
      <c r="F30" s="352">
        <f>[9]本社営業!$I$30</f>
        <v>54686</v>
      </c>
      <c r="G30" s="9">
        <f t="shared" si="40"/>
        <v>1.1025284126063815E-4</v>
      </c>
      <c r="H30" s="362">
        <f>[9]本社営業!$L$30</f>
        <v>341731</v>
      </c>
      <c r="I30" s="124">
        <f t="shared" si="19"/>
        <v>7.4113089804187321E-5</v>
      </c>
      <c r="J30" s="745">
        <f>[9]東大阪!$I$30</f>
        <v>291102</v>
      </c>
      <c r="K30" s="9">
        <f t="shared" si="20"/>
        <v>3.4497199951080915E-2</v>
      </c>
      <c r="L30" s="362">
        <f>[9]東大阪!$L$30</f>
        <v>3371248</v>
      </c>
      <c r="M30" s="124">
        <f t="shared" si="37"/>
        <v>4.1243338791587376E-2</v>
      </c>
      <c r="N30" s="403">
        <f>[9]南港工場!$I$30</f>
        <v>466630</v>
      </c>
      <c r="O30" s="9">
        <f t="shared" si="41"/>
        <v>2.1295287226022207E-2</v>
      </c>
      <c r="P30" s="362">
        <f>[9]南港工場!$L$30</f>
        <v>4877809</v>
      </c>
      <c r="Q30" s="204">
        <f t="shared" si="42"/>
        <v>2.0478321969980545E-2</v>
      </c>
      <c r="R30" s="437">
        <f>[9]南港事務!$I$30</f>
        <v>20723</v>
      </c>
      <c r="S30" s="9" t="str">
        <f t="shared" si="43"/>
        <v/>
      </c>
      <c r="T30" s="362">
        <f>[9]南港事務!$L$30</f>
        <v>211224</v>
      </c>
      <c r="U30" s="204" t="str">
        <f t="shared" si="44"/>
        <v/>
      </c>
      <c r="V30" s="456">
        <f t="shared" si="21"/>
        <v>487353</v>
      </c>
      <c r="W30" s="171">
        <f t="shared" si="45"/>
        <v>2.2241009183857876E-2</v>
      </c>
      <c r="X30" s="426">
        <f t="shared" si="22"/>
        <v>5089033</v>
      </c>
      <c r="Y30" s="225">
        <f t="shared" si="46"/>
        <v>2.1365095740701612E-2</v>
      </c>
      <c r="Z30" s="460">
        <f t="shared" si="23"/>
        <v>833141</v>
      </c>
      <c r="AA30" s="189">
        <f t="shared" si="47"/>
        <v>1.5828465434720813E-3</v>
      </c>
      <c r="AB30" s="564">
        <f t="shared" si="24"/>
        <v>8802012</v>
      </c>
      <c r="AC30" s="123">
        <f t="shared" si="48"/>
        <v>1.7850814838970489E-3</v>
      </c>
      <c r="AD30" s="352">
        <f>[9]東京事務!$I$30</f>
        <v>64330</v>
      </c>
      <c r="AE30" s="9">
        <f t="shared" si="49"/>
        <v>3.1697995648963516E-4</v>
      </c>
      <c r="AF30" s="362">
        <f>[9]東京事務!$L$30</f>
        <v>528688</v>
      </c>
      <c r="AG30" s="81">
        <f t="shared" si="50"/>
        <v>2.4807934763465203E-4</v>
      </c>
      <c r="AH30" s="388">
        <f>[9]東京工場!$I$30</f>
        <v>258514</v>
      </c>
      <c r="AI30" s="171">
        <f t="shared" si="25"/>
        <v>3.3011999882516845E-2</v>
      </c>
      <c r="AJ30" s="362">
        <f>[9]東京工場!$L$30</f>
        <v>2316574</v>
      </c>
      <c r="AK30" s="99">
        <f t="shared" si="36"/>
        <v>2.7046864431598733E-2</v>
      </c>
      <c r="AL30" s="547">
        <f t="shared" si="26"/>
        <v>322844</v>
      </c>
      <c r="AM30" s="314">
        <f t="shared" si="51"/>
        <v>1.5316815415626723E-3</v>
      </c>
      <c r="AN30" s="478">
        <f t="shared" si="27"/>
        <v>2845262</v>
      </c>
      <c r="AO30" s="123">
        <f t="shared" si="52"/>
        <v>1.2835141313418926E-3</v>
      </c>
      <c r="AP30" s="527">
        <f t="shared" si="28"/>
        <v>1183328</v>
      </c>
      <c r="AQ30" s="284">
        <f t="shared" si="53"/>
        <v>1.6053099994332372E-3</v>
      </c>
      <c r="AR30" s="487">
        <f t="shared" si="29"/>
        <v>11818140</v>
      </c>
      <c r="AS30" s="285">
        <f t="shared" si="54"/>
        <v>1.6534303706738E-3</v>
      </c>
      <c r="AT30" s="584">
        <f>[9]全社合計!$G$30</f>
        <v>1465986</v>
      </c>
      <c r="AU30" s="124">
        <f t="shared" si="30"/>
        <v>1.7724882547561775E-3</v>
      </c>
      <c r="AV30" s="578">
        <f>[9]全社合計!$N$30</f>
        <v>13213990</v>
      </c>
      <c r="AW30" s="125">
        <f t="shared" si="31"/>
        <v>1.6405259543945956E-3</v>
      </c>
      <c r="AX30" s="584">
        <f t="shared" si="32"/>
        <v>-282658</v>
      </c>
      <c r="AY30" s="124">
        <f t="shared" si="33"/>
        <v>0.80718915460311358</v>
      </c>
      <c r="AZ30" s="578">
        <f t="shared" si="34"/>
        <v>-1395850</v>
      </c>
      <c r="BA30" s="125">
        <f t="shared" si="35"/>
        <v>0.89436574418476178</v>
      </c>
      <c r="BB30" s="11"/>
    </row>
    <row r="31" spans="1:54" ht="15.95" customHeight="1">
      <c r="A31" s="37" t="s">
        <v>25</v>
      </c>
      <c r="B31" s="703">
        <f>[9]本部!$I$31</f>
        <v>277411</v>
      </c>
      <c r="C31" s="259" t="str">
        <f t="shared" si="38"/>
        <v/>
      </c>
      <c r="D31" s="728">
        <f>[9]本部!$L$31</f>
        <v>3476493</v>
      </c>
      <c r="E31" s="122" t="str">
        <f t="shared" si="39"/>
        <v/>
      </c>
      <c r="F31" s="352">
        <f>[9]本社営業!$I$31</f>
        <v>775199</v>
      </c>
      <c r="G31" s="9">
        <f t="shared" si="40"/>
        <v>1.5628843267455187E-3</v>
      </c>
      <c r="H31" s="362">
        <f>[9]本社営業!$L$31</f>
        <v>7900544</v>
      </c>
      <c r="I31" s="124">
        <f t="shared" si="19"/>
        <v>1.7134346224777187E-3</v>
      </c>
      <c r="J31" s="745">
        <f>[9]東大阪!$I$31</f>
        <v>113728</v>
      </c>
      <c r="K31" s="9">
        <f t="shared" si="20"/>
        <v>1.3477398149227866E-2</v>
      </c>
      <c r="L31" s="362">
        <f>[9]東大阪!$L$31</f>
        <v>1029079</v>
      </c>
      <c r="M31" s="124">
        <f t="shared" si="37"/>
        <v>1.2589597039526E-2</v>
      </c>
      <c r="N31" s="403">
        <f>[9]南港工場!$I$31</f>
        <v>254173</v>
      </c>
      <c r="O31" s="9">
        <f t="shared" si="41"/>
        <v>1.1599526477294094E-2</v>
      </c>
      <c r="P31" s="362">
        <f>[9]南港工場!$L$31</f>
        <v>2370999</v>
      </c>
      <c r="Q31" s="204">
        <f t="shared" si="42"/>
        <v>9.9540758796627538E-3</v>
      </c>
      <c r="R31" s="437">
        <f>[9]南港事務!$I$31</f>
        <v>137015</v>
      </c>
      <c r="S31" s="9" t="str">
        <f t="shared" si="43"/>
        <v/>
      </c>
      <c r="T31" s="362">
        <f>[9]南港事務!$L$31</f>
        <v>1305854</v>
      </c>
      <c r="U31" s="204" t="str">
        <f t="shared" si="44"/>
        <v/>
      </c>
      <c r="V31" s="456">
        <f t="shared" si="21"/>
        <v>391188</v>
      </c>
      <c r="W31" s="171">
        <f t="shared" si="45"/>
        <v>1.7852390157883497E-2</v>
      </c>
      <c r="X31" s="426">
        <f t="shared" si="22"/>
        <v>3676853</v>
      </c>
      <c r="Y31" s="225">
        <f t="shared" si="46"/>
        <v>1.5436393587836028E-2</v>
      </c>
      <c r="Z31" s="460">
        <f t="shared" si="23"/>
        <v>1280115</v>
      </c>
      <c r="AA31" s="189">
        <f t="shared" si="47"/>
        <v>2.4320320365901612E-3</v>
      </c>
      <c r="AB31" s="564">
        <f t="shared" si="24"/>
        <v>12606476</v>
      </c>
      <c r="AC31" s="123">
        <f t="shared" si="48"/>
        <v>2.556641241206276E-3</v>
      </c>
      <c r="AD31" s="352">
        <f>[9]東京事務!$I$31</f>
        <v>334247</v>
      </c>
      <c r="AE31" s="9">
        <f t="shared" si="49"/>
        <v>1.6469703018310443E-3</v>
      </c>
      <c r="AF31" s="362">
        <f>[9]東京事務!$L$31</f>
        <v>2490380</v>
      </c>
      <c r="AG31" s="81">
        <f t="shared" si="50"/>
        <v>1.1685755034394286E-3</v>
      </c>
      <c r="AH31" s="388">
        <f>[9]東京工場!$I$31</f>
        <v>118246</v>
      </c>
      <c r="AI31" s="171">
        <f t="shared" si="25"/>
        <v>1.5099905374981962E-2</v>
      </c>
      <c r="AJ31" s="362">
        <f>[9]東京工場!$L$31</f>
        <v>1203477</v>
      </c>
      <c r="AK31" s="99">
        <f t="shared" si="36"/>
        <v>1.4051042300201568E-2</v>
      </c>
      <c r="AL31" s="547">
        <f t="shared" si="26"/>
        <v>452493</v>
      </c>
      <c r="AM31" s="314">
        <f t="shared" si="51"/>
        <v>2.1467804134080804E-3</v>
      </c>
      <c r="AN31" s="478">
        <f t="shared" si="27"/>
        <v>3693857</v>
      </c>
      <c r="AO31" s="123">
        <f t="shared" si="52"/>
        <v>1.6663202399835829E-3</v>
      </c>
      <c r="AP31" s="527">
        <f t="shared" si="28"/>
        <v>2010019</v>
      </c>
      <c r="AQ31" s="284">
        <f t="shared" si="53"/>
        <v>2.7268040642584269E-3</v>
      </c>
      <c r="AR31" s="487">
        <f t="shared" si="29"/>
        <v>19776826</v>
      </c>
      <c r="AS31" s="285">
        <f t="shared" si="54"/>
        <v>2.766899422745986E-3</v>
      </c>
      <c r="AT31" s="584">
        <f>[9]全社合計!$G$31</f>
        <v>1601855</v>
      </c>
      <c r="AU31" s="124">
        <f t="shared" si="30"/>
        <v>1.9367641800961653E-3</v>
      </c>
      <c r="AV31" s="578">
        <f>[9]全社合計!$N$31</f>
        <v>15860511</v>
      </c>
      <c r="AW31" s="125">
        <f t="shared" si="31"/>
        <v>1.9690933582862543E-3</v>
      </c>
      <c r="AX31" s="584">
        <f t="shared" si="32"/>
        <v>408164</v>
      </c>
      <c r="AY31" s="124">
        <f t="shared" si="33"/>
        <v>1.2548070830381026</v>
      </c>
      <c r="AZ31" s="578">
        <f t="shared" si="34"/>
        <v>3916315</v>
      </c>
      <c r="BA31" s="125">
        <f t="shared" si="35"/>
        <v>1.2469223721732547</v>
      </c>
      <c r="BB31" s="11"/>
    </row>
    <row r="32" spans="1:54" ht="15.95" customHeight="1">
      <c r="A32" s="37" t="s">
        <v>26</v>
      </c>
      <c r="B32" s="703">
        <f>[9]本部!$I$32</f>
        <v>467090</v>
      </c>
      <c r="C32" s="259" t="str">
        <f t="shared" si="38"/>
        <v/>
      </c>
      <c r="D32" s="728">
        <f>[9]本部!$L$32</f>
        <v>4928790</v>
      </c>
      <c r="E32" s="122" t="str">
        <f t="shared" si="39"/>
        <v/>
      </c>
      <c r="F32" s="352">
        <f>[9]本社営業!$I$32</f>
        <v>912077</v>
      </c>
      <c r="G32" s="9">
        <f t="shared" si="40"/>
        <v>1.8388450553794219E-3</v>
      </c>
      <c r="H32" s="362">
        <f>[9]本社営業!$L$32</f>
        <v>10344505</v>
      </c>
      <c r="I32" s="124">
        <f t="shared" si="19"/>
        <v>2.243469945790299E-3</v>
      </c>
      <c r="J32" s="745">
        <f>[9]東大阪!$I$32</f>
        <v>108200</v>
      </c>
      <c r="K32" s="9">
        <f t="shared" si="20"/>
        <v>1.2822299519436331E-2</v>
      </c>
      <c r="L32" s="362">
        <f>[9]東大阪!$L$32</f>
        <v>1908418</v>
      </c>
      <c r="M32" s="124">
        <f t="shared" si="37"/>
        <v>2.3347297537874283E-2</v>
      </c>
      <c r="N32" s="403">
        <f>[9]南港工場!$I$32</f>
        <v>213700</v>
      </c>
      <c r="O32" s="9">
        <f t="shared" si="41"/>
        <v>9.7524867243875147E-3</v>
      </c>
      <c r="P32" s="362">
        <f>[9]南港工場!$L$32</f>
        <v>1593742</v>
      </c>
      <c r="Q32" s="204">
        <f t="shared" si="42"/>
        <v>6.6909470651845392E-3</v>
      </c>
      <c r="R32" s="437">
        <f>[9]南港事務!$I$32</f>
        <v>153600</v>
      </c>
      <c r="S32" s="9" t="str">
        <f t="shared" si="43"/>
        <v/>
      </c>
      <c r="T32" s="362">
        <f>[9]南港事務!$L$32</f>
        <v>451484</v>
      </c>
      <c r="U32" s="204" t="str">
        <f t="shared" si="44"/>
        <v/>
      </c>
      <c r="V32" s="456">
        <f t="shared" si="21"/>
        <v>367300</v>
      </c>
      <c r="W32" s="171">
        <f t="shared" si="45"/>
        <v>1.6762229171116211E-2</v>
      </c>
      <c r="X32" s="426">
        <f t="shared" si="22"/>
        <v>2045226</v>
      </c>
      <c r="Y32" s="225">
        <f t="shared" si="46"/>
        <v>8.5863953527855284E-3</v>
      </c>
      <c r="Z32" s="460">
        <f t="shared" si="23"/>
        <v>1387577</v>
      </c>
      <c r="AA32" s="189">
        <f t="shared" si="47"/>
        <v>2.6361941835191883E-3</v>
      </c>
      <c r="AB32" s="564">
        <f t="shared" si="24"/>
        <v>14298149</v>
      </c>
      <c r="AC32" s="123">
        <f t="shared" si="48"/>
        <v>2.8997189544732621E-3</v>
      </c>
      <c r="AD32" s="352">
        <f>[9]東京事務!$I$32</f>
        <v>85750</v>
      </c>
      <c r="AE32" s="9">
        <f t="shared" si="49"/>
        <v>4.2252496920544406E-4</v>
      </c>
      <c r="AF32" s="362">
        <f>[9]東京事務!$L$32</f>
        <v>756550</v>
      </c>
      <c r="AG32" s="81">
        <f t="shared" si="50"/>
        <v>3.55000360237032E-4</v>
      </c>
      <c r="AH32" s="388">
        <f>[9]東京工場!$I$32</f>
        <v>42500</v>
      </c>
      <c r="AI32" s="171">
        <f t="shared" si="25"/>
        <v>5.4272108860911441E-3</v>
      </c>
      <c r="AJ32" s="362">
        <f>[9]東京工場!$L$32</f>
        <v>500826</v>
      </c>
      <c r="AK32" s="99">
        <f t="shared" si="36"/>
        <v>5.8473301201774118E-3</v>
      </c>
      <c r="AL32" s="547">
        <f t="shared" si="26"/>
        <v>128250</v>
      </c>
      <c r="AM32" s="314">
        <f t="shared" si="51"/>
        <v>6.0846154088480106E-4</v>
      </c>
      <c r="AN32" s="478">
        <f t="shared" si="27"/>
        <v>1257376</v>
      </c>
      <c r="AO32" s="123">
        <f t="shared" si="52"/>
        <v>5.6720958014064911E-4</v>
      </c>
      <c r="AP32" s="527">
        <f t="shared" si="28"/>
        <v>1982917</v>
      </c>
      <c r="AQ32" s="284">
        <f t="shared" si="53"/>
        <v>2.6900373253621618E-3</v>
      </c>
      <c r="AR32" s="487">
        <f t="shared" si="29"/>
        <v>20484315</v>
      </c>
      <c r="AS32" s="285">
        <f t="shared" si="54"/>
        <v>2.8658814791032161E-3</v>
      </c>
      <c r="AT32" s="584">
        <f>[9]全社合計!$G$32</f>
        <v>2088551</v>
      </c>
      <c r="AU32" s="124">
        <f t="shared" si="30"/>
        <v>2.5252165552462776E-3</v>
      </c>
      <c r="AV32" s="578">
        <f>[9]全社合計!$N$32</f>
        <v>19978390</v>
      </c>
      <c r="AW32" s="125">
        <f t="shared" si="31"/>
        <v>2.4803308706921562E-3</v>
      </c>
      <c r="AX32" s="584">
        <f t="shared" si="32"/>
        <v>-105634</v>
      </c>
      <c r="AY32" s="124">
        <f t="shared" si="33"/>
        <v>0.94942235071109105</v>
      </c>
      <c r="AZ32" s="578">
        <f t="shared" si="34"/>
        <v>505925</v>
      </c>
      <c r="BA32" s="125">
        <f t="shared" si="35"/>
        <v>1.0253236121629421</v>
      </c>
      <c r="BB32" s="11"/>
    </row>
    <row r="33" spans="1:54" ht="15.95" customHeight="1">
      <c r="A33" s="37" t="s">
        <v>27</v>
      </c>
      <c r="B33" s="703">
        <f>[9]本部!$I$33</f>
        <v>128396</v>
      </c>
      <c r="C33" s="259" t="str">
        <f t="shared" si="38"/>
        <v/>
      </c>
      <c r="D33" s="728">
        <f>[9]本部!$L$33</f>
        <v>1763606</v>
      </c>
      <c r="E33" s="122" t="str">
        <f t="shared" si="39"/>
        <v/>
      </c>
      <c r="F33" s="352">
        <f>[9]本社営業!$I$33</f>
        <v>55000</v>
      </c>
      <c r="G33" s="9">
        <f t="shared" si="40"/>
        <v>1.1088589893821268E-4</v>
      </c>
      <c r="H33" s="362">
        <f>[9]本社営業!$L$33</f>
        <v>509820</v>
      </c>
      <c r="I33" s="124">
        <f t="shared" si="19"/>
        <v>1.1056747981298383E-4</v>
      </c>
      <c r="J33" s="745">
        <f>[9]東大阪!$I$33</f>
        <v>442000</v>
      </c>
      <c r="K33" s="9">
        <f t="shared" si="20"/>
        <v>5.2379449053519947E-2</v>
      </c>
      <c r="L33" s="362">
        <f>[9]東大阪!$L$33</f>
        <v>5203000</v>
      </c>
      <c r="M33" s="124">
        <f t="shared" si="37"/>
        <v>6.3652716066165738E-2</v>
      </c>
      <c r="N33" s="403">
        <f>[9]南港工場!$I$33</f>
        <v>525000</v>
      </c>
      <c r="O33" s="9">
        <f t="shared" si="41"/>
        <v>2.395908062846722E-2</v>
      </c>
      <c r="P33" s="362">
        <f>[9]南港工場!$L$33</f>
        <v>4725000</v>
      </c>
      <c r="Q33" s="204">
        <f t="shared" si="42"/>
        <v>1.983678969556989E-2</v>
      </c>
      <c r="R33" s="437">
        <f>[9]南港事務!$I$33</f>
        <v>20000</v>
      </c>
      <c r="S33" s="9" t="str">
        <f t="shared" si="43"/>
        <v/>
      </c>
      <c r="T33" s="362">
        <f>[9]南港事務!$L$33</f>
        <v>180000</v>
      </c>
      <c r="U33" s="204" t="str">
        <f t="shared" si="44"/>
        <v/>
      </c>
      <c r="V33" s="456">
        <f t="shared" si="21"/>
        <v>545000</v>
      </c>
      <c r="W33" s="171">
        <f t="shared" si="45"/>
        <v>2.4871807509551688E-2</v>
      </c>
      <c r="X33" s="426">
        <f t="shared" si="22"/>
        <v>4905000</v>
      </c>
      <c r="Y33" s="225">
        <f t="shared" si="46"/>
        <v>2.0592476922067789E-2</v>
      </c>
      <c r="Z33" s="460">
        <f t="shared" si="23"/>
        <v>1042000</v>
      </c>
      <c r="AA33" s="189">
        <f t="shared" si="47"/>
        <v>1.9796482207668433E-3</v>
      </c>
      <c r="AB33" s="564">
        <f t="shared" si="24"/>
        <v>10617820</v>
      </c>
      <c r="AC33" s="123">
        <f t="shared" si="48"/>
        <v>2.1533342469144288E-3</v>
      </c>
      <c r="AD33" s="352">
        <f>[9]東京事務!$I$33</f>
        <v>55116</v>
      </c>
      <c r="AE33" s="9">
        <f t="shared" si="49"/>
        <v>2.7157884784521577E-4</v>
      </c>
      <c r="AF33" s="362">
        <f>[9]東京事務!$L$33</f>
        <v>1272085</v>
      </c>
      <c r="AG33" s="81">
        <f t="shared" si="50"/>
        <v>5.9690784912051396E-4</v>
      </c>
      <c r="AH33" s="388">
        <f>[9]東京工場!$I$33</f>
        <v>325000</v>
      </c>
      <c r="AI33" s="171">
        <f t="shared" si="25"/>
        <v>4.150220089363816E-2</v>
      </c>
      <c r="AJ33" s="362">
        <f>[9]東京工場!$L$33</f>
        <v>2925000</v>
      </c>
      <c r="AK33" s="99">
        <f t="shared" si="36"/>
        <v>3.4150464635460079E-2</v>
      </c>
      <c r="AL33" s="547">
        <f t="shared" si="26"/>
        <v>380116</v>
      </c>
      <c r="AM33" s="314">
        <f t="shared" si="51"/>
        <v>1.8033993534110491E-3</v>
      </c>
      <c r="AN33" s="478">
        <f t="shared" si="27"/>
        <v>4197085</v>
      </c>
      <c r="AO33" s="123">
        <f t="shared" si="52"/>
        <v>1.8933292990041294E-3</v>
      </c>
      <c r="AP33" s="527">
        <f t="shared" si="28"/>
        <v>1550512</v>
      </c>
      <c r="AQ33" s="284">
        <f t="shared" si="53"/>
        <v>2.1034340587235555E-3</v>
      </c>
      <c r="AR33" s="487">
        <f t="shared" si="29"/>
        <v>16578511</v>
      </c>
      <c r="AS33" s="285">
        <f t="shared" si="54"/>
        <v>2.3194355108290873E-3</v>
      </c>
      <c r="AT33" s="584">
        <f>[9]全社合計!$G$33</f>
        <v>1517044</v>
      </c>
      <c r="AU33" s="124">
        <f t="shared" si="30"/>
        <v>1.8342212490080605E-3</v>
      </c>
      <c r="AV33" s="578">
        <f>[9]全社合計!$N$33</f>
        <v>16446790</v>
      </c>
      <c r="AW33" s="125">
        <f t="shared" si="31"/>
        <v>2.0418802997033817E-3</v>
      </c>
      <c r="AX33" s="584">
        <f t="shared" si="32"/>
        <v>33468</v>
      </c>
      <c r="AY33" s="124">
        <f t="shared" si="33"/>
        <v>1.0220613245232175</v>
      </c>
      <c r="AZ33" s="578">
        <f t="shared" si="34"/>
        <v>131721</v>
      </c>
      <c r="BA33" s="125">
        <f t="shared" si="35"/>
        <v>1.0080089184576444</v>
      </c>
      <c r="BB33" s="11"/>
    </row>
    <row r="34" spans="1:54" ht="15.95" customHeight="1">
      <c r="A34" s="37" t="s">
        <v>28</v>
      </c>
      <c r="B34" s="703">
        <f>[9]本部!$I$34</f>
        <v>106910</v>
      </c>
      <c r="C34" s="259" t="str">
        <f t="shared" si="38"/>
        <v/>
      </c>
      <c r="D34" s="728">
        <f>[9]本部!$L$34</f>
        <v>1357826</v>
      </c>
      <c r="E34" s="122" t="str">
        <f t="shared" si="39"/>
        <v/>
      </c>
      <c r="F34" s="352">
        <f>[9]本社営業!$I$34</f>
        <v>343231</v>
      </c>
      <c r="G34" s="9">
        <f t="shared" si="40"/>
        <v>6.9199050869930324E-4</v>
      </c>
      <c r="H34" s="362">
        <f>[9]本社営業!$L$34</f>
        <v>4368970</v>
      </c>
      <c r="I34" s="124">
        <f t="shared" si="19"/>
        <v>9.4752265952401235E-4</v>
      </c>
      <c r="J34" s="745">
        <f>[9]東大阪!$I$34</f>
        <v>0</v>
      </c>
      <c r="K34" s="9">
        <f t="shared" si="20"/>
        <v>0</v>
      </c>
      <c r="L34" s="362">
        <f>[9]東大阪!$L$34</f>
        <v>0</v>
      </c>
      <c r="M34" s="124">
        <f t="shared" si="37"/>
        <v>0</v>
      </c>
      <c r="N34" s="403">
        <f>[9]南港工場!$I$34</f>
        <v>0</v>
      </c>
      <c r="O34" s="9">
        <f t="shared" si="41"/>
        <v>0</v>
      </c>
      <c r="P34" s="362">
        <f>[9]南港工場!$L$34</f>
        <v>0</v>
      </c>
      <c r="Q34" s="204">
        <f t="shared" si="42"/>
        <v>0</v>
      </c>
      <c r="R34" s="437">
        <f>[9]南港事務!$I$34</f>
        <v>0</v>
      </c>
      <c r="S34" s="9" t="str">
        <f t="shared" si="43"/>
        <v/>
      </c>
      <c r="T34" s="362">
        <f>[9]南港事務!$L$34</f>
        <v>97718</v>
      </c>
      <c r="U34" s="204" t="str">
        <f t="shared" si="44"/>
        <v/>
      </c>
      <c r="V34" s="456">
        <f t="shared" si="21"/>
        <v>0</v>
      </c>
      <c r="W34" s="171">
        <f t="shared" si="45"/>
        <v>0</v>
      </c>
      <c r="X34" s="426">
        <f t="shared" si="22"/>
        <v>97718</v>
      </c>
      <c r="Y34" s="225">
        <f t="shared" si="46"/>
        <v>4.1024580221623246E-4</v>
      </c>
      <c r="Z34" s="460">
        <f t="shared" si="23"/>
        <v>343231</v>
      </c>
      <c r="AA34" s="189">
        <f t="shared" si="47"/>
        <v>6.520889044741117E-4</v>
      </c>
      <c r="AB34" s="564">
        <f t="shared" si="24"/>
        <v>4466688</v>
      </c>
      <c r="AC34" s="123">
        <f t="shared" si="48"/>
        <v>9.0586130115991005E-4</v>
      </c>
      <c r="AD34" s="352">
        <f>[9]東京事務!$I$34</f>
        <v>75860</v>
      </c>
      <c r="AE34" s="9">
        <f t="shared" si="49"/>
        <v>3.7379293485626804E-4</v>
      </c>
      <c r="AF34" s="362">
        <f>[9]東京事務!$L$34</f>
        <v>2812432</v>
      </c>
      <c r="AG34" s="81">
        <f t="shared" si="50"/>
        <v>1.3196938380043042E-3</v>
      </c>
      <c r="AH34" s="388">
        <f>[9]東京工場!$I$34</f>
        <v>0</v>
      </c>
      <c r="AI34" s="171">
        <f t="shared" si="25"/>
        <v>0</v>
      </c>
      <c r="AJ34" s="362">
        <f>[9]東京工場!$L$34</f>
        <v>0</v>
      </c>
      <c r="AK34" s="99">
        <f t="shared" si="36"/>
        <v>0</v>
      </c>
      <c r="AL34" s="547">
        <f t="shared" si="26"/>
        <v>75860</v>
      </c>
      <c r="AM34" s="314">
        <f t="shared" si="51"/>
        <v>3.5990559447579736E-4</v>
      </c>
      <c r="AN34" s="478">
        <f t="shared" si="27"/>
        <v>2812432</v>
      </c>
      <c r="AO34" s="123">
        <f t="shared" si="52"/>
        <v>1.2687043286130212E-3</v>
      </c>
      <c r="AP34" s="527">
        <f t="shared" si="28"/>
        <v>526001</v>
      </c>
      <c r="AQ34" s="284">
        <f t="shared" si="53"/>
        <v>7.1357617246602979E-4</v>
      </c>
      <c r="AR34" s="487">
        <f t="shared" si="29"/>
        <v>8636946</v>
      </c>
      <c r="AS34" s="285">
        <f t="shared" si="54"/>
        <v>1.2083617918106904E-3</v>
      </c>
      <c r="AT34" s="584">
        <f>[9]全社合計!$G$34</f>
        <v>871097</v>
      </c>
      <c r="AU34" s="124">
        <f t="shared" si="30"/>
        <v>1.0532223372210527E-3</v>
      </c>
      <c r="AV34" s="578">
        <f>[9]全社合計!$N$34</f>
        <v>10592505</v>
      </c>
      <c r="AW34" s="125">
        <f t="shared" si="31"/>
        <v>1.3150667871365521E-3</v>
      </c>
      <c r="AX34" s="584">
        <f t="shared" si="32"/>
        <v>-345096</v>
      </c>
      <c r="AY34" s="124">
        <f t="shared" si="33"/>
        <v>0.60383746012212192</v>
      </c>
      <c r="AZ34" s="578">
        <f t="shared" si="34"/>
        <v>-1955559</v>
      </c>
      <c r="BA34" s="125">
        <f t="shared" si="35"/>
        <v>0.81538276356725814</v>
      </c>
      <c r="BB34" s="11"/>
    </row>
    <row r="35" spans="1:54" ht="15.95" customHeight="1">
      <c r="A35" s="37" t="s">
        <v>29</v>
      </c>
      <c r="B35" s="703">
        <f>[9]本部!$I$35</f>
        <v>397690</v>
      </c>
      <c r="C35" s="259" t="str">
        <f t="shared" si="38"/>
        <v/>
      </c>
      <c r="D35" s="728">
        <f>[9]本部!$L$35</f>
        <v>13777398</v>
      </c>
      <c r="E35" s="122" t="str">
        <f t="shared" si="39"/>
        <v/>
      </c>
      <c r="F35" s="352">
        <f>[9]本社営業!$I$35</f>
        <v>0</v>
      </c>
      <c r="G35" s="9">
        <f t="shared" si="40"/>
        <v>0</v>
      </c>
      <c r="H35" s="362">
        <f>[9]本社営業!$L$35</f>
        <v>738432</v>
      </c>
      <c r="I35" s="124">
        <f t="shared" si="19"/>
        <v>1.6014782718069373E-4</v>
      </c>
      <c r="J35" s="745">
        <f>[9]東大阪!$I$35</f>
        <v>0</v>
      </c>
      <c r="K35" s="9">
        <f t="shared" si="20"/>
        <v>0</v>
      </c>
      <c r="L35" s="362">
        <f>[9]東大阪!$L$35</f>
        <v>60158</v>
      </c>
      <c r="M35" s="124">
        <f t="shared" si="37"/>
        <v>7.3596388489494504E-4</v>
      </c>
      <c r="N35" s="403">
        <f>[9]南港工場!$I$35</f>
        <v>0</v>
      </c>
      <c r="O35" s="9">
        <f t="shared" si="41"/>
        <v>0</v>
      </c>
      <c r="P35" s="362">
        <f>[9]南港工場!$L$35</f>
        <v>55439</v>
      </c>
      <c r="Q35" s="204">
        <f t="shared" si="42"/>
        <v>2.3274746749898394E-4</v>
      </c>
      <c r="R35" s="437">
        <f>[9]南港事務!$I$35</f>
        <v>0</v>
      </c>
      <c r="S35" s="9" t="str">
        <f t="shared" si="43"/>
        <v/>
      </c>
      <c r="T35" s="362">
        <f>[9]南港事務!$L$35</f>
        <v>42516</v>
      </c>
      <c r="U35" s="204" t="str">
        <f t="shared" si="44"/>
        <v/>
      </c>
      <c r="V35" s="456">
        <f t="shared" si="21"/>
        <v>0</v>
      </c>
      <c r="W35" s="171">
        <f t="shared" si="45"/>
        <v>0</v>
      </c>
      <c r="X35" s="426">
        <f t="shared" si="22"/>
        <v>97955</v>
      </c>
      <c r="Y35" s="225">
        <f t="shared" si="46"/>
        <v>4.1124079039778807E-4</v>
      </c>
      <c r="Z35" s="460">
        <f t="shared" si="23"/>
        <v>0</v>
      </c>
      <c r="AA35" s="189">
        <f t="shared" si="47"/>
        <v>0</v>
      </c>
      <c r="AB35" s="564">
        <f t="shared" si="24"/>
        <v>896545</v>
      </c>
      <c r="AC35" s="123">
        <f t="shared" si="48"/>
        <v>1.8182273314106817E-4</v>
      </c>
      <c r="AD35" s="352">
        <f>[9]東京事務!$I$35</f>
        <v>6372</v>
      </c>
      <c r="AE35" s="9">
        <f t="shared" si="49"/>
        <v>3.1397423950753231E-5</v>
      </c>
      <c r="AF35" s="362">
        <f>[9]東京事務!$L$35</f>
        <v>238874</v>
      </c>
      <c r="AG35" s="81">
        <f t="shared" si="50"/>
        <v>1.1208823746118667E-4</v>
      </c>
      <c r="AH35" s="388">
        <f>[9]東京工場!$I$35</f>
        <v>0</v>
      </c>
      <c r="AI35" s="171">
        <f t="shared" si="25"/>
        <v>0</v>
      </c>
      <c r="AJ35" s="362">
        <f>[9]東京工場!$L$35</f>
        <v>41853</v>
      </c>
      <c r="AK35" s="99">
        <f t="shared" si="36"/>
        <v>4.8864936628646521E-4</v>
      </c>
      <c r="AL35" s="547">
        <f t="shared" si="26"/>
        <v>6372</v>
      </c>
      <c r="AM35" s="314">
        <f t="shared" si="51"/>
        <v>3.0230931294486959E-5</v>
      </c>
      <c r="AN35" s="478">
        <f t="shared" si="27"/>
        <v>280727</v>
      </c>
      <c r="AO35" s="123">
        <f t="shared" si="52"/>
        <v>1.2663757205811466E-4</v>
      </c>
      <c r="AP35" s="527">
        <f t="shared" si="28"/>
        <v>404062</v>
      </c>
      <c r="AQ35" s="284">
        <f t="shared" si="53"/>
        <v>5.4815297955511291E-4</v>
      </c>
      <c r="AR35" s="487">
        <f t="shared" si="29"/>
        <v>14954670</v>
      </c>
      <c r="AS35" s="285">
        <f t="shared" si="54"/>
        <v>2.0922501816194729E-3</v>
      </c>
      <c r="AT35" s="584">
        <f>[9]全社合計!$G$35</f>
        <v>1635850</v>
      </c>
      <c r="AU35" s="124">
        <f t="shared" si="30"/>
        <v>1.9778667132857291E-3</v>
      </c>
      <c r="AV35" s="578">
        <f>[9]全社合計!$N$35</f>
        <v>15488493</v>
      </c>
      <c r="AW35" s="125">
        <f t="shared" si="31"/>
        <v>1.9229070675064091E-3</v>
      </c>
      <c r="AX35" s="584">
        <f t="shared" si="32"/>
        <v>-1231788</v>
      </c>
      <c r="AY35" s="124">
        <f t="shared" si="33"/>
        <v>0.24700430968609591</v>
      </c>
      <c r="AZ35" s="578">
        <f t="shared" si="34"/>
        <v>-533823</v>
      </c>
      <c r="BA35" s="125">
        <f t="shared" si="35"/>
        <v>0.96553421950089013</v>
      </c>
      <c r="BB35" s="11"/>
    </row>
    <row r="36" spans="1:54" ht="15.95" customHeight="1">
      <c r="A36" s="37" t="s">
        <v>30</v>
      </c>
      <c r="B36" s="703">
        <f>[9]本部!$I$36</f>
        <v>55976</v>
      </c>
      <c r="C36" s="259" t="str">
        <f t="shared" si="38"/>
        <v/>
      </c>
      <c r="D36" s="728">
        <f>[9]本部!$L$36</f>
        <v>538357</v>
      </c>
      <c r="E36" s="122" t="str">
        <f t="shared" si="39"/>
        <v/>
      </c>
      <c r="F36" s="352">
        <f>[9]本社営業!$I$36</f>
        <v>74428</v>
      </c>
      <c r="G36" s="9">
        <f t="shared" si="40"/>
        <v>1.5005483065769624E-4</v>
      </c>
      <c r="H36" s="362">
        <f>[9]本社営業!$L$36</f>
        <v>718110</v>
      </c>
      <c r="I36" s="124">
        <f t="shared" si="19"/>
        <v>1.5574048277529681E-4</v>
      </c>
      <c r="J36" s="745">
        <f>[9]東大阪!$I$36</f>
        <v>24957</v>
      </c>
      <c r="K36" s="9">
        <f t="shared" si="20"/>
        <v>2.9575427828703559E-3</v>
      </c>
      <c r="L36" s="362">
        <f>[9]東大阪!$L$36</f>
        <v>224635</v>
      </c>
      <c r="M36" s="124">
        <f t="shared" si="37"/>
        <v>2.7481506579902252E-3</v>
      </c>
      <c r="N36" s="403">
        <f>[9]南港工場!$I$36</f>
        <v>9896</v>
      </c>
      <c r="O36" s="9">
        <f t="shared" si="41"/>
        <v>4.5161726076059359E-4</v>
      </c>
      <c r="P36" s="362">
        <f>[9]南港工場!$L$36</f>
        <v>89040</v>
      </c>
      <c r="Q36" s="204">
        <f t="shared" si="42"/>
        <v>3.7381328137429482E-4</v>
      </c>
      <c r="R36" s="437">
        <f>[9]南港事務!$I$36</f>
        <v>31196</v>
      </c>
      <c r="S36" s="9" t="str">
        <f t="shared" si="43"/>
        <v/>
      </c>
      <c r="T36" s="362">
        <f>[9]南港事務!$L$36</f>
        <v>293781</v>
      </c>
      <c r="U36" s="204" t="str">
        <f t="shared" si="44"/>
        <v/>
      </c>
      <c r="V36" s="456">
        <f t="shared" si="21"/>
        <v>41092</v>
      </c>
      <c r="W36" s="171">
        <f t="shared" si="45"/>
        <v>1.875288649876143E-3</v>
      </c>
      <c r="X36" s="426">
        <f t="shared" si="22"/>
        <v>382821</v>
      </c>
      <c r="Y36" s="225">
        <f t="shared" si="46"/>
        <v>1.6071829985286265E-3</v>
      </c>
      <c r="Z36" s="460">
        <f t="shared" si="23"/>
        <v>140477</v>
      </c>
      <c r="AA36" s="189">
        <f t="shared" si="47"/>
        <v>2.6688583791618415E-4</v>
      </c>
      <c r="AB36" s="564">
        <f t="shared" si="24"/>
        <v>1325566</v>
      </c>
      <c r="AC36" s="123">
        <f t="shared" si="48"/>
        <v>2.688298223501031E-4</v>
      </c>
      <c r="AD36" s="352">
        <f>[9]東京事務!$I$36</f>
        <v>27548</v>
      </c>
      <c r="AE36" s="9">
        <f t="shared" si="49"/>
        <v>1.3574014987372096E-4</v>
      </c>
      <c r="AF36" s="362">
        <f>[9]東京事務!$L$36</f>
        <v>281774</v>
      </c>
      <c r="AG36" s="81">
        <f t="shared" si="50"/>
        <v>1.3221845417411864E-4</v>
      </c>
      <c r="AH36" s="388">
        <f>[9]東京工場!$I$36</f>
        <v>3003</v>
      </c>
      <c r="AI36" s="171">
        <f t="shared" si="25"/>
        <v>3.8348033625721658E-4</v>
      </c>
      <c r="AJ36" s="362">
        <f>[9]東京工場!$L$36</f>
        <v>27033</v>
      </c>
      <c r="AK36" s="99">
        <f t="shared" si="36"/>
        <v>3.156203454668008E-4</v>
      </c>
      <c r="AL36" s="547">
        <f t="shared" si="26"/>
        <v>30551</v>
      </c>
      <c r="AM36" s="314">
        <f t="shared" si="51"/>
        <v>1.4494431606683477E-4</v>
      </c>
      <c r="AN36" s="478">
        <f t="shared" si="27"/>
        <v>308807</v>
      </c>
      <c r="AO36" s="123">
        <f t="shared" si="52"/>
        <v>1.393046223361138E-4</v>
      </c>
      <c r="AP36" s="527">
        <f t="shared" si="28"/>
        <v>227004</v>
      </c>
      <c r="AQ36" s="284">
        <f t="shared" si="53"/>
        <v>3.0795501425753683E-4</v>
      </c>
      <c r="AR36" s="487">
        <f t="shared" si="29"/>
        <v>2172730</v>
      </c>
      <c r="AS36" s="285">
        <f t="shared" si="54"/>
        <v>3.0397827147707552E-4</v>
      </c>
      <c r="AT36" s="584">
        <f>[9]全社合計!$G$36</f>
        <v>248988</v>
      </c>
      <c r="AU36" s="124">
        <f t="shared" si="30"/>
        <v>3.010453753141102E-4</v>
      </c>
      <c r="AV36" s="578">
        <f>[9]全社合計!$N$36</f>
        <v>2370932</v>
      </c>
      <c r="AW36" s="125">
        <f t="shared" si="31"/>
        <v>2.9435283983904087E-4</v>
      </c>
      <c r="AX36" s="584">
        <f t="shared" si="32"/>
        <v>-21984</v>
      </c>
      <c r="AY36" s="124">
        <f t="shared" si="33"/>
        <v>0.91170658826931417</v>
      </c>
      <c r="AZ36" s="578">
        <f t="shared" si="34"/>
        <v>-198202</v>
      </c>
      <c r="BA36" s="125">
        <f t="shared" si="35"/>
        <v>0.91640333843399979</v>
      </c>
      <c r="BB36" s="11"/>
    </row>
    <row r="37" spans="1:54" ht="15.95" customHeight="1">
      <c r="A37" s="37" t="s">
        <v>31</v>
      </c>
      <c r="B37" s="703">
        <f>[9]本部!$I$37</f>
        <v>0</v>
      </c>
      <c r="C37" s="259" t="str">
        <f t="shared" si="38"/>
        <v/>
      </c>
      <c r="D37" s="728">
        <f>[9]本部!$L$37</f>
        <v>0</v>
      </c>
      <c r="E37" s="122" t="str">
        <f t="shared" si="39"/>
        <v/>
      </c>
      <c r="F37" s="352">
        <f>[9]本社営業!$I$37</f>
        <v>316746</v>
      </c>
      <c r="G37" s="9">
        <f t="shared" si="40"/>
        <v>6.3859390809242029E-4</v>
      </c>
      <c r="H37" s="362">
        <f>[9]本社営業!$L$37</f>
        <v>1974835</v>
      </c>
      <c r="I37" s="124">
        <f t="shared" si="19"/>
        <v>4.282933760866069E-4</v>
      </c>
      <c r="J37" s="745">
        <f>[9]東大阪!$I$37</f>
        <v>11497</v>
      </c>
      <c r="K37" s="9">
        <f t="shared" si="20"/>
        <v>1.362458203095744E-3</v>
      </c>
      <c r="L37" s="362">
        <f>[9]東大阪!$L$37</f>
        <v>125106</v>
      </c>
      <c r="M37" s="124">
        <f t="shared" si="37"/>
        <v>1.5305279062413476E-3</v>
      </c>
      <c r="N37" s="403">
        <f>[9]南港工場!$I$37</f>
        <v>12980</v>
      </c>
      <c r="O37" s="9">
        <f t="shared" si="41"/>
        <v>5.9235974582381816E-4</v>
      </c>
      <c r="P37" s="362">
        <f>[9]南港工場!$L$37</f>
        <v>37871</v>
      </c>
      <c r="Q37" s="204">
        <f t="shared" si="42"/>
        <v>1.5899239419278884E-4</v>
      </c>
      <c r="R37" s="437">
        <f>[9]南港事務!$I$37</f>
        <v>0</v>
      </c>
      <c r="S37" s="9" t="str">
        <f t="shared" si="43"/>
        <v/>
      </c>
      <c r="T37" s="362">
        <f>[9]南港事務!$L$37</f>
        <v>0</v>
      </c>
      <c r="U37" s="204" t="str">
        <f t="shared" si="44"/>
        <v/>
      </c>
      <c r="V37" s="456">
        <f t="shared" si="21"/>
        <v>12980</v>
      </c>
      <c r="W37" s="171">
        <f t="shared" si="45"/>
        <v>5.9235974582381816E-4</v>
      </c>
      <c r="X37" s="426">
        <f t="shared" si="22"/>
        <v>37871</v>
      </c>
      <c r="Y37" s="225">
        <f t="shared" si="46"/>
        <v>1.5899239419278884E-4</v>
      </c>
      <c r="Z37" s="460">
        <f t="shared" si="23"/>
        <v>341223</v>
      </c>
      <c r="AA37" s="189">
        <f t="shared" si="47"/>
        <v>6.4827399696230773E-4</v>
      </c>
      <c r="AB37" s="564">
        <f t="shared" si="24"/>
        <v>2137812</v>
      </c>
      <c r="AC37" s="123">
        <f t="shared" si="48"/>
        <v>4.3355639792957772E-4</v>
      </c>
      <c r="AD37" s="352">
        <f>[9]東京事務!$I$37</f>
        <v>0</v>
      </c>
      <c r="AE37" s="9">
        <f t="shared" si="49"/>
        <v>0</v>
      </c>
      <c r="AF37" s="362">
        <f>[9]東京事務!$L$37</f>
        <v>0</v>
      </c>
      <c r="AG37" s="81">
        <f t="shared" si="50"/>
        <v>0</v>
      </c>
      <c r="AH37" s="388">
        <f>[9]東京工場!$I$37</f>
        <v>60996</v>
      </c>
      <c r="AI37" s="171">
        <f t="shared" si="25"/>
        <v>7.7891330637180102E-3</v>
      </c>
      <c r="AJ37" s="362">
        <f>[9]東京工場!$L$37</f>
        <v>308763</v>
      </c>
      <c r="AK37" s="99">
        <f t="shared" si="36"/>
        <v>3.6049230469191659E-3</v>
      </c>
      <c r="AL37" s="547">
        <f t="shared" si="26"/>
        <v>60996</v>
      </c>
      <c r="AM37" s="314">
        <f t="shared" si="51"/>
        <v>2.8938573214666141E-4</v>
      </c>
      <c r="AN37" s="478">
        <f t="shared" si="27"/>
        <v>308763</v>
      </c>
      <c r="AO37" s="123">
        <f t="shared" si="52"/>
        <v>1.3928477368183202E-4</v>
      </c>
      <c r="AP37" s="527">
        <f t="shared" si="28"/>
        <v>402219</v>
      </c>
      <c r="AQ37" s="284">
        <f t="shared" si="53"/>
        <v>5.4565275448737556E-4</v>
      </c>
      <c r="AR37" s="487">
        <f t="shared" si="29"/>
        <v>2446575</v>
      </c>
      <c r="AS37" s="285">
        <f t="shared" si="54"/>
        <v>3.4229086887879582E-4</v>
      </c>
      <c r="AT37" s="584">
        <f>[9]全社合計!$G$37</f>
        <v>141058</v>
      </c>
      <c r="AU37" s="124">
        <f t="shared" si="30"/>
        <v>1.7054981987508537E-4</v>
      </c>
      <c r="AV37" s="578">
        <f>[9]全社合計!$N$37</f>
        <v>3565394</v>
      </c>
      <c r="AW37" s="125">
        <f t="shared" si="31"/>
        <v>4.4264611935098823E-4</v>
      </c>
      <c r="AX37" s="584">
        <f t="shared" si="32"/>
        <v>261161</v>
      </c>
      <c r="AY37" s="124">
        <f t="shared" si="33"/>
        <v>2.851444086829531</v>
      </c>
      <c r="AZ37" s="578">
        <f t="shared" si="34"/>
        <v>-1118819</v>
      </c>
      <c r="BA37" s="125">
        <f t="shared" si="35"/>
        <v>0.68620045919188732</v>
      </c>
      <c r="BB37" s="11"/>
    </row>
    <row r="38" spans="1:54" ht="15.95" customHeight="1">
      <c r="A38" s="37" t="s">
        <v>32</v>
      </c>
      <c r="B38" s="703">
        <f>[9]本部!$I$38</f>
        <v>0</v>
      </c>
      <c r="C38" s="259" t="str">
        <f t="shared" si="38"/>
        <v/>
      </c>
      <c r="D38" s="728">
        <f>[9]本部!$L$38</f>
        <v>33096</v>
      </c>
      <c r="E38" s="122" t="str">
        <f t="shared" si="39"/>
        <v/>
      </c>
      <c r="F38" s="352">
        <f>[9]本社営業!$I$38</f>
        <v>101139</v>
      </c>
      <c r="G38" s="9">
        <f t="shared" si="40"/>
        <v>2.0390707150385259E-4</v>
      </c>
      <c r="H38" s="362">
        <f>[9]本社営業!$L$38</f>
        <v>1378299</v>
      </c>
      <c r="I38" s="124">
        <f>IF(ISERR(H38/$H$11),"",H38/$H$11)</f>
        <v>2.9891931830598213E-4</v>
      </c>
      <c r="J38" s="745">
        <f>[9]東大阪!$I$38</f>
        <v>0</v>
      </c>
      <c r="K38" s="9">
        <f t="shared" si="20"/>
        <v>0</v>
      </c>
      <c r="L38" s="362">
        <f>[9]東大阪!$L$38</f>
        <v>5086</v>
      </c>
      <c r="M38" s="124">
        <f t="shared" si="37"/>
        <v>6.2221355739480868E-5</v>
      </c>
      <c r="N38" s="403">
        <f>[9]南港工場!$I$38</f>
        <v>0</v>
      </c>
      <c r="O38" s="9">
        <f t="shared" si="41"/>
        <v>0</v>
      </c>
      <c r="P38" s="362">
        <f>[9]南港工場!$L$38</f>
        <v>4566</v>
      </c>
      <c r="Q38" s="204">
        <f t="shared" si="42"/>
        <v>1.9169265978830078E-5</v>
      </c>
      <c r="R38" s="437">
        <f>[9]南港事務!$I$38</f>
        <v>9112</v>
      </c>
      <c r="S38" s="9" t="str">
        <f t="shared" si="43"/>
        <v/>
      </c>
      <c r="T38" s="362">
        <f>[9]南港事務!$L$38</f>
        <v>84107</v>
      </c>
      <c r="U38" s="204" t="str">
        <f t="shared" si="44"/>
        <v/>
      </c>
      <c r="V38" s="456">
        <f t="shared" si="21"/>
        <v>9112</v>
      </c>
      <c r="W38" s="171">
        <f t="shared" si="45"/>
        <v>4.1583836702208251E-4</v>
      </c>
      <c r="X38" s="426">
        <f t="shared" si="22"/>
        <v>88673</v>
      </c>
      <c r="Y38" s="225">
        <f t="shared" si="46"/>
        <v>3.7227251908471297E-4</v>
      </c>
      <c r="Z38" s="460">
        <f t="shared" si="23"/>
        <v>110251</v>
      </c>
      <c r="AA38" s="189">
        <f t="shared" si="47"/>
        <v>2.0946084067923729E-4</v>
      </c>
      <c r="AB38" s="564">
        <f t="shared" si="24"/>
        <v>1472058</v>
      </c>
      <c r="AC38" s="123">
        <f t="shared" si="48"/>
        <v>2.9853895666383121E-4</v>
      </c>
      <c r="AD38" s="352">
        <f>[9]東京事務!$I$38</f>
        <v>67830</v>
      </c>
      <c r="AE38" s="9">
        <f t="shared" si="49"/>
        <v>3.3422587360006144E-4</v>
      </c>
      <c r="AF38" s="362">
        <f>[9]東京事務!$L$38</f>
        <v>469809</v>
      </c>
      <c r="AG38" s="81">
        <f t="shared" si="50"/>
        <v>2.2045121174092892E-4</v>
      </c>
      <c r="AH38" s="388">
        <f>[9]東京工場!$I$38</f>
        <v>126173</v>
      </c>
      <c r="AI38" s="171">
        <f t="shared" si="25"/>
        <v>1.6112175979547717E-2</v>
      </c>
      <c r="AJ38" s="362">
        <f>[9]東京工場!$L$38</f>
        <v>309288</v>
      </c>
      <c r="AK38" s="99">
        <f t="shared" si="36"/>
        <v>3.6110526174947611E-3</v>
      </c>
      <c r="AL38" s="547">
        <f t="shared" si="26"/>
        <v>194003</v>
      </c>
      <c r="AM38" s="314">
        <f t="shared" si="51"/>
        <v>9.2041609603332611E-4</v>
      </c>
      <c r="AN38" s="478">
        <f t="shared" si="27"/>
        <v>779097</v>
      </c>
      <c r="AO38" s="123">
        <f t="shared" si="52"/>
        <v>3.5145515920364259E-4</v>
      </c>
      <c r="AP38" s="527">
        <f t="shared" si="28"/>
        <v>304254</v>
      </c>
      <c r="AQ38" s="284">
        <f t="shared" si="53"/>
        <v>4.1275283654875074E-4</v>
      </c>
      <c r="AR38" s="487">
        <f t="shared" si="29"/>
        <v>2284251</v>
      </c>
      <c r="AS38" s="285">
        <f t="shared" si="54"/>
        <v>3.1958074431695667E-4</v>
      </c>
      <c r="AT38" s="584">
        <f>[9]全社合計!$G$38</f>
        <v>278252</v>
      </c>
      <c r="AU38" s="124">
        <f t="shared" si="30"/>
        <v>3.3642777070341459E-4</v>
      </c>
      <c r="AV38" s="578">
        <f>[9]全社合計!$N$38</f>
        <v>2768682</v>
      </c>
      <c r="AW38" s="125">
        <f t="shared" si="31"/>
        <v>3.4373377613159523E-4</v>
      </c>
      <c r="AX38" s="584">
        <f t="shared" si="32"/>
        <v>26002</v>
      </c>
      <c r="AY38" s="124">
        <f t="shared" si="33"/>
        <v>1.0934476661443584</v>
      </c>
      <c r="AZ38" s="578">
        <f t="shared" si="34"/>
        <v>-484431</v>
      </c>
      <c r="BA38" s="125">
        <f t="shared" si="35"/>
        <v>0.82503191049026214</v>
      </c>
      <c r="BB38" s="11"/>
    </row>
    <row r="39" spans="1:54" ht="15.95" customHeight="1">
      <c r="A39" s="37" t="s">
        <v>56</v>
      </c>
      <c r="B39" s="703">
        <f>[9]本部!$I$39</f>
        <v>36000</v>
      </c>
      <c r="C39" s="259" t="str">
        <f t="shared" si="38"/>
        <v/>
      </c>
      <c r="D39" s="728">
        <f>[9]本部!$L$39</f>
        <v>249764</v>
      </c>
      <c r="E39" s="122" t="str">
        <f t="shared" si="39"/>
        <v/>
      </c>
      <c r="F39" s="352">
        <f>[9]本社営業!$I$39</f>
        <v>0</v>
      </c>
      <c r="G39" s="9">
        <f t="shared" si="40"/>
        <v>0</v>
      </c>
      <c r="H39" s="362">
        <f>[9]本社営業!$L$39</f>
        <v>137014</v>
      </c>
      <c r="I39" s="124">
        <f t="shared" si="19"/>
        <v>2.9714983090298865E-5</v>
      </c>
      <c r="J39" s="745">
        <f>[9]東大阪!$I$39</f>
        <v>0</v>
      </c>
      <c r="K39" s="9">
        <f t="shared" si="20"/>
        <v>0</v>
      </c>
      <c r="L39" s="362">
        <f>[9]東大阪!$L$39</f>
        <v>0</v>
      </c>
      <c r="M39" s="124">
        <f t="shared" si="37"/>
        <v>0</v>
      </c>
      <c r="N39" s="403">
        <f>[9]南港工場!$I$39</f>
        <v>0</v>
      </c>
      <c r="O39" s="9">
        <f t="shared" si="41"/>
        <v>0</v>
      </c>
      <c r="P39" s="362">
        <f>[9]南港工場!$L$39</f>
        <v>0</v>
      </c>
      <c r="Q39" s="204">
        <f t="shared" si="42"/>
        <v>0</v>
      </c>
      <c r="R39" s="437">
        <f>[9]南港事務!$I$39</f>
        <v>0</v>
      </c>
      <c r="S39" s="9" t="str">
        <f t="shared" si="43"/>
        <v/>
      </c>
      <c r="T39" s="362">
        <f>[9]南港事務!$L$39</f>
        <v>0</v>
      </c>
      <c r="U39" s="204" t="str">
        <f t="shared" si="44"/>
        <v/>
      </c>
      <c r="V39" s="456">
        <f t="shared" si="21"/>
        <v>0</v>
      </c>
      <c r="W39" s="171">
        <f t="shared" si="45"/>
        <v>0</v>
      </c>
      <c r="X39" s="426">
        <f t="shared" si="22"/>
        <v>0</v>
      </c>
      <c r="Y39" s="225">
        <f t="shared" si="46"/>
        <v>0</v>
      </c>
      <c r="Z39" s="460">
        <f t="shared" si="23"/>
        <v>0</v>
      </c>
      <c r="AA39" s="189">
        <f t="shared" si="47"/>
        <v>0</v>
      </c>
      <c r="AB39" s="564">
        <f t="shared" si="24"/>
        <v>137014</v>
      </c>
      <c r="AC39" s="123">
        <f t="shared" si="48"/>
        <v>2.7786959894473021E-5</v>
      </c>
      <c r="AD39" s="352">
        <f>[9]東京事務!$I$39</f>
        <v>0</v>
      </c>
      <c r="AE39" s="9">
        <f t="shared" si="49"/>
        <v>0</v>
      </c>
      <c r="AF39" s="362">
        <f>[9]東京事務!$L$39</f>
        <v>142408</v>
      </c>
      <c r="AG39" s="81">
        <f t="shared" si="50"/>
        <v>6.6822934770517818E-5</v>
      </c>
      <c r="AH39" s="388">
        <f>[9]東京工場!$I$39</f>
        <v>0</v>
      </c>
      <c r="AI39" s="171">
        <f t="shared" si="25"/>
        <v>0</v>
      </c>
      <c r="AJ39" s="362">
        <f>[9]東京工場!$L$39</f>
        <v>0</v>
      </c>
      <c r="AK39" s="99">
        <f t="shared" si="36"/>
        <v>0</v>
      </c>
      <c r="AL39" s="547">
        <f t="shared" si="26"/>
        <v>0</v>
      </c>
      <c r="AM39" s="314">
        <f t="shared" si="51"/>
        <v>0</v>
      </c>
      <c r="AN39" s="478">
        <f t="shared" si="27"/>
        <v>142408</v>
      </c>
      <c r="AO39" s="123">
        <f t="shared" si="52"/>
        <v>6.4241071794490719E-5</v>
      </c>
      <c r="AP39" s="527">
        <f t="shared" si="28"/>
        <v>36000</v>
      </c>
      <c r="AQ39" s="284">
        <f t="shared" si="53"/>
        <v>4.8837820096876381E-5</v>
      </c>
      <c r="AR39" s="487">
        <f t="shared" si="29"/>
        <v>529186</v>
      </c>
      <c r="AS39" s="285">
        <f t="shared" si="54"/>
        <v>7.4036371555539666E-5</v>
      </c>
      <c r="AT39" s="584">
        <f>[9]全社合計!$G$39</f>
        <v>40445</v>
      </c>
      <c r="AU39" s="124">
        <f t="shared" si="30"/>
        <v>4.8901072359226898E-5</v>
      </c>
      <c r="AV39" s="578">
        <f>[9]全社合計!$N$39</f>
        <v>526339</v>
      </c>
      <c r="AW39" s="125">
        <f t="shared" si="31"/>
        <v>6.534534915722633E-5</v>
      </c>
      <c r="AX39" s="584">
        <f t="shared" si="32"/>
        <v>-4445</v>
      </c>
      <c r="AY39" s="124">
        <f t="shared" si="33"/>
        <v>0.89009766349363328</v>
      </c>
      <c r="AZ39" s="578">
        <f t="shared" si="34"/>
        <v>2847</v>
      </c>
      <c r="BA39" s="125">
        <f t="shared" si="35"/>
        <v>1.0054090614603897</v>
      </c>
      <c r="BB39" s="11"/>
    </row>
    <row r="40" spans="1:54" ht="15.95" customHeight="1">
      <c r="A40" s="37" t="s">
        <v>33</v>
      </c>
      <c r="B40" s="703">
        <f>[9]本部!$I$40</f>
        <v>0</v>
      </c>
      <c r="C40" s="259" t="str">
        <f t="shared" si="38"/>
        <v/>
      </c>
      <c r="D40" s="728">
        <f>[9]本部!$L$40</f>
        <v>0</v>
      </c>
      <c r="E40" s="122" t="str">
        <f t="shared" si="39"/>
        <v/>
      </c>
      <c r="F40" s="352">
        <f>[9]本社営業!$I$40</f>
        <v>61104</v>
      </c>
      <c r="G40" s="9">
        <f t="shared" si="40"/>
        <v>1.2319221761310087E-4</v>
      </c>
      <c r="H40" s="362">
        <f>[9]本社営業!$L$40</f>
        <v>247393</v>
      </c>
      <c r="I40" s="124">
        <f t="shared" si="19"/>
        <v>5.365348659011712E-5</v>
      </c>
      <c r="J40" s="745">
        <f>[9]東大阪!$I$40</f>
        <v>0</v>
      </c>
      <c r="K40" s="9">
        <f t="shared" si="20"/>
        <v>0</v>
      </c>
      <c r="L40" s="362">
        <f>[9]東大阪!$L$40</f>
        <v>0</v>
      </c>
      <c r="M40" s="124">
        <f t="shared" si="37"/>
        <v>0</v>
      </c>
      <c r="N40" s="403">
        <f>[9]南港工場!$I$40</f>
        <v>0</v>
      </c>
      <c r="O40" s="9">
        <f t="shared" si="41"/>
        <v>0</v>
      </c>
      <c r="P40" s="362">
        <f>[9]南港工場!$L$40</f>
        <v>0</v>
      </c>
      <c r="Q40" s="204">
        <f t="shared" si="42"/>
        <v>0</v>
      </c>
      <c r="R40" s="437">
        <f>[9]南港事務!$I$40</f>
        <v>0</v>
      </c>
      <c r="S40" s="9" t="str">
        <f t="shared" si="43"/>
        <v/>
      </c>
      <c r="T40" s="362">
        <f>[9]南港事務!$L$40</f>
        <v>9600</v>
      </c>
      <c r="U40" s="204" t="str">
        <f t="shared" si="44"/>
        <v/>
      </c>
      <c r="V40" s="456">
        <f t="shared" si="21"/>
        <v>0</v>
      </c>
      <c r="W40" s="171">
        <f t="shared" si="45"/>
        <v>0</v>
      </c>
      <c r="X40" s="426">
        <f t="shared" si="22"/>
        <v>9600</v>
      </c>
      <c r="Y40" s="225">
        <f t="shared" si="46"/>
        <v>4.0303318746554694E-5</v>
      </c>
      <c r="Z40" s="460">
        <f t="shared" si="23"/>
        <v>61104</v>
      </c>
      <c r="AA40" s="189">
        <f t="shared" si="47"/>
        <v>1.1608869950262687E-4</v>
      </c>
      <c r="AB40" s="564">
        <f t="shared" si="24"/>
        <v>256993</v>
      </c>
      <c r="AC40" s="123">
        <f t="shared" si="48"/>
        <v>5.2119157050814553E-5</v>
      </c>
      <c r="AD40" s="352">
        <f>[9]東京事務!$I$40</f>
        <v>0</v>
      </c>
      <c r="AE40" s="9">
        <f t="shared" si="49"/>
        <v>0</v>
      </c>
      <c r="AF40" s="362">
        <f>[9]東京事務!$L$40</f>
        <v>4419</v>
      </c>
      <c r="AG40" s="81">
        <f t="shared" si="50"/>
        <v>2.0735530921782361E-6</v>
      </c>
      <c r="AH40" s="388">
        <f>[9]東京工場!$I$40</f>
        <v>0</v>
      </c>
      <c r="AI40" s="171">
        <f t="shared" si="25"/>
        <v>0</v>
      </c>
      <c r="AJ40" s="362">
        <f>[9]東京工場!$L$40</f>
        <v>0</v>
      </c>
      <c r="AK40" s="99">
        <f t="shared" si="36"/>
        <v>0</v>
      </c>
      <c r="AL40" s="547">
        <f t="shared" si="26"/>
        <v>0</v>
      </c>
      <c r="AM40" s="314">
        <f t="shared" si="51"/>
        <v>0</v>
      </c>
      <c r="AN40" s="478">
        <f t="shared" si="27"/>
        <v>4419</v>
      </c>
      <c r="AO40" s="123">
        <f t="shared" si="52"/>
        <v>1.9934364379799902E-6</v>
      </c>
      <c r="AP40" s="527">
        <f t="shared" si="28"/>
        <v>61104</v>
      </c>
      <c r="AQ40" s="284">
        <f t="shared" si="53"/>
        <v>8.2894059977764843E-5</v>
      </c>
      <c r="AR40" s="487">
        <f t="shared" si="29"/>
        <v>261412</v>
      </c>
      <c r="AS40" s="285">
        <f t="shared" si="54"/>
        <v>3.6573144340698231E-5</v>
      </c>
      <c r="AT40" s="584">
        <f>[9]全社合計!$G$40</f>
        <v>30789</v>
      </c>
      <c r="AU40" s="124">
        <f t="shared" si="30"/>
        <v>3.7226236045697541E-5</v>
      </c>
      <c r="AV40" s="578">
        <f>[9]全社合計!$N$40</f>
        <v>308598</v>
      </c>
      <c r="AW40" s="125">
        <f t="shared" si="31"/>
        <v>3.8312654124474396E-5</v>
      </c>
      <c r="AX40" s="584">
        <f t="shared" si="32"/>
        <v>30315</v>
      </c>
      <c r="AY40" s="124">
        <f t="shared" si="33"/>
        <v>1.9846048913573029</v>
      </c>
      <c r="AZ40" s="578">
        <f t="shared" si="34"/>
        <v>-47186</v>
      </c>
      <c r="BA40" s="125">
        <f t="shared" si="35"/>
        <v>0.84709557417740877</v>
      </c>
      <c r="BB40" s="11"/>
    </row>
    <row r="41" spans="1:54" ht="15.95" customHeight="1">
      <c r="A41" s="37" t="s">
        <v>34</v>
      </c>
      <c r="B41" s="703">
        <f>[9]本部!$I$41</f>
        <v>138000</v>
      </c>
      <c r="C41" s="259" t="str">
        <f t="shared" si="38"/>
        <v/>
      </c>
      <c r="D41" s="728">
        <f>[9]本部!$L$41</f>
        <v>575300</v>
      </c>
      <c r="E41" s="122" t="str">
        <f t="shared" si="39"/>
        <v/>
      </c>
      <c r="F41" s="352">
        <f>[9]本社営業!$I$41</f>
        <v>0</v>
      </c>
      <c r="G41" s="9">
        <f t="shared" si="40"/>
        <v>0</v>
      </c>
      <c r="H41" s="362">
        <f>[9]本社営業!$L$41</f>
        <v>187000</v>
      </c>
      <c r="I41" s="124">
        <f t="shared" si="19"/>
        <v>4.05557230493664E-5</v>
      </c>
      <c r="J41" s="745">
        <f>[9]東大阪!$I$41</f>
        <v>0</v>
      </c>
      <c r="K41" s="9">
        <f t="shared" si="20"/>
        <v>0</v>
      </c>
      <c r="L41" s="362">
        <f>[9]東大阪!$L$41</f>
        <v>10000</v>
      </c>
      <c r="M41" s="124">
        <f t="shared" si="37"/>
        <v>1.2233848946024552E-4</v>
      </c>
      <c r="N41" s="403">
        <f>[9]南港工場!$I$41</f>
        <v>0</v>
      </c>
      <c r="O41" s="9">
        <f t="shared" si="41"/>
        <v>0</v>
      </c>
      <c r="P41" s="362">
        <f>[9]南港工場!$L$41</f>
        <v>0</v>
      </c>
      <c r="Q41" s="204">
        <f t="shared" si="42"/>
        <v>0</v>
      </c>
      <c r="R41" s="437">
        <f>[9]南港事務!$I$41</f>
        <v>0</v>
      </c>
      <c r="S41" s="9" t="str">
        <f t="shared" si="43"/>
        <v/>
      </c>
      <c r="T41" s="362">
        <f>[9]南港事務!$L$41</f>
        <v>1247874</v>
      </c>
      <c r="U41" s="204" t="str">
        <f t="shared" si="44"/>
        <v/>
      </c>
      <c r="V41" s="456">
        <f t="shared" si="21"/>
        <v>0</v>
      </c>
      <c r="W41" s="171">
        <f t="shared" si="45"/>
        <v>0</v>
      </c>
      <c r="X41" s="426">
        <f t="shared" si="22"/>
        <v>1247874</v>
      </c>
      <c r="Y41" s="225">
        <f t="shared" si="46"/>
        <v>5.2389024559935616E-3</v>
      </c>
      <c r="Z41" s="460">
        <f t="shared" si="23"/>
        <v>0</v>
      </c>
      <c r="AA41" s="189">
        <f t="shared" si="47"/>
        <v>0</v>
      </c>
      <c r="AB41" s="564">
        <f t="shared" si="24"/>
        <v>1444874</v>
      </c>
      <c r="AC41" s="123">
        <f t="shared" si="48"/>
        <v>2.9302593815644249E-4</v>
      </c>
      <c r="AD41" s="352">
        <f>[9]東京事務!$I$41</f>
        <v>2000</v>
      </c>
      <c r="AE41" s="9">
        <f t="shared" si="49"/>
        <v>9.8548097773864497E-6</v>
      </c>
      <c r="AF41" s="362">
        <f>[9]東京事務!$L$41</f>
        <v>290000</v>
      </c>
      <c r="AG41" s="81">
        <f t="shared" si="50"/>
        <v>1.3607838803613679E-4</v>
      </c>
      <c r="AH41" s="388">
        <f>[9]東京工場!$I$41</f>
        <v>0</v>
      </c>
      <c r="AI41" s="171">
        <f t="shared" si="25"/>
        <v>0</v>
      </c>
      <c r="AJ41" s="362">
        <f>[9]東京工場!$L$41</f>
        <v>0</v>
      </c>
      <c r="AK41" s="99">
        <f t="shared" si="36"/>
        <v>0</v>
      </c>
      <c r="AL41" s="547">
        <f t="shared" si="26"/>
        <v>2000</v>
      </c>
      <c r="AM41" s="314">
        <f t="shared" si="51"/>
        <v>9.4886790001528441E-6</v>
      </c>
      <c r="AN41" s="478">
        <f t="shared" si="27"/>
        <v>290000</v>
      </c>
      <c r="AO41" s="123">
        <f t="shared" si="52"/>
        <v>1.3082067594799666E-4</v>
      </c>
      <c r="AP41" s="527">
        <f t="shared" si="28"/>
        <v>140000</v>
      </c>
      <c r="AQ41" s="284">
        <f t="shared" si="53"/>
        <v>1.8992485593229705E-4</v>
      </c>
      <c r="AR41" s="487">
        <f t="shared" si="29"/>
        <v>2310174</v>
      </c>
      <c r="AS41" s="285">
        <f t="shared" si="54"/>
        <v>3.2320753123088534E-4</v>
      </c>
      <c r="AT41" s="584">
        <f>[9]全社合計!$G$41</f>
        <v>104819</v>
      </c>
      <c r="AU41" s="124">
        <f t="shared" si="30"/>
        <v>1.267341204999828E-4</v>
      </c>
      <c r="AV41" s="578">
        <f>[9]全社合計!$N$41</f>
        <v>2318312</v>
      </c>
      <c r="AW41" s="125">
        <f t="shared" si="31"/>
        <v>2.8782003061788631E-4</v>
      </c>
      <c r="AX41" s="584">
        <f t="shared" si="32"/>
        <v>35181</v>
      </c>
      <c r="AY41" s="124">
        <f t="shared" si="33"/>
        <v>1.3356357148990163</v>
      </c>
      <c r="AZ41" s="578">
        <f t="shared" si="34"/>
        <v>-8138</v>
      </c>
      <c r="BA41" s="125">
        <f t="shared" si="35"/>
        <v>0.9964896873242256</v>
      </c>
      <c r="BB41" s="11"/>
    </row>
    <row r="42" spans="1:54" ht="15.95" customHeight="1">
      <c r="A42" s="37" t="s">
        <v>35</v>
      </c>
      <c r="B42" s="703">
        <f>[9]本部!$I$42</f>
        <v>0</v>
      </c>
      <c r="C42" s="259" t="str">
        <f t="shared" si="38"/>
        <v/>
      </c>
      <c r="D42" s="728">
        <f>[9]本部!$L$42</f>
        <v>905750</v>
      </c>
      <c r="E42" s="122" t="str">
        <f t="shared" si="39"/>
        <v/>
      </c>
      <c r="F42" s="352">
        <f>[9]本社営業!$I$42</f>
        <v>10000</v>
      </c>
      <c r="G42" s="9">
        <f t="shared" si="40"/>
        <v>2.0161072534220487E-5</v>
      </c>
      <c r="H42" s="362">
        <f>[9]本社営業!$L$42</f>
        <v>1271453</v>
      </c>
      <c r="I42" s="124">
        <f t="shared" si="19"/>
        <v>2.7574703603361529E-4</v>
      </c>
      <c r="J42" s="745">
        <f>[9]東大阪!$I$42</f>
        <v>0</v>
      </c>
      <c r="K42" s="9">
        <f t="shared" si="20"/>
        <v>0</v>
      </c>
      <c r="L42" s="362">
        <f>[9]東大阪!$L$42</f>
        <v>0</v>
      </c>
      <c r="M42" s="124">
        <f t="shared" si="37"/>
        <v>0</v>
      </c>
      <c r="N42" s="403">
        <f>[9]南港工場!$I$42</f>
        <v>0</v>
      </c>
      <c r="O42" s="9">
        <f t="shared" si="41"/>
        <v>0</v>
      </c>
      <c r="P42" s="362">
        <f>[9]南港工場!$L$42</f>
        <v>0</v>
      </c>
      <c r="Q42" s="204">
        <f t="shared" si="42"/>
        <v>0</v>
      </c>
      <c r="R42" s="437">
        <f>[9]南港事務!$I$42</f>
        <v>0</v>
      </c>
      <c r="S42" s="9" t="str">
        <f t="shared" si="43"/>
        <v/>
      </c>
      <c r="T42" s="362">
        <f>[9]南港事務!$L$42</f>
        <v>75900</v>
      </c>
      <c r="U42" s="204" t="str">
        <f t="shared" si="44"/>
        <v/>
      </c>
      <c r="V42" s="456">
        <f t="shared" si="21"/>
        <v>0</v>
      </c>
      <c r="W42" s="171">
        <f t="shared" si="45"/>
        <v>0</v>
      </c>
      <c r="X42" s="426">
        <f t="shared" si="22"/>
        <v>75900</v>
      </c>
      <c r="Y42" s="225">
        <f t="shared" si="46"/>
        <v>3.1864811383994809E-4</v>
      </c>
      <c r="Z42" s="460">
        <f t="shared" si="23"/>
        <v>10000</v>
      </c>
      <c r="AA42" s="189">
        <f t="shared" si="47"/>
        <v>1.8998543385478344E-5</v>
      </c>
      <c r="AB42" s="564">
        <f t="shared" si="24"/>
        <v>1347353</v>
      </c>
      <c r="AC42" s="123">
        <f t="shared" si="48"/>
        <v>2.7324830874726606E-4</v>
      </c>
      <c r="AD42" s="352">
        <f>[9]東京事務!$I$42</f>
        <v>0</v>
      </c>
      <c r="AE42" s="9">
        <f t="shared" si="49"/>
        <v>0</v>
      </c>
      <c r="AF42" s="362">
        <f>[9]東京事務!$L$42</f>
        <v>177940</v>
      </c>
      <c r="AG42" s="81">
        <f t="shared" si="50"/>
        <v>8.3495821955690264E-5</v>
      </c>
      <c r="AH42" s="388">
        <f>[9]東京工場!$I$42</f>
        <v>0</v>
      </c>
      <c r="AI42" s="171">
        <f t="shared" si="25"/>
        <v>0</v>
      </c>
      <c r="AJ42" s="362">
        <f>[9]東京工場!$L$42</f>
        <v>0</v>
      </c>
      <c r="AK42" s="99">
        <f t="shared" si="36"/>
        <v>0</v>
      </c>
      <c r="AL42" s="547">
        <f t="shared" si="26"/>
        <v>0</v>
      </c>
      <c r="AM42" s="314">
        <f t="shared" si="51"/>
        <v>0</v>
      </c>
      <c r="AN42" s="478">
        <f t="shared" si="27"/>
        <v>177940</v>
      </c>
      <c r="AO42" s="123">
        <f t="shared" si="52"/>
        <v>8.0269762338574225E-5</v>
      </c>
      <c r="AP42" s="527">
        <f t="shared" si="28"/>
        <v>10000</v>
      </c>
      <c r="AQ42" s="284">
        <f t="shared" si="53"/>
        <v>1.3566061138021217E-5</v>
      </c>
      <c r="AR42" s="487">
        <f t="shared" si="29"/>
        <v>2431043</v>
      </c>
      <c r="AS42" s="285">
        <f t="shared" si="54"/>
        <v>3.4011784668432993E-4</v>
      </c>
      <c r="AT42" s="584">
        <f>[9]全社合計!$G$42</f>
        <v>45662</v>
      </c>
      <c r="AU42" s="124">
        <f t="shared" si="30"/>
        <v>5.5208821017851866E-5</v>
      </c>
      <c r="AV42" s="578">
        <f>[9]全社合計!$N$42</f>
        <v>2612544</v>
      </c>
      <c r="AW42" s="125">
        <f t="shared" si="31"/>
        <v>3.2434913595347616E-4</v>
      </c>
      <c r="AX42" s="584">
        <f t="shared" si="32"/>
        <v>-35662</v>
      </c>
      <c r="AY42" s="124">
        <f t="shared" si="33"/>
        <v>0.21900048180105997</v>
      </c>
      <c r="AZ42" s="578">
        <f t="shared" si="34"/>
        <v>-181501</v>
      </c>
      <c r="BA42" s="125">
        <f t="shared" si="35"/>
        <v>0.93052710308419684</v>
      </c>
      <c r="BB42" s="11"/>
    </row>
    <row r="43" spans="1:54" ht="15.95" customHeight="1">
      <c r="A43" s="37" t="s">
        <v>36</v>
      </c>
      <c r="B43" s="703">
        <f>[9]本部!$I$43</f>
        <v>0</v>
      </c>
      <c r="C43" s="259" t="str">
        <f t="shared" si="38"/>
        <v/>
      </c>
      <c r="D43" s="728">
        <f>[9]本部!$L$43</f>
        <v>0</v>
      </c>
      <c r="E43" s="122" t="str">
        <f t="shared" si="39"/>
        <v/>
      </c>
      <c r="F43" s="352">
        <f>[9]本社営業!$I$43</f>
        <v>13693965</v>
      </c>
      <c r="G43" s="9">
        <f t="shared" si="40"/>
        <v>2.7608502164607664E-2</v>
      </c>
      <c r="H43" s="362">
        <f>[9]本社営業!$L$43</f>
        <v>124905776</v>
      </c>
      <c r="I43" s="124">
        <f t="shared" si="19"/>
        <v>2.7089005661616022E-2</v>
      </c>
      <c r="J43" s="745">
        <f>[9]東大阪!$I$43</f>
        <v>-474271</v>
      </c>
      <c r="K43" s="9">
        <f t="shared" si="20"/>
        <v>-5.6203741362131125E-2</v>
      </c>
      <c r="L43" s="362">
        <f>[9]東大阪!$L$43</f>
        <v>-4311105</v>
      </c>
      <c r="M43" s="124">
        <f t="shared" si="37"/>
        <v>-5.274140736045118E-2</v>
      </c>
      <c r="N43" s="403">
        <f>[9]南港工場!$I$43</f>
        <v>1441641</v>
      </c>
      <c r="O43" s="9">
        <f t="shared" si="41"/>
        <v>6.5791224678674501E-2</v>
      </c>
      <c r="P43" s="362">
        <f>[9]南港工場!$L$43</f>
        <v>16259582</v>
      </c>
      <c r="Q43" s="204">
        <f t="shared" si="42"/>
        <v>6.8261991253306592E-2</v>
      </c>
      <c r="R43" s="437">
        <f>[9]南港事務!$I$43</f>
        <v>0</v>
      </c>
      <c r="S43" s="9" t="str">
        <f t="shared" si="43"/>
        <v/>
      </c>
      <c r="T43" s="362">
        <f>[9]南港事務!$L$43</f>
        <v>0</v>
      </c>
      <c r="U43" s="204" t="str">
        <f t="shared" si="44"/>
        <v/>
      </c>
      <c r="V43" s="456">
        <f t="shared" si="21"/>
        <v>1441641</v>
      </c>
      <c r="W43" s="171">
        <f t="shared" si="45"/>
        <v>6.5791224678674501E-2</v>
      </c>
      <c r="X43" s="426">
        <f t="shared" si="22"/>
        <v>16259582</v>
      </c>
      <c r="Y43" s="225">
        <f t="shared" si="46"/>
        <v>6.8261991253306592E-2</v>
      </c>
      <c r="Z43" s="460">
        <f t="shared" si="23"/>
        <v>14661335</v>
      </c>
      <c r="AA43" s="189">
        <f t="shared" si="47"/>
        <v>2.7854400908653213E-2</v>
      </c>
      <c r="AB43" s="564">
        <f t="shared" si="24"/>
        <v>136854253</v>
      </c>
      <c r="AC43" s="123">
        <f t="shared" si="48"/>
        <v>2.7754562595786302E-2</v>
      </c>
      <c r="AD43" s="352">
        <f>[9]東京事務!$I$43</f>
        <v>6237842</v>
      </c>
      <c r="AE43" s="9">
        <f t="shared" si="49"/>
        <v>3.0736373165695923E-2</v>
      </c>
      <c r="AF43" s="362">
        <f>[9]東京事務!$L$43</f>
        <v>54566266</v>
      </c>
      <c r="AG43" s="81">
        <f t="shared" si="50"/>
        <v>2.5604446615279507E-2</v>
      </c>
      <c r="AH43" s="388">
        <f>[9]東京工場!$I$43</f>
        <v>0</v>
      </c>
      <c r="AI43" s="171">
        <f t="shared" si="25"/>
        <v>0</v>
      </c>
      <c r="AJ43" s="362">
        <f>[9]東京工場!$L$43</f>
        <v>0</v>
      </c>
      <c r="AK43" s="99">
        <f t="shared" si="36"/>
        <v>0</v>
      </c>
      <c r="AL43" s="547">
        <f t="shared" si="26"/>
        <v>6237842</v>
      </c>
      <c r="AM43" s="314">
        <f t="shared" si="51"/>
        <v>2.9594440195835708E-2</v>
      </c>
      <c r="AN43" s="478">
        <f t="shared" si="27"/>
        <v>54566266</v>
      </c>
      <c r="AO43" s="123">
        <f t="shared" si="52"/>
        <v>2.4615157938200648E-2</v>
      </c>
      <c r="AP43" s="527">
        <f t="shared" si="28"/>
        <v>20899177</v>
      </c>
      <c r="AQ43" s="284">
        <f t="shared" si="53"/>
        <v>2.8351951291632684E-2</v>
      </c>
      <c r="AR43" s="487">
        <f t="shared" si="29"/>
        <v>191420519</v>
      </c>
      <c r="AS43" s="285">
        <f t="shared" si="54"/>
        <v>2.6780906274992609E-2</v>
      </c>
      <c r="AT43" s="584">
        <f>[9]全社合計!$G$43</f>
        <v>25227119</v>
      </c>
      <c r="AU43" s="124">
        <f t="shared" si="30"/>
        <v>3.0501500102208621E-2</v>
      </c>
      <c r="AV43" s="578">
        <f>[9]全社合計!$N$43</f>
        <v>194672096</v>
      </c>
      <c r="AW43" s="125">
        <f t="shared" si="31"/>
        <v>2.4168674721594032E-2</v>
      </c>
      <c r="AX43" s="584">
        <f t="shared" si="32"/>
        <v>-4327942</v>
      </c>
      <c r="AY43" s="124">
        <f t="shared" si="33"/>
        <v>0.82844089331009219</v>
      </c>
      <c r="AZ43" s="578">
        <f>AR43-AV43</f>
        <v>-3251577</v>
      </c>
      <c r="BA43" s="125">
        <f t="shared" si="35"/>
        <v>0.98329715934224082</v>
      </c>
      <c r="BB43" s="11"/>
    </row>
    <row r="44" spans="1:54" ht="15.95" customHeight="1">
      <c r="A44" s="37" t="s">
        <v>37</v>
      </c>
      <c r="B44" s="703">
        <f>[9]本部!$I$44</f>
        <v>-165000</v>
      </c>
      <c r="C44" s="259" t="str">
        <f t="shared" si="38"/>
        <v/>
      </c>
      <c r="D44" s="728">
        <f>[9]本部!$L$44</f>
        <v>-1485000</v>
      </c>
      <c r="E44" s="122" t="str">
        <f t="shared" si="39"/>
        <v/>
      </c>
      <c r="F44" s="352">
        <f>[9]本社営業!$I$44</f>
        <v>475000</v>
      </c>
      <c r="G44" s="9">
        <f t="shared" si="40"/>
        <v>9.576509453754731E-4</v>
      </c>
      <c r="H44" s="362">
        <f>[9]本社営業!$L$44</f>
        <v>4275000</v>
      </c>
      <c r="I44" s="124">
        <f t="shared" si="19"/>
        <v>9.2714286650289498E-4</v>
      </c>
      <c r="J44" s="745">
        <f>[9]東大阪!$I$44</f>
        <v>375000</v>
      </c>
      <c r="K44" s="9">
        <f t="shared" si="20"/>
        <v>4.4439577816900409E-2</v>
      </c>
      <c r="L44" s="362">
        <f>[9]東大阪!$L$44</f>
        <v>3375000</v>
      </c>
      <c r="M44" s="124">
        <f t="shared" si="37"/>
        <v>4.1289240192832866E-2</v>
      </c>
      <c r="N44" s="403">
        <f>[9]南港工場!$I$44</f>
        <v>360000</v>
      </c>
      <c r="O44" s="9">
        <f t="shared" si="41"/>
        <v>1.6429083859520379E-2</v>
      </c>
      <c r="P44" s="362">
        <f>[9]南港工場!$L$44</f>
        <v>3240000</v>
      </c>
      <c r="Q44" s="204">
        <f t="shared" si="42"/>
        <v>1.360237007696221E-2</v>
      </c>
      <c r="R44" s="437">
        <f>[9]南港事務!$I$44</f>
        <v>80000</v>
      </c>
      <c r="S44" s="9" t="str">
        <f t="shared" si="43"/>
        <v/>
      </c>
      <c r="T44" s="362">
        <f>[9]南港事務!$L$44</f>
        <v>720000</v>
      </c>
      <c r="U44" s="204" t="str">
        <f t="shared" si="44"/>
        <v/>
      </c>
      <c r="V44" s="456">
        <f t="shared" si="21"/>
        <v>440000</v>
      </c>
      <c r="W44" s="171">
        <f t="shared" si="45"/>
        <v>2.0079991383858242E-2</v>
      </c>
      <c r="X44" s="426">
        <f t="shared" si="22"/>
        <v>3960000</v>
      </c>
      <c r="Y44" s="225">
        <f t="shared" si="46"/>
        <v>1.6625118982953813E-2</v>
      </c>
      <c r="Z44" s="460">
        <f t="shared" si="23"/>
        <v>1290000</v>
      </c>
      <c r="AA44" s="189">
        <f t="shared" si="47"/>
        <v>2.4508120967267062E-3</v>
      </c>
      <c r="AB44" s="564">
        <f t="shared" si="24"/>
        <v>11610000</v>
      </c>
      <c r="AC44" s="123">
        <f t="shared" si="48"/>
        <v>2.3545521214973055E-3</v>
      </c>
      <c r="AD44" s="352">
        <f>[9]東京事務!$I$44</f>
        <v>55000</v>
      </c>
      <c r="AE44" s="9">
        <f t="shared" si="49"/>
        <v>2.7100726887812737E-4</v>
      </c>
      <c r="AF44" s="362">
        <f>[9]東京事務!$L$44</f>
        <v>495000</v>
      </c>
      <c r="AG44" s="81">
        <f t="shared" si="50"/>
        <v>2.3227173130306106E-4</v>
      </c>
      <c r="AH44" s="388">
        <f>[9]東京工場!$I$44</f>
        <v>275000</v>
      </c>
      <c r="AI44" s="171">
        <f t="shared" si="25"/>
        <v>3.5117246910001516E-2</v>
      </c>
      <c r="AJ44" s="362">
        <f>[9]東京工場!$L$44</f>
        <v>2475000</v>
      </c>
      <c r="AK44" s="99">
        <f t="shared" si="36"/>
        <v>2.889654699923545E-2</v>
      </c>
      <c r="AL44" s="547">
        <f t="shared" si="26"/>
        <v>330000</v>
      </c>
      <c r="AM44" s="314">
        <f t="shared" si="51"/>
        <v>1.5656320350252192E-3</v>
      </c>
      <c r="AN44" s="478">
        <f t="shared" si="27"/>
        <v>2970000</v>
      </c>
      <c r="AO44" s="123">
        <f t="shared" si="52"/>
        <v>1.3397841640191382E-3</v>
      </c>
      <c r="AP44" s="527">
        <f t="shared" si="28"/>
        <v>1455000</v>
      </c>
      <c r="AQ44" s="284">
        <f t="shared" si="53"/>
        <v>1.9738618955820872E-3</v>
      </c>
      <c r="AR44" s="487">
        <f t="shared" si="29"/>
        <v>13095000</v>
      </c>
      <c r="AS44" s="285">
        <f t="shared" si="54"/>
        <v>1.8320709268948761E-3</v>
      </c>
      <c r="AT44" s="584">
        <f>[9]全社合計!$G$44</f>
        <v>1280000</v>
      </c>
      <c r="AU44" s="124">
        <f t="shared" si="30"/>
        <v>1.5476170755299896E-3</v>
      </c>
      <c r="AV44" s="578">
        <f>[9]全社合計!$N$44</f>
        <v>11520000</v>
      </c>
      <c r="AW44" s="125">
        <f t="shared" si="31"/>
        <v>1.4302159298308643E-3</v>
      </c>
      <c r="AX44" s="584">
        <f t="shared" si="32"/>
        <v>175000</v>
      </c>
      <c r="AY44" s="124">
        <f t="shared" si="33"/>
        <v>1.13671875</v>
      </c>
      <c r="AZ44" s="578">
        <f t="shared" si="34"/>
        <v>1575000</v>
      </c>
      <c r="BA44" s="125">
        <f t="shared" si="35"/>
        <v>1.13671875</v>
      </c>
      <c r="BB44" s="14"/>
    </row>
    <row r="45" spans="1:54" ht="15.95" customHeight="1">
      <c r="A45" s="37" t="s">
        <v>57</v>
      </c>
      <c r="B45" s="703">
        <f>[9]本部!$I$45</f>
        <v>0</v>
      </c>
      <c r="C45" s="259" t="str">
        <f t="shared" si="38"/>
        <v/>
      </c>
      <c r="D45" s="728">
        <f>[9]本部!$L$45</f>
        <v>0</v>
      </c>
      <c r="E45" s="122" t="str">
        <f t="shared" si="39"/>
        <v/>
      </c>
      <c r="F45" s="352">
        <f>[9]本社営業!$I$45</f>
        <v>0</v>
      </c>
      <c r="G45" s="9">
        <f t="shared" si="40"/>
        <v>0</v>
      </c>
      <c r="H45" s="362">
        <f>[9]本社営業!$L$45</f>
        <v>0</v>
      </c>
      <c r="I45" s="124">
        <f t="shared" si="19"/>
        <v>0</v>
      </c>
      <c r="J45" s="745">
        <f>[9]東大阪!$I$45</f>
        <v>0</v>
      </c>
      <c r="K45" s="9">
        <f t="shared" si="20"/>
        <v>0</v>
      </c>
      <c r="L45" s="362">
        <f>[9]東大阪!$L$45</f>
        <v>0</v>
      </c>
      <c r="M45" s="124">
        <f t="shared" si="37"/>
        <v>0</v>
      </c>
      <c r="N45" s="403">
        <f>[9]南港工場!$I$45</f>
        <v>0</v>
      </c>
      <c r="O45" s="9">
        <f t="shared" si="41"/>
        <v>0</v>
      </c>
      <c r="P45" s="362">
        <f>[9]南港工場!$L$45</f>
        <v>0</v>
      </c>
      <c r="Q45" s="204">
        <f t="shared" si="42"/>
        <v>0</v>
      </c>
      <c r="R45" s="437">
        <f>[9]南港事務!$I$45</f>
        <v>0</v>
      </c>
      <c r="S45" s="9" t="str">
        <f t="shared" si="43"/>
        <v/>
      </c>
      <c r="T45" s="362">
        <f>[9]南港事務!$L$45</f>
        <v>0</v>
      </c>
      <c r="U45" s="204" t="str">
        <f t="shared" si="44"/>
        <v/>
      </c>
      <c r="V45" s="456">
        <f t="shared" si="21"/>
        <v>0</v>
      </c>
      <c r="W45" s="171">
        <f t="shared" si="45"/>
        <v>0</v>
      </c>
      <c r="X45" s="426">
        <f t="shared" si="22"/>
        <v>0</v>
      </c>
      <c r="Y45" s="225">
        <f t="shared" si="46"/>
        <v>0</v>
      </c>
      <c r="Z45" s="460">
        <f t="shared" si="23"/>
        <v>0</v>
      </c>
      <c r="AA45" s="189">
        <f t="shared" si="47"/>
        <v>0</v>
      </c>
      <c r="AB45" s="564">
        <f t="shared" si="24"/>
        <v>0</v>
      </c>
      <c r="AC45" s="123">
        <f t="shared" si="48"/>
        <v>0</v>
      </c>
      <c r="AD45" s="352">
        <f>[9]東京事務!$I$45</f>
        <v>0</v>
      </c>
      <c r="AE45" s="9">
        <f t="shared" si="49"/>
        <v>0</v>
      </c>
      <c r="AF45" s="362">
        <f>[9]東京事務!$L$45</f>
        <v>0</v>
      </c>
      <c r="AG45" s="81">
        <f t="shared" si="50"/>
        <v>0</v>
      </c>
      <c r="AH45" s="388">
        <f>[9]東京工場!$I$45</f>
        <v>0</v>
      </c>
      <c r="AI45" s="171">
        <f t="shared" si="25"/>
        <v>0</v>
      </c>
      <c r="AJ45" s="362">
        <f>[9]東京工場!$L$45</f>
        <v>0</v>
      </c>
      <c r="AK45" s="99">
        <f t="shared" si="36"/>
        <v>0</v>
      </c>
      <c r="AL45" s="547">
        <f t="shared" si="26"/>
        <v>0</v>
      </c>
      <c r="AM45" s="314">
        <f t="shared" si="51"/>
        <v>0</v>
      </c>
      <c r="AN45" s="478">
        <f t="shared" si="27"/>
        <v>0</v>
      </c>
      <c r="AO45" s="123">
        <f t="shared" si="52"/>
        <v>0</v>
      </c>
      <c r="AP45" s="527">
        <f t="shared" si="28"/>
        <v>0</v>
      </c>
      <c r="AQ45" s="284">
        <f t="shared" si="53"/>
        <v>0</v>
      </c>
      <c r="AR45" s="487">
        <f t="shared" si="29"/>
        <v>0</v>
      </c>
      <c r="AS45" s="285">
        <f t="shared" si="54"/>
        <v>0</v>
      </c>
      <c r="AT45" s="584">
        <f>[9]全社合計!$G$45</f>
        <v>0</v>
      </c>
      <c r="AU45" s="124">
        <f t="shared" si="30"/>
        <v>0</v>
      </c>
      <c r="AV45" s="578">
        <f>[9]全社合計!$N$45</f>
        <v>0</v>
      </c>
      <c r="AW45" s="125">
        <f t="shared" si="31"/>
        <v>0</v>
      </c>
      <c r="AX45" s="584">
        <f t="shared" si="32"/>
        <v>0</v>
      </c>
      <c r="AY45" s="124" t="str">
        <f t="shared" si="33"/>
        <v/>
      </c>
      <c r="AZ45" s="578">
        <f t="shared" si="34"/>
        <v>0</v>
      </c>
      <c r="BA45" s="125" t="str">
        <f t="shared" si="35"/>
        <v/>
      </c>
      <c r="BB45" s="11"/>
    </row>
    <row r="46" spans="1:54" ht="15.95" customHeight="1">
      <c r="A46" s="36" t="s">
        <v>38</v>
      </c>
      <c r="B46" s="704">
        <f>[9]本部!$I$46</f>
        <v>10000</v>
      </c>
      <c r="C46" s="260" t="str">
        <f t="shared" si="38"/>
        <v/>
      </c>
      <c r="D46" s="729">
        <f>[9]本部!$L$46</f>
        <v>171000</v>
      </c>
      <c r="E46" s="126" t="str">
        <f t="shared" si="39"/>
        <v/>
      </c>
      <c r="F46" s="353">
        <f>[9]本社営業!$I$46</f>
        <v>0</v>
      </c>
      <c r="G46" s="12">
        <f t="shared" si="40"/>
        <v>0</v>
      </c>
      <c r="H46" s="362">
        <f>[9]本社営業!$L$46</f>
        <v>27555</v>
      </c>
      <c r="I46" s="128">
        <f t="shared" si="19"/>
        <v>5.9760050728625191E-6</v>
      </c>
      <c r="J46" s="746">
        <f>[9]東大阪!$I$46</f>
        <v>0</v>
      </c>
      <c r="K46" s="12">
        <f t="shared" si="20"/>
        <v>0</v>
      </c>
      <c r="L46" s="362">
        <f>[9]東大阪!$L$46</f>
        <v>0</v>
      </c>
      <c r="M46" s="128">
        <f t="shared" si="37"/>
        <v>0</v>
      </c>
      <c r="N46" s="403">
        <f>[9]南港工場!$I$46</f>
        <v>0</v>
      </c>
      <c r="O46" s="12">
        <f t="shared" si="41"/>
        <v>0</v>
      </c>
      <c r="P46" s="362">
        <f>[9]南港工場!$L$46</f>
        <v>0</v>
      </c>
      <c r="Q46" s="205">
        <f t="shared" si="42"/>
        <v>0</v>
      </c>
      <c r="R46" s="438">
        <f>[9]南港事務!$I$46</f>
        <v>0</v>
      </c>
      <c r="S46" s="12" t="str">
        <f t="shared" si="43"/>
        <v/>
      </c>
      <c r="T46" s="362">
        <f>[9]南港事務!$L$46</f>
        <v>0</v>
      </c>
      <c r="U46" s="205" t="str">
        <f t="shared" si="44"/>
        <v/>
      </c>
      <c r="V46" s="457">
        <f t="shared" si="21"/>
        <v>0</v>
      </c>
      <c r="W46" s="172">
        <f t="shared" si="45"/>
        <v>0</v>
      </c>
      <c r="X46" s="427">
        <f t="shared" si="22"/>
        <v>0</v>
      </c>
      <c r="Y46" s="226">
        <f t="shared" si="46"/>
        <v>0</v>
      </c>
      <c r="Z46" s="461">
        <f t="shared" si="23"/>
        <v>0</v>
      </c>
      <c r="AA46" s="190">
        <f t="shared" si="47"/>
        <v>0</v>
      </c>
      <c r="AB46" s="565">
        <f t="shared" si="24"/>
        <v>27555</v>
      </c>
      <c r="AC46" s="127">
        <f t="shared" si="48"/>
        <v>5.5882587173004523E-6</v>
      </c>
      <c r="AD46" s="353">
        <f>[9]東京事務!$I$46</f>
        <v>0</v>
      </c>
      <c r="AE46" s="12">
        <f t="shared" si="49"/>
        <v>0</v>
      </c>
      <c r="AF46" s="362">
        <f>[9]東京事務!$L$46</f>
        <v>33000</v>
      </c>
      <c r="AG46" s="82">
        <f t="shared" si="50"/>
        <v>1.5484782086870735E-5</v>
      </c>
      <c r="AH46" s="389">
        <f>[9]東京工場!$I$46</f>
        <v>0</v>
      </c>
      <c r="AI46" s="172">
        <f t="shared" si="25"/>
        <v>0</v>
      </c>
      <c r="AJ46" s="362">
        <f>[9]東京工場!$L$46</f>
        <v>0</v>
      </c>
      <c r="AK46" s="100">
        <f t="shared" si="36"/>
        <v>0</v>
      </c>
      <c r="AL46" s="548">
        <f t="shared" si="26"/>
        <v>0</v>
      </c>
      <c r="AM46" s="315">
        <f t="shared" si="51"/>
        <v>0</v>
      </c>
      <c r="AN46" s="479">
        <f t="shared" si="27"/>
        <v>33000</v>
      </c>
      <c r="AO46" s="127">
        <f t="shared" si="52"/>
        <v>1.4886490711323758E-5</v>
      </c>
      <c r="AP46" s="528">
        <f t="shared" si="28"/>
        <v>10000</v>
      </c>
      <c r="AQ46" s="286">
        <f t="shared" si="53"/>
        <v>1.3566061138021217E-5</v>
      </c>
      <c r="AR46" s="488">
        <f t="shared" si="29"/>
        <v>231555</v>
      </c>
      <c r="AS46" s="287">
        <f t="shared" si="54"/>
        <v>3.2395966664921195E-5</v>
      </c>
      <c r="AT46" s="585">
        <f>[9]全社合計!$G$46</f>
        <v>12273</v>
      </c>
      <c r="AU46" s="128">
        <f t="shared" si="30"/>
        <v>1.4838987787484033E-5</v>
      </c>
      <c r="AV46" s="579">
        <f>[9]全社合計!$N$46</f>
        <v>194071</v>
      </c>
      <c r="AW46" s="129">
        <f t="shared" si="31"/>
        <v>2.4094048239427576E-5</v>
      </c>
      <c r="AX46" s="585">
        <f t="shared" si="32"/>
        <v>-2273</v>
      </c>
      <c r="AY46" s="128">
        <f t="shared" si="33"/>
        <v>0.81479670822129879</v>
      </c>
      <c r="AZ46" s="579">
        <f t="shared" si="34"/>
        <v>37484</v>
      </c>
      <c r="BA46" s="129">
        <f t="shared" si="35"/>
        <v>1.1931458074622174</v>
      </c>
      <c r="BB46" s="11"/>
    </row>
    <row r="47" spans="1:54" ht="19.899999999999999" customHeight="1">
      <c r="A47" s="62" t="s">
        <v>39</v>
      </c>
      <c r="B47" s="708">
        <f>SUM(B19:B46)</f>
        <v>8746402</v>
      </c>
      <c r="C47" s="141" t="str">
        <f t="shared" si="38"/>
        <v/>
      </c>
      <c r="D47" s="401">
        <f>SUM(D19:D46)</f>
        <v>94000924</v>
      </c>
      <c r="E47" s="139" t="str">
        <f t="shared" si="39"/>
        <v/>
      </c>
      <c r="F47" s="466">
        <f>SUM(F19:F46)</f>
        <v>28911495</v>
      </c>
      <c r="G47" s="64">
        <f t="shared" si="40"/>
        <v>5.8288674776775296E-2</v>
      </c>
      <c r="H47" s="359">
        <f>SUM(H19:H46)</f>
        <v>274176702</v>
      </c>
      <c r="I47" s="141">
        <f t="shared" si="19"/>
        <v>5.9462216004816375E-2</v>
      </c>
      <c r="J47" s="747">
        <f>SUM(J19:J46)</f>
        <v>6758026</v>
      </c>
      <c r="K47" s="64">
        <f t="shared" si="20"/>
        <v>0.80086352617502987</v>
      </c>
      <c r="L47" s="359">
        <f>SUM(L19:L46)</f>
        <v>62522843</v>
      </c>
      <c r="M47" s="141">
        <f t="shared" si="37"/>
        <v>0.76489501693800854</v>
      </c>
      <c r="N47" s="405">
        <f>SUM(N19:N46)</f>
        <v>15932525</v>
      </c>
      <c r="O47" s="64">
        <f t="shared" si="41"/>
        <v>0.72710219255251374</v>
      </c>
      <c r="P47" s="359">
        <f>SUM(P19:P46)</f>
        <v>184796940</v>
      </c>
      <c r="Q47" s="177">
        <f t="shared" si="42"/>
        <v>0.77582603918832749</v>
      </c>
      <c r="R47" s="442">
        <f>SUM(R19:R46)</f>
        <v>3780356</v>
      </c>
      <c r="S47" s="64" t="str">
        <f t="shared" si="43"/>
        <v/>
      </c>
      <c r="T47" s="359">
        <f>SUM(T19:T46)</f>
        <v>36203078</v>
      </c>
      <c r="U47" s="209" t="str">
        <f t="shared" si="44"/>
        <v/>
      </c>
      <c r="V47" s="458">
        <f t="shared" si="21"/>
        <v>19712881</v>
      </c>
      <c r="W47" s="177">
        <f t="shared" si="45"/>
        <v>0.89962381961596105</v>
      </c>
      <c r="X47" s="428">
        <f t="shared" si="22"/>
        <v>221000018</v>
      </c>
      <c r="Y47" s="230">
        <f t="shared" si="46"/>
        <v>0.92781605921336718</v>
      </c>
      <c r="Z47" s="458">
        <f t="shared" si="23"/>
        <v>55382402</v>
      </c>
      <c r="AA47" s="194">
        <f t="shared" si="47"/>
        <v>0.10521849671890027</v>
      </c>
      <c r="AB47" s="428">
        <f t="shared" si="24"/>
        <v>557699563</v>
      </c>
      <c r="AC47" s="140">
        <f t="shared" si="48"/>
        <v>0.11310359080273644</v>
      </c>
      <c r="AD47" s="466">
        <f>SUM(AD19:AD46)</f>
        <v>11591473</v>
      </c>
      <c r="AE47" s="64">
        <f t="shared" si="49"/>
        <v>5.7115880727355524E-2</v>
      </c>
      <c r="AF47" s="359">
        <f>SUM(AF19:AF46)</f>
        <v>109090758</v>
      </c>
      <c r="AG47" s="141">
        <f t="shared" si="50"/>
        <v>5.1189291373380318E-2</v>
      </c>
      <c r="AH47" s="560">
        <f>SUM(AH19:AH46)</f>
        <v>6343076</v>
      </c>
      <c r="AI47" s="177">
        <f t="shared" si="25"/>
        <v>0.81000496749419926</v>
      </c>
      <c r="AJ47" s="359">
        <f>SUM(AJ19:AJ46)</f>
        <v>63687511</v>
      </c>
      <c r="AK47" s="105">
        <f t="shared" si="36"/>
        <v>0.74357541611144429</v>
      </c>
      <c r="AL47" s="549">
        <f t="shared" si="26"/>
        <v>17934549</v>
      </c>
      <c r="AM47" s="319">
        <f t="shared" si="51"/>
        <v>8.5087589236756092E-2</v>
      </c>
      <c r="AN47" s="480">
        <f t="shared" si="27"/>
        <v>172778269</v>
      </c>
      <c r="AO47" s="140">
        <f t="shared" si="52"/>
        <v>7.7941275654154471E-2</v>
      </c>
      <c r="AP47" s="529">
        <f t="shared" si="28"/>
        <v>82063353</v>
      </c>
      <c r="AQ47" s="141">
        <f t="shared" si="53"/>
        <v>0.11132764639890169</v>
      </c>
      <c r="AR47" s="428">
        <f t="shared" si="29"/>
        <v>824478756</v>
      </c>
      <c r="AS47" s="140">
        <f t="shared" si="54"/>
        <v>0.11534964174952687</v>
      </c>
      <c r="AT47" s="529">
        <f>SUM(AT19:AT46)</f>
        <v>93873401</v>
      </c>
      <c r="AU47" s="141">
        <f t="shared" si="30"/>
        <v>0.11350006119193282</v>
      </c>
      <c r="AV47" s="410">
        <f>SUM(AV19:AV46)</f>
        <v>815544846</v>
      </c>
      <c r="AW47" s="140">
        <f t="shared" si="31"/>
        <v>0.1012504540139461</v>
      </c>
      <c r="AX47" s="529">
        <f t="shared" si="32"/>
        <v>-11810048</v>
      </c>
      <c r="AY47" s="141">
        <f t="shared" si="33"/>
        <v>0.87419175321026243</v>
      </c>
      <c r="AZ47" s="410">
        <f t="shared" si="34"/>
        <v>8933910</v>
      </c>
      <c r="BA47" s="140">
        <f t="shared" si="35"/>
        <v>1.0109545294091651</v>
      </c>
      <c r="BB47" s="14"/>
    </row>
    <row r="48" spans="1:54" ht="19.899999999999999" customHeight="1">
      <c r="A48" s="55" t="s">
        <v>40</v>
      </c>
      <c r="B48" s="709">
        <f>+B18-B47</f>
        <v>-8746402</v>
      </c>
      <c r="C48" s="138" t="str">
        <f t="shared" si="38"/>
        <v/>
      </c>
      <c r="D48" s="376">
        <f>D18-D47</f>
        <v>-94000924</v>
      </c>
      <c r="E48" s="136" t="str">
        <f t="shared" si="39"/>
        <v/>
      </c>
      <c r="F48" s="375">
        <f>F18-F47</f>
        <v>38771873</v>
      </c>
      <c r="G48" s="56">
        <f t="shared" si="40"/>
        <v>7.8168254384058486E-2</v>
      </c>
      <c r="H48" s="376">
        <f>H18-H47</f>
        <v>335355005</v>
      </c>
      <c r="I48" s="138">
        <f t="shared" si="19"/>
        <v>7.2730292545448577E-2</v>
      </c>
      <c r="J48" s="374">
        <f>J18-J47</f>
        <v>1106857</v>
      </c>
      <c r="K48" s="56">
        <f t="shared" si="20"/>
        <v>0.13116868742314916</v>
      </c>
      <c r="L48" s="376">
        <f>L18-L47</f>
        <v>14427856</v>
      </c>
      <c r="M48" s="138">
        <f t="shared" si="37"/>
        <v>0.17650821091899402</v>
      </c>
      <c r="N48" s="412">
        <f>N18-N47</f>
        <v>4418105</v>
      </c>
      <c r="O48" s="56">
        <f t="shared" si="41"/>
        <v>0.20162615984768414</v>
      </c>
      <c r="P48" s="376">
        <f>P18-P47</f>
        <v>37523840</v>
      </c>
      <c r="Q48" s="176">
        <f t="shared" si="42"/>
        <v>0.15753492542861655</v>
      </c>
      <c r="R48" s="443">
        <f>R18-R47</f>
        <v>-3780356</v>
      </c>
      <c r="S48" s="56" t="str">
        <f t="shared" si="43"/>
        <v/>
      </c>
      <c r="T48" s="376">
        <f>T18-T47</f>
        <v>-36203078</v>
      </c>
      <c r="U48" s="208" t="str">
        <f t="shared" si="44"/>
        <v/>
      </c>
      <c r="V48" s="490">
        <f t="shared" si="21"/>
        <v>637749</v>
      </c>
      <c r="W48" s="176">
        <f t="shared" si="45"/>
        <v>2.9104532784236841E-2</v>
      </c>
      <c r="X48" s="424">
        <f t="shared" si="22"/>
        <v>1320762</v>
      </c>
      <c r="Y48" s="229">
        <f t="shared" si="46"/>
        <v>5.544905403576778E-3</v>
      </c>
      <c r="Z48" s="490">
        <f t="shared" si="23"/>
        <v>40516479</v>
      </c>
      <c r="AA48" s="193">
        <f t="shared" si="47"/>
        <v>7.6975408410832225E-2</v>
      </c>
      <c r="AB48" s="424">
        <f t="shared" si="24"/>
        <v>351103623</v>
      </c>
      <c r="AC48" s="137">
        <f t="shared" si="48"/>
        <v>7.1205149043931104E-2</v>
      </c>
      <c r="AD48" s="375">
        <f>AD18-AD47</f>
        <v>8022440</v>
      </c>
      <c r="AE48" s="56">
        <f t="shared" si="49"/>
        <v>3.9529810075248077E-2</v>
      </c>
      <c r="AF48" s="376">
        <f>AF18-AF47</f>
        <v>80177966</v>
      </c>
      <c r="AG48" s="138">
        <f t="shared" si="50"/>
        <v>3.7622373687228212E-2</v>
      </c>
      <c r="AH48" s="398">
        <f>AH18-AH47</f>
        <v>1487834</v>
      </c>
      <c r="AI48" s="176">
        <f t="shared" si="25"/>
        <v>0.18999503250580074</v>
      </c>
      <c r="AJ48" s="376">
        <f>AJ18-AJ47</f>
        <v>21962861</v>
      </c>
      <c r="AK48" s="104">
        <f t="shared" si="36"/>
        <v>0.25642458388855566</v>
      </c>
      <c r="AL48" s="545">
        <f t="shared" si="26"/>
        <v>9510274</v>
      </c>
      <c r="AM48" s="318">
        <f t="shared" si="51"/>
        <v>4.5119968594749794E-2</v>
      </c>
      <c r="AN48" s="537">
        <f t="shared" si="27"/>
        <v>102140827</v>
      </c>
      <c r="AO48" s="137">
        <f t="shared" si="52"/>
        <v>4.6076317344922027E-2</v>
      </c>
      <c r="AP48" s="525">
        <f t="shared" si="28"/>
        <v>41280351</v>
      </c>
      <c r="AQ48" s="305">
        <f t="shared" si="53"/>
        <v>5.6001176546497528E-2</v>
      </c>
      <c r="AR48" s="517">
        <f t="shared" si="29"/>
        <v>359243526</v>
      </c>
      <c r="AS48" s="304">
        <f t="shared" si="54"/>
        <v>5.0260375689942995E-2</v>
      </c>
      <c r="AT48" s="582">
        <f>AT18-AT47</f>
        <v>35310843</v>
      </c>
      <c r="AU48" s="138">
        <f t="shared" si="30"/>
        <v>4.269348717043641E-2</v>
      </c>
      <c r="AV48" s="597">
        <f>AV18-AV47</f>
        <v>501812816</v>
      </c>
      <c r="AW48" s="137">
        <f t="shared" si="31"/>
        <v>6.2300406530944825E-2</v>
      </c>
      <c r="AX48" s="582">
        <f t="shared" si="32"/>
        <v>5969508</v>
      </c>
      <c r="AY48" s="138">
        <f t="shared" si="33"/>
        <v>1.1690559469225925</v>
      </c>
      <c r="AZ48" s="597">
        <f t="shared" si="34"/>
        <v>-142569290</v>
      </c>
      <c r="BA48" s="137">
        <f t="shared" si="35"/>
        <v>0.71589149289483267</v>
      </c>
      <c r="BB48" s="11"/>
    </row>
    <row r="49" spans="1:54" ht="15.95" customHeight="1">
      <c r="A49" s="37" t="s">
        <v>41</v>
      </c>
      <c r="B49" s="710">
        <f>[9]本部!$I$49</f>
        <v>1160045</v>
      </c>
      <c r="C49" s="258" t="str">
        <f t="shared" si="38"/>
        <v/>
      </c>
      <c r="D49" s="727">
        <f>[9]本部!$L$49</f>
        <v>12270584</v>
      </c>
      <c r="E49" s="118" t="str">
        <f t="shared" si="39"/>
        <v/>
      </c>
      <c r="F49" s="351">
        <f>[9]本社営業!$I$49</f>
        <v>0</v>
      </c>
      <c r="G49" s="7">
        <f t="shared" si="40"/>
        <v>0</v>
      </c>
      <c r="H49" s="364">
        <f>[9]本社営業!$L$49</f>
        <v>0</v>
      </c>
      <c r="I49" s="120">
        <f t="shared" si="19"/>
        <v>0</v>
      </c>
      <c r="J49" s="744">
        <f>[9]東大阪!$I$49</f>
        <v>0</v>
      </c>
      <c r="K49" s="7">
        <f t="shared" si="20"/>
        <v>0</v>
      </c>
      <c r="L49" s="364">
        <f>[9]東大阪!$L$49</f>
        <v>0</v>
      </c>
      <c r="M49" s="120">
        <f t="shared" si="37"/>
        <v>0</v>
      </c>
      <c r="N49" s="402">
        <f>[9]南港工場!$I$49</f>
        <v>0</v>
      </c>
      <c r="O49" s="7">
        <f t="shared" si="41"/>
        <v>0</v>
      </c>
      <c r="P49" s="364">
        <f>[9]南港工場!$L$49</f>
        <v>0</v>
      </c>
      <c r="Q49" s="174">
        <f t="shared" si="42"/>
        <v>0</v>
      </c>
      <c r="R49" s="444">
        <f>[9]南港事務!$I$49</f>
        <v>0</v>
      </c>
      <c r="S49" s="7" t="str">
        <f t="shared" si="43"/>
        <v/>
      </c>
      <c r="T49" s="364">
        <f>[9]南港事務!$L$49</f>
        <v>0</v>
      </c>
      <c r="U49" s="203" t="str">
        <f t="shared" si="44"/>
        <v/>
      </c>
      <c r="V49" s="455">
        <f t="shared" si="21"/>
        <v>0</v>
      </c>
      <c r="W49" s="174">
        <f t="shared" si="45"/>
        <v>0</v>
      </c>
      <c r="X49" s="429">
        <f t="shared" si="22"/>
        <v>0</v>
      </c>
      <c r="Y49" s="224">
        <f t="shared" si="46"/>
        <v>0</v>
      </c>
      <c r="Z49" s="459">
        <f t="shared" si="23"/>
        <v>0</v>
      </c>
      <c r="AA49" s="188">
        <f t="shared" si="47"/>
        <v>0</v>
      </c>
      <c r="AB49" s="563">
        <f t="shared" si="24"/>
        <v>0</v>
      </c>
      <c r="AC49" s="119">
        <f t="shared" si="48"/>
        <v>0</v>
      </c>
      <c r="AD49" s="351">
        <f>[9]東京事務!$I$49</f>
        <v>2066</v>
      </c>
      <c r="AE49" s="7">
        <f t="shared" si="49"/>
        <v>1.0180018500040203E-5</v>
      </c>
      <c r="AF49" s="364">
        <f>[9]東京事務!$L$49</f>
        <v>5002</v>
      </c>
      <c r="AG49" s="80">
        <f t="shared" si="50"/>
        <v>2.3471175757129521E-6</v>
      </c>
      <c r="AH49" s="387">
        <f>[9]東京工場!$I$49</f>
        <v>0</v>
      </c>
      <c r="AI49" s="174">
        <f t="shared" si="25"/>
        <v>0</v>
      </c>
      <c r="AJ49" s="364">
        <f>[9]東京工場!$L$49</f>
        <v>0</v>
      </c>
      <c r="AK49" s="102">
        <f t="shared" si="36"/>
        <v>0</v>
      </c>
      <c r="AL49" s="546">
        <f t="shared" si="26"/>
        <v>2066</v>
      </c>
      <c r="AM49" s="313">
        <f t="shared" si="51"/>
        <v>9.8018054071578875E-6</v>
      </c>
      <c r="AN49" s="477">
        <f t="shared" si="27"/>
        <v>5002</v>
      </c>
      <c r="AO49" s="119">
        <f t="shared" si="52"/>
        <v>2.2564311072133769E-6</v>
      </c>
      <c r="AP49" s="526">
        <f t="shared" si="28"/>
        <v>1162111</v>
      </c>
      <c r="AQ49" s="282">
        <f t="shared" si="53"/>
        <v>1.5765268875166975E-3</v>
      </c>
      <c r="AR49" s="486">
        <f t="shared" si="29"/>
        <v>12275586</v>
      </c>
      <c r="AS49" s="283">
        <f t="shared" si="54"/>
        <v>1.7174298756164768E-3</v>
      </c>
      <c r="AT49" s="586">
        <f>[9]全社合計!$G$49</f>
        <v>647760</v>
      </c>
      <c r="AU49" s="120">
        <f t="shared" si="30"/>
        <v>7.8319096628539535E-4</v>
      </c>
      <c r="AV49" s="577">
        <f>[9]全社合計!$N$49</f>
        <v>8801937</v>
      </c>
      <c r="AW49" s="121">
        <f t="shared" si="31"/>
        <v>1.0927665373930285E-3</v>
      </c>
      <c r="AX49" s="586">
        <f t="shared" si="32"/>
        <v>514351</v>
      </c>
      <c r="AY49" s="120">
        <f t="shared" si="33"/>
        <v>1.7940456341855009</v>
      </c>
      <c r="AZ49" s="577">
        <f t="shared" si="34"/>
        <v>3473649</v>
      </c>
      <c r="BA49" s="121">
        <f t="shared" si="35"/>
        <v>1.3946459739486887</v>
      </c>
      <c r="BB49" s="11"/>
    </row>
    <row r="50" spans="1:54" ht="15.95" customHeight="1">
      <c r="A50" s="37" t="s">
        <v>42</v>
      </c>
      <c r="B50" s="703">
        <f>[9]本部!$I$50</f>
        <v>0</v>
      </c>
      <c r="C50" s="259" t="str">
        <f t="shared" si="38"/>
        <v/>
      </c>
      <c r="D50" s="728">
        <f>[9]本部!$L$50</f>
        <v>0</v>
      </c>
      <c r="E50" s="122" t="str">
        <f t="shared" si="39"/>
        <v/>
      </c>
      <c r="F50" s="352">
        <f>[9]本社営業!$I$50</f>
        <v>0</v>
      </c>
      <c r="G50" s="9">
        <f t="shared" si="40"/>
        <v>0</v>
      </c>
      <c r="H50" s="362">
        <f>[9]本社営業!$L$50</f>
        <v>0</v>
      </c>
      <c r="I50" s="124">
        <f t="shared" si="19"/>
        <v>0</v>
      </c>
      <c r="J50" s="745">
        <f>[9]東大阪!$I$50</f>
        <v>0</v>
      </c>
      <c r="K50" s="9">
        <f t="shared" si="20"/>
        <v>0</v>
      </c>
      <c r="L50" s="362">
        <f>[9]東大阪!$L$50</f>
        <v>0</v>
      </c>
      <c r="M50" s="124">
        <f t="shared" si="37"/>
        <v>0</v>
      </c>
      <c r="N50" s="403">
        <f>[9]南港工場!$I$50</f>
        <v>0</v>
      </c>
      <c r="O50" s="9">
        <f t="shared" si="41"/>
        <v>0</v>
      </c>
      <c r="P50" s="362">
        <f>[9]南港工場!$L$50</f>
        <v>0</v>
      </c>
      <c r="Q50" s="171">
        <f t="shared" si="42"/>
        <v>0</v>
      </c>
      <c r="R50" s="445">
        <f>[9]南港事務!$I$50</f>
        <v>0</v>
      </c>
      <c r="S50" s="9" t="str">
        <f t="shared" si="43"/>
        <v/>
      </c>
      <c r="T50" s="362">
        <f>[9]南港事務!$L$50</f>
        <v>0</v>
      </c>
      <c r="U50" s="204" t="str">
        <f t="shared" si="44"/>
        <v/>
      </c>
      <c r="V50" s="456">
        <f t="shared" si="21"/>
        <v>0</v>
      </c>
      <c r="W50" s="171">
        <f t="shared" si="45"/>
        <v>0</v>
      </c>
      <c r="X50" s="426">
        <f t="shared" si="22"/>
        <v>0</v>
      </c>
      <c r="Y50" s="225">
        <f t="shared" si="46"/>
        <v>0</v>
      </c>
      <c r="Z50" s="460">
        <f t="shared" si="23"/>
        <v>0</v>
      </c>
      <c r="AA50" s="189">
        <f t="shared" si="47"/>
        <v>0</v>
      </c>
      <c r="AB50" s="564">
        <f t="shared" si="24"/>
        <v>0</v>
      </c>
      <c r="AC50" s="123">
        <f t="shared" si="48"/>
        <v>0</v>
      </c>
      <c r="AD50" s="352">
        <f>[9]東京事務!$I$50</f>
        <v>0</v>
      </c>
      <c r="AE50" s="9">
        <f t="shared" si="49"/>
        <v>0</v>
      </c>
      <c r="AF50" s="362">
        <f>[9]東京事務!$L$50</f>
        <v>0</v>
      </c>
      <c r="AG50" s="81">
        <f t="shared" si="50"/>
        <v>0</v>
      </c>
      <c r="AH50" s="388">
        <f>[9]東京工場!$I$50</f>
        <v>0</v>
      </c>
      <c r="AI50" s="171">
        <f t="shared" si="25"/>
        <v>0</v>
      </c>
      <c r="AJ50" s="362">
        <f>[9]東京工場!$L$50</f>
        <v>0</v>
      </c>
      <c r="AK50" s="99">
        <f t="shared" si="36"/>
        <v>0</v>
      </c>
      <c r="AL50" s="547">
        <f t="shared" si="26"/>
        <v>0</v>
      </c>
      <c r="AM50" s="314">
        <f t="shared" si="51"/>
        <v>0</v>
      </c>
      <c r="AN50" s="478">
        <f t="shared" si="27"/>
        <v>0</v>
      </c>
      <c r="AO50" s="123">
        <f t="shared" si="52"/>
        <v>0</v>
      </c>
      <c r="AP50" s="527">
        <f t="shared" si="28"/>
        <v>0</v>
      </c>
      <c r="AQ50" s="284">
        <f t="shared" si="53"/>
        <v>0</v>
      </c>
      <c r="AR50" s="487">
        <f t="shared" si="29"/>
        <v>0</v>
      </c>
      <c r="AS50" s="285">
        <f t="shared" si="54"/>
        <v>0</v>
      </c>
      <c r="AT50" s="584">
        <f>[9]全社合計!$G$50</f>
        <v>0</v>
      </c>
      <c r="AU50" s="124">
        <f t="shared" si="30"/>
        <v>0</v>
      </c>
      <c r="AV50" s="578">
        <f>[9]全社合計!$N$50</f>
        <v>1065084</v>
      </c>
      <c r="AW50" s="125">
        <f t="shared" si="31"/>
        <v>1.322309117541646E-4</v>
      </c>
      <c r="AX50" s="584">
        <f t="shared" si="32"/>
        <v>0</v>
      </c>
      <c r="AY50" s="124" t="str">
        <f t="shared" si="33"/>
        <v/>
      </c>
      <c r="AZ50" s="578">
        <f t="shared" si="34"/>
        <v>-1065084</v>
      </c>
      <c r="BA50" s="125">
        <f t="shared" si="35"/>
        <v>0</v>
      </c>
      <c r="BB50" s="11"/>
    </row>
    <row r="51" spans="1:54" ht="15.95" customHeight="1">
      <c r="A51" s="37" t="s">
        <v>43</v>
      </c>
      <c r="B51" s="703">
        <f>[9]本部!$I$51</f>
        <v>1063000</v>
      </c>
      <c r="C51" s="259" t="str">
        <f t="shared" si="38"/>
        <v/>
      </c>
      <c r="D51" s="728">
        <f>[9]本部!$L$51</f>
        <v>9567000</v>
      </c>
      <c r="E51" s="122" t="str">
        <f t="shared" si="39"/>
        <v/>
      </c>
      <c r="F51" s="352">
        <f>[9]本社営業!$I$51</f>
        <v>0</v>
      </c>
      <c r="G51" s="9">
        <f t="shared" si="40"/>
        <v>0</v>
      </c>
      <c r="H51" s="362">
        <f>[9]本社営業!$L$51</f>
        <v>0</v>
      </c>
      <c r="I51" s="124">
        <f t="shared" si="19"/>
        <v>0</v>
      </c>
      <c r="J51" s="745">
        <f>[9]東大阪!$I$51</f>
        <v>850000</v>
      </c>
      <c r="K51" s="9">
        <f t="shared" si="20"/>
        <v>0.10072970971830759</v>
      </c>
      <c r="L51" s="362">
        <f>[9]東大阪!$L$51</f>
        <v>7650000</v>
      </c>
      <c r="M51" s="124">
        <f t="shared" si="37"/>
        <v>9.3588944437087818E-2</v>
      </c>
      <c r="N51" s="403">
        <f>[9]南港工場!$I$51</f>
        <v>100000</v>
      </c>
      <c r="O51" s="9">
        <f t="shared" si="41"/>
        <v>4.5636344054223281E-3</v>
      </c>
      <c r="P51" s="362">
        <f>[9]南港工場!$L$51</f>
        <v>900000</v>
      </c>
      <c r="Q51" s="171">
        <f t="shared" si="42"/>
        <v>3.7784361324895029E-3</v>
      </c>
      <c r="R51" s="445">
        <f>[9]南港事務!$I$51</f>
        <v>0</v>
      </c>
      <c r="S51" s="9" t="str">
        <f t="shared" si="43"/>
        <v/>
      </c>
      <c r="T51" s="362">
        <f>[9]南港事務!$L$51</f>
        <v>0</v>
      </c>
      <c r="U51" s="204" t="str">
        <f t="shared" si="44"/>
        <v/>
      </c>
      <c r="V51" s="456">
        <f t="shared" si="21"/>
        <v>100000</v>
      </c>
      <c r="W51" s="171">
        <f t="shared" si="45"/>
        <v>4.5636344054223281E-3</v>
      </c>
      <c r="X51" s="426">
        <f t="shared" si="22"/>
        <v>900000</v>
      </c>
      <c r="Y51" s="225">
        <f t="shared" si="46"/>
        <v>3.7784361324895029E-3</v>
      </c>
      <c r="Z51" s="460">
        <f t="shared" si="23"/>
        <v>950000</v>
      </c>
      <c r="AA51" s="189">
        <f t="shared" si="47"/>
        <v>1.8048616216204427E-3</v>
      </c>
      <c r="AB51" s="564">
        <f t="shared" si="24"/>
        <v>8550000</v>
      </c>
      <c r="AC51" s="123">
        <f t="shared" si="48"/>
        <v>1.7339724925755349E-3</v>
      </c>
      <c r="AD51" s="352">
        <f>[9]東京事務!$I$51</f>
        <v>0</v>
      </c>
      <c r="AE51" s="9">
        <f t="shared" si="49"/>
        <v>0</v>
      </c>
      <c r="AF51" s="362">
        <f>[9]東京事務!$L$51</f>
        <v>0</v>
      </c>
      <c r="AG51" s="81">
        <f t="shared" si="50"/>
        <v>0</v>
      </c>
      <c r="AH51" s="388">
        <f>[9]東京工場!$I$51</f>
        <v>0</v>
      </c>
      <c r="AI51" s="171">
        <f t="shared" si="25"/>
        <v>0</v>
      </c>
      <c r="AJ51" s="362">
        <f>[9]東京工場!$L$51</f>
        <v>0</v>
      </c>
      <c r="AK51" s="99">
        <f t="shared" si="36"/>
        <v>0</v>
      </c>
      <c r="AL51" s="547">
        <f t="shared" si="26"/>
        <v>0</v>
      </c>
      <c r="AM51" s="314">
        <f t="shared" si="51"/>
        <v>0</v>
      </c>
      <c r="AN51" s="478">
        <f t="shared" si="27"/>
        <v>0</v>
      </c>
      <c r="AO51" s="123">
        <f t="shared" si="52"/>
        <v>0</v>
      </c>
      <c r="AP51" s="527">
        <f t="shared" si="28"/>
        <v>2013000</v>
      </c>
      <c r="AQ51" s="284">
        <f t="shared" si="53"/>
        <v>2.7308481070836711E-3</v>
      </c>
      <c r="AR51" s="487">
        <f t="shared" si="29"/>
        <v>18117000</v>
      </c>
      <c r="AS51" s="285">
        <f t="shared" si="54"/>
        <v>2.5346795710236326E-3</v>
      </c>
      <c r="AT51" s="584">
        <f>[9]全社合計!$G$51</f>
        <v>2013000</v>
      </c>
      <c r="AU51" s="124">
        <f t="shared" si="30"/>
        <v>2.4338696664389604E-3</v>
      </c>
      <c r="AV51" s="578">
        <f>[9]全社合計!$N$51</f>
        <v>17911000</v>
      </c>
      <c r="AW51" s="125">
        <f t="shared" si="31"/>
        <v>2.223662979097275E-3</v>
      </c>
      <c r="AX51" s="584">
        <f t="shared" si="32"/>
        <v>0</v>
      </c>
      <c r="AY51" s="124">
        <f t="shared" si="33"/>
        <v>1</v>
      </c>
      <c r="AZ51" s="578">
        <f t="shared" si="34"/>
        <v>206000</v>
      </c>
      <c r="BA51" s="125">
        <f t="shared" si="35"/>
        <v>1.0115013120428786</v>
      </c>
      <c r="BB51" s="11"/>
    </row>
    <row r="52" spans="1:54" ht="15.95" customHeight="1">
      <c r="A52" s="37" t="s">
        <v>44</v>
      </c>
      <c r="B52" s="703">
        <f>[9]本部!$I$52</f>
        <v>0</v>
      </c>
      <c r="C52" s="259" t="str">
        <f t="shared" si="38"/>
        <v/>
      </c>
      <c r="D52" s="728">
        <f>[9]本部!$L$52</f>
        <v>0</v>
      </c>
      <c r="E52" s="122" t="str">
        <f t="shared" si="39"/>
        <v/>
      </c>
      <c r="F52" s="352">
        <f>[9]本社営業!$I$52</f>
        <v>0</v>
      </c>
      <c r="G52" s="9">
        <f t="shared" si="40"/>
        <v>0</v>
      </c>
      <c r="H52" s="362">
        <f>[9]本社営業!$L$52</f>
        <v>0</v>
      </c>
      <c r="I52" s="124">
        <f t="shared" si="19"/>
        <v>0</v>
      </c>
      <c r="J52" s="745">
        <f>[9]東大阪!$I$52</f>
        <v>0</v>
      </c>
      <c r="K52" s="9">
        <f t="shared" si="20"/>
        <v>0</v>
      </c>
      <c r="L52" s="362">
        <f>[9]東大阪!$L$52</f>
        <v>0</v>
      </c>
      <c r="M52" s="124">
        <f t="shared" si="37"/>
        <v>0</v>
      </c>
      <c r="N52" s="403">
        <f>[9]南港工場!$I$52</f>
        <v>0</v>
      </c>
      <c r="O52" s="9">
        <f t="shared" si="41"/>
        <v>0</v>
      </c>
      <c r="P52" s="362">
        <f>[9]南港工場!$L$52</f>
        <v>0</v>
      </c>
      <c r="Q52" s="171">
        <f t="shared" si="42"/>
        <v>0</v>
      </c>
      <c r="R52" s="445">
        <f>[9]南港事務!$I$52</f>
        <v>0</v>
      </c>
      <c r="S52" s="9" t="str">
        <f t="shared" si="43"/>
        <v/>
      </c>
      <c r="T52" s="362">
        <f>[9]南港事務!$L$52</f>
        <v>0</v>
      </c>
      <c r="U52" s="204" t="str">
        <f t="shared" si="44"/>
        <v/>
      </c>
      <c r="V52" s="456">
        <f t="shared" si="21"/>
        <v>0</v>
      </c>
      <c r="W52" s="171">
        <f t="shared" si="45"/>
        <v>0</v>
      </c>
      <c r="X52" s="426">
        <f t="shared" si="22"/>
        <v>0</v>
      </c>
      <c r="Y52" s="225">
        <f t="shared" si="46"/>
        <v>0</v>
      </c>
      <c r="Z52" s="460">
        <f t="shared" si="23"/>
        <v>0</v>
      </c>
      <c r="AA52" s="189">
        <f t="shared" si="47"/>
        <v>0</v>
      </c>
      <c r="AB52" s="564">
        <f t="shared" si="24"/>
        <v>0</v>
      </c>
      <c r="AC52" s="123">
        <f t="shared" si="48"/>
        <v>0</v>
      </c>
      <c r="AD52" s="352">
        <f>[9]東京事務!$I$52</f>
        <v>0</v>
      </c>
      <c r="AE52" s="9">
        <f t="shared" si="49"/>
        <v>0</v>
      </c>
      <c r="AF52" s="362">
        <f>[9]東京事務!$L$52</f>
        <v>0</v>
      </c>
      <c r="AG52" s="81">
        <f t="shared" si="50"/>
        <v>0</v>
      </c>
      <c r="AH52" s="388">
        <f>[9]東京工場!$I$52</f>
        <v>0</v>
      </c>
      <c r="AI52" s="171">
        <f t="shared" si="25"/>
        <v>0</v>
      </c>
      <c r="AJ52" s="362">
        <f>[9]東京工場!$L$52</f>
        <v>0</v>
      </c>
      <c r="AK52" s="99">
        <f t="shared" si="36"/>
        <v>0</v>
      </c>
      <c r="AL52" s="547">
        <f t="shared" si="26"/>
        <v>0</v>
      </c>
      <c r="AM52" s="314">
        <f t="shared" si="51"/>
        <v>0</v>
      </c>
      <c r="AN52" s="478">
        <f t="shared" si="27"/>
        <v>0</v>
      </c>
      <c r="AO52" s="123">
        <f t="shared" si="52"/>
        <v>0</v>
      </c>
      <c r="AP52" s="527">
        <f t="shared" si="28"/>
        <v>0</v>
      </c>
      <c r="AQ52" s="284">
        <f t="shared" si="53"/>
        <v>0</v>
      </c>
      <c r="AR52" s="487">
        <f t="shared" si="29"/>
        <v>0</v>
      </c>
      <c r="AS52" s="285">
        <f t="shared" si="54"/>
        <v>0</v>
      </c>
      <c r="AT52" s="584">
        <f>[9]全社合計!$G$52</f>
        <v>0</v>
      </c>
      <c r="AU52" s="124">
        <f t="shared" si="30"/>
        <v>0</v>
      </c>
      <c r="AV52" s="578">
        <f>[9]全社合計!$N$52</f>
        <v>0</v>
      </c>
      <c r="AW52" s="125">
        <f t="shared" si="31"/>
        <v>0</v>
      </c>
      <c r="AX52" s="584">
        <f t="shared" si="32"/>
        <v>0</v>
      </c>
      <c r="AY52" s="124" t="str">
        <f t="shared" si="33"/>
        <v/>
      </c>
      <c r="AZ52" s="578">
        <f t="shared" si="34"/>
        <v>0</v>
      </c>
      <c r="BA52" s="125" t="str">
        <f t="shared" si="35"/>
        <v/>
      </c>
      <c r="BB52" s="11"/>
    </row>
    <row r="53" spans="1:54" ht="15.95" customHeight="1">
      <c r="A53" s="35" t="s">
        <v>45</v>
      </c>
      <c r="B53" s="704">
        <f>[9]本部!$I$53</f>
        <v>0</v>
      </c>
      <c r="C53" s="260" t="str">
        <f t="shared" si="38"/>
        <v/>
      </c>
      <c r="D53" s="729">
        <f>[9]本部!$L$53</f>
        <v>1260812</v>
      </c>
      <c r="E53" s="126" t="str">
        <f t="shared" si="39"/>
        <v/>
      </c>
      <c r="F53" s="353">
        <f>[9]本社営業!$I$53</f>
        <v>7693451</v>
      </c>
      <c r="G53" s="12">
        <f t="shared" si="40"/>
        <v>1.5510822364947115E-2</v>
      </c>
      <c r="H53" s="363">
        <f>[9]本社営業!$L$53</f>
        <v>97342904</v>
      </c>
      <c r="I53" s="128">
        <f t="shared" si="19"/>
        <v>2.1111293344625994E-2</v>
      </c>
      <c r="J53" s="746">
        <f>[9]東大阪!$I$53</f>
        <v>50000</v>
      </c>
      <c r="K53" s="12">
        <f t="shared" si="20"/>
        <v>5.9252770422533879E-3</v>
      </c>
      <c r="L53" s="363">
        <f>[9]東大阪!$L$53</f>
        <v>500000</v>
      </c>
      <c r="M53" s="128">
        <f t="shared" si="37"/>
        <v>6.1169244730122762E-3</v>
      </c>
      <c r="N53" s="404">
        <f>[9]南港工場!$I$53</f>
        <v>1</v>
      </c>
      <c r="O53" s="12">
        <f t="shared" si="41"/>
        <v>4.563634405422328E-8</v>
      </c>
      <c r="P53" s="363">
        <f>[9]南港工場!$L$53</f>
        <v>169</v>
      </c>
      <c r="Q53" s="172">
        <f t="shared" si="42"/>
        <v>7.0950634043413992E-7</v>
      </c>
      <c r="R53" s="446">
        <f>[9]南港事務!$I$53</f>
        <v>0</v>
      </c>
      <c r="S53" s="12" t="str">
        <f t="shared" si="43"/>
        <v/>
      </c>
      <c r="T53" s="363">
        <f>[9]南港事務!$L$53</f>
        <v>0</v>
      </c>
      <c r="U53" s="205" t="str">
        <f t="shared" si="44"/>
        <v/>
      </c>
      <c r="V53" s="457">
        <f t="shared" si="21"/>
        <v>1</v>
      </c>
      <c r="W53" s="172">
        <f t="shared" si="45"/>
        <v>4.563634405422328E-8</v>
      </c>
      <c r="X53" s="427">
        <f t="shared" si="22"/>
        <v>169</v>
      </c>
      <c r="Y53" s="226">
        <f t="shared" si="46"/>
        <v>7.0950634043413992E-7</v>
      </c>
      <c r="Z53" s="461">
        <f t="shared" si="23"/>
        <v>7743452</v>
      </c>
      <c r="AA53" s="190">
        <f t="shared" si="47"/>
        <v>1.4711430877536905E-2</v>
      </c>
      <c r="AB53" s="565">
        <f t="shared" si="24"/>
        <v>97843073</v>
      </c>
      <c r="AC53" s="127">
        <f t="shared" si="48"/>
        <v>1.9842947037550879E-2</v>
      </c>
      <c r="AD53" s="353">
        <f>[9]東京事務!$I$53</f>
        <v>235571</v>
      </c>
      <c r="AE53" s="12">
        <f t="shared" si="49"/>
        <v>1.1607536970343517E-3</v>
      </c>
      <c r="AF53" s="363">
        <f>[9]東京事務!$L$53</f>
        <v>542732</v>
      </c>
      <c r="AG53" s="82">
        <f t="shared" si="50"/>
        <v>2.5466929550216756E-4</v>
      </c>
      <c r="AH53" s="389">
        <f>[9]東京工場!$I$53</f>
        <v>231076</v>
      </c>
      <c r="AI53" s="172">
        <f t="shared" si="25"/>
        <v>2.9508192534456405E-2</v>
      </c>
      <c r="AJ53" s="363">
        <f>[9]東京工場!$L$53</f>
        <v>637199</v>
      </c>
      <c r="AK53" s="100">
        <f t="shared" si="36"/>
        <v>7.4395356975215472E-3</v>
      </c>
      <c r="AL53" s="548">
        <f t="shared" si="26"/>
        <v>466647</v>
      </c>
      <c r="AM53" s="315">
        <f t="shared" si="51"/>
        <v>2.213931794692162E-3</v>
      </c>
      <c r="AN53" s="479">
        <f t="shared" si="27"/>
        <v>1179931</v>
      </c>
      <c r="AO53" s="127">
        <f t="shared" si="52"/>
        <v>5.3227369307584703E-4</v>
      </c>
      <c r="AP53" s="528">
        <f t="shared" si="28"/>
        <v>8210099</v>
      </c>
      <c r="AQ53" s="286">
        <f t="shared" si="53"/>
        <v>1.1137870498320686E-2</v>
      </c>
      <c r="AR53" s="488">
        <f t="shared" si="29"/>
        <v>100283816</v>
      </c>
      <c r="AS53" s="287">
        <f t="shared" si="54"/>
        <v>1.4030321781723957E-2</v>
      </c>
      <c r="AT53" s="585">
        <f>[9]全社合計!$G$53</f>
        <v>9999804</v>
      </c>
      <c r="AU53" s="128">
        <f t="shared" si="30"/>
        <v>1.2090521423713353E-2</v>
      </c>
      <c r="AV53" s="579">
        <f>[9]全社合計!$N$53</f>
        <v>76105404</v>
      </c>
      <c r="AW53" s="129">
        <f t="shared" si="31"/>
        <v>9.4485382940115957E-3</v>
      </c>
      <c r="AX53" s="585">
        <f t="shared" si="32"/>
        <v>-1789705</v>
      </c>
      <c r="AY53" s="128">
        <f t="shared" si="33"/>
        <v>0.82102599210944538</v>
      </c>
      <c r="AZ53" s="579">
        <f t="shared" si="34"/>
        <v>24178412</v>
      </c>
      <c r="BA53" s="129">
        <f t="shared" si="35"/>
        <v>1.3176963885508051</v>
      </c>
      <c r="BB53" s="11"/>
    </row>
    <row r="54" spans="1:54" ht="15.95" customHeight="1">
      <c r="A54" s="62" t="s">
        <v>46</v>
      </c>
      <c r="B54" s="708">
        <f>SUM(B49:B53)</f>
        <v>2223045</v>
      </c>
      <c r="C54" s="141" t="str">
        <f t="shared" si="38"/>
        <v/>
      </c>
      <c r="D54" s="730">
        <f>SUM(D49:D53)</f>
        <v>23098396</v>
      </c>
      <c r="E54" s="139" t="str">
        <f t="shared" si="39"/>
        <v/>
      </c>
      <c r="F54" s="466">
        <f>SUM(F49:F53)</f>
        <v>7693451</v>
      </c>
      <c r="G54" s="64">
        <f t="shared" si="40"/>
        <v>1.5510822364947115E-2</v>
      </c>
      <c r="H54" s="401">
        <f>SUM(H49:H53)</f>
        <v>97342904</v>
      </c>
      <c r="I54" s="141">
        <f t="shared" si="19"/>
        <v>2.1111293344625994E-2</v>
      </c>
      <c r="J54" s="747">
        <f>SUM(J49:J53)</f>
        <v>900000</v>
      </c>
      <c r="K54" s="64">
        <f t="shared" si="20"/>
        <v>0.10665498676056098</v>
      </c>
      <c r="L54" s="401">
        <f>SUM(L49:L53)</f>
        <v>8150000</v>
      </c>
      <c r="M54" s="141">
        <f t="shared" si="37"/>
        <v>9.9705868910100096E-2</v>
      </c>
      <c r="N54" s="405">
        <f>SUM(N49:N53)</f>
        <v>100001</v>
      </c>
      <c r="O54" s="64">
        <f t="shared" si="41"/>
        <v>4.5636800417663817E-3</v>
      </c>
      <c r="P54" s="401">
        <f>SUM(P49:P53)</f>
        <v>900169</v>
      </c>
      <c r="Q54" s="177">
        <f t="shared" si="42"/>
        <v>3.7791456388299367E-3</v>
      </c>
      <c r="R54" s="442">
        <f>SUM(R49:R53)</f>
        <v>0</v>
      </c>
      <c r="S54" s="64" t="str">
        <f t="shared" si="43"/>
        <v/>
      </c>
      <c r="T54" s="401">
        <f>SUM(T49:T53)</f>
        <v>0</v>
      </c>
      <c r="U54" s="209" t="str">
        <f t="shared" si="44"/>
        <v/>
      </c>
      <c r="V54" s="458">
        <f t="shared" si="21"/>
        <v>100001</v>
      </c>
      <c r="W54" s="177">
        <f t="shared" si="45"/>
        <v>4.5636800417663817E-3</v>
      </c>
      <c r="X54" s="428">
        <f t="shared" si="22"/>
        <v>900169</v>
      </c>
      <c r="Y54" s="230">
        <f t="shared" si="46"/>
        <v>3.7791456388299367E-3</v>
      </c>
      <c r="Z54" s="458">
        <f t="shared" si="23"/>
        <v>8693452</v>
      </c>
      <c r="AA54" s="194">
        <f t="shared" si="47"/>
        <v>1.6516292499157349E-2</v>
      </c>
      <c r="AB54" s="428">
        <f t="shared" si="24"/>
        <v>106393073</v>
      </c>
      <c r="AC54" s="140">
        <f t="shared" si="48"/>
        <v>2.1576919530126415E-2</v>
      </c>
      <c r="AD54" s="466">
        <f>SUM(AD49:AD53)</f>
        <v>237637</v>
      </c>
      <c r="AE54" s="64">
        <f t="shared" si="49"/>
        <v>1.1709337155343918E-3</v>
      </c>
      <c r="AF54" s="401">
        <f>SUM(AF49:AF53)</f>
        <v>547734</v>
      </c>
      <c r="AG54" s="85">
        <f t="shared" si="50"/>
        <v>2.5701641307788049E-4</v>
      </c>
      <c r="AH54" s="390">
        <f>SUM(AH49:AH53)</f>
        <v>231076</v>
      </c>
      <c r="AI54" s="177">
        <f t="shared" si="25"/>
        <v>2.9508192534456405E-2</v>
      </c>
      <c r="AJ54" s="401">
        <f>SUM(AJ49:AJ53)</f>
        <v>637199</v>
      </c>
      <c r="AK54" s="105">
        <f t="shared" si="36"/>
        <v>7.4395356975215472E-3</v>
      </c>
      <c r="AL54" s="549">
        <f t="shared" si="26"/>
        <v>468713</v>
      </c>
      <c r="AM54" s="319">
        <f t="shared" si="51"/>
        <v>2.2237336000993199E-3</v>
      </c>
      <c r="AN54" s="480">
        <f t="shared" si="27"/>
        <v>1184933</v>
      </c>
      <c r="AO54" s="140">
        <f t="shared" si="52"/>
        <v>5.3453012418306039E-4</v>
      </c>
      <c r="AP54" s="529">
        <f t="shared" si="28"/>
        <v>11385210</v>
      </c>
      <c r="AQ54" s="141">
        <f t="shared" si="53"/>
        <v>1.5445245492921054E-2</v>
      </c>
      <c r="AR54" s="428">
        <f t="shared" si="29"/>
        <v>130676402</v>
      </c>
      <c r="AS54" s="140">
        <f t="shared" si="54"/>
        <v>1.8282431228364066E-2</v>
      </c>
      <c r="AT54" s="529">
        <f>SUM(AT49:AT53)</f>
        <v>12660564</v>
      </c>
      <c r="AU54" s="141">
        <f t="shared" si="30"/>
        <v>1.5307582056437709E-2</v>
      </c>
      <c r="AV54" s="410">
        <f>SUM(AV49:AV53)</f>
        <v>103883425</v>
      </c>
      <c r="AW54" s="140">
        <f t="shared" si="31"/>
        <v>1.2897198722256063E-2</v>
      </c>
      <c r="AX54" s="529">
        <f t="shared" si="32"/>
        <v>-1275354</v>
      </c>
      <c r="AY54" s="141">
        <f t="shared" si="33"/>
        <v>0.89926562513328789</v>
      </c>
      <c r="AZ54" s="410">
        <f t="shared" si="34"/>
        <v>26792977</v>
      </c>
      <c r="BA54" s="140">
        <f t="shared" si="35"/>
        <v>1.2579138779839036</v>
      </c>
      <c r="BB54" s="11"/>
    </row>
    <row r="55" spans="1:54" ht="15.95" customHeight="1">
      <c r="A55" s="37" t="s">
        <v>47</v>
      </c>
      <c r="B55" s="710">
        <f>[9]本部!$I$55</f>
        <v>454444</v>
      </c>
      <c r="C55" s="258" t="str">
        <f t="shared" si="38"/>
        <v/>
      </c>
      <c r="D55" s="727">
        <f>[9]本部!$L$55</f>
        <v>5234910</v>
      </c>
      <c r="E55" s="118" t="str">
        <f t="shared" si="39"/>
        <v/>
      </c>
      <c r="F55" s="351">
        <f>[9]本社営業!$I$55</f>
        <v>261269</v>
      </c>
      <c r="G55" s="7">
        <f t="shared" si="40"/>
        <v>5.267463259943252E-4</v>
      </c>
      <c r="H55" s="361">
        <f>[9]本社営業!$L$55</f>
        <v>2375712</v>
      </c>
      <c r="I55" s="120">
        <f t="shared" si="19"/>
        <v>5.1523378565270775E-4</v>
      </c>
      <c r="J55" s="744">
        <f>[9]東大阪!$I$55</f>
        <v>0</v>
      </c>
      <c r="K55" s="7">
        <f t="shared" si="20"/>
        <v>0</v>
      </c>
      <c r="L55" s="361">
        <f>[9]東大阪!$L$55</f>
        <v>0</v>
      </c>
      <c r="M55" s="120">
        <f t="shared" si="37"/>
        <v>0</v>
      </c>
      <c r="N55" s="402">
        <f>[9]南港工場!$I$55</f>
        <v>0</v>
      </c>
      <c r="O55" s="7">
        <f t="shared" si="41"/>
        <v>0</v>
      </c>
      <c r="P55" s="361">
        <f>[9]南港工場!$L$55</f>
        <v>0</v>
      </c>
      <c r="Q55" s="174">
        <f t="shared" si="42"/>
        <v>0</v>
      </c>
      <c r="R55" s="444">
        <f>[9]南港事務!$I$55</f>
        <v>0</v>
      </c>
      <c r="S55" s="7" t="str">
        <f t="shared" si="43"/>
        <v/>
      </c>
      <c r="T55" s="361">
        <f>[9]南港事務!$L$55</f>
        <v>0</v>
      </c>
      <c r="U55" s="203" t="str">
        <f t="shared" si="44"/>
        <v/>
      </c>
      <c r="V55" s="455">
        <f t="shared" si="21"/>
        <v>0</v>
      </c>
      <c r="W55" s="174">
        <f t="shared" si="45"/>
        <v>0</v>
      </c>
      <c r="X55" s="425">
        <f t="shared" si="22"/>
        <v>0</v>
      </c>
      <c r="Y55" s="224">
        <f t="shared" si="46"/>
        <v>0</v>
      </c>
      <c r="Z55" s="459">
        <f t="shared" si="23"/>
        <v>261269</v>
      </c>
      <c r="AA55" s="188">
        <f t="shared" si="47"/>
        <v>4.9637304317805416E-4</v>
      </c>
      <c r="AB55" s="563">
        <f t="shared" si="24"/>
        <v>2375712</v>
      </c>
      <c r="AC55" s="119">
        <f t="shared" si="48"/>
        <v>4.8180342202124081E-4</v>
      </c>
      <c r="AD55" s="351">
        <f>[9]東京事務!$I$55</f>
        <v>0</v>
      </c>
      <c r="AE55" s="7">
        <f t="shared" si="49"/>
        <v>0</v>
      </c>
      <c r="AF55" s="361">
        <f>[9]東京事務!$L$55</f>
        <v>0</v>
      </c>
      <c r="AG55" s="80">
        <f t="shared" si="50"/>
        <v>0</v>
      </c>
      <c r="AH55" s="387">
        <f>[9]東京工場!$I$55</f>
        <v>0</v>
      </c>
      <c r="AI55" s="174">
        <f t="shared" si="25"/>
        <v>0</v>
      </c>
      <c r="AJ55" s="361">
        <f>[9]東京工場!$L$55</f>
        <v>0</v>
      </c>
      <c r="AK55" s="102">
        <f t="shared" si="36"/>
        <v>0</v>
      </c>
      <c r="AL55" s="546">
        <f t="shared" si="26"/>
        <v>0</v>
      </c>
      <c r="AM55" s="313">
        <f t="shared" si="51"/>
        <v>0</v>
      </c>
      <c r="AN55" s="477">
        <f t="shared" si="27"/>
        <v>0</v>
      </c>
      <c r="AO55" s="119">
        <f t="shared" si="52"/>
        <v>0</v>
      </c>
      <c r="AP55" s="526">
        <f t="shared" si="28"/>
        <v>715713</v>
      </c>
      <c r="AQ55" s="282">
        <f t="shared" si="53"/>
        <v>9.7094063152765797E-4</v>
      </c>
      <c r="AR55" s="486">
        <f t="shared" si="29"/>
        <v>7610622</v>
      </c>
      <c r="AS55" s="283">
        <f t="shared" si="54"/>
        <v>1.0647727607320759E-3</v>
      </c>
      <c r="AT55" s="583">
        <f>[9]全社合計!$G$55</f>
        <v>834564</v>
      </c>
      <c r="AU55" s="120">
        <f t="shared" si="30"/>
        <v>1.0090511695489141E-3</v>
      </c>
      <c r="AV55" s="577">
        <f>[9]全社合計!$N$55</f>
        <v>7628071</v>
      </c>
      <c r="AW55" s="121">
        <f t="shared" si="31"/>
        <v>9.4703026545840717E-4</v>
      </c>
      <c r="AX55" s="583">
        <f t="shared" si="32"/>
        <v>-118851</v>
      </c>
      <c r="AY55" s="120">
        <f t="shared" si="33"/>
        <v>0.85758911239880942</v>
      </c>
      <c r="AZ55" s="577">
        <f t="shared" si="34"/>
        <v>-17449</v>
      </c>
      <c r="BA55" s="121">
        <f t="shared" si="35"/>
        <v>0.99771252784616193</v>
      </c>
      <c r="BB55" s="11"/>
    </row>
    <row r="56" spans="1:54" ht="15.95" customHeight="1">
      <c r="A56" s="37" t="s">
        <v>97</v>
      </c>
      <c r="B56" s="711">
        <f>[9]本部!$I$56</f>
        <v>0</v>
      </c>
      <c r="C56" s="336" t="str">
        <f>IF(ISERR(B56/$B$11),"",B56/$B$11)</f>
        <v/>
      </c>
      <c r="D56" s="731">
        <f>[9]本部!$L$56</f>
        <v>0</v>
      </c>
      <c r="E56" s="337" t="str">
        <f>IF(ISERR(D56/$D$11),"",D56/$D$11)</f>
        <v/>
      </c>
      <c r="F56" s="365">
        <f>[9]本社営業!$I$56</f>
        <v>0</v>
      </c>
      <c r="G56" s="338">
        <f>IF(ISERR(F56/$F$11),"",F56/$F$11)</f>
        <v>0</v>
      </c>
      <c r="H56" s="366">
        <f>[9]本社営業!$L$56</f>
        <v>0</v>
      </c>
      <c r="I56" s="339">
        <f>IF(ISERR(H56/$H$11),"",H56/$H$11)</f>
        <v>0</v>
      </c>
      <c r="J56" s="751">
        <f>[9]東大阪!$I$56</f>
        <v>0</v>
      </c>
      <c r="K56" s="338">
        <f>IF(ISERR(J56/$J$11),"",J56/$J$11)</f>
        <v>0</v>
      </c>
      <c r="L56" s="366">
        <f>[9]東大阪!$L$56</f>
        <v>0</v>
      </c>
      <c r="M56" s="339">
        <f t="shared" si="37"/>
        <v>0</v>
      </c>
      <c r="N56" s="413">
        <f>[9]南港工場!$I$56</f>
        <v>0</v>
      </c>
      <c r="O56" s="338">
        <f>IF(ISERR(N56/$N$11),"",N56/$N$11)</f>
        <v>0</v>
      </c>
      <c r="P56" s="366">
        <f>[9]南港工場!$L$56</f>
        <v>0</v>
      </c>
      <c r="Q56" s="340">
        <f>IF(ISERR(P56/$P$11),"",P56/$P$11)</f>
        <v>0</v>
      </c>
      <c r="R56" s="447">
        <f>[9]南港事務!$I$56</f>
        <v>0</v>
      </c>
      <c r="S56" s="338" t="str">
        <f>IF(ISERR(R56/$R$11),"",R56/$R$11)</f>
        <v/>
      </c>
      <c r="T56" s="366">
        <f>[9]南港事務!$L$56</f>
        <v>0</v>
      </c>
      <c r="U56" s="341" t="str">
        <f>IF(ISERR(T56/$T$11),"",T56/$T$11)</f>
        <v/>
      </c>
      <c r="V56" s="491">
        <f>N56+R56</f>
        <v>0</v>
      </c>
      <c r="W56" s="340">
        <f>IF(ISERR(V56/$V$11),"",V56/$V$11)</f>
        <v>0</v>
      </c>
      <c r="X56" s="430">
        <f>P56+T56</f>
        <v>0</v>
      </c>
      <c r="Y56" s="342">
        <f>IF(ISERR(X56/$X$11),"",X56/$X$11)</f>
        <v>0</v>
      </c>
      <c r="Z56" s="570">
        <f>F56+J56+N56+R56</f>
        <v>0</v>
      </c>
      <c r="AA56" s="343">
        <f>IF(ISERR(Z56/$Z$11),"",Z56/$Z$11)</f>
        <v>0</v>
      </c>
      <c r="AB56" s="566">
        <f>H56+L56+P56+T56</f>
        <v>0</v>
      </c>
      <c r="AC56" s="344">
        <f>IF(ISERR(AB56/$AB$11),"",AB56/$AB$11)</f>
        <v>0</v>
      </c>
      <c r="AD56" s="365">
        <f>[9]東京事務!$I$56</f>
        <v>0</v>
      </c>
      <c r="AE56" s="338">
        <f>IF(ISERR(AD56/$AD$11),"",AD56/$AD$11)</f>
        <v>0</v>
      </c>
      <c r="AF56" s="366">
        <f>[9]東京事務!$L$56</f>
        <v>0</v>
      </c>
      <c r="AG56" s="345">
        <f>IF(ISERR(AF56/$AF$11),"",AF56/$AF$11)</f>
        <v>0</v>
      </c>
      <c r="AH56" s="393">
        <f>[9]東京工場!$I$56</f>
        <v>0</v>
      </c>
      <c r="AI56" s="340">
        <f>IF(ISERR(AH56/$AH$11),"",AH56/$AH$11)</f>
        <v>0</v>
      </c>
      <c r="AJ56" s="366">
        <f>[9]東京工場!$L$56</f>
        <v>0</v>
      </c>
      <c r="AK56" s="346">
        <f>IF(ISERR(AJ56/$AJ$11),"",AJ56/$AJ$11)</f>
        <v>0</v>
      </c>
      <c r="AL56" s="550">
        <f>AD56+AH56</f>
        <v>0</v>
      </c>
      <c r="AM56" s="347">
        <f>IF(ISERR(AL56/$AL$11),"",AL56/AL$11)</f>
        <v>0</v>
      </c>
      <c r="AN56" s="538">
        <f>AF56+AJ56</f>
        <v>0</v>
      </c>
      <c r="AO56" s="344">
        <f>IF(ISERR(AN56/$AN$11),"",AN56/$AN$11)</f>
        <v>0</v>
      </c>
      <c r="AP56" s="530">
        <f>B56+Z56+AL56</f>
        <v>0</v>
      </c>
      <c r="AQ56" s="348">
        <f>IF(ISERR(AP56/$AP$11),"",AP56/$AP$11)</f>
        <v>0</v>
      </c>
      <c r="AR56" s="518">
        <f>D56+AB56+AN56</f>
        <v>0</v>
      </c>
      <c r="AS56" s="349">
        <f>IF(ISERR(AR56/$AR$11),"",AR56/$AR$11)</f>
        <v>0</v>
      </c>
      <c r="AT56" s="587">
        <f>[9]全社合計!$G$56</f>
        <v>0</v>
      </c>
      <c r="AU56" s="339">
        <f>IF(ISERR(AT56/$AT$11),"",AT56/$AT$11)</f>
        <v>0</v>
      </c>
      <c r="AV56" s="598">
        <f>[9]全社合計!$N$56</f>
        <v>0</v>
      </c>
      <c r="AW56" s="350">
        <f>IF(ISERR(AV56/$AV$11),"",AV56/$AV$11)</f>
        <v>0</v>
      </c>
      <c r="AX56" s="587">
        <f>AP56-AT56</f>
        <v>0</v>
      </c>
      <c r="AY56" s="339" t="str">
        <f>IF(ISERROR(AP56/AT56),"",AP56/AT56)</f>
        <v/>
      </c>
      <c r="AZ56" s="598">
        <f>AR56-AV56</f>
        <v>0</v>
      </c>
      <c r="BA56" s="350" t="str">
        <f>IF(ISERROR(AR56/AV56),"",AR56/AV56)</f>
        <v/>
      </c>
      <c r="BB56" s="11"/>
    </row>
    <row r="57" spans="1:54" ht="15.95" customHeight="1">
      <c r="A57" s="37" t="s">
        <v>58</v>
      </c>
      <c r="B57" s="703">
        <f>[9]本部!$I$57</f>
        <v>0</v>
      </c>
      <c r="C57" s="259" t="str">
        <f>IF(ISERR(B57/$B$11),"",B57/$B$11)</f>
        <v/>
      </c>
      <c r="D57" s="728">
        <f>[9]本部!$L$57</f>
        <v>0</v>
      </c>
      <c r="E57" s="122" t="str">
        <f t="shared" si="39"/>
        <v/>
      </c>
      <c r="F57" s="352">
        <f>[9]本社営業!$I$57</f>
        <v>0</v>
      </c>
      <c r="G57" s="9">
        <f t="shared" si="40"/>
        <v>0</v>
      </c>
      <c r="H57" s="362">
        <f>[9]本社営業!$L$57</f>
        <v>0</v>
      </c>
      <c r="I57" s="124">
        <f t="shared" si="19"/>
        <v>0</v>
      </c>
      <c r="J57" s="745">
        <f>[9]東大阪!$I$57</f>
        <v>0</v>
      </c>
      <c r="K57" s="9">
        <f t="shared" si="20"/>
        <v>0</v>
      </c>
      <c r="L57" s="362">
        <f>[9]東大阪!$L$57</f>
        <v>0</v>
      </c>
      <c r="M57" s="124">
        <f t="shared" si="37"/>
        <v>0</v>
      </c>
      <c r="N57" s="403">
        <f>[9]南港工場!$I$57</f>
        <v>0</v>
      </c>
      <c r="O57" s="9">
        <f t="shared" si="41"/>
        <v>0</v>
      </c>
      <c r="P57" s="362">
        <f>[9]南港工場!$L$57</f>
        <v>0</v>
      </c>
      <c r="Q57" s="171">
        <f t="shared" si="42"/>
        <v>0</v>
      </c>
      <c r="R57" s="445">
        <f>[9]南港事務!$I$57</f>
        <v>0</v>
      </c>
      <c r="S57" s="9" t="str">
        <f t="shared" si="43"/>
        <v/>
      </c>
      <c r="T57" s="362">
        <f>[9]南港事務!$L$57</f>
        <v>0</v>
      </c>
      <c r="U57" s="204" t="str">
        <f t="shared" si="44"/>
        <v/>
      </c>
      <c r="V57" s="456">
        <f t="shared" si="21"/>
        <v>0</v>
      </c>
      <c r="W57" s="171">
        <f t="shared" si="45"/>
        <v>0</v>
      </c>
      <c r="X57" s="426">
        <f t="shared" si="22"/>
        <v>0</v>
      </c>
      <c r="Y57" s="225">
        <f t="shared" si="46"/>
        <v>0</v>
      </c>
      <c r="Z57" s="460">
        <f t="shared" si="23"/>
        <v>0</v>
      </c>
      <c r="AA57" s="189">
        <f t="shared" si="47"/>
        <v>0</v>
      </c>
      <c r="AB57" s="564">
        <f t="shared" si="24"/>
        <v>0</v>
      </c>
      <c r="AC57" s="123">
        <f t="shared" si="48"/>
        <v>0</v>
      </c>
      <c r="AD57" s="352">
        <f>[9]東京事務!$I$57</f>
        <v>0</v>
      </c>
      <c r="AE57" s="9">
        <f t="shared" si="49"/>
        <v>0</v>
      </c>
      <c r="AF57" s="362">
        <f>[9]東京事務!$L$57</f>
        <v>0</v>
      </c>
      <c r="AG57" s="81">
        <f t="shared" si="50"/>
        <v>0</v>
      </c>
      <c r="AH57" s="388">
        <f>[9]東京工場!$I$57</f>
        <v>0</v>
      </c>
      <c r="AI57" s="171">
        <f t="shared" si="25"/>
        <v>0</v>
      </c>
      <c r="AJ57" s="362">
        <f>[9]東京工場!$L$57</f>
        <v>0</v>
      </c>
      <c r="AK57" s="99">
        <f t="shared" si="36"/>
        <v>0</v>
      </c>
      <c r="AL57" s="547">
        <f t="shared" si="26"/>
        <v>0</v>
      </c>
      <c r="AM57" s="314">
        <f t="shared" si="51"/>
        <v>0</v>
      </c>
      <c r="AN57" s="478">
        <f t="shared" si="27"/>
        <v>0</v>
      </c>
      <c r="AO57" s="123">
        <f t="shared" si="52"/>
        <v>0</v>
      </c>
      <c r="AP57" s="527">
        <f>B57+Z57+AL57</f>
        <v>0</v>
      </c>
      <c r="AQ57" s="284">
        <f t="shared" si="53"/>
        <v>0</v>
      </c>
      <c r="AR57" s="487">
        <f t="shared" si="29"/>
        <v>0</v>
      </c>
      <c r="AS57" s="285">
        <f t="shared" si="54"/>
        <v>0</v>
      </c>
      <c r="AT57" s="584">
        <f>[9]全社合計!$G$57</f>
        <v>0</v>
      </c>
      <c r="AU57" s="124">
        <f t="shared" si="30"/>
        <v>0</v>
      </c>
      <c r="AV57" s="578">
        <f>[9]全社合計!$N$57</f>
        <v>0</v>
      </c>
      <c r="AW57" s="125">
        <f t="shared" si="31"/>
        <v>0</v>
      </c>
      <c r="AX57" s="584">
        <f t="shared" si="32"/>
        <v>0</v>
      </c>
      <c r="AY57" s="124" t="str">
        <f t="shared" si="33"/>
        <v/>
      </c>
      <c r="AZ57" s="578">
        <f t="shared" si="34"/>
        <v>0</v>
      </c>
      <c r="BA57" s="125" t="str">
        <f t="shared" si="35"/>
        <v/>
      </c>
      <c r="BB57" s="11"/>
    </row>
    <row r="58" spans="1:54" ht="15.95" customHeight="1">
      <c r="A58" s="37" t="s">
        <v>98</v>
      </c>
      <c r="B58" s="703">
        <f>[9]本部!$I$58</f>
        <v>0</v>
      </c>
      <c r="C58" s="259" t="str">
        <f t="shared" si="38"/>
        <v/>
      </c>
      <c r="D58" s="728">
        <f>[9]本部!$L$58</f>
        <v>0</v>
      </c>
      <c r="E58" s="122" t="str">
        <f t="shared" si="39"/>
        <v/>
      </c>
      <c r="F58" s="352">
        <f>[9]本社営業!$I$58</f>
        <v>0</v>
      </c>
      <c r="G58" s="9">
        <f t="shared" si="40"/>
        <v>0</v>
      </c>
      <c r="H58" s="362">
        <f>[9]本社営業!$L$58</f>
        <v>0</v>
      </c>
      <c r="I58" s="124">
        <f t="shared" si="19"/>
        <v>0</v>
      </c>
      <c r="J58" s="745">
        <f>[9]東大阪!$I$58</f>
        <v>0</v>
      </c>
      <c r="K58" s="9">
        <f t="shared" si="20"/>
        <v>0</v>
      </c>
      <c r="L58" s="362">
        <f>[9]東大阪!$L$58</f>
        <v>0</v>
      </c>
      <c r="M58" s="124">
        <f t="shared" si="37"/>
        <v>0</v>
      </c>
      <c r="N58" s="403">
        <f>[9]南港工場!$I$58</f>
        <v>0</v>
      </c>
      <c r="O58" s="9">
        <f t="shared" si="41"/>
        <v>0</v>
      </c>
      <c r="P58" s="362">
        <f>[9]南港工場!$L$58</f>
        <v>0</v>
      </c>
      <c r="Q58" s="171">
        <f t="shared" si="42"/>
        <v>0</v>
      </c>
      <c r="R58" s="445">
        <f>[9]南港事務!$I$58</f>
        <v>0</v>
      </c>
      <c r="S58" s="9" t="str">
        <f t="shared" si="43"/>
        <v/>
      </c>
      <c r="T58" s="362">
        <f>[9]南港事務!$L$58</f>
        <v>0</v>
      </c>
      <c r="U58" s="204" t="str">
        <f t="shared" si="44"/>
        <v/>
      </c>
      <c r="V58" s="456">
        <f t="shared" si="21"/>
        <v>0</v>
      </c>
      <c r="W58" s="171">
        <f t="shared" si="45"/>
        <v>0</v>
      </c>
      <c r="X58" s="426">
        <f t="shared" si="22"/>
        <v>0</v>
      </c>
      <c r="Y58" s="225">
        <f t="shared" si="46"/>
        <v>0</v>
      </c>
      <c r="Z58" s="460">
        <f>F58+J58+N58+R58</f>
        <v>0</v>
      </c>
      <c r="AA58" s="189">
        <f>IF(ISERR(Z58/$Z$11),"",Z58/$Z$11)</f>
        <v>0</v>
      </c>
      <c r="AB58" s="564">
        <f>H58+L58+P58+T58</f>
        <v>0</v>
      </c>
      <c r="AC58" s="123">
        <f>IF(ISERR(AB58/$AB$11),"",AB58/$AB$11)</f>
        <v>0</v>
      </c>
      <c r="AD58" s="352">
        <f>[9]東京事務!$I$58</f>
        <v>0</v>
      </c>
      <c r="AE58" s="9">
        <f>IF(ISERR(AD58/$AD$11),"",AD58/$AD$11)</f>
        <v>0</v>
      </c>
      <c r="AF58" s="362">
        <f>[9]東京事務!$L$58</f>
        <v>0</v>
      </c>
      <c r="AG58" s="81">
        <f>IF(ISERR(AF58/$AF$11),"",AF58/$AF$11)</f>
        <v>0</v>
      </c>
      <c r="AH58" s="388">
        <f>[9]東京工場!$I$58</f>
        <v>0</v>
      </c>
      <c r="AI58" s="171">
        <f>IF(ISERR(AH58/$AH$11),"",AH58/$AH$11)</f>
        <v>0</v>
      </c>
      <c r="AJ58" s="362">
        <f>[9]東京工場!$L$58</f>
        <v>0</v>
      </c>
      <c r="AK58" s="99">
        <f>IF(ISERR(AJ58/$AJ$11),"",AJ58/$AJ$11)</f>
        <v>0</v>
      </c>
      <c r="AL58" s="547">
        <f>AD58+AH58</f>
        <v>0</v>
      </c>
      <c r="AM58" s="314">
        <f>IF(ISERR(AL58/$AL$11),"",AL58/AL$11)</f>
        <v>0</v>
      </c>
      <c r="AN58" s="478">
        <f>AF58+AJ58</f>
        <v>0</v>
      </c>
      <c r="AO58" s="123">
        <f>IF(ISERR(AN58/$AN$11),"",AN58/$AN$11)</f>
        <v>0</v>
      </c>
      <c r="AP58" s="527">
        <f>B58+Z58+AL58</f>
        <v>0</v>
      </c>
      <c r="AQ58" s="284">
        <f>IF(ISERR(AP58/$AP$11),"",AP58/$AP$11)</f>
        <v>0</v>
      </c>
      <c r="AR58" s="487">
        <f>D58+AB58+AN58</f>
        <v>0</v>
      </c>
      <c r="AS58" s="285">
        <f>IF(ISERR(AR58/$AR$11),"",AR58/$AR$11)</f>
        <v>0</v>
      </c>
      <c r="AT58" s="584">
        <f>[9]全社合計!$G$58</f>
        <v>0</v>
      </c>
      <c r="AU58" s="124">
        <f>IF(ISERR(AT58/$AT$11),"",AT58/$AT$11)</f>
        <v>0</v>
      </c>
      <c r="AV58" s="578">
        <f>[9]全社合計!$N$58</f>
        <v>402213</v>
      </c>
      <c r="AW58" s="125">
        <f>IF(ISERR(AV58/$AV$11),"",AV58/$AV$11)</f>
        <v>4.9935020814675466E-5</v>
      </c>
      <c r="AX58" s="584">
        <f t="shared" si="32"/>
        <v>0</v>
      </c>
      <c r="AY58" s="124" t="str">
        <f>IF(ISERROR(AP58/AT58),"",AP58/AT58)</f>
        <v/>
      </c>
      <c r="AZ58" s="578">
        <f>AR58-AV58</f>
        <v>-402213</v>
      </c>
      <c r="BA58" s="125">
        <f>IF(ISERROR(AR58/AV58),"",AR58/AV58)</f>
        <v>0</v>
      </c>
      <c r="BB58" s="11"/>
    </row>
    <row r="59" spans="1:54" ht="15.95" customHeight="1">
      <c r="A59" s="37" t="s">
        <v>95</v>
      </c>
      <c r="B59" s="703">
        <f>[9]本部!$I$59</f>
        <v>0</v>
      </c>
      <c r="C59" s="259" t="str">
        <f t="shared" si="38"/>
        <v/>
      </c>
      <c r="D59" s="728">
        <f>[9]本部!$L$59</f>
        <v>0</v>
      </c>
      <c r="E59" s="122" t="str">
        <f t="shared" si="39"/>
        <v/>
      </c>
      <c r="F59" s="352">
        <f>[9]本社営業!$I$59</f>
        <v>0</v>
      </c>
      <c r="G59" s="9">
        <f t="shared" si="40"/>
        <v>0</v>
      </c>
      <c r="H59" s="362">
        <f>[9]本社営業!$L$59</f>
        <v>0</v>
      </c>
      <c r="I59" s="124">
        <f t="shared" si="19"/>
        <v>0</v>
      </c>
      <c r="J59" s="745">
        <f>[9]東大阪!$I$59</f>
        <v>0</v>
      </c>
      <c r="K59" s="9">
        <f t="shared" si="20"/>
        <v>0</v>
      </c>
      <c r="L59" s="362">
        <f>[9]東大阪!$L$59</f>
        <v>0</v>
      </c>
      <c r="M59" s="124">
        <f t="shared" si="37"/>
        <v>0</v>
      </c>
      <c r="N59" s="403">
        <f>[9]南港工場!$I$59</f>
        <v>0</v>
      </c>
      <c r="O59" s="9">
        <f t="shared" si="41"/>
        <v>0</v>
      </c>
      <c r="P59" s="362">
        <f>[9]南港工場!$L$59</f>
        <v>0</v>
      </c>
      <c r="Q59" s="171">
        <f t="shared" si="42"/>
        <v>0</v>
      </c>
      <c r="R59" s="445">
        <f>[9]南港事務!$I$59</f>
        <v>0</v>
      </c>
      <c r="S59" s="9" t="str">
        <f t="shared" si="43"/>
        <v/>
      </c>
      <c r="T59" s="362">
        <f>[9]南港事務!$L$59</f>
        <v>0</v>
      </c>
      <c r="U59" s="204" t="str">
        <f t="shared" si="44"/>
        <v/>
      </c>
      <c r="V59" s="456">
        <f t="shared" si="21"/>
        <v>0</v>
      </c>
      <c r="W59" s="171">
        <f t="shared" si="45"/>
        <v>0</v>
      </c>
      <c r="X59" s="426">
        <f t="shared" si="22"/>
        <v>0</v>
      </c>
      <c r="Y59" s="225">
        <f t="shared" si="46"/>
        <v>0</v>
      </c>
      <c r="Z59" s="460">
        <f>F59+J59+N59+R59</f>
        <v>0</v>
      </c>
      <c r="AA59" s="189">
        <f>IF(ISERR(Z59/$Z$11),"",Z59/$Z$11)</f>
        <v>0</v>
      </c>
      <c r="AB59" s="564">
        <f>H59+L59+P59+T59</f>
        <v>0</v>
      </c>
      <c r="AC59" s="123">
        <f>IF(ISERR(AB59/$AB$11),"",AB59/$AB$11)</f>
        <v>0</v>
      </c>
      <c r="AD59" s="352">
        <f>[9]東京事務!$I$59</f>
        <v>0</v>
      </c>
      <c r="AE59" s="9">
        <f>IF(ISERR(AD59/$AD$11),"",AD59/$AD$11)</f>
        <v>0</v>
      </c>
      <c r="AF59" s="362">
        <f>[9]東京事務!$L$59</f>
        <v>0</v>
      </c>
      <c r="AG59" s="81">
        <f>IF(ISERR(AF59/$AF$11),"",AF59/$AF$11)</f>
        <v>0</v>
      </c>
      <c r="AH59" s="388">
        <f>[9]東京工場!$I$59</f>
        <v>0</v>
      </c>
      <c r="AI59" s="171">
        <f>IF(ISERR(AH59/$AH$11),"",AH59/$AH$11)</f>
        <v>0</v>
      </c>
      <c r="AJ59" s="362">
        <f>[9]東京工場!$L$59</f>
        <v>0</v>
      </c>
      <c r="AK59" s="99">
        <f>IF(ISERR(AJ59/$AJ$11),"",AJ59/$AJ$11)</f>
        <v>0</v>
      </c>
      <c r="AL59" s="547">
        <f>AD59+AH59</f>
        <v>0</v>
      </c>
      <c r="AM59" s="314">
        <f>IF(ISERR(AL59/$AL$11),"",AL59/AL$11)</f>
        <v>0</v>
      </c>
      <c r="AN59" s="478">
        <f>AF59+AJ59</f>
        <v>0</v>
      </c>
      <c r="AO59" s="123">
        <f>IF(ISERR(AN59/$AN$11),"",AN59/$AN$11)</f>
        <v>0</v>
      </c>
      <c r="AP59" s="527">
        <f>B59+Z59+AL59</f>
        <v>0</v>
      </c>
      <c r="AQ59" s="284">
        <f>IF(ISERR(AP59/$AP$11),"",AP59/$AP$11)</f>
        <v>0</v>
      </c>
      <c r="AR59" s="487">
        <f>D59+AB59+AN59</f>
        <v>0</v>
      </c>
      <c r="AS59" s="285">
        <f>IF(ISERR(AR59/$AR$11),"",AR59/$AR$11)</f>
        <v>0</v>
      </c>
      <c r="AT59" s="584">
        <f>[9]全社合計!$G$59</f>
        <v>0</v>
      </c>
      <c r="AU59" s="124">
        <f>IF(ISERR(AT59/$AT$11),"",AT59/$AT$11)</f>
        <v>0</v>
      </c>
      <c r="AV59" s="578">
        <f>[9]全社合計!$N$59</f>
        <v>0</v>
      </c>
      <c r="AW59" s="125">
        <f>IF(ISERR(AV59/$AV$11),"",AV59/$AV$11)</f>
        <v>0</v>
      </c>
      <c r="AX59" s="584">
        <f t="shared" si="32"/>
        <v>0</v>
      </c>
      <c r="AY59" s="124" t="str">
        <f>IF(ISERROR(AP59/AT59),"",AP59/AT59)</f>
        <v/>
      </c>
      <c r="AZ59" s="578">
        <f>AR59-AV59</f>
        <v>0</v>
      </c>
      <c r="BA59" s="125" t="str">
        <f>IF(ISERROR(AR59/AV59),"",AR59/AV59)</f>
        <v/>
      </c>
      <c r="BB59" s="11"/>
    </row>
    <row r="60" spans="1:54" ht="15.95" customHeight="1">
      <c r="A60" s="37" t="s">
        <v>93</v>
      </c>
      <c r="B60" s="703">
        <f>[9]本部!$I$60</f>
        <v>500000</v>
      </c>
      <c r="C60" s="259" t="str">
        <f>IF(ISERR(B60/$B$11),"",B60/$B$11)</f>
        <v/>
      </c>
      <c r="D60" s="728">
        <f>[9]本部!$L$60</f>
        <v>4500000</v>
      </c>
      <c r="E60" s="122" t="str">
        <f t="shared" si="39"/>
        <v/>
      </c>
      <c r="F60" s="352">
        <f>[9]本社営業!$I$60</f>
        <v>0</v>
      </c>
      <c r="G60" s="9">
        <f t="shared" si="40"/>
        <v>0</v>
      </c>
      <c r="H60" s="362">
        <f>[9]本社営業!$L$60</f>
        <v>0</v>
      </c>
      <c r="I60" s="124">
        <f t="shared" si="19"/>
        <v>0</v>
      </c>
      <c r="J60" s="745">
        <f>[9]東大阪!$I$60</f>
        <v>0</v>
      </c>
      <c r="K60" s="9">
        <f t="shared" si="20"/>
        <v>0</v>
      </c>
      <c r="L60" s="362">
        <f>[9]東大阪!$L$60</f>
        <v>0</v>
      </c>
      <c r="M60" s="124">
        <f t="shared" si="37"/>
        <v>0</v>
      </c>
      <c r="N60" s="403">
        <f>[9]南港工場!$I$60</f>
        <v>0</v>
      </c>
      <c r="O60" s="9">
        <f t="shared" si="41"/>
        <v>0</v>
      </c>
      <c r="P60" s="362">
        <f>[9]南港工場!$L$60</f>
        <v>0</v>
      </c>
      <c r="Q60" s="171">
        <f t="shared" si="42"/>
        <v>0</v>
      </c>
      <c r="R60" s="445">
        <f>[9]南港事務!$I$60</f>
        <v>0</v>
      </c>
      <c r="S60" s="9" t="str">
        <f t="shared" si="43"/>
        <v/>
      </c>
      <c r="T60" s="362">
        <f>[9]南港事務!$L$60</f>
        <v>0</v>
      </c>
      <c r="U60" s="204" t="str">
        <f t="shared" si="44"/>
        <v/>
      </c>
      <c r="V60" s="456">
        <f t="shared" si="21"/>
        <v>0</v>
      </c>
      <c r="W60" s="171">
        <f t="shared" si="45"/>
        <v>0</v>
      </c>
      <c r="X60" s="426">
        <f t="shared" si="22"/>
        <v>0</v>
      </c>
      <c r="Y60" s="225">
        <f t="shared" si="46"/>
        <v>0</v>
      </c>
      <c r="Z60" s="460">
        <f t="shared" si="23"/>
        <v>0</v>
      </c>
      <c r="AA60" s="189">
        <f t="shared" si="47"/>
        <v>0</v>
      </c>
      <c r="AB60" s="564">
        <f t="shared" si="24"/>
        <v>0</v>
      </c>
      <c r="AC60" s="123">
        <f t="shared" si="48"/>
        <v>0</v>
      </c>
      <c r="AD60" s="352">
        <f>[9]東京事務!$I$60</f>
        <v>0</v>
      </c>
      <c r="AE60" s="9">
        <f t="shared" si="49"/>
        <v>0</v>
      </c>
      <c r="AF60" s="362">
        <f>[9]東京事務!$L$60</f>
        <v>0</v>
      </c>
      <c r="AG60" s="81">
        <f t="shared" si="50"/>
        <v>0</v>
      </c>
      <c r="AH60" s="388">
        <f>[9]東京工場!$I$60</f>
        <v>0</v>
      </c>
      <c r="AI60" s="171">
        <f t="shared" si="25"/>
        <v>0</v>
      </c>
      <c r="AJ60" s="362">
        <f>[9]東京工場!$L$60</f>
        <v>0</v>
      </c>
      <c r="AK60" s="99">
        <f t="shared" si="36"/>
        <v>0</v>
      </c>
      <c r="AL60" s="547">
        <f t="shared" si="26"/>
        <v>0</v>
      </c>
      <c r="AM60" s="314">
        <f t="shared" si="51"/>
        <v>0</v>
      </c>
      <c r="AN60" s="478">
        <f t="shared" si="27"/>
        <v>0</v>
      </c>
      <c r="AO60" s="123">
        <f t="shared" si="52"/>
        <v>0</v>
      </c>
      <c r="AP60" s="527">
        <f>B60+Z60+AL60</f>
        <v>500000</v>
      </c>
      <c r="AQ60" s="284">
        <f t="shared" si="53"/>
        <v>6.783030569010609E-4</v>
      </c>
      <c r="AR60" s="487">
        <f t="shared" si="29"/>
        <v>4500000</v>
      </c>
      <c r="AS60" s="285">
        <f t="shared" si="54"/>
        <v>6.2957763810820482E-4</v>
      </c>
      <c r="AT60" s="584">
        <f>[9]全社合計!$G$60</f>
        <v>500000</v>
      </c>
      <c r="AU60" s="124">
        <f t="shared" si="30"/>
        <v>6.0453792012890215E-4</v>
      </c>
      <c r="AV60" s="578">
        <f>[9]全社合計!$N$60</f>
        <v>4500000</v>
      </c>
      <c r="AW60" s="125">
        <f t="shared" si="31"/>
        <v>5.5867809759018133E-4</v>
      </c>
      <c r="AX60" s="584">
        <f t="shared" si="32"/>
        <v>0</v>
      </c>
      <c r="AY60" s="124">
        <f t="shared" si="33"/>
        <v>1</v>
      </c>
      <c r="AZ60" s="578">
        <f t="shared" si="34"/>
        <v>0</v>
      </c>
      <c r="BA60" s="125">
        <f t="shared" si="35"/>
        <v>1</v>
      </c>
      <c r="BB60" s="11"/>
    </row>
    <row r="61" spans="1:54" ht="15.95" customHeight="1">
      <c r="A61" s="35" t="s">
        <v>48</v>
      </c>
      <c r="B61" s="704">
        <f>[9]本部!$I$61</f>
        <v>0</v>
      </c>
      <c r="C61" s="260" t="str">
        <f t="shared" si="38"/>
        <v/>
      </c>
      <c r="D61" s="729">
        <f>[9]本部!$L$61</f>
        <v>7001</v>
      </c>
      <c r="E61" s="126" t="str">
        <f t="shared" si="39"/>
        <v/>
      </c>
      <c r="F61" s="353">
        <f>[9]本社営業!$I$61</f>
        <v>56101</v>
      </c>
      <c r="G61" s="12">
        <f t="shared" si="40"/>
        <v>1.1310563302423036E-4</v>
      </c>
      <c r="H61" s="363">
        <f>[9]本社営業!$L$61</f>
        <v>479151</v>
      </c>
      <c r="I61" s="128">
        <f t="shared" si="19"/>
        <v>1.0391612435736342E-4</v>
      </c>
      <c r="J61" s="746">
        <f>[9]東大阪!$I$61</f>
        <v>0</v>
      </c>
      <c r="K61" s="12">
        <f t="shared" si="20"/>
        <v>0</v>
      </c>
      <c r="L61" s="363">
        <f>[9]東大阪!$L$61</f>
        <v>0</v>
      </c>
      <c r="M61" s="128">
        <f t="shared" si="37"/>
        <v>0</v>
      </c>
      <c r="N61" s="404">
        <f>[9]南港工場!$I$61</f>
        <v>0</v>
      </c>
      <c r="O61" s="12">
        <f t="shared" si="41"/>
        <v>0</v>
      </c>
      <c r="P61" s="363">
        <f>[9]南港工場!$L$61</f>
        <v>6</v>
      </c>
      <c r="Q61" s="172">
        <f t="shared" si="42"/>
        <v>2.5189574216596687E-8</v>
      </c>
      <c r="R61" s="446">
        <f>[9]南港事務!$I$61</f>
        <v>0</v>
      </c>
      <c r="S61" s="12" t="str">
        <f t="shared" si="43"/>
        <v/>
      </c>
      <c r="T61" s="363">
        <f>[9]南港事務!$L$61</f>
        <v>0</v>
      </c>
      <c r="U61" s="205" t="str">
        <f t="shared" si="44"/>
        <v/>
      </c>
      <c r="V61" s="457">
        <f t="shared" si="21"/>
        <v>0</v>
      </c>
      <c r="W61" s="172">
        <f t="shared" si="45"/>
        <v>0</v>
      </c>
      <c r="X61" s="427">
        <f t="shared" si="22"/>
        <v>6</v>
      </c>
      <c r="Y61" s="226">
        <f t="shared" si="46"/>
        <v>2.5189574216596687E-8</v>
      </c>
      <c r="Z61" s="461">
        <f t="shared" si="23"/>
        <v>56101</v>
      </c>
      <c r="AA61" s="190">
        <f t="shared" si="47"/>
        <v>1.0658372824687206E-4</v>
      </c>
      <c r="AB61" s="565">
        <f t="shared" si="24"/>
        <v>479157</v>
      </c>
      <c r="AC61" s="127">
        <f t="shared" si="48"/>
        <v>9.7174860540937487E-5</v>
      </c>
      <c r="AD61" s="353">
        <f>[9]東京事務!$I$61</f>
        <v>2</v>
      </c>
      <c r="AE61" s="12">
        <f t="shared" si="49"/>
        <v>9.8548097773864505E-9</v>
      </c>
      <c r="AF61" s="363">
        <f>[9]東京事務!$L$61</f>
        <v>156</v>
      </c>
      <c r="AG61" s="82">
        <f t="shared" si="50"/>
        <v>7.3200788047025304E-8</v>
      </c>
      <c r="AH61" s="389">
        <f>[9]東京工場!$I$61</f>
        <v>0</v>
      </c>
      <c r="AI61" s="172">
        <f t="shared" si="25"/>
        <v>0</v>
      </c>
      <c r="AJ61" s="363">
        <f>[9]東京工場!$L$61</f>
        <v>0</v>
      </c>
      <c r="AK61" s="100">
        <f t="shared" si="36"/>
        <v>0</v>
      </c>
      <c r="AL61" s="548">
        <f t="shared" si="26"/>
        <v>2</v>
      </c>
      <c r="AM61" s="315">
        <f t="shared" si="51"/>
        <v>9.4886790001528432E-9</v>
      </c>
      <c r="AN61" s="479">
        <f t="shared" si="27"/>
        <v>156</v>
      </c>
      <c r="AO61" s="127">
        <f t="shared" si="52"/>
        <v>7.0372501544439579E-8</v>
      </c>
      <c r="AP61" s="528">
        <f t="shared" si="28"/>
        <v>56103</v>
      </c>
      <c r="AQ61" s="286">
        <f t="shared" si="53"/>
        <v>7.6109672802640436E-5</v>
      </c>
      <c r="AR61" s="488">
        <f t="shared" si="29"/>
        <v>486314</v>
      </c>
      <c r="AS61" s="287">
        <f t="shared" si="54"/>
        <v>6.8038315444211891E-5</v>
      </c>
      <c r="AT61" s="585">
        <f>[9]全社合計!$G$61</f>
        <v>339208</v>
      </c>
      <c r="AU61" s="128">
        <f t="shared" si="30"/>
        <v>4.1012819762216928E-4</v>
      </c>
      <c r="AV61" s="579">
        <f>[9]全社合計!$N$61</f>
        <v>2173600</v>
      </c>
      <c r="AW61" s="129">
        <f t="shared" si="31"/>
        <v>2.6985393620489293E-4</v>
      </c>
      <c r="AX61" s="585">
        <f t="shared" si="32"/>
        <v>-283105</v>
      </c>
      <c r="AY61" s="128">
        <f>IF(ISERROR(AP61/AT61),"",AP61/AT61)</f>
        <v>0.1653940944789038</v>
      </c>
      <c r="AZ61" s="579">
        <f t="shared" si="34"/>
        <v>-1687286</v>
      </c>
      <c r="BA61" s="129">
        <f t="shared" si="35"/>
        <v>0.22373665807876333</v>
      </c>
      <c r="BB61" s="14"/>
    </row>
    <row r="62" spans="1:54" ht="15.95" customHeight="1">
      <c r="A62" s="62" t="s">
        <v>49</v>
      </c>
      <c r="B62" s="708">
        <f>SUM(B55:B61)</f>
        <v>954444</v>
      </c>
      <c r="C62" s="141" t="str">
        <f t="shared" si="38"/>
        <v/>
      </c>
      <c r="D62" s="401">
        <f>SUM(D55:D61)</f>
        <v>9741911</v>
      </c>
      <c r="E62" s="139" t="str">
        <f t="shared" si="39"/>
        <v/>
      </c>
      <c r="F62" s="466">
        <f>SUM(F55:F61)</f>
        <v>317370</v>
      </c>
      <c r="G62" s="64">
        <f t="shared" si="40"/>
        <v>6.3985195901855563E-4</v>
      </c>
      <c r="H62" s="401">
        <f>SUM(H55:H61)</f>
        <v>2854863</v>
      </c>
      <c r="I62" s="141">
        <f t="shared" si="19"/>
        <v>6.1914991001007114E-4</v>
      </c>
      <c r="J62" s="747">
        <f>SUM(J55:J61)</f>
        <v>0</v>
      </c>
      <c r="K62" s="64">
        <f t="shared" si="20"/>
        <v>0</v>
      </c>
      <c r="L62" s="401">
        <f>SUM(L55:L61)</f>
        <v>0</v>
      </c>
      <c r="M62" s="141">
        <f t="shared" si="37"/>
        <v>0</v>
      </c>
      <c r="N62" s="405">
        <f>SUM(N55:N61)</f>
        <v>0</v>
      </c>
      <c r="O62" s="64">
        <f t="shared" si="41"/>
        <v>0</v>
      </c>
      <c r="P62" s="401">
        <f>SUM(P55:P61)</f>
        <v>6</v>
      </c>
      <c r="Q62" s="177">
        <f t="shared" si="42"/>
        <v>2.5189574216596687E-8</v>
      </c>
      <c r="R62" s="442">
        <f>SUM(R55:R61)</f>
        <v>0</v>
      </c>
      <c r="S62" s="64" t="str">
        <f t="shared" si="43"/>
        <v/>
      </c>
      <c r="T62" s="401">
        <f>SUM(T55:T61)</f>
        <v>0</v>
      </c>
      <c r="U62" s="209" t="str">
        <f t="shared" si="44"/>
        <v/>
      </c>
      <c r="V62" s="458">
        <f t="shared" si="21"/>
        <v>0</v>
      </c>
      <c r="W62" s="177">
        <f t="shared" si="45"/>
        <v>0</v>
      </c>
      <c r="X62" s="428">
        <f t="shared" si="22"/>
        <v>6</v>
      </c>
      <c r="Y62" s="230">
        <f t="shared" si="46"/>
        <v>2.5189574216596687E-8</v>
      </c>
      <c r="Z62" s="458">
        <f t="shared" si="23"/>
        <v>317370</v>
      </c>
      <c r="AA62" s="194">
        <f t="shared" si="47"/>
        <v>6.0295677142492619E-4</v>
      </c>
      <c r="AB62" s="428">
        <f t="shared" si="24"/>
        <v>2854869</v>
      </c>
      <c r="AC62" s="140">
        <f t="shared" si="48"/>
        <v>5.7897828256217837E-4</v>
      </c>
      <c r="AD62" s="466">
        <f>SUM(AD55:AD61)</f>
        <v>2</v>
      </c>
      <c r="AE62" s="64">
        <f t="shared" si="49"/>
        <v>9.8548097773864505E-9</v>
      </c>
      <c r="AF62" s="401">
        <f>SUM(AF55:AF61)</f>
        <v>156</v>
      </c>
      <c r="AG62" s="85">
        <f t="shared" si="50"/>
        <v>7.3200788047025304E-8</v>
      </c>
      <c r="AH62" s="390">
        <f>SUM(AH55:AH61)</f>
        <v>0</v>
      </c>
      <c r="AI62" s="177">
        <f t="shared" si="25"/>
        <v>0</v>
      </c>
      <c r="AJ62" s="401">
        <f>SUM(AJ55:AJ61)</f>
        <v>0</v>
      </c>
      <c r="AK62" s="105">
        <f t="shared" si="36"/>
        <v>0</v>
      </c>
      <c r="AL62" s="549">
        <f t="shared" si="26"/>
        <v>2</v>
      </c>
      <c r="AM62" s="319">
        <f t="shared" si="51"/>
        <v>9.4886790001528432E-9</v>
      </c>
      <c r="AN62" s="480">
        <f t="shared" si="27"/>
        <v>156</v>
      </c>
      <c r="AO62" s="140">
        <f t="shared" si="52"/>
        <v>7.0372501544439579E-8</v>
      </c>
      <c r="AP62" s="529">
        <f t="shared" si="28"/>
        <v>1271816</v>
      </c>
      <c r="AQ62" s="141">
        <f t="shared" si="53"/>
        <v>1.7253533612313593E-3</v>
      </c>
      <c r="AR62" s="428">
        <f t="shared" si="29"/>
        <v>12596936</v>
      </c>
      <c r="AS62" s="140">
        <f t="shared" si="54"/>
        <v>1.7623887142844928E-3</v>
      </c>
      <c r="AT62" s="529">
        <f>SUM(AT55:AT61)</f>
        <v>1673772</v>
      </c>
      <c r="AU62" s="141">
        <f t="shared" si="30"/>
        <v>2.0237172872999858E-3</v>
      </c>
      <c r="AV62" s="410">
        <f>SUM(AV55:AV61)</f>
        <v>14703884</v>
      </c>
      <c r="AW62" s="140">
        <f t="shared" si="31"/>
        <v>1.8254973200681568E-3</v>
      </c>
      <c r="AX62" s="529">
        <f t="shared" si="32"/>
        <v>-401956</v>
      </c>
      <c r="AY62" s="141">
        <f t="shared" si="33"/>
        <v>0.7598502065992262</v>
      </c>
      <c r="AZ62" s="410">
        <f t="shared" si="34"/>
        <v>-2106948</v>
      </c>
      <c r="BA62" s="140">
        <f t="shared" si="35"/>
        <v>0.85670806434544777</v>
      </c>
      <c r="BB62" s="11"/>
    </row>
    <row r="63" spans="1:54" ht="15.95" customHeight="1">
      <c r="A63" s="38" t="s">
        <v>59</v>
      </c>
      <c r="B63" s="712">
        <f>[9]本部!$I$63</f>
        <v>-7477801</v>
      </c>
      <c r="C63" s="221" t="str">
        <f t="shared" si="38"/>
        <v/>
      </c>
      <c r="D63" s="732">
        <f>[9]本部!$L$63</f>
        <v>-80644439</v>
      </c>
      <c r="E63" s="142" t="str">
        <f t="shared" si="39"/>
        <v/>
      </c>
      <c r="F63" s="365">
        <f>[9]本社営業!$I$63</f>
        <v>3886202</v>
      </c>
      <c r="G63" s="15">
        <f t="shared" si="40"/>
        <v>7.8350000404632733E-3</v>
      </c>
      <c r="H63" s="367">
        <f>[9]本社営業!$L$63</f>
        <v>41032713</v>
      </c>
      <c r="I63" s="144">
        <f t="shared" si="19"/>
        <v>8.8989911464820125E-3</v>
      </c>
      <c r="J63" s="751">
        <f>[9]東大阪!$I$63</f>
        <v>483846</v>
      </c>
      <c r="K63" s="15">
        <f t="shared" si="20"/>
        <v>5.7338431915722653E-2</v>
      </c>
      <c r="L63" s="367">
        <f>[9]東大阪!$L$63</f>
        <v>4579522</v>
      </c>
      <c r="M63" s="144">
        <f t="shared" si="37"/>
        <v>5.6025180392996247E-2</v>
      </c>
      <c r="N63" s="413">
        <f>[9]南港工場!$I$63</f>
        <v>1012911</v>
      </c>
      <c r="O63" s="15">
        <f t="shared" si="41"/>
        <v>4.6225554892307355E-2</v>
      </c>
      <c r="P63" s="367">
        <f>[9]南港工場!$L$63</f>
        <v>11201955</v>
      </c>
      <c r="Q63" s="178">
        <f t="shared" si="42"/>
        <v>4.7028746140579385E-2</v>
      </c>
      <c r="R63" s="447">
        <f>[9]南港事務!$I$63</f>
        <v>219049</v>
      </c>
      <c r="S63" s="15" t="str">
        <f t="shared" si="43"/>
        <v/>
      </c>
      <c r="T63" s="367">
        <f>[9]南港事務!$L$63</f>
        <v>2169452</v>
      </c>
      <c r="U63" s="210" t="str">
        <f t="shared" si="44"/>
        <v/>
      </c>
      <c r="V63" s="491">
        <f t="shared" si="21"/>
        <v>1231960</v>
      </c>
      <c r="W63" s="178">
        <f t="shared" si="45"/>
        <v>5.6222150421040909E-2</v>
      </c>
      <c r="X63" s="431">
        <f t="shared" si="22"/>
        <v>13371407</v>
      </c>
      <c r="Y63" s="231">
        <f t="shared" si="46"/>
        <v>5.6136674834470074E-2</v>
      </c>
      <c r="Z63" s="570">
        <f t="shared" si="23"/>
        <v>5602008</v>
      </c>
      <c r="AA63" s="195">
        <f t="shared" si="47"/>
        <v>1.0642999203379676E-2</v>
      </c>
      <c r="AB63" s="567">
        <f t="shared" si="24"/>
        <v>58983642</v>
      </c>
      <c r="AC63" s="143">
        <f t="shared" si="48"/>
        <v>1.196210675320737E-2</v>
      </c>
      <c r="AD63" s="365">
        <f>[9]東京事務!$I$63</f>
        <v>1391947</v>
      </c>
      <c r="AE63" s="15">
        <f t="shared" si="49"/>
        <v>6.8586864526018684E-3</v>
      </c>
      <c r="AF63" s="367">
        <f>[9]東京事務!$L$63</f>
        <v>16234381</v>
      </c>
      <c r="AG63" s="86">
        <f t="shared" si="50"/>
        <v>7.6177530939465039E-3</v>
      </c>
      <c r="AH63" s="393">
        <f>[9]東京工場!$I$63</f>
        <v>483846</v>
      </c>
      <c r="AI63" s="178">
        <f t="shared" si="25"/>
        <v>6.1786688903333074E-2</v>
      </c>
      <c r="AJ63" s="367">
        <f>[9]東京工場!$L$63</f>
        <v>5426416</v>
      </c>
      <c r="AK63" s="106">
        <f t="shared" si="36"/>
        <v>6.3355428275314443E-2</v>
      </c>
      <c r="AL63" s="551">
        <f t="shared" si="26"/>
        <v>1875793</v>
      </c>
      <c r="AM63" s="320">
        <f t="shared" si="51"/>
        <v>8.8993988238668508E-3</v>
      </c>
      <c r="AN63" s="538">
        <f t="shared" si="27"/>
        <v>21660797</v>
      </c>
      <c r="AO63" s="143">
        <f t="shared" si="52"/>
        <v>9.7713107072839242E-3</v>
      </c>
      <c r="AP63" s="531">
        <f t="shared" si="28"/>
        <v>0</v>
      </c>
      <c r="AQ63" s="288">
        <f t="shared" si="53"/>
        <v>0</v>
      </c>
      <c r="AR63" s="518">
        <f t="shared" si="29"/>
        <v>0</v>
      </c>
      <c r="AS63" s="289">
        <f t="shared" si="54"/>
        <v>0</v>
      </c>
      <c r="AT63" s="588">
        <f>[9]全社合計!$G$63</f>
        <v>0</v>
      </c>
      <c r="AU63" s="144">
        <f t="shared" si="30"/>
        <v>0</v>
      </c>
      <c r="AV63" s="598">
        <f>[9]全社合計!$N$63</f>
        <v>0</v>
      </c>
      <c r="AW63" s="145">
        <f t="shared" si="31"/>
        <v>0</v>
      </c>
      <c r="AX63" s="588">
        <f t="shared" si="32"/>
        <v>0</v>
      </c>
      <c r="AY63" s="144" t="str">
        <f t="shared" si="33"/>
        <v/>
      </c>
      <c r="AZ63" s="598">
        <f t="shared" si="34"/>
        <v>0</v>
      </c>
      <c r="BA63" s="145" t="str">
        <f t="shared" si="35"/>
        <v/>
      </c>
      <c r="BB63" s="11"/>
    </row>
    <row r="64" spans="1:54" ht="19.899999999999999" customHeight="1">
      <c r="A64" s="57" t="s">
        <v>50</v>
      </c>
      <c r="B64" s="713">
        <f>+B48+B54-B62-B63</f>
        <v>0</v>
      </c>
      <c r="C64" s="146" t="str">
        <f t="shared" si="38"/>
        <v/>
      </c>
      <c r="D64" s="376">
        <f>D48+D54-D62-D63</f>
        <v>0</v>
      </c>
      <c r="E64" s="136" t="str">
        <f t="shared" si="39"/>
        <v/>
      </c>
      <c r="F64" s="375">
        <f>F48+F54-F62-F63</f>
        <v>42261752</v>
      </c>
      <c r="G64" s="56">
        <f t="shared" si="40"/>
        <v>8.5204224749523771E-2</v>
      </c>
      <c r="H64" s="376">
        <f>H48+H54-H62-H63</f>
        <v>388810333</v>
      </c>
      <c r="I64" s="146">
        <f t="shared" si="19"/>
        <v>8.4323444833582492E-2</v>
      </c>
      <c r="J64" s="374">
        <f>J48+J54-J62-J63</f>
        <v>1523011</v>
      </c>
      <c r="K64" s="56">
        <f t="shared" si="20"/>
        <v>0.18048524226798748</v>
      </c>
      <c r="L64" s="376">
        <f>L48+L54-L62-L63</f>
        <v>17998334</v>
      </c>
      <c r="M64" s="146">
        <f t="shared" si="37"/>
        <v>0.22018889943609787</v>
      </c>
      <c r="N64" s="412">
        <f>N48+N54-N62-N63</f>
        <v>3505195</v>
      </c>
      <c r="O64" s="56">
        <f t="shared" si="41"/>
        <v>0.15996428499714316</v>
      </c>
      <c r="P64" s="376">
        <f>P48+P54-P62-P63</f>
        <v>27222048</v>
      </c>
      <c r="Q64" s="176">
        <f t="shared" si="42"/>
        <v>0.11428529973729289</v>
      </c>
      <c r="R64" s="443">
        <f>R48+R54-R62-R63</f>
        <v>-3999405</v>
      </c>
      <c r="S64" s="56" t="str">
        <f t="shared" si="43"/>
        <v/>
      </c>
      <c r="T64" s="376">
        <f>T48+T54-T62-T63</f>
        <v>-38372530</v>
      </c>
      <c r="U64" s="211" t="str">
        <f t="shared" si="44"/>
        <v/>
      </c>
      <c r="V64" s="490">
        <f t="shared" si="21"/>
        <v>-494210</v>
      </c>
      <c r="W64" s="176">
        <f t="shared" si="45"/>
        <v>-2.2553937595037685E-2</v>
      </c>
      <c r="X64" s="424">
        <f t="shared" si="22"/>
        <v>-11150482</v>
      </c>
      <c r="Y64" s="232">
        <f t="shared" si="46"/>
        <v>-4.6812648981637575E-2</v>
      </c>
      <c r="Z64" s="490">
        <f t="shared" si="23"/>
        <v>43290553</v>
      </c>
      <c r="AA64" s="193">
        <f t="shared" si="47"/>
        <v>8.2245744935184967E-2</v>
      </c>
      <c r="AB64" s="424">
        <f t="shared" si="24"/>
        <v>395658185</v>
      </c>
      <c r="AC64" s="185">
        <f t="shared" si="48"/>
        <v>8.0240983538287972E-2</v>
      </c>
      <c r="AD64" s="375">
        <f>AD48+AD54-AD62-AD63</f>
        <v>6868128</v>
      </c>
      <c r="AE64" s="56">
        <f t="shared" si="49"/>
        <v>3.3842047483370823E-2</v>
      </c>
      <c r="AF64" s="376">
        <f>AF48+AF54-AF62-AF63</f>
        <v>64491163</v>
      </c>
      <c r="AG64" s="87">
        <f t="shared" si="50"/>
        <v>3.0261563805571542E-2</v>
      </c>
      <c r="AH64" s="392">
        <f>AH48+AH54-AH62-AH63</f>
        <v>1235064</v>
      </c>
      <c r="AI64" s="176">
        <f t="shared" si="25"/>
        <v>0.15771653613692407</v>
      </c>
      <c r="AJ64" s="376">
        <f>AJ48+AJ54-AJ62-AJ63</f>
        <v>17173644</v>
      </c>
      <c r="AK64" s="104">
        <f t="shared" si="36"/>
        <v>0.20050869131076279</v>
      </c>
      <c r="AL64" s="545">
        <f t="shared" si="26"/>
        <v>8103192</v>
      </c>
      <c r="AM64" s="321">
        <f t="shared" si="51"/>
        <v>3.8444293882303263E-2</v>
      </c>
      <c r="AN64" s="537">
        <f t="shared" si="27"/>
        <v>81664807</v>
      </c>
      <c r="AO64" s="137">
        <f t="shared" si="52"/>
        <v>3.6839466389319613E-2</v>
      </c>
      <c r="AP64" s="525">
        <f t="shared" si="28"/>
        <v>51393745</v>
      </c>
      <c r="AQ64" s="303">
        <f t="shared" si="53"/>
        <v>6.9721068678187226E-2</v>
      </c>
      <c r="AR64" s="517">
        <f t="shared" si="29"/>
        <v>477322992</v>
      </c>
      <c r="AS64" s="304">
        <f t="shared" si="54"/>
        <v>6.6780418204022571E-2</v>
      </c>
      <c r="AT64" s="582">
        <f>AT48+AT54-AT62-AT63</f>
        <v>46297635</v>
      </c>
      <c r="AU64" s="146">
        <f t="shared" si="30"/>
        <v>5.5977351939574135E-2</v>
      </c>
      <c r="AV64" s="597">
        <f>AV48+AV54-AV62-AV63</f>
        <v>590992357</v>
      </c>
      <c r="AW64" s="137">
        <f t="shared" si="31"/>
        <v>7.337210793313273E-2</v>
      </c>
      <c r="AX64" s="582">
        <f t="shared" si="32"/>
        <v>5096110</v>
      </c>
      <c r="AY64" s="146">
        <f t="shared" si="33"/>
        <v>1.1100727931351138</v>
      </c>
      <c r="AZ64" s="597">
        <f t="shared" si="34"/>
        <v>-113669365</v>
      </c>
      <c r="BA64" s="137">
        <f t="shared" si="35"/>
        <v>0.80766356171337084</v>
      </c>
      <c r="BB64" s="11"/>
    </row>
    <row r="65" spans="1:54" ht="15.95" customHeight="1">
      <c r="A65" s="39" t="s">
        <v>51</v>
      </c>
      <c r="B65" s="714">
        <f>[9]本部!$I$65</f>
        <v>0</v>
      </c>
      <c r="C65" s="261" t="str">
        <f t="shared" si="38"/>
        <v/>
      </c>
      <c r="D65" s="733">
        <f>[9]本部!$L$65</f>
        <v>0</v>
      </c>
      <c r="E65" s="142" t="str">
        <f t="shared" si="39"/>
        <v/>
      </c>
      <c r="F65" s="368">
        <f>[9]本社営業!$I$65</f>
        <v>0</v>
      </c>
      <c r="G65" s="15">
        <f t="shared" si="40"/>
        <v>0</v>
      </c>
      <c r="H65" s="370">
        <f>[9]本社営業!$L$65</f>
        <v>0</v>
      </c>
      <c r="I65" s="144">
        <f t="shared" si="19"/>
        <v>0</v>
      </c>
      <c r="J65" s="752">
        <f>[9]東大阪!$I$65</f>
        <v>0</v>
      </c>
      <c r="K65" s="15">
        <f t="shared" si="20"/>
        <v>0</v>
      </c>
      <c r="L65" s="370">
        <f>[9]東大阪!$L$65</f>
        <v>0</v>
      </c>
      <c r="M65" s="144">
        <f t="shared" si="37"/>
        <v>0</v>
      </c>
      <c r="N65" s="414">
        <f>[9]南港工場!$I$65</f>
        <v>0</v>
      </c>
      <c r="O65" s="15">
        <f t="shared" si="41"/>
        <v>0</v>
      </c>
      <c r="P65" s="370">
        <f>[9]南港工場!$L$65</f>
        <v>0</v>
      </c>
      <c r="Q65" s="178">
        <f t="shared" si="42"/>
        <v>0</v>
      </c>
      <c r="R65" s="448">
        <f>[9]南港事務!$I$65</f>
        <v>0</v>
      </c>
      <c r="S65" s="15" t="str">
        <f t="shared" si="43"/>
        <v/>
      </c>
      <c r="T65" s="370">
        <f>[9]南港事務!$L$65</f>
        <v>0</v>
      </c>
      <c r="U65" s="210" t="str">
        <f t="shared" si="44"/>
        <v/>
      </c>
      <c r="V65" s="492">
        <f t="shared" si="21"/>
        <v>0</v>
      </c>
      <c r="W65" s="178">
        <f t="shared" si="45"/>
        <v>0</v>
      </c>
      <c r="X65" s="432">
        <f t="shared" si="22"/>
        <v>0</v>
      </c>
      <c r="Y65" s="231">
        <f t="shared" si="46"/>
        <v>0</v>
      </c>
      <c r="Z65" s="571">
        <f t="shared" si="23"/>
        <v>0</v>
      </c>
      <c r="AA65" s="195">
        <f t="shared" si="47"/>
        <v>0</v>
      </c>
      <c r="AB65" s="568">
        <f t="shared" si="24"/>
        <v>0</v>
      </c>
      <c r="AC65" s="143">
        <f t="shared" si="48"/>
        <v>0</v>
      </c>
      <c r="AD65" s="368">
        <f>[9]東京事務!$I$65</f>
        <v>0</v>
      </c>
      <c r="AE65" s="15">
        <f t="shared" si="49"/>
        <v>0</v>
      </c>
      <c r="AF65" s="370">
        <f>[9]東京事務!$L$65</f>
        <v>0</v>
      </c>
      <c r="AG65" s="86">
        <f t="shared" si="50"/>
        <v>0</v>
      </c>
      <c r="AH65" s="394">
        <f>[9]東京工場!$I$65</f>
        <v>0</v>
      </c>
      <c r="AI65" s="178">
        <f t="shared" si="25"/>
        <v>0</v>
      </c>
      <c r="AJ65" s="370">
        <f>[9]東京工場!$L$65</f>
        <v>0</v>
      </c>
      <c r="AK65" s="106">
        <f t="shared" si="36"/>
        <v>0</v>
      </c>
      <c r="AL65" s="552">
        <f t="shared" si="26"/>
        <v>0</v>
      </c>
      <c r="AM65" s="320">
        <f t="shared" si="51"/>
        <v>0</v>
      </c>
      <c r="AN65" s="539">
        <f t="shared" si="27"/>
        <v>0</v>
      </c>
      <c r="AO65" s="143">
        <f t="shared" si="52"/>
        <v>0</v>
      </c>
      <c r="AP65" s="532">
        <f t="shared" si="28"/>
        <v>0</v>
      </c>
      <c r="AQ65" s="288">
        <f t="shared" si="53"/>
        <v>0</v>
      </c>
      <c r="AR65" s="519">
        <f t="shared" si="29"/>
        <v>0</v>
      </c>
      <c r="AS65" s="289">
        <f t="shared" si="54"/>
        <v>0</v>
      </c>
      <c r="AT65" s="589">
        <f>[9]全社合計!$G$65</f>
        <v>0</v>
      </c>
      <c r="AU65" s="144">
        <f t="shared" si="30"/>
        <v>0</v>
      </c>
      <c r="AV65" s="599">
        <f>[9]全社合計!$N$65</f>
        <v>0</v>
      </c>
      <c r="AW65" s="145">
        <f t="shared" si="31"/>
        <v>0</v>
      </c>
      <c r="AX65" s="589">
        <f t="shared" si="32"/>
        <v>0</v>
      </c>
      <c r="AY65" s="144" t="str">
        <f t="shared" si="33"/>
        <v/>
      </c>
      <c r="AZ65" s="599">
        <f t="shared" si="34"/>
        <v>0</v>
      </c>
      <c r="BA65" s="145" t="str">
        <f t="shared" si="35"/>
        <v/>
      </c>
      <c r="BB65" s="11"/>
    </row>
    <row r="66" spans="1:54" ht="15.95" customHeight="1">
      <c r="A66" s="40" t="s">
        <v>52</v>
      </c>
      <c r="B66" s="715">
        <f>[9]本部!$I$66</f>
        <v>0</v>
      </c>
      <c r="C66" s="262" t="str">
        <f t="shared" si="38"/>
        <v/>
      </c>
      <c r="D66" s="734">
        <f>[9]本部!$L$66</f>
        <v>0</v>
      </c>
      <c r="E66" s="147" t="str">
        <f t="shared" si="39"/>
        <v/>
      </c>
      <c r="F66" s="369">
        <f>[9]本社営業!$I$66</f>
        <v>0</v>
      </c>
      <c r="G66" s="16">
        <f t="shared" si="40"/>
        <v>0</v>
      </c>
      <c r="H66" s="371">
        <f>[9]本社営業!$L$66</f>
        <v>0</v>
      </c>
      <c r="I66" s="149">
        <f t="shared" si="19"/>
        <v>0</v>
      </c>
      <c r="J66" s="753">
        <f>[9]東大阪!$I$66</f>
        <v>0</v>
      </c>
      <c r="K66" s="16">
        <f>IF(ISERR(J66/$J$11),"",J66/$J$11)</f>
        <v>0</v>
      </c>
      <c r="L66" s="371">
        <f>[9]東大阪!$L$66</f>
        <v>0</v>
      </c>
      <c r="M66" s="149">
        <f t="shared" si="37"/>
        <v>0</v>
      </c>
      <c r="N66" s="415">
        <f>[9]南港工場!$I$66</f>
        <v>0</v>
      </c>
      <c r="O66" s="16">
        <f t="shared" si="41"/>
        <v>0</v>
      </c>
      <c r="P66" s="371">
        <f>[9]南港工場!$L$66</f>
        <v>0</v>
      </c>
      <c r="Q66" s="179">
        <f t="shared" si="42"/>
        <v>0</v>
      </c>
      <c r="R66" s="449">
        <f>[9]南港事務!$I$66</f>
        <v>0</v>
      </c>
      <c r="S66" s="16" t="str">
        <f t="shared" si="43"/>
        <v/>
      </c>
      <c r="T66" s="371">
        <f>[9]南港事務!$L$66</f>
        <v>0</v>
      </c>
      <c r="U66" s="212" t="str">
        <f t="shared" si="44"/>
        <v/>
      </c>
      <c r="V66" s="493">
        <f t="shared" si="21"/>
        <v>0</v>
      </c>
      <c r="W66" s="179">
        <f t="shared" si="45"/>
        <v>0</v>
      </c>
      <c r="X66" s="433">
        <f t="shared" si="22"/>
        <v>0</v>
      </c>
      <c r="Y66" s="233">
        <f t="shared" si="46"/>
        <v>0</v>
      </c>
      <c r="Z66" s="572">
        <f t="shared" si="23"/>
        <v>0</v>
      </c>
      <c r="AA66" s="196">
        <f t="shared" si="47"/>
        <v>0</v>
      </c>
      <c r="AB66" s="569">
        <f t="shared" si="24"/>
        <v>0</v>
      </c>
      <c r="AC66" s="148">
        <f t="shared" si="48"/>
        <v>0</v>
      </c>
      <c r="AD66" s="369">
        <f>[9]東京事務!$I$66</f>
        <v>0</v>
      </c>
      <c r="AE66" s="16">
        <f t="shared" si="49"/>
        <v>0</v>
      </c>
      <c r="AF66" s="371">
        <f>[9]東京事務!$L$66</f>
        <v>0</v>
      </c>
      <c r="AG66" s="88">
        <f t="shared" si="50"/>
        <v>0</v>
      </c>
      <c r="AH66" s="395">
        <f>[9]東京工場!$I$66</f>
        <v>0</v>
      </c>
      <c r="AI66" s="179">
        <f t="shared" si="25"/>
        <v>0</v>
      </c>
      <c r="AJ66" s="371">
        <f>[9]東京工場!$L$66</f>
        <v>0</v>
      </c>
      <c r="AK66" s="107">
        <f t="shared" si="36"/>
        <v>0</v>
      </c>
      <c r="AL66" s="553">
        <f t="shared" si="26"/>
        <v>0</v>
      </c>
      <c r="AM66" s="322">
        <f t="shared" si="51"/>
        <v>0</v>
      </c>
      <c r="AN66" s="540">
        <f t="shared" si="27"/>
        <v>0</v>
      </c>
      <c r="AO66" s="148">
        <f t="shared" si="52"/>
        <v>0</v>
      </c>
      <c r="AP66" s="533">
        <f t="shared" si="28"/>
        <v>0</v>
      </c>
      <c r="AQ66" s="290">
        <f t="shared" si="53"/>
        <v>0</v>
      </c>
      <c r="AR66" s="520">
        <f t="shared" si="29"/>
        <v>0</v>
      </c>
      <c r="AS66" s="291">
        <f t="shared" si="54"/>
        <v>0</v>
      </c>
      <c r="AT66" s="590">
        <f>[9]全社合計!$G$66</f>
        <v>0</v>
      </c>
      <c r="AU66" s="149">
        <f t="shared" si="30"/>
        <v>0</v>
      </c>
      <c r="AV66" s="600">
        <f>[9]全社合計!$N$66</f>
        <v>0</v>
      </c>
      <c r="AW66" s="150">
        <f t="shared" si="31"/>
        <v>0</v>
      </c>
      <c r="AX66" s="590">
        <f t="shared" si="32"/>
        <v>0</v>
      </c>
      <c r="AY66" s="149" t="str">
        <f t="shared" si="33"/>
        <v/>
      </c>
      <c r="AZ66" s="600">
        <f t="shared" si="34"/>
        <v>0</v>
      </c>
      <c r="BA66" s="150" t="str">
        <f t="shared" si="35"/>
        <v/>
      </c>
      <c r="BB66" s="11"/>
    </row>
    <row r="67" spans="1:54" ht="18" customHeight="1">
      <c r="A67" s="68" t="s">
        <v>60</v>
      </c>
      <c r="B67" s="716">
        <f>+B64+B65-B66</f>
        <v>0</v>
      </c>
      <c r="C67" s="152" t="str">
        <f t="shared" si="38"/>
        <v/>
      </c>
      <c r="D67" s="377">
        <f>D64+D65-D66</f>
        <v>0</v>
      </c>
      <c r="E67" s="218" t="str">
        <f t="shared" si="39"/>
        <v/>
      </c>
      <c r="F67" s="372">
        <f>F64+F65-F66</f>
        <v>42261752</v>
      </c>
      <c r="G67" s="69">
        <f t="shared" si="40"/>
        <v>8.5204224749523771E-2</v>
      </c>
      <c r="H67" s="377">
        <f>H64+H65-H66</f>
        <v>388810333</v>
      </c>
      <c r="I67" s="152">
        <f t="shared" si="19"/>
        <v>8.4323444833582492E-2</v>
      </c>
      <c r="J67" s="754">
        <f>J64+J65-J66</f>
        <v>1523011</v>
      </c>
      <c r="K67" s="69">
        <f>IF(ISERR(J67/$J$11),"",J67/$J$11)</f>
        <v>0.18048524226798748</v>
      </c>
      <c r="L67" s="377">
        <f>L64+L65-L66</f>
        <v>17998334</v>
      </c>
      <c r="M67" s="152">
        <f t="shared" si="37"/>
        <v>0.22018889943609787</v>
      </c>
      <c r="N67" s="416">
        <f>N64+N65-N66</f>
        <v>3505195</v>
      </c>
      <c r="O67" s="69">
        <f t="shared" si="41"/>
        <v>0.15996428499714316</v>
      </c>
      <c r="P67" s="377">
        <f>P64+P65-P66</f>
        <v>27222048</v>
      </c>
      <c r="Q67" s="180">
        <f t="shared" si="42"/>
        <v>0.11428529973729289</v>
      </c>
      <c r="R67" s="450">
        <f>R64+R65-R66</f>
        <v>-3999405</v>
      </c>
      <c r="S67" s="69" t="str">
        <f t="shared" si="43"/>
        <v/>
      </c>
      <c r="T67" s="377">
        <f>T64+T65-T66</f>
        <v>-38372530</v>
      </c>
      <c r="U67" s="213" t="str">
        <f t="shared" si="44"/>
        <v/>
      </c>
      <c r="V67" s="494">
        <f t="shared" si="21"/>
        <v>-494210</v>
      </c>
      <c r="W67" s="180">
        <f t="shared" si="45"/>
        <v>-2.2553937595037685E-2</v>
      </c>
      <c r="X67" s="434">
        <f t="shared" si="22"/>
        <v>-11150482</v>
      </c>
      <c r="Y67" s="234">
        <f t="shared" si="46"/>
        <v>-4.6812648981637575E-2</v>
      </c>
      <c r="Z67" s="494">
        <f t="shared" si="23"/>
        <v>43290553</v>
      </c>
      <c r="AA67" s="197">
        <f t="shared" si="47"/>
        <v>8.2245744935184967E-2</v>
      </c>
      <c r="AB67" s="434">
        <f t="shared" si="24"/>
        <v>395658185</v>
      </c>
      <c r="AC67" s="186">
        <f t="shared" si="48"/>
        <v>8.0240983538287972E-2</v>
      </c>
      <c r="AD67" s="372">
        <f>AD64+AD65-AD66</f>
        <v>6868128</v>
      </c>
      <c r="AE67" s="69">
        <f t="shared" si="49"/>
        <v>3.3842047483370823E-2</v>
      </c>
      <c r="AF67" s="377">
        <f>AF64+AF65-AF66</f>
        <v>64491163</v>
      </c>
      <c r="AG67" s="89">
        <f t="shared" si="50"/>
        <v>3.0261563805571542E-2</v>
      </c>
      <c r="AH67" s="396">
        <f>AH64+AH65-AH66</f>
        <v>1235064</v>
      </c>
      <c r="AI67" s="180">
        <f t="shared" si="25"/>
        <v>0.15771653613692407</v>
      </c>
      <c r="AJ67" s="377">
        <f>AJ64+AJ65-AJ66</f>
        <v>17173644</v>
      </c>
      <c r="AK67" s="108">
        <f t="shared" si="36"/>
        <v>0.20050869131076279</v>
      </c>
      <c r="AL67" s="554">
        <f t="shared" si="26"/>
        <v>8103192</v>
      </c>
      <c r="AM67" s="323">
        <f t="shared" si="51"/>
        <v>3.8444293882303263E-2</v>
      </c>
      <c r="AN67" s="541">
        <f t="shared" si="27"/>
        <v>81664807</v>
      </c>
      <c r="AO67" s="151">
        <f t="shared" si="52"/>
        <v>3.6839466389319613E-2</v>
      </c>
      <c r="AP67" s="534">
        <f t="shared" si="28"/>
        <v>51393745</v>
      </c>
      <c r="AQ67" s="152">
        <f t="shared" si="53"/>
        <v>6.9721068678187226E-2</v>
      </c>
      <c r="AR67" s="521">
        <f t="shared" si="29"/>
        <v>477322992</v>
      </c>
      <c r="AS67" s="151">
        <f t="shared" si="54"/>
        <v>6.6780418204022571E-2</v>
      </c>
      <c r="AT67" s="534">
        <f>AT64+AT65-AT66</f>
        <v>46297635</v>
      </c>
      <c r="AU67" s="152">
        <f t="shared" si="30"/>
        <v>5.5977351939574135E-2</v>
      </c>
      <c r="AV67" s="601">
        <f>AV64+AV65-AV66</f>
        <v>590992357</v>
      </c>
      <c r="AW67" s="151">
        <f t="shared" si="31"/>
        <v>7.337210793313273E-2</v>
      </c>
      <c r="AX67" s="534">
        <f t="shared" si="32"/>
        <v>5096110</v>
      </c>
      <c r="AY67" s="152">
        <f t="shared" si="33"/>
        <v>1.1100727931351138</v>
      </c>
      <c r="AZ67" s="601">
        <f t="shared" si="34"/>
        <v>-113669365</v>
      </c>
      <c r="BA67" s="151">
        <f t="shared" si="35"/>
        <v>0.80766356171337084</v>
      </c>
      <c r="BB67" s="11"/>
    </row>
    <row r="68" spans="1:54" ht="18" customHeight="1">
      <c r="A68" s="70" t="s">
        <v>61</v>
      </c>
      <c r="B68" s="717"/>
      <c r="C68" s="155" t="str">
        <f t="shared" si="38"/>
        <v/>
      </c>
      <c r="D68" s="378"/>
      <c r="E68" s="153" t="str">
        <f t="shared" si="39"/>
        <v/>
      </c>
      <c r="F68" s="373"/>
      <c r="G68" s="71">
        <f t="shared" si="40"/>
        <v>0</v>
      </c>
      <c r="H68" s="378"/>
      <c r="I68" s="155">
        <f t="shared" si="19"/>
        <v>0</v>
      </c>
      <c r="J68" s="755"/>
      <c r="K68" s="71">
        <f t="shared" si="20"/>
        <v>0</v>
      </c>
      <c r="L68" s="378"/>
      <c r="M68" s="155">
        <f t="shared" si="37"/>
        <v>0</v>
      </c>
      <c r="N68" s="417"/>
      <c r="O68" s="71">
        <f t="shared" si="41"/>
        <v>0</v>
      </c>
      <c r="P68" s="378"/>
      <c r="Q68" s="181">
        <f t="shared" si="42"/>
        <v>0</v>
      </c>
      <c r="R68" s="451"/>
      <c r="S68" s="71" t="str">
        <f t="shared" si="43"/>
        <v/>
      </c>
      <c r="T68" s="378"/>
      <c r="U68" s="214" t="str">
        <f t="shared" si="44"/>
        <v/>
      </c>
      <c r="V68" s="495">
        <f t="shared" si="21"/>
        <v>0</v>
      </c>
      <c r="W68" s="181">
        <f t="shared" si="45"/>
        <v>0</v>
      </c>
      <c r="X68" s="435">
        <f t="shared" si="22"/>
        <v>0</v>
      </c>
      <c r="Y68" s="235">
        <f t="shared" si="46"/>
        <v>0</v>
      </c>
      <c r="Z68" s="495">
        <f t="shared" si="23"/>
        <v>0</v>
      </c>
      <c r="AA68" s="198">
        <f t="shared" si="47"/>
        <v>0</v>
      </c>
      <c r="AB68" s="435">
        <f t="shared" si="24"/>
        <v>0</v>
      </c>
      <c r="AC68" s="154">
        <f t="shared" si="48"/>
        <v>0</v>
      </c>
      <c r="AD68" s="373"/>
      <c r="AE68" s="71">
        <f t="shared" si="49"/>
        <v>0</v>
      </c>
      <c r="AF68" s="378"/>
      <c r="AG68" s="90">
        <f t="shared" si="50"/>
        <v>0</v>
      </c>
      <c r="AH68" s="561"/>
      <c r="AI68" s="181">
        <f t="shared" si="25"/>
        <v>0</v>
      </c>
      <c r="AJ68" s="378"/>
      <c r="AK68" s="109">
        <f t="shared" si="36"/>
        <v>0</v>
      </c>
      <c r="AL68" s="555">
        <f t="shared" si="26"/>
        <v>0</v>
      </c>
      <c r="AM68" s="324"/>
      <c r="AN68" s="542">
        <f t="shared" si="27"/>
        <v>0</v>
      </c>
      <c r="AO68" s="154">
        <f t="shared" si="52"/>
        <v>0</v>
      </c>
      <c r="AP68" s="535">
        <f t="shared" si="28"/>
        <v>0</v>
      </c>
      <c r="AQ68" s="293">
        <f t="shared" si="53"/>
        <v>0</v>
      </c>
      <c r="AR68" s="522">
        <f t="shared" si="29"/>
        <v>0</v>
      </c>
      <c r="AS68" s="292">
        <f t="shared" si="54"/>
        <v>0</v>
      </c>
      <c r="AT68" s="591"/>
      <c r="AU68" s="155">
        <f t="shared" si="30"/>
        <v>0</v>
      </c>
      <c r="AV68" s="602"/>
      <c r="AW68" s="154">
        <f t="shared" si="31"/>
        <v>0</v>
      </c>
      <c r="AX68" s="591">
        <f t="shared" si="32"/>
        <v>0</v>
      </c>
      <c r="AY68" s="155" t="str">
        <f t="shared" si="33"/>
        <v/>
      </c>
      <c r="AZ68" s="602">
        <f t="shared" si="34"/>
        <v>0</v>
      </c>
      <c r="BA68" s="154" t="str">
        <f t="shared" si="35"/>
        <v/>
      </c>
      <c r="BB68" s="11"/>
    </row>
    <row r="69" spans="1:54" ht="18" customHeight="1">
      <c r="A69" s="58" t="s">
        <v>62</v>
      </c>
      <c r="B69" s="718">
        <f>+B67-B68</f>
        <v>0</v>
      </c>
      <c r="C69" s="157" t="str">
        <f t="shared" si="38"/>
        <v/>
      </c>
      <c r="D69" s="376">
        <f>D67-D68</f>
        <v>0</v>
      </c>
      <c r="E69" s="219" t="str">
        <f t="shared" si="39"/>
        <v/>
      </c>
      <c r="F69" s="374">
        <f>F67-F68</f>
        <v>42261752</v>
      </c>
      <c r="G69" s="59">
        <f t="shared" si="40"/>
        <v>8.5204224749523771E-2</v>
      </c>
      <c r="H69" s="376">
        <f>H67-H68</f>
        <v>388810333</v>
      </c>
      <c r="I69" s="157">
        <f t="shared" si="19"/>
        <v>8.4323444833582492E-2</v>
      </c>
      <c r="J69" s="374">
        <f>J67-J68</f>
        <v>1523011</v>
      </c>
      <c r="K69" s="59">
        <f t="shared" si="20"/>
        <v>0.18048524226798748</v>
      </c>
      <c r="L69" s="376">
        <f>L67-L68</f>
        <v>17998334</v>
      </c>
      <c r="M69" s="157">
        <f t="shared" si="37"/>
        <v>0.22018889943609787</v>
      </c>
      <c r="N69" s="418">
        <f>N67-N68</f>
        <v>3505195</v>
      </c>
      <c r="O69" s="59">
        <f t="shared" si="41"/>
        <v>0.15996428499714316</v>
      </c>
      <c r="P69" s="376">
        <f>P67-P68</f>
        <v>27222048</v>
      </c>
      <c r="Q69" s="182">
        <f t="shared" si="42"/>
        <v>0.11428529973729289</v>
      </c>
      <c r="R69" s="443">
        <f>R67-R68</f>
        <v>-3999405</v>
      </c>
      <c r="S69" s="59" t="str">
        <f t="shared" si="43"/>
        <v/>
      </c>
      <c r="T69" s="376">
        <f>T67-T68</f>
        <v>-38372530</v>
      </c>
      <c r="U69" s="215" t="str">
        <f t="shared" si="44"/>
        <v/>
      </c>
      <c r="V69" s="496">
        <f t="shared" si="21"/>
        <v>-494210</v>
      </c>
      <c r="W69" s="182">
        <f t="shared" si="45"/>
        <v>-2.2553937595037685E-2</v>
      </c>
      <c r="X69" s="424">
        <f t="shared" si="22"/>
        <v>-11150482</v>
      </c>
      <c r="Y69" s="236">
        <f t="shared" si="46"/>
        <v>-4.6812648981637575E-2</v>
      </c>
      <c r="Z69" s="490">
        <f t="shared" si="23"/>
        <v>43290553</v>
      </c>
      <c r="AA69" s="199">
        <f t="shared" si="47"/>
        <v>8.2245744935184967E-2</v>
      </c>
      <c r="AB69" s="424">
        <f t="shared" si="24"/>
        <v>395658185</v>
      </c>
      <c r="AC69" s="187">
        <f t="shared" si="48"/>
        <v>8.0240983538287972E-2</v>
      </c>
      <c r="AD69" s="374">
        <f>AD67-AD68</f>
        <v>6868128</v>
      </c>
      <c r="AE69" s="59">
        <f t="shared" si="49"/>
        <v>3.3842047483370823E-2</v>
      </c>
      <c r="AF69" s="376">
        <f>AF67-AF68</f>
        <v>64491163</v>
      </c>
      <c r="AG69" s="91">
        <f t="shared" si="50"/>
        <v>3.0261563805571542E-2</v>
      </c>
      <c r="AH69" s="398">
        <f>+AH67-AH68</f>
        <v>1235064</v>
      </c>
      <c r="AI69" s="182">
        <f t="shared" si="25"/>
        <v>0.15771653613692407</v>
      </c>
      <c r="AJ69" s="376">
        <f>AJ67-AJ68</f>
        <v>17173644</v>
      </c>
      <c r="AK69" s="110">
        <f t="shared" si="36"/>
        <v>0.20050869131076279</v>
      </c>
      <c r="AL69" s="545">
        <f t="shared" si="26"/>
        <v>8103192</v>
      </c>
      <c r="AM69" s="325"/>
      <c r="AN69" s="543">
        <f t="shared" si="27"/>
        <v>81664807</v>
      </c>
      <c r="AO69" s="156">
        <f t="shared" si="52"/>
        <v>3.6839466389319613E-2</v>
      </c>
      <c r="AP69" s="525">
        <f t="shared" si="28"/>
        <v>51393745</v>
      </c>
      <c r="AQ69" s="152">
        <f t="shared" si="53"/>
        <v>6.9721068678187226E-2</v>
      </c>
      <c r="AR69" s="523">
        <f t="shared" si="29"/>
        <v>477322992</v>
      </c>
      <c r="AS69" s="151">
        <f t="shared" si="54"/>
        <v>6.6780418204022571E-2</v>
      </c>
      <c r="AT69" s="582">
        <f>AT67-AT68</f>
        <v>46297635</v>
      </c>
      <c r="AU69" s="157">
        <f t="shared" si="30"/>
        <v>5.5977351939574135E-2</v>
      </c>
      <c r="AV69" s="603">
        <f>AV67-AV68</f>
        <v>590992357</v>
      </c>
      <c r="AW69" s="156">
        <f t="shared" si="31"/>
        <v>7.337210793313273E-2</v>
      </c>
      <c r="AX69" s="582">
        <f t="shared" si="32"/>
        <v>5096110</v>
      </c>
      <c r="AY69" s="157">
        <f t="shared" si="33"/>
        <v>1.1100727931351138</v>
      </c>
      <c r="AZ69" s="603">
        <f t="shared" si="34"/>
        <v>-113669365</v>
      </c>
      <c r="BA69" s="156">
        <f t="shared" si="35"/>
        <v>0.80766356171337084</v>
      </c>
      <c r="BB69" s="11"/>
    </row>
    <row r="70" spans="1:54" ht="15.95" customHeight="1" thickBot="1">
      <c r="A70" s="41" t="s">
        <v>84</v>
      </c>
      <c r="B70" s="263">
        <f>[9]本部!$I$68</f>
        <v>6</v>
      </c>
      <c r="C70" s="264"/>
      <c r="D70" s="248">
        <f>[9]本部!$L$68</f>
        <v>6</v>
      </c>
      <c r="E70" s="46"/>
      <c r="F70" s="28">
        <f>[9]本社営業!$I$68</f>
        <v>18</v>
      </c>
      <c r="G70" s="19"/>
      <c r="H70" s="249">
        <f>[9]本社営業!$L$68</f>
        <v>18</v>
      </c>
      <c r="I70" s="20"/>
      <c r="J70" s="756">
        <f>[9]東大阪!$I$68</f>
        <v>15</v>
      </c>
      <c r="K70" s="19"/>
      <c r="L70" s="249">
        <f>J70</f>
        <v>15</v>
      </c>
      <c r="M70" s="20"/>
      <c r="N70" s="237">
        <f>[9]南港工場!$I$68</f>
        <v>16</v>
      </c>
      <c r="O70" s="19"/>
      <c r="P70" s="249">
        <f>N70</f>
        <v>16</v>
      </c>
      <c r="Q70" s="246"/>
      <c r="R70" s="247">
        <f>[9]南港事務!$I$68</f>
        <v>6</v>
      </c>
      <c r="S70" s="19"/>
      <c r="T70" s="249">
        <f>R70</f>
        <v>6</v>
      </c>
      <c r="U70" s="73"/>
      <c r="V70" s="18">
        <f t="shared" si="21"/>
        <v>22</v>
      </c>
      <c r="W70" s="19"/>
      <c r="X70" s="250">
        <f t="shared" si="22"/>
        <v>22</v>
      </c>
      <c r="Y70" s="238"/>
      <c r="Z70" s="53">
        <f t="shared" si="23"/>
        <v>55</v>
      </c>
      <c r="AA70" s="75"/>
      <c r="AB70" s="251">
        <f t="shared" si="24"/>
        <v>55</v>
      </c>
      <c r="AC70" s="333"/>
      <c r="AD70" s="28">
        <f>[9]東京事務!$I$68</f>
        <v>8</v>
      </c>
      <c r="AE70" s="19"/>
      <c r="AF70" s="249">
        <f>AD70</f>
        <v>8</v>
      </c>
      <c r="AG70" s="32"/>
      <c r="AH70" s="31">
        <f>[9]東京工場!$I$68</f>
        <v>11</v>
      </c>
      <c r="AI70" s="19"/>
      <c r="AJ70" s="249">
        <f>AH70</f>
        <v>11</v>
      </c>
      <c r="AK70" s="45"/>
      <c r="AL70" s="48">
        <f t="shared" si="26"/>
        <v>19</v>
      </c>
      <c r="AM70" s="326"/>
      <c r="AN70" s="252">
        <f t="shared" si="27"/>
        <v>19</v>
      </c>
      <c r="AO70" s="54"/>
      <c r="AP70" s="294">
        <f t="shared" si="28"/>
        <v>80</v>
      </c>
      <c r="AQ70" s="295"/>
      <c r="AR70" s="296">
        <f t="shared" si="29"/>
        <v>80</v>
      </c>
      <c r="AS70" s="297"/>
      <c r="AT70" s="17">
        <f>[9]全社合計!$G$68</f>
        <v>80</v>
      </c>
      <c r="AU70" s="20"/>
      <c r="AV70" s="257">
        <f>[9]全社合計!$N$68</f>
        <v>80</v>
      </c>
      <c r="AW70" s="34"/>
      <c r="AX70" s="17">
        <f t="shared" si="32"/>
        <v>0</v>
      </c>
      <c r="AY70" s="311"/>
      <c r="AZ70" s="257">
        <f t="shared" si="34"/>
        <v>0</v>
      </c>
      <c r="BA70" s="34"/>
      <c r="BB70" s="11"/>
    </row>
    <row r="71" spans="1:54" ht="16.149999999999999" customHeight="1" thickTop="1">
      <c r="A71" s="42" t="s">
        <v>63</v>
      </c>
      <c r="B71" s="705">
        <f>[9]本部!$I$71</f>
        <v>850000</v>
      </c>
      <c r="C71" s="265" t="str">
        <f t="shared" ref="C71:C79" si="55">IF(ISERR(B71/$B$11),"",B71/$B$11)</f>
        <v/>
      </c>
      <c r="D71" s="725">
        <f>[9]本部!$L$71</f>
        <v>7650000</v>
      </c>
      <c r="E71" s="158" t="str">
        <f t="shared" ref="E71:E76" si="56">IF(ISERR(D72/$D$11),"",D72/$D$11)</f>
        <v/>
      </c>
      <c r="F71" s="379">
        <f>[9]本社営業!$I$71</f>
        <v>2050000</v>
      </c>
      <c r="G71" s="307">
        <f t="shared" ref="G71:G78" si="57">IF(ISERR(F71/$F$11),"",F71/$F$11)</f>
        <v>4.1330198695152002E-3</v>
      </c>
      <c r="H71" s="360">
        <f>[9]本社営業!$L$71</f>
        <v>18450000</v>
      </c>
      <c r="I71" s="160">
        <f t="shared" si="19"/>
        <v>4.001353423854599E-3</v>
      </c>
      <c r="J71" s="757">
        <f>[9]東大阪!$I$71</f>
        <v>750000</v>
      </c>
      <c r="K71" s="308">
        <f t="shared" si="20"/>
        <v>8.8879155633800819E-2</v>
      </c>
      <c r="L71" s="360">
        <f>[9]東大阪!$L$71</f>
        <v>3156000</v>
      </c>
      <c r="M71" s="160">
        <f t="shared" si="37"/>
        <v>3.8610027273653487E-2</v>
      </c>
      <c r="N71" s="419">
        <f>[9]南港工場!$I$71</f>
        <v>1550000</v>
      </c>
      <c r="O71" s="79">
        <f t="shared" ref="O71:O78" si="58">IF(ISERR(N71/$N$11),"",N71/$N$11)</f>
        <v>7.0736333284046077E-2</v>
      </c>
      <c r="P71" s="360">
        <f>[9]南港工場!$L$71</f>
        <v>13950000</v>
      </c>
      <c r="Q71" s="169">
        <f t="shared" ref="Q71:Q79" si="59">IF(ISERR(P71/$P$11),"",P71/$P$11)</f>
        <v>5.8565760053587296E-2</v>
      </c>
      <c r="R71" s="452">
        <f>[9]南港事務!$I$71</f>
        <v>520000</v>
      </c>
      <c r="S71" s="21" t="str">
        <f t="shared" ref="S71:S78" si="60">IF(ISERR(R71/$R$11),"",R71/$R$11)</f>
        <v/>
      </c>
      <c r="T71" s="360">
        <f>[9]南港事務!$L$71</f>
        <v>4680000</v>
      </c>
      <c r="U71" s="216" t="str">
        <f t="shared" ref="U71:U79" si="61">IF(ISERR(T71/$T$11),"",T71/$T$11)</f>
        <v/>
      </c>
      <c r="V71" s="497">
        <f t="shared" si="21"/>
        <v>2070000</v>
      </c>
      <c r="W71" s="21">
        <f t="shared" ref="W71:W78" si="62">IF(ISERR(V71/$V$11),"",V71/$V$11)</f>
        <v>9.4467232192242193E-2</v>
      </c>
      <c r="X71" s="421">
        <f t="shared" si="22"/>
        <v>18630000</v>
      </c>
      <c r="Y71" s="239">
        <f t="shared" ref="Y71:Y79" si="63">IF(ISERR(X71/$X$11),"",X71/$X$11)</f>
        <v>7.8213627942532712E-2</v>
      </c>
      <c r="Z71" s="500">
        <f t="shared" si="23"/>
        <v>4870000</v>
      </c>
      <c r="AA71" s="200">
        <f t="shared" ref="AA71:AA78" si="64">IF(ISERR(Z71/$Z$11),"",Z71/$Z$11)</f>
        <v>9.2522906287279532E-3</v>
      </c>
      <c r="AB71" s="502">
        <f t="shared" si="24"/>
        <v>40236000</v>
      </c>
      <c r="AC71" s="334">
        <f t="shared" ref="AC71:AC79" si="65">IF(ISERR(AB71/$AB$11),"",AB71/$AB$11)</f>
        <v>8.1600137089203762E-3</v>
      </c>
      <c r="AD71" s="379">
        <f>[9]東京事務!$I$71</f>
        <v>750000</v>
      </c>
      <c r="AE71" s="22">
        <f t="shared" ref="AE71:AE79" si="66">IF(ISERR(AD71/$AD$11),"",AD71/$AD$11)</f>
        <v>3.6955536665199185E-3</v>
      </c>
      <c r="AF71" s="360">
        <f>[9]東京事務!$L$71</f>
        <v>6750000</v>
      </c>
      <c r="AG71" s="92">
        <f t="shared" ref="AG71:AG79" si="67">IF(ISERR(AF71/$AF$11),"",AF71/$AF$11)</f>
        <v>3.1673417904962871E-3</v>
      </c>
      <c r="AH71" s="399">
        <f>[9]東京工場!$I$71</f>
        <v>920000</v>
      </c>
      <c r="AI71" s="183">
        <f t="shared" si="25"/>
        <v>0.11748315329891418</v>
      </c>
      <c r="AJ71" s="360">
        <f>[9]東京工場!$L$71</f>
        <v>8280000</v>
      </c>
      <c r="AK71" s="111">
        <f t="shared" si="36"/>
        <v>9.667208450653314E-2</v>
      </c>
      <c r="AL71" s="506">
        <f t="shared" si="26"/>
        <v>1670000</v>
      </c>
      <c r="AM71" s="327">
        <f t="shared" ref="AM71:AM79" si="68">IF(ISERR(AL71/$AL$11),"",AL71/AL$11)</f>
        <v>7.9230469651276249E-3</v>
      </c>
      <c r="AN71" s="508">
        <f t="shared" si="27"/>
        <v>15030000</v>
      </c>
      <c r="AO71" s="159">
        <f t="shared" ref="AO71:AO78" si="69">IF(ISERR(AN71/$AN$11),"",AN71/$AN$11)</f>
        <v>6.7801198603392749E-3</v>
      </c>
      <c r="AP71" s="511">
        <f t="shared" si="28"/>
        <v>7390000</v>
      </c>
      <c r="AQ71" s="298">
        <f t="shared" ref="AQ71:AQ79" si="70">IF(ISERR(AP71/$AP$11),"",AP71/$AP$11)</f>
        <v>1.002531918099768E-2</v>
      </c>
      <c r="AR71" s="513">
        <f t="shared" si="29"/>
        <v>62916000</v>
      </c>
      <c r="AS71" s="310">
        <f t="shared" ref="AS71:AS78" si="71">IF(ISERR(AR71/$AR$11),"",AR71/$AR$11)</f>
        <v>8.8023348176035146E-3</v>
      </c>
      <c r="AT71" s="592">
        <f>[9]全社合計!$G$71</f>
        <v>7095000</v>
      </c>
      <c r="AU71" s="160">
        <f t="shared" si="30"/>
        <v>8.5783930866291224E-3</v>
      </c>
      <c r="AV71" s="594">
        <f>[9]全社合計!$N$71</f>
        <v>60113000</v>
      </c>
      <c r="AW71" s="306">
        <f t="shared" si="31"/>
        <v>7.463070328986349E-3</v>
      </c>
      <c r="AX71" s="592">
        <f t="shared" si="32"/>
        <v>295000</v>
      </c>
      <c r="AY71" s="160">
        <f t="shared" si="33"/>
        <v>1.0415785764622973</v>
      </c>
      <c r="AZ71" s="594">
        <f t="shared" si="34"/>
        <v>2803000</v>
      </c>
      <c r="BA71" s="306">
        <f t="shared" si="35"/>
        <v>1.046628849001048</v>
      </c>
      <c r="BB71" s="11"/>
    </row>
    <row r="72" spans="1:54" ht="16.149999999999999" customHeight="1">
      <c r="A72" s="43" t="s">
        <v>64</v>
      </c>
      <c r="B72" s="706">
        <f>[9]本部!$I$72</f>
        <v>115000</v>
      </c>
      <c r="C72" s="266" t="str">
        <f t="shared" si="55"/>
        <v/>
      </c>
      <c r="D72" s="723">
        <f>[9]本部!$L$72</f>
        <v>1035000</v>
      </c>
      <c r="E72" s="161" t="str">
        <f t="shared" si="56"/>
        <v/>
      </c>
      <c r="F72" s="352">
        <f>[9]本社営業!$I$72</f>
        <v>55000</v>
      </c>
      <c r="G72" s="10">
        <f t="shared" si="57"/>
        <v>1.1088589893821268E-4</v>
      </c>
      <c r="H72" s="356">
        <f>[9]本社営業!$L$72</f>
        <v>495000</v>
      </c>
      <c r="I72" s="163">
        <f t="shared" si="19"/>
        <v>1.0735338454244047E-4</v>
      </c>
      <c r="J72" s="745">
        <f>[9]東大阪!$I$72</f>
        <v>440000</v>
      </c>
      <c r="K72" s="77">
        <f t="shared" si="20"/>
        <v>5.2142437971829811E-2</v>
      </c>
      <c r="L72" s="356">
        <f>[9]東大阪!$L$72</f>
        <v>3960000</v>
      </c>
      <c r="M72" s="163">
        <f t="shared" si="37"/>
        <v>4.8446041826257225E-2</v>
      </c>
      <c r="N72" s="403">
        <f>[9]南港工場!$I$72</f>
        <v>525000</v>
      </c>
      <c r="O72" s="77">
        <f t="shared" si="58"/>
        <v>2.395908062846722E-2</v>
      </c>
      <c r="P72" s="356">
        <f>[9]南港工場!$L$72</f>
        <v>4725000</v>
      </c>
      <c r="Q72" s="170">
        <f t="shared" si="59"/>
        <v>1.983678969556989E-2</v>
      </c>
      <c r="R72" s="445">
        <f>[9]南港事務!$I$72</f>
        <v>20000</v>
      </c>
      <c r="S72" s="10" t="str">
        <f t="shared" si="60"/>
        <v/>
      </c>
      <c r="T72" s="356">
        <f>[9]南港事務!$L$72</f>
        <v>180000</v>
      </c>
      <c r="U72" s="217" t="str">
        <f t="shared" si="61"/>
        <v/>
      </c>
      <c r="V72" s="456">
        <f t="shared" si="21"/>
        <v>545000</v>
      </c>
      <c r="W72" s="170">
        <f t="shared" si="62"/>
        <v>2.4871807509551688E-2</v>
      </c>
      <c r="X72" s="408">
        <f t="shared" si="22"/>
        <v>4905000</v>
      </c>
      <c r="Y72" s="240">
        <f t="shared" si="63"/>
        <v>2.0592476922067789E-2</v>
      </c>
      <c r="Z72" s="460">
        <f t="shared" si="23"/>
        <v>1040000</v>
      </c>
      <c r="AA72" s="201">
        <f t="shared" si="64"/>
        <v>1.9758485120897479E-3</v>
      </c>
      <c r="AB72" s="464">
        <f t="shared" si="24"/>
        <v>9360000</v>
      </c>
      <c r="AC72" s="162">
        <f t="shared" si="65"/>
        <v>1.8982435708195329E-3</v>
      </c>
      <c r="AD72" s="352">
        <f>[9]東京事務!$I$72</f>
        <v>55000</v>
      </c>
      <c r="AE72" s="10">
        <f t="shared" si="66"/>
        <v>2.7100726887812737E-4</v>
      </c>
      <c r="AF72" s="356">
        <f>[9]東京事務!$L$72</f>
        <v>495000</v>
      </c>
      <c r="AG72" s="93">
        <f t="shared" si="67"/>
        <v>2.3227173130306106E-4</v>
      </c>
      <c r="AH72" s="388">
        <f>[9]東京工場!$I$72</f>
        <v>325000</v>
      </c>
      <c r="AI72" s="170">
        <f t="shared" si="25"/>
        <v>4.150220089363816E-2</v>
      </c>
      <c r="AJ72" s="356">
        <f>[9]東京工場!$L$72</f>
        <v>2925000</v>
      </c>
      <c r="AK72" s="98">
        <f t="shared" si="36"/>
        <v>3.4150464635460079E-2</v>
      </c>
      <c r="AL72" s="474">
        <f t="shared" si="26"/>
        <v>380000</v>
      </c>
      <c r="AM72" s="328">
        <f t="shared" si="68"/>
        <v>1.8028490100290403E-3</v>
      </c>
      <c r="AN72" s="478">
        <f t="shared" si="27"/>
        <v>3420000</v>
      </c>
      <c r="AO72" s="162">
        <f t="shared" si="69"/>
        <v>1.5427817646280985E-3</v>
      </c>
      <c r="AP72" s="483">
        <f t="shared" si="28"/>
        <v>1535000</v>
      </c>
      <c r="AQ72" s="299">
        <f t="shared" si="70"/>
        <v>2.0823903846862567E-3</v>
      </c>
      <c r="AR72" s="487">
        <f t="shared" si="29"/>
        <v>13815000</v>
      </c>
      <c r="AS72" s="300">
        <f t="shared" si="71"/>
        <v>1.9328033489921887E-3</v>
      </c>
      <c r="AT72" s="575">
        <f>[9]全社合計!$G$72</f>
        <v>1495000</v>
      </c>
      <c r="AU72" s="163">
        <f t="shared" si="30"/>
        <v>1.8075683811854175E-3</v>
      </c>
      <c r="AV72" s="578">
        <f>[9]全社合計!$N$72</f>
        <v>13455000</v>
      </c>
      <c r="AW72" s="164">
        <f t="shared" si="31"/>
        <v>1.6704475117946423E-3</v>
      </c>
      <c r="AX72" s="575">
        <f t="shared" si="32"/>
        <v>40000</v>
      </c>
      <c r="AY72" s="163">
        <f t="shared" si="33"/>
        <v>1.0267558528428093</v>
      </c>
      <c r="AZ72" s="578">
        <f t="shared" si="34"/>
        <v>360000</v>
      </c>
      <c r="BA72" s="164">
        <f t="shared" si="35"/>
        <v>1.0267558528428093</v>
      </c>
      <c r="BB72" s="11"/>
    </row>
    <row r="73" spans="1:54" ht="16.149999999999999" customHeight="1">
      <c r="A73" s="43" t="s">
        <v>65</v>
      </c>
      <c r="B73" s="706">
        <f>[9]本部!$I$70</f>
        <v>176170</v>
      </c>
      <c r="C73" s="266" t="str">
        <f t="shared" si="55"/>
        <v/>
      </c>
      <c r="D73" s="723">
        <f>[9]本部!$L$70</f>
        <v>14164935</v>
      </c>
      <c r="E73" s="161" t="str">
        <f t="shared" si="56"/>
        <v/>
      </c>
      <c r="F73" s="352">
        <f>[9]本社営業!$I$70</f>
        <v>0</v>
      </c>
      <c r="G73" s="10">
        <f t="shared" si="57"/>
        <v>0</v>
      </c>
      <c r="H73" s="356">
        <f>[9]本社営業!$L$70</f>
        <v>4349260</v>
      </c>
      <c r="I73" s="163">
        <f t="shared" si="19"/>
        <v>9.4324804293950432E-4</v>
      </c>
      <c r="J73" s="745">
        <f>[9]東大阪!$I$70</f>
        <v>0</v>
      </c>
      <c r="K73" s="77">
        <f t="shared" si="20"/>
        <v>0</v>
      </c>
      <c r="L73" s="356">
        <f>[9]東大阪!$L$70</f>
        <v>2948796</v>
      </c>
      <c r="M73" s="163">
        <f t="shared" si="37"/>
        <v>3.6075124836641416E-2</v>
      </c>
      <c r="N73" s="403">
        <f>[9]南港工場!$I$70</f>
        <v>0</v>
      </c>
      <c r="O73" s="77">
        <f t="shared" si="58"/>
        <v>0</v>
      </c>
      <c r="P73" s="356">
        <f>[9]南港工場!$L$70</f>
        <v>4262047</v>
      </c>
      <c r="Q73" s="170">
        <f t="shared" si="59"/>
        <v>1.7893191536853877E-2</v>
      </c>
      <c r="R73" s="445">
        <f>[9]南港事務!$I$70</f>
        <v>0</v>
      </c>
      <c r="S73" s="10" t="str">
        <f t="shared" si="60"/>
        <v/>
      </c>
      <c r="T73" s="356">
        <f>[9]南港事務!$L$70</f>
        <v>1576230</v>
      </c>
      <c r="U73" s="217" t="str">
        <f t="shared" si="61"/>
        <v/>
      </c>
      <c r="V73" s="456">
        <f t="shared" si="21"/>
        <v>0</v>
      </c>
      <c r="W73" s="170">
        <f t="shared" si="62"/>
        <v>0</v>
      </c>
      <c r="X73" s="408">
        <f t="shared" si="22"/>
        <v>5838277</v>
      </c>
      <c r="Y73" s="240">
        <f t="shared" si="63"/>
        <v>2.4510618631424907E-2</v>
      </c>
      <c r="Z73" s="460">
        <f t="shared" si="23"/>
        <v>0</v>
      </c>
      <c r="AA73" s="201">
        <f t="shared" si="64"/>
        <v>0</v>
      </c>
      <c r="AB73" s="464">
        <f t="shared" si="24"/>
        <v>13136333</v>
      </c>
      <c r="AC73" s="162">
        <f t="shared" si="65"/>
        <v>2.6640982544224858E-3</v>
      </c>
      <c r="AD73" s="352">
        <f>[9]東京事務!$I$70</f>
        <v>0</v>
      </c>
      <c r="AE73" s="10">
        <f t="shared" si="66"/>
        <v>0</v>
      </c>
      <c r="AF73" s="356">
        <f>[9]東京事務!$L$70</f>
        <v>1862411</v>
      </c>
      <c r="AG73" s="93">
        <f t="shared" si="67"/>
        <v>8.7390995427851566E-4</v>
      </c>
      <c r="AH73" s="388">
        <f>[9]東京工場!$I$70</f>
        <v>0</v>
      </c>
      <c r="AI73" s="170">
        <f t="shared" si="25"/>
        <v>0</v>
      </c>
      <c r="AJ73" s="356">
        <f>[9]東京工場!$L$70</f>
        <v>2540514</v>
      </c>
      <c r="AK73" s="98">
        <f t="shared" si="36"/>
        <v>2.9661447354834607E-2</v>
      </c>
      <c r="AL73" s="474">
        <f t="shared" si="26"/>
        <v>0</v>
      </c>
      <c r="AM73" s="328">
        <f t="shared" si="68"/>
        <v>0</v>
      </c>
      <c r="AN73" s="478">
        <f t="shared" si="27"/>
        <v>4402925</v>
      </c>
      <c r="AO73" s="162">
        <f t="shared" si="69"/>
        <v>1.9861849125804593E-3</v>
      </c>
      <c r="AP73" s="483">
        <f t="shared" si="28"/>
        <v>176170</v>
      </c>
      <c r="AQ73" s="299">
        <f t="shared" si="70"/>
        <v>2.3899329906851979E-4</v>
      </c>
      <c r="AR73" s="487">
        <f t="shared" si="29"/>
        <v>31704193</v>
      </c>
      <c r="AS73" s="300">
        <f t="shared" si="71"/>
        <v>4.4356113215703735E-3</v>
      </c>
      <c r="AT73" s="575">
        <f>[9]全社合計!$G$70</f>
        <v>1414330</v>
      </c>
      <c r="AU73" s="163">
        <f t="shared" si="30"/>
        <v>1.7100322331518206E-3</v>
      </c>
      <c r="AV73" s="578">
        <f>[9]全社合計!$N$70</f>
        <v>31585926</v>
      </c>
      <c r="AW73" s="164">
        <f t="shared" si="31"/>
        <v>3.9214144551787218E-3</v>
      </c>
      <c r="AX73" s="575">
        <f t="shared" si="32"/>
        <v>-1238160</v>
      </c>
      <c r="AY73" s="163">
        <f t="shared" si="33"/>
        <v>0.12456074607764807</v>
      </c>
      <c r="AZ73" s="578">
        <f t="shared" si="34"/>
        <v>118267</v>
      </c>
      <c r="BA73" s="164">
        <f t="shared" si="35"/>
        <v>1.003744294215088</v>
      </c>
      <c r="BB73" s="11"/>
    </row>
    <row r="74" spans="1:54" ht="16.149999999999999" customHeight="1">
      <c r="A74" s="43" t="s">
        <v>66</v>
      </c>
      <c r="B74" s="706">
        <f>[9]本部!$I$74</f>
        <v>0</v>
      </c>
      <c r="C74" s="266" t="str">
        <f t="shared" si="55"/>
        <v/>
      </c>
      <c r="D74" s="723">
        <f>[9]本部!$L$74</f>
        <v>0</v>
      </c>
      <c r="E74" s="161" t="str">
        <f t="shared" si="56"/>
        <v/>
      </c>
      <c r="F74" s="352">
        <f>[9]本社営業!$I$74</f>
        <v>0</v>
      </c>
      <c r="G74" s="10">
        <f t="shared" si="57"/>
        <v>0</v>
      </c>
      <c r="H74" s="356">
        <f>[9]本社営業!$L$74</f>
        <v>0</v>
      </c>
      <c r="I74" s="163">
        <f t="shared" ref="I74:I79" si="72">IF(ISERR(H74/$H$11),"",H74/$H$11)</f>
        <v>0</v>
      </c>
      <c r="J74" s="745">
        <f>[9]東大阪!$I$74</f>
        <v>0</v>
      </c>
      <c r="K74" s="77">
        <f t="shared" ref="K74:K79" si="73">IF(ISERR(J74/$J$11),"",J74/$J$11)</f>
        <v>0</v>
      </c>
      <c r="L74" s="356">
        <f>[9]東大阪!$L$74</f>
        <v>1189000</v>
      </c>
      <c r="M74" s="163">
        <f t="shared" si="37"/>
        <v>1.4546046396823192E-2</v>
      </c>
      <c r="N74" s="403">
        <f>[9]南港工場!$I$74</f>
        <v>0</v>
      </c>
      <c r="O74" s="77">
        <f t="shared" si="58"/>
        <v>0</v>
      </c>
      <c r="P74" s="356">
        <f>[9]南港工場!$L$74</f>
        <v>0</v>
      </c>
      <c r="Q74" s="170">
        <f t="shared" si="59"/>
        <v>0</v>
      </c>
      <c r="R74" s="445">
        <f>[9]南港事務!$I$74</f>
        <v>0</v>
      </c>
      <c r="S74" s="10" t="str">
        <f t="shared" si="60"/>
        <v/>
      </c>
      <c r="T74" s="356">
        <f>[9]南港事務!$L$74</f>
        <v>0</v>
      </c>
      <c r="U74" s="217" t="str">
        <f t="shared" si="61"/>
        <v/>
      </c>
      <c r="V74" s="456">
        <f t="shared" ref="V74:V79" si="74">N74+R74</f>
        <v>0</v>
      </c>
      <c r="W74" s="170">
        <f t="shared" si="62"/>
        <v>0</v>
      </c>
      <c r="X74" s="408">
        <f t="shared" ref="X74:X79" si="75">P74+T74</f>
        <v>0</v>
      </c>
      <c r="Y74" s="240">
        <f t="shared" si="63"/>
        <v>0</v>
      </c>
      <c r="Z74" s="460">
        <f>F74+J74+N74+R74</f>
        <v>0</v>
      </c>
      <c r="AA74" s="201">
        <f t="shared" si="64"/>
        <v>0</v>
      </c>
      <c r="AB74" s="464">
        <f t="shared" ref="AB74:AB79" si="76">H74+L74+P74+T74</f>
        <v>1189000</v>
      </c>
      <c r="AC74" s="162">
        <f t="shared" si="65"/>
        <v>2.4113371855816502E-4</v>
      </c>
      <c r="AD74" s="352">
        <f>[9]東京事務!$I$74</f>
        <v>0</v>
      </c>
      <c r="AE74" s="10">
        <f t="shared" si="66"/>
        <v>0</v>
      </c>
      <c r="AF74" s="356">
        <f>[9]東京事務!$L$74</f>
        <v>760000</v>
      </c>
      <c r="AG74" s="93">
        <f t="shared" si="67"/>
        <v>3.566192238188412E-4</v>
      </c>
      <c r="AH74" s="388">
        <f>[9]東京工場!$I$74</f>
        <v>0</v>
      </c>
      <c r="AI74" s="170">
        <f t="shared" ref="AI74:AI79" si="77">IF(ISERR(AH74/$AH$11),"",AH74/$AH$11)</f>
        <v>0</v>
      </c>
      <c r="AJ74" s="356">
        <f>[9]東京工場!$L$74</f>
        <v>0</v>
      </c>
      <c r="AK74" s="98">
        <f t="shared" si="36"/>
        <v>0</v>
      </c>
      <c r="AL74" s="474">
        <f t="shared" ref="AL74:AL79" si="78">AD74+AH74</f>
        <v>0</v>
      </c>
      <c r="AM74" s="328">
        <f t="shared" si="68"/>
        <v>0</v>
      </c>
      <c r="AN74" s="478">
        <f t="shared" ref="AN74:AN79" si="79">AF74+AJ74</f>
        <v>760000</v>
      </c>
      <c r="AO74" s="162">
        <f t="shared" si="69"/>
        <v>3.4284039213957745E-4</v>
      </c>
      <c r="AP74" s="483">
        <f t="shared" ref="AP74:AP79" si="80">B74+Z74+AL74</f>
        <v>0</v>
      </c>
      <c r="AQ74" s="299">
        <f t="shared" si="70"/>
        <v>0</v>
      </c>
      <c r="AR74" s="487">
        <f t="shared" ref="AR74:AR79" si="81">D74+AB74+AN74</f>
        <v>1949000</v>
      </c>
      <c r="AS74" s="300">
        <f t="shared" si="71"/>
        <v>2.726770703717536E-4</v>
      </c>
      <c r="AT74" s="575">
        <f>[9]全社合計!$G$74</f>
        <v>0</v>
      </c>
      <c r="AU74" s="163">
        <f t="shared" ref="AU74:AU79" si="82">IF(ISERR(AT74/$AT$11),"",AT74/$AT$11)</f>
        <v>0</v>
      </c>
      <c r="AV74" s="578">
        <f>[9]全社合計!$N$74</f>
        <v>1949000</v>
      </c>
      <c r="AW74" s="164">
        <f t="shared" ref="AW74:AW79" si="83">IF(ISERR(AV74/$AV$11),"",AV74/$AV$11)</f>
        <v>2.419696916007252E-4</v>
      </c>
      <c r="AX74" s="575">
        <f t="shared" ref="AX74:AX79" si="84">AP74-AT74</f>
        <v>0</v>
      </c>
      <c r="AY74" s="163" t="str">
        <f t="shared" ref="AY74:AY79" si="85">IF(ISERROR(AP74/AT74),"",AP74/AT74)</f>
        <v/>
      </c>
      <c r="AZ74" s="578">
        <f t="shared" ref="AZ74:AZ79" si="86">AR74-AV74</f>
        <v>0</v>
      </c>
      <c r="BA74" s="164">
        <f t="shared" ref="BA74:BA79" si="87">IF(ISERROR(AR74/AV74),"",AR74/AV74)</f>
        <v>1</v>
      </c>
      <c r="BB74" s="11"/>
    </row>
    <row r="75" spans="1:54" ht="16.149999999999999" customHeight="1">
      <c r="A75" s="43" t="s">
        <v>67</v>
      </c>
      <c r="B75" s="706">
        <f>[9]本部!$I$73</f>
        <v>0</v>
      </c>
      <c r="C75" s="266" t="str">
        <f t="shared" si="55"/>
        <v/>
      </c>
      <c r="D75" s="723">
        <f>[9]本部!$L$73</f>
        <v>24000</v>
      </c>
      <c r="E75" s="161" t="str">
        <f t="shared" si="56"/>
        <v/>
      </c>
      <c r="F75" s="352">
        <f>[9]本社営業!$I$73</f>
        <v>0</v>
      </c>
      <c r="G75" s="10">
        <f t="shared" si="57"/>
        <v>0</v>
      </c>
      <c r="H75" s="356">
        <f>[9]本社営業!$L$73</f>
        <v>829600</v>
      </c>
      <c r="I75" s="163">
        <f t="shared" si="72"/>
        <v>1.7991993498264367E-4</v>
      </c>
      <c r="J75" s="745">
        <f>[9]東大阪!$I$73</f>
        <v>0</v>
      </c>
      <c r="K75" s="77">
        <f t="shared" si="73"/>
        <v>0</v>
      </c>
      <c r="L75" s="356">
        <f>[9]東大阪!$L$73</f>
        <v>0</v>
      </c>
      <c r="M75" s="163">
        <f t="shared" si="37"/>
        <v>0</v>
      </c>
      <c r="N75" s="403">
        <f>[9]南港工場!$I$73</f>
        <v>0</v>
      </c>
      <c r="O75" s="77">
        <f t="shared" si="58"/>
        <v>0</v>
      </c>
      <c r="P75" s="356">
        <f>[9]南港工場!$L$73</f>
        <v>0</v>
      </c>
      <c r="Q75" s="170">
        <f t="shared" si="59"/>
        <v>0</v>
      </c>
      <c r="R75" s="445">
        <f>[9]南港事務!$I$73</f>
        <v>0</v>
      </c>
      <c r="S75" s="10" t="str">
        <f t="shared" si="60"/>
        <v/>
      </c>
      <c r="T75" s="356">
        <f>[9]南港事務!$L$73</f>
        <v>41100</v>
      </c>
      <c r="U75" s="217" t="str">
        <f t="shared" si="61"/>
        <v/>
      </c>
      <c r="V75" s="456">
        <f t="shared" si="74"/>
        <v>0</v>
      </c>
      <c r="W75" s="170">
        <f t="shared" si="62"/>
        <v>0</v>
      </c>
      <c r="X75" s="408">
        <f t="shared" si="75"/>
        <v>41100</v>
      </c>
      <c r="Y75" s="240">
        <f t="shared" si="63"/>
        <v>1.7254858338368729E-4</v>
      </c>
      <c r="Z75" s="460">
        <f>F75+J75+N75+R75</f>
        <v>0</v>
      </c>
      <c r="AA75" s="201">
        <f t="shared" si="64"/>
        <v>0</v>
      </c>
      <c r="AB75" s="464">
        <f t="shared" si="76"/>
        <v>870700</v>
      </c>
      <c r="AC75" s="162">
        <f t="shared" si="65"/>
        <v>1.7658126892228283E-4</v>
      </c>
      <c r="AD75" s="352">
        <f>[9]東京事務!$I$73</f>
        <v>0</v>
      </c>
      <c r="AE75" s="10">
        <f t="shared" si="66"/>
        <v>0</v>
      </c>
      <c r="AF75" s="356">
        <f>[9]東京事務!$L$73</f>
        <v>568976</v>
      </c>
      <c r="AG75" s="93">
        <f t="shared" si="67"/>
        <v>2.6698392038361713E-4</v>
      </c>
      <c r="AH75" s="388">
        <f>[9]東京工場!$I$73</f>
        <v>0</v>
      </c>
      <c r="AI75" s="170">
        <f t="shared" si="77"/>
        <v>0</v>
      </c>
      <c r="AJ75" s="356">
        <f>[9]東京工場!$L$73</f>
        <v>0</v>
      </c>
      <c r="AK75" s="98">
        <f t="shared" si="36"/>
        <v>0</v>
      </c>
      <c r="AL75" s="474">
        <f t="shared" si="78"/>
        <v>0</v>
      </c>
      <c r="AM75" s="328">
        <f t="shared" si="68"/>
        <v>0</v>
      </c>
      <c r="AN75" s="478">
        <f t="shared" si="79"/>
        <v>568976</v>
      </c>
      <c r="AO75" s="162">
        <f t="shared" si="69"/>
        <v>2.5666836178685291E-4</v>
      </c>
      <c r="AP75" s="483">
        <f t="shared" si="80"/>
        <v>0</v>
      </c>
      <c r="AQ75" s="299">
        <f t="shared" si="70"/>
        <v>0</v>
      </c>
      <c r="AR75" s="487">
        <f t="shared" si="81"/>
        <v>1463676</v>
      </c>
      <c r="AS75" s="300">
        <f t="shared" si="71"/>
        <v>2.0477726200792551E-4</v>
      </c>
      <c r="AT75" s="575">
        <f>[9]全社合計!$G$73</f>
        <v>0</v>
      </c>
      <c r="AU75" s="163">
        <f t="shared" si="82"/>
        <v>0</v>
      </c>
      <c r="AV75" s="578">
        <f>[9]全社合計!$N$73</f>
        <v>1507666</v>
      </c>
      <c r="AW75" s="164">
        <f t="shared" si="83"/>
        <v>1.8717777170697741E-4</v>
      </c>
      <c r="AX75" s="575">
        <f t="shared" si="84"/>
        <v>0</v>
      </c>
      <c r="AY75" s="163" t="str">
        <f t="shared" si="85"/>
        <v/>
      </c>
      <c r="AZ75" s="578">
        <f t="shared" si="86"/>
        <v>-43990</v>
      </c>
      <c r="BA75" s="164">
        <f t="shared" si="87"/>
        <v>0.97082245006520007</v>
      </c>
      <c r="BB75" s="11"/>
    </row>
    <row r="76" spans="1:54" ht="16.149999999999999" customHeight="1">
      <c r="A76" s="43" t="s">
        <v>68</v>
      </c>
      <c r="B76" s="706"/>
      <c r="C76" s="266" t="str">
        <f t="shared" si="55"/>
        <v/>
      </c>
      <c r="D76" s="723">
        <f>B76</f>
        <v>0</v>
      </c>
      <c r="E76" s="161" t="str">
        <f t="shared" si="56"/>
        <v/>
      </c>
      <c r="F76" s="352"/>
      <c r="G76" s="10">
        <f t="shared" si="57"/>
        <v>0</v>
      </c>
      <c r="H76" s="356">
        <f>F76</f>
        <v>0</v>
      </c>
      <c r="I76" s="163">
        <f t="shared" si="72"/>
        <v>0</v>
      </c>
      <c r="J76" s="745"/>
      <c r="K76" s="77">
        <f t="shared" si="73"/>
        <v>0</v>
      </c>
      <c r="L76" s="356">
        <f>J76</f>
        <v>0</v>
      </c>
      <c r="M76" s="163">
        <f t="shared" si="37"/>
        <v>0</v>
      </c>
      <c r="N76" s="403"/>
      <c r="O76" s="77">
        <f t="shared" si="58"/>
        <v>0</v>
      </c>
      <c r="P76" s="356">
        <f>N76</f>
        <v>0</v>
      </c>
      <c r="Q76" s="170">
        <f t="shared" si="59"/>
        <v>0</v>
      </c>
      <c r="R76" s="445"/>
      <c r="S76" s="10" t="str">
        <f t="shared" si="60"/>
        <v/>
      </c>
      <c r="T76" s="356">
        <f>R76</f>
        <v>0</v>
      </c>
      <c r="U76" s="217" t="str">
        <f t="shared" si="61"/>
        <v/>
      </c>
      <c r="V76" s="456">
        <f t="shared" si="74"/>
        <v>0</v>
      </c>
      <c r="W76" s="170">
        <f t="shared" si="62"/>
        <v>0</v>
      </c>
      <c r="X76" s="408">
        <f t="shared" si="75"/>
        <v>0</v>
      </c>
      <c r="Y76" s="240">
        <f t="shared" si="63"/>
        <v>0</v>
      </c>
      <c r="Z76" s="460">
        <f>F76+J76+N76+R76</f>
        <v>0</v>
      </c>
      <c r="AA76" s="201">
        <f t="shared" si="64"/>
        <v>0</v>
      </c>
      <c r="AB76" s="464">
        <f t="shared" si="76"/>
        <v>0</v>
      </c>
      <c r="AC76" s="162">
        <f t="shared" si="65"/>
        <v>0</v>
      </c>
      <c r="AD76" s="352"/>
      <c r="AE76" s="10">
        <f t="shared" si="66"/>
        <v>0</v>
      </c>
      <c r="AF76" s="356">
        <f>AD76</f>
        <v>0</v>
      </c>
      <c r="AG76" s="93">
        <f t="shared" si="67"/>
        <v>0</v>
      </c>
      <c r="AH76" s="388"/>
      <c r="AI76" s="170">
        <f t="shared" si="77"/>
        <v>0</v>
      </c>
      <c r="AJ76" s="356">
        <f>AH76</f>
        <v>0</v>
      </c>
      <c r="AK76" s="98">
        <f t="shared" si="36"/>
        <v>0</v>
      </c>
      <c r="AL76" s="474">
        <f t="shared" si="78"/>
        <v>0</v>
      </c>
      <c r="AM76" s="328">
        <f t="shared" si="68"/>
        <v>0</v>
      </c>
      <c r="AN76" s="478">
        <f t="shared" si="79"/>
        <v>0</v>
      </c>
      <c r="AO76" s="162">
        <f t="shared" si="69"/>
        <v>0</v>
      </c>
      <c r="AP76" s="483">
        <f t="shared" si="80"/>
        <v>0</v>
      </c>
      <c r="AQ76" s="299">
        <f t="shared" si="70"/>
        <v>0</v>
      </c>
      <c r="AR76" s="487">
        <f t="shared" si="81"/>
        <v>0</v>
      </c>
      <c r="AS76" s="300">
        <f t="shared" si="71"/>
        <v>0</v>
      </c>
      <c r="AT76" s="575">
        <v>0</v>
      </c>
      <c r="AU76" s="163">
        <f t="shared" si="82"/>
        <v>0</v>
      </c>
      <c r="AV76" s="578">
        <f>AT76</f>
        <v>0</v>
      </c>
      <c r="AW76" s="164">
        <f t="shared" si="83"/>
        <v>0</v>
      </c>
      <c r="AX76" s="575">
        <f t="shared" si="84"/>
        <v>0</v>
      </c>
      <c r="AY76" s="163" t="str">
        <f t="shared" si="85"/>
        <v/>
      </c>
      <c r="AZ76" s="578">
        <f t="shared" si="86"/>
        <v>0</v>
      </c>
      <c r="BA76" s="164" t="str">
        <f t="shared" si="87"/>
        <v/>
      </c>
      <c r="BB76" s="11"/>
    </row>
    <row r="77" spans="1:54" ht="16.149999999999999" customHeight="1">
      <c r="A77" s="43" t="s">
        <v>69</v>
      </c>
      <c r="B77" s="706"/>
      <c r="C77" s="266" t="str">
        <f t="shared" si="55"/>
        <v/>
      </c>
      <c r="D77" s="723">
        <f>[9]本部!$L$75</f>
        <v>0</v>
      </c>
      <c r="E77" s="161" t="str">
        <f>IF(ISERR(#REF!/$D$11),"",#REF!/$D$11)</f>
        <v/>
      </c>
      <c r="F77" s="352">
        <f>[9]本社営業!$I$75</f>
        <v>0</v>
      </c>
      <c r="G77" s="10">
        <f t="shared" si="57"/>
        <v>0</v>
      </c>
      <c r="H77" s="356">
        <f>[9]本社営業!$L$75</f>
        <v>672000</v>
      </c>
      <c r="I77" s="163">
        <f t="shared" si="72"/>
        <v>1.4574035234852525E-4</v>
      </c>
      <c r="J77" s="745"/>
      <c r="K77" s="77">
        <f t="shared" si="73"/>
        <v>0</v>
      </c>
      <c r="L77" s="356">
        <f>[9]東大阪!$L$75</f>
        <v>0</v>
      </c>
      <c r="M77" s="163">
        <f t="shared" si="37"/>
        <v>0</v>
      </c>
      <c r="N77" s="403"/>
      <c r="O77" s="77">
        <f t="shared" si="58"/>
        <v>0</v>
      </c>
      <c r="P77" s="356">
        <f>[9]南港工場!$L$75</f>
        <v>0</v>
      </c>
      <c r="Q77" s="170">
        <f t="shared" si="59"/>
        <v>0</v>
      </c>
      <c r="R77" s="445"/>
      <c r="S77" s="10" t="str">
        <f t="shared" si="60"/>
        <v/>
      </c>
      <c r="T77" s="356">
        <f>[9]南港事務!$L$75</f>
        <v>0</v>
      </c>
      <c r="U77" s="217" t="str">
        <f t="shared" si="61"/>
        <v/>
      </c>
      <c r="V77" s="456">
        <f t="shared" si="74"/>
        <v>0</v>
      </c>
      <c r="W77" s="170">
        <f t="shared" si="62"/>
        <v>0</v>
      </c>
      <c r="X77" s="408">
        <f t="shared" si="75"/>
        <v>0</v>
      </c>
      <c r="Y77" s="240">
        <f t="shared" si="63"/>
        <v>0</v>
      </c>
      <c r="Z77" s="460">
        <f>F77+J77+N77+R77</f>
        <v>0</v>
      </c>
      <c r="AA77" s="201">
        <f t="shared" si="64"/>
        <v>0</v>
      </c>
      <c r="AB77" s="464">
        <f t="shared" si="76"/>
        <v>672000</v>
      </c>
      <c r="AC77" s="162">
        <f t="shared" si="65"/>
        <v>1.3628415380242801E-4</v>
      </c>
      <c r="AD77" s="352"/>
      <c r="AE77" s="10">
        <f t="shared" si="66"/>
        <v>0</v>
      </c>
      <c r="AF77" s="356">
        <f>[9]東京事務!$L$75</f>
        <v>0</v>
      </c>
      <c r="AG77" s="93">
        <f t="shared" si="67"/>
        <v>0</v>
      </c>
      <c r="AH77" s="388"/>
      <c r="AI77" s="170">
        <f t="shared" si="77"/>
        <v>0</v>
      </c>
      <c r="AJ77" s="356">
        <f>[9]東京工場!$L$75</f>
        <v>0</v>
      </c>
      <c r="AK77" s="98">
        <f t="shared" si="36"/>
        <v>0</v>
      </c>
      <c r="AL77" s="474">
        <f t="shared" si="78"/>
        <v>0</v>
      </c>
      <c r="AM77" s="328">
        <f t="shared" si="68"/>
        <v>0</v>
      </c>
      <c r="AN77" s="478">
        <f t="shared" si="79"/>
        <v>0</v>
      </c>
      <c r="AO77" s="162">
        <f t="shared" si="69"/>
        <v>0</v>
      </c>
      <c r="AP77" s="483">
        <f t="shared" si="80"/>
        <v>0</v>
      </c>
      <c r="AQ77" s="299">
        <f t="shared" si="70"/>
        <v>0</v>
      </c>
      <c r="AR77" s="487">
        <f t="shared" si="81"/>
        <v>672000</v>
      </c>
      <c r="AS77" s="300">
        <f t="shared" si="71"/>
        <v>9.4016927290825251E-5</v>
      </c>
      <c r="AT77" s="575">
        <f>[9]全社合計!$G$75</f>
        <v>0</v>
      </c>
      <c r="AU77" s="163">
        <f t="shared" si="82"/>
        <v>0</v>
      </c>
      <c r="AV77" s="578">
        <f>[9]全社合計!$N$75</f>
        <v>672000</v>
      </c>
      <c r="AW77" s="164">
        <f t="shared" si="83"/>
        <v>8.3429262573467083E-5</v>
      </c>
      <c r="AX77" s="575">
        <f t="shared" si="84"/>
        <v>0</v>
      </c>
      <c r="AY77" s="163" t="str">
        <f t="shared" si="85"/>
        <v/>
      </c>
      <c r="AZ77" s="578">
        <f t="shared" si="86"/>
        <v>0</v>
      </c>
      <c r="BA77" s="164">
        <f t="shared" si="87"/>
        <v>1</v>
      </c>
      <c r="BB77" s="11"/>
    </row>
    <row r="78" spans="1:54" ht="16.149999999999999" customHeight="1" thickBot="1">
      <c r="A78" s="44"/>
      <c r="B78" s="707"/>
      <c r="C78" s="267" t="str">
        <f t="shared" si="55"/>
        <v/>
      </c>
      <c r="D78" s="735">
        <f>B78</f>
        <v>0</v>
      </c>
      <c r="E78" s="165" t="str">
        <f>IF(ISERR(#REF!/$D$11),"",#REF!/$D$11)</f>
        <v/>
      </c>
      <c r="F78" s="380"/>
      <c r="G78" s="23">
        <f t="shared" si="57"/>
        <v>0</v>
      </c>
      <c r="H78" s="381">
        <f>F78</f>
        <v>0</v>
      </c>
      <c r="I78" s="167">
        <f t="shared" si="72"/>
        <v>0</v>
      </c>
      <c r="J78" s="758"/>
      <c r="K78" s="78">
        <f t="shared" si="73"/>
        <v>0</v>
      </c>
      <c r="L78" s="381">
        <f>J78</f>
        <v>0</v>
      </c>
      <c r="M78" s="167">
        <f t="shared" si="37"/>
        <v>0</v>
      </c>
      <c r="N78" s="420"/>
      <c r="O78" s="241">
        <f t="shared" si="58"/>
        <v>0</v>
      </c>
      <c r="P78" s="381">
        <f>N78</f>
        <v>0</v>
      </c>
      <c r="Q78" s="244">
        <f t="shared" si="59"/>
        <v>0</v>
      </c>
      <c r="R78" s="453"/>
      <c r="S78" s="243" t="str">
        <f t="shared" si="60"/>
        <v/>
      </c>
      <c r="T78" s="381">
        <f>R78</f>
        <v>0</v>
      </c>
      <c r="U78" s="242" t="str">
        <f t="shared" si="61"/>
        <v/>
      </c>
      <c r="V78" s="498">
        <f t="shared" si="74"/>
        <v>0</v>
      </c>
      <c r="W78" s="244">
        <f t="shared" si="62"/>
        <v>0</v>
      </c>
      <c r="X78" s="422">
        <f t="shared" si="75"/>
        <v>0</v>
      </c>
      <c r="Y78" s="245">
        <f t="shared" si="63"/>
        <v>0</v>
      </c>
      <c r="Z78" s="501">
        <f>F78+J78+N78+R78</f>
        <v>0</v>
      </c>
      <c r="AA78" s="202">
        <f t="shared" si="64"/>
        <v>0</v>
      </c>
      <c r="AB78" s="503">
        <f t="shared" si="76"/>
        <v>0</v>
      </c>
      <c r="AC78" s="166">
        <f t="shared" si="65"/>
        <v>0</v>
      </c>
      <c r="AD78" s="380"/>
      <c r="AE78" s="23">
        <f t="shared" si="66"/>
        <v>0</v>
      </c>
      <c r="AF78" s="381">
        <f>AD78</f>
        <v>0</v>
      </c>
      <c r="AG78" s="94">
        <f t="shared" si="67"/>
        <v>0</v>
      </c>
      <c r="AH78" s="400"/>
      <c r="AI78" s="184">
        <f t="shared" si="77"/>
        <v>0</v>
      </c>
      <c r="AJ78" s="381">
        <f>AH78</f>
        <v>0</v>
      </c>
      <c r="AK78" s="112">
        <f>IF(ISERR(AJ78/$AJ$11),"",AJ78/$AJ$11)</f>
        <v>0</v>
      </c>
      <c r="AL78" s="507">
        <f t="shared" si="78"/>
        <v>0</v>
      </c>
      <c r="AM78" s="329">
        <f t="shared" si="68"/>
        <v>0</v>
      </c>
      <c r="AN78" s="509">
        <f t="shared" si="79"/>
        <v>0</v>
      </c>
      <c r="AO78" s="166">
        <f t="shared" si="69"/>
        <v>0</v>
      </c>
      <c r="AP78" s="512">
        <f t="shared" si="80"/>
        <v>0</v>
      </c>
      <c r="AQ78" s="301">
        <f t="shared" si="70"/>
        <v>0</v>
      </c>
      <c r="AR78" s="514">
        <f t="shared" si="81"/>
        <v>0</v>
      </c>
      <c r="AS78" s="302">
        <f t="shared" si="71"/>
        <v>0</v>
      </c>
      <c r="AT78" s="593">
        <v>0</v>
      </c>
      <c r="AU78" s="167">
        <f t="shared" si="82"/>
        <v>0</v>
      </c>
      <c r="AV78" s="595">
        <f>AT78</f>
        <v>0</v>
      </c>
      <c r="AW78" s="168">
        <f t="shared" si="83"/>
        <v>0</v>
      </c>
      <c r="AX78" s="593">
        <f t="shared" si="84"/>
        <v>0</v>
      </c>
      <c r="AY78" s="167" t="str">
        <f t="shared" si="85"/>
        <v/>
      </c>
      <c r="AZ78" s="595">
        <f t="shared" si="86"/>
        <v>0</v>
      </c>
      <c r="BA78" s="168" t="str">
        <f t="shared" si="87"/>
        <v/>
      </c>
      <c r="BB78" s="11"/>
    </row>
    <row r="79" spans="1:54" s="25" customFormat="1" ht="15.75" thickTop="1">
      <c r="A79" s="24" t="s">
        <v>70</v>
      </c>
      <c r="B79" s="737">
        <f>+B18-B67</f>
        <v>0</v>
      </c>
      <c r="C79" s="220" t="str">
        <f t="shared" si="55"/>
        <v/>
      </c>
      <c r="D79" s="736">
        <f>D18-D67</f>
        <v>0</v>
      </c>
      <c r="E79" s="220" t="str">
        <f>IF(ISERR(#REF!/$D$11),"",#REF!/$D$11)</f>
        <v/>
      </c>
      <c r="F79" s="382">
        <f>F18-F67</f>
        <v>25421616</v>
      </c>
      <c r="G79" s="309">
        <f>IF(ISERR(F79/$F$11),"",F79/$F$11)</f>
        <v>5.125270441131001E-2</v>
      </c>
      <c r="H79" s="383">
        <f>H18-H67</f>
        <v>220721374</v>
      </c>
      <c r="I79" s="95">
        <f t="shared" si="72"/>
        <v>4.7869063716682467E-2</v>
      </c>
      <c r="J79" s="382">
        <f>J18-J67</f>
        <v>6341872</v>
      </c>
      <c r="K79" s="309">
        <f t="shared" si="73"/>
        <v>0.75154697133019155</v>
      </c>
      <c r="L79" s="383">
        <f>L18-L67</f>
        <v>58952365</v>
      </c>
      <c r="M79" s="95">
        <f>IF(ISERR(L79/$L$11),"",L79/$L$11)</f>
        <v>0.72121432842090472</v>
      </c>
      <c r="N79" s="382">
        <f>N18-N67</f>
        <v>16845435</v>
      </c>
      <c r="O79" s="95">
        <f>IF(ISERR(N79/$N$11),"",N79/$N$11)</f>
        <v>0.7687640674030547</v>
      </c>
      <c r="P79" s="383">
        <f>P18-P67</f>
        <v>195098732</v>
      </c>
      <c r="Q79" s="95">
        <f t="shared" si="59"/>
        <v>0.81907566487965111</v>
      </c>
      <c r="R79" s="382">
        <f>R18-R67</f>
        <v>3999405</v>
      </c>
      <c r="S79" s="113"/>
      <c r="T79" s="383">
        <f>T18-T67</f>
        <v>38372530</v>
      </c>
      <c r="U79" s="95" t="str">
        <f t="shared" si="61"/>
        <v/>
      </c>
      <c r="V79" s="499">
        <f t="shared" si="74"/>
        <v>20844840</v>
      </c>
      <c r="W79" s="95">
        <f>IF(ISERR(V79/$V$11),"",V79/$V$11)</f>
        <v>0.95128228999523556</v>
      </c>
      <c r="X79" s="383">
        <f t="shared" si="75"/>
        <v>233471262</v>
      </c>
      <c r="Y79" s="95">
        <f t="shared" si="63"/>
        <v>0.98017361359858157</v>
      </c>
      <c r="Z79" s="499">
        <f>F79+J79+V79</f>
        <v>52608328</v>
      </c>
      <c r="AA79" s="95">
        <f>IF(ISERR(Z79/$Z$11),"",Z79/$Z$11)</f>
        <v>9.9948160194547511E-2</v>
      </c>
      <c r="AB79" s="383">
        <f t="shared" si="76"/>
        <v>513145001</v>
      </c>
      <c r="AC79" s="95">
        <f t="shared" si="65"/>
        <v>0.10406775630837957</v>
      </c>
      <c r="AD79" s="382">
        <f>AD18-AD67</f>
        <v>12745785</v>
      </c>
      <c r="AE79" s="309">
        <f t="shared" si="66"/>
        <v>6.2803643319232771E-2</v>
      </c>
      <c r="AF79" s="383">
        <f>AF18-AF67</f>
        <v>124777561</v>
      </c>
      <c r="AG79" s="95">
        <f t="shared" si="67"/>
        <v>5.8550101255036992E-2</v>
      </c>
      <c r="AH79" s="382">
        <f>AH18-AH67</f>
        <v>6595846</v>
      </c>
      <c r="AI79" s="309">
        <f t="shared" si="77"/>
        <v>0.84228346386307595</v>
      </c>
      <c r="AJ79" s="383">
        <f>AJ18-AJ67</f>
        <v>68476728</v>
      </c>
      <c r="AK79" s="309">
        <f>IF(ISERR(AJ79/$AJ$11),"",AJ79/$AJ$11)</f>
        <v>0.79949130868923723</v>
      </c>
      <c r="AL79" s="382">
        <f t="shared" si="78"/>
        <v>19341631</v>
      </c>
      <c r="AM79" s="95">
        <f t="shared" si="68"/>
        <v>9.1763263949202617E-2</v>
      </c>
      <c r="AN79" s="510">
        <f t="shared" si="79"/>
        <v>193254289</v>
      </c>
      <c r="AO79" s="113"/>
      <c r="AP79" s="382">
        <f t="shared" si="80"/>
        <v>71949959</v>
      </c>
      <c r="AQ79" s="95">
        <f t="shared" si="70"/>
        <v>9.7607754267211994E-2</v>
      </c>
      <c r="AR79" s="515">
        <f t="shared" si="81"/>
        <v>706399290</v>
      </c>
      <c r="AS79" s="95">
        <f>IF(ISERR(AR79/$AR$11),"",AR79/$AR$11)</f>
        <v>9.8829599235447291E-2</v>
      </c>
      <c r="AT79" s="382">
        <f>AT18-AT67</f>
        <v>82886609</v>
      </c>
      <c r="AU79" s="95">
        <f t="shared" si="82"/>
        <v>0.10021619642279508</v>
      </c>
      <c r="AV79" s="383">
        <f>AT79</f>
        <v>82886609</v>
      </c>
      <c r="AW79" s="309">
        <f t="shared" si="83"/>
        <v>1.0290429562626935E-2</v>
      </c>
      <c r="AX79" s="382">
        <f t="shared" si="84"/>
        <v>-10936650</v>
      </c>
      <c r="AY79" s="95">
        <f t="shared" si="85"/>
        <v>0.86805287208697368</v>
      </c>
      <c r="AZ79" s="383">
        <f t="shared" si="86"/>
        <v>623512681</v>
      </c>
      <c r="BA79" s="309">
        <f t="shared" si="87"/>
        <v>8.5224778588782666</v>
      </c>
    </row>
    <row r="80" spans="1:54">
      <c r="A80" s="26"/>
      <c r="B80" s="26"/>
    </row>
    <row r="81" spans="1:53" s="268" customFormat="1">
      <c r="A81" s="270" t="s">
        <v>85</v>
      </c>
      <c r="B81" s="271"/>
      <c r="C81" s="272"/>
      <c r="D81" s="824"/>
      <c r="E81" s="825"/>
      <c r="F81" s="773">
        <f>'1月'!F83</f>
        <v>6085710</v>
      </c>
      <c r="G81" s="774"/>
      <c r="H81" s="669">
        <f>'6月'!H81</f>
        <v>6712201</v>
      </c>
      <c r="I81" s="670"/>
      <c r="J81" s="667"/>
      <c r="K81" s="668"/>
      <c r="L81" s="669">
        <f>+J81</f>
        <v>0</v>
      </c>
      <c r="M81" s="670"/>
      <c r="N81" s="667"/>
      <c r="O81" s="668"/>
      <c r="P81" s="669">
        <f>+N81</f>
        <v>0</v>
      </c>
      <c r="Q81" s="670"/>
      <c r="R81" s="671"/>
      <c r="S81" s="672"/>
      <c r="T81" s="669">
        <f>+R81</f>
        <v>0</v>
      </c>
      <c r="U81" s="670"/>
      <c r="V81" s="667">
        <f>N81+R81</f>
        <v>0</v>
      </c>
      <c r="W81" s="668"/>
      <c r="X81" s="673">
        <f>P81+T81</f>
        <v>0</v>
      </c>
      <c r="Y81" s="674"/>
      <c r="Z81" s="667">
        <f>F81+J81+N81+R81</f>
        <v>6085710</v>
      </c>
      <c r="AA81" s="668"/>
      <c r="AB81" s="675">
        <f>H81+L81+P81+T81</f>
        <v>6712201</v>
      </c>
      <c r="AC81" s="676"/>
      <c r="AD81" s="671">
        <f>'1月'!AD83</f>
        <v>3487473</v>
      </c>
      <c r="AE81" s="672"/>
      <c r="AF81" s="669">
        <f>'6月'!AF81</f>
        <v>4214746</v>
      </c>
      <c r="AG81" s="670"/>
      <c r="AH81" s="671"/>
      <c r="AI81" s="672"/>
      <c r="AJ81" s="669">
        <f>+AH81</f>
        <v>0</v>
      </c>
      <c r="AK81" s="670"/>
      <c r="AL81" s="671">
        <f>+AD81+AH81</f>
        <v>3487473</v>
      </c>
      <c r="AM81" s="672"/>
      <c r="AN81" s="669">
        <f>AF81+AJ81</f>
        <v>4214746</v>
      </c>
      <c r="AO81" s="670"/>
      <c r="AP81" s="671">
        <f>+AB81+AL81</f>
        <v>10199674</v>
      </c>
      <c r="AQ81" s="672"/>
      <c r="AR81" s="669">
        <f>D81+AB81+AN81</f>
        <v>10926947</v>
      </c>
      <c r="AS81" s="670"/>
      <c r="AT81" s="671">
        <f>'1月'!AT83</f>
        <v>11277048</v>
      </c>
      <c r="AU81" s="672"/>
      <c r="AV81" s="669">
        <f>'6月'!AV81</f>
        <v>10388772</v>
      </c>
      <c r="AW81" s="670"/>
      <c r="AX81" s="671">
        <f>AP81-AT81</f>
        <v>-1077374</v>
      </c>
      <c r="AY81" s="677">
        <f>IF(ISERROR(AP81/AT81),"",AP81/AT81)</f>
        <v>0.9044631183621813</v>
      </c>
      <c r="AZ81" s="669">
        <f>AR81-AV81</f>
        <v>538175</v>
      </c>
      <c r="BA81" s="678">
        <f>IF(ISERROR(AR81/AV81),"",AR81/AV81)</f>
        <v>1.051803524035372</v>
      </c>
    </row>
    <row r="82" spans="1:53" s="268" customFormat="1">
      <c r="A82" s="269" t="s">
        <v>86</v>
      </c>
      <c r="B82" s="273"/>
      <c r="C82" s="274"/>
      <c r="D82" s="826"/>
      <c r="E82" s="827"/>
      <c r="F82" s="771">
        <v>2312424</v>
      </c>
      <c r="G82" s="772"/>
      <c r="H82" s="685">
        <f>F82+'1月'!H82</f>
        <v>21385726</v>
      </c>
      <c r="I82" s="686"/>
      <c r="J82" s="683">
        <v>36266</v>
      </c>
      <c r="K82" s="684"/>
      <c r="L82" s="685">
        <f>J82+'1月'!L82</f>
        <v>276190</v>
      </c>
      <c r="M82" s="686"/>
      <c r="N82" s="683">
        <v>52075</v>
      </c>
      <c r="O82" s="684"/>
      <c r="P82" s="685">
        <f>N82+'1月'!P82</f>
        <v>560461</v>
      </c>
      <c r="Q82" s="686"/>
      <c r="R82" s="683"/>
      <c r="S82" s="684"/>
      <c r="T82" s="685">
        <f>R82+'1月'!T82</f>
        <v>0</v>
      </c>
      <c r="U82" s="686"/>
      <c r="V82" s="683">
        <f>N82+R82</f>
        <v>52075</v>
      </c>
      <c r="W82" s="684"/>
      <c r="X82" s="687">
        <f>P82+T82</f>
        <v>560461</v>
      </c>
      <c r="Y82" s="688"/>
      <c r="Z82" s="683">
        <f>F82+J82+N82+R82</f>
        <v>2400765</v>
      </c>
      <c r="AA82" s="684"/>
      <c r="AB82" s="687">
        <f>H82+L82+P82+T82</f>
        <v>22222377</v>
      </c>
      <c r="AC82" s="688"/>
      <c r="AD82" s="683">
        <v>754466</v>
      </c>
      <c r="AE82" s="684"/>
      <c r="AF82" s="685">
        <f>AD82+'1月'!AF82</f>
        <v>8074011</v>
      </c>
      <c r="AG82" s="686"/>
      <c r="AH82" s="683"/>
      <c r="AI82" s="684"/>
      <c r="AJ82" s="685">
        <f>AH82+'1月'!AJ82</f>
        <v>0</v>
      </c>
      <c r="AK82" s="686"/>
      <c r="AL82" s="683">
        <f>+AD82+AH82</f>
        <v>754466</v>
      </c>
      <c r="AM82" s="684"/>
      <c r="AN82" s="685">
        <f>AF82+AJ82</f>
        <v>8074011</v>
      </c>
      <c r="AO82" s="686"/>
      <c r="AP82" s="683">
        <f>+AL82+Z82</f>
        <v>3155231</v>
      </c>
      <c r="AQ82" s="684"/>
      <c r="AR82" s="685">
        <f>D82+AB82+AN82</f>
        <v>30296388</v>
      </c>
      <c r="AS82" s="686"/>
      <c r="AT82" s="683">
        <v>3336321</v>
      </c>
      <c r="AU82" s="684"/>
      <c r="AV82" s="685">
        <f>AT82+'1月'!AV82</f>
        <v>34202090</v>
      </c>
      <c r="AW82" s="686"/>
      <c r="AX82" s="683">
        <f>AP82-AT82</f>
        <v>-181090</v>
      </c>
      <c r="AY82" s="689">
        <f>IF(ISERROR(AP82/AT82),"",AP82/AT82)</f>
        <v>0.94572164968538697</v>
      </c>
      <c r="AZ82" s="685">
        <f>AR82-AV82</f>
        <v>-3905702</v>
      </c>
      <c r="BA82" s="690">
        <f>IF(ISERROR(AR82/AV82),"",AR82/AV82)</f>
        <v>0.88580516570770973</v>
      </c>
    </row>
    <row r="83" spans="1:53" s="268" customFormat="1" ht="14.25" thickBot="1">
      <c r="A83" s="275" t="s">
        <v>87</v>
      </c>
      <c r="B83" s="276"/>
      <c r="C83" s="277"/>
      <c r="D83" s="828"/>
      <c r="E83" s="829"/>
      <c r="F83" s="769">
        <f>[9]本社営業!$I$13</f>
        <v>5799974</v>
      </c>
      <c r="G83" s="770"/>
      <c r="H83" s="696">
        <f>+F83</f>
        <v>5799974</v>
      </c>
      <c r="I83" s="697"/>
      <c r="J83" s="694"/>
      <c r="K83" s="695"/>
      <c r="L83" s="696">
        <f>+J83</f>
        <v>0</v>
      </c>
      <c r="M83" s="697"/>
      <c r="N83" s="694"/>
      <c r="O83" s="695"/>
      <c r="P83" s="696">
        <f>+N83</f>
        <v>0</v>
      </c>
      <c r="Q83" s="697"/>
      <c r="R83" s="694"/>
      <c r="S83" s="695"/>
      <c r="T83" s="696">
        <f>+R83</f>
        <v>0</v>
      </c>
      <c r="U83" s="697"/>
      <c r="V83" s="694">
        <f>N83+R83</f>
        <v>0</v>
      </c>
      <c r="W83" s="695"/>
      <c r="X83" s="698">
        <f>P83+T83</f>
        <v>0</v>
      </c>
      <c r="Y83" s="699"/>
      <c r="Z83" s="694">
        <f>F83+J83+N83+R83</f>
        <v>5799974</v>
      </c>
      <c r="AA83" s="695"/>
      <c r="AB83" s="698">
        <f>H83+L83+P83+T83</f>
        <v>5799974</v>
      </c>
      <c r="AC83" s="699"/>
      <c r="AD83" s="694">
        <f>[9]東京事務!$I$13</f>
        <v>3396318</v>
      </c>
      <c r="AE83" s="695"/>
      <c r="AF83" s="696">
        <f>+AD83</f>
        <v>3396318</v>
      </c>
      <c r="AG83" s="697"/>
      <c r="AH83" s="694"/>
      <c r="AI83" s="695"/>
      <c r="AJ83" s="696">
        <f>+AH83</f>
        <v>0</v>
      </c>
      <c r="AK83" s="697"/>
      <c r="AL83" s="694">
        <f>+AD83+AH83</f>
        <v>3396318</v>
      </c>
      <c r="AM83" s="695"/>
      <c r="AN83" s="696">
        <f>AF83+AJ83</f>
        <v>3396318</v>
      </c>
      <c r="AO83" s="697"/>
      <c r="AP83" s="694">
        <f>+AB83+AL83</f>
        <v>9196292</v>
      </c>
      <c r="AQ83" s="695"/>
      <c r="AR83" s="696">
        <f>D83+AB83+AN83</f>
        <v>9196292</v>
      </c>
      <c r="AS83" s="697"/>
      <c r="AT83" s="694">
        <f>[9]全社合計!$G$13</f>
        <v>11543986</v>
      </c>
      <c r="AU83" s="695"/>
      <c r="AV83" s="696">
        <f>AT83</f>
        <v>11543986</v>
      </c>
      <c r="AW83" s="697"/>
      <c r="AX83" s="694">
        <f>AP83-AT83</f>
        <v>-2347694</v>
      </c>
      <c r="AY83" s="700">
        <f>IF(ISERROR(AP83/AT83),"",AP83/AT83)</f>
        <v>0.79663055724426557</v>
      </c>
      <c r="AZ83" s="696">
        <f>AR83-AV83</f>
        <v>-2347694</v>
      </c>
      <c r="BA83" s="701">
        <f>IF(ISERROR(AR83/AV83),"",AR83/AV83)</f>
        <v>0.79663055724426557</v>
      </c>
    </row>
    <row r="84" spans="1:53" ht="14.25" thickTop="1">
      <c r="D84" s="26"/>
      <c r="H84" s="26"/>
      <c r="L84" s="26"/>
      <c r="P84" s="26"/>
      <c r="T84" s="26"/>
      <c r="AL84" s="26"/>
      <c r="AP84" s="26"/>
      <c r="AT84" s="26"/>
      <c r="AX84" s="26"/>
    </row>
    <row r="85" spans="1:53">
      <c r="AL85" s="26"/>
    </row>
    <row r="89" spans="1:53">
      <c r="B89" s="27"/>
      <c r="D89" s="27"/>
      <c r="H89" s="27"/>
      <c r="L89" s="27"/>
      <c r="P89" s="27"/>
      <c r="T89" s="27"/>
      <c r="X89" s="27"/>
      <c r="AB89" s="27"/>
      <c r="AF89" s="27"/>
      <c r="AL89" s="27"/>
      <c r="AP89" s="27"/>
      <c r="AT89" s="27"/>
      <c r="AX89" s="27"/>
    </row>
    <row r="90" spans="1:53">
      <c r="B90" s="27"/>
      <c r="D90" s="27"/>
      <c r="H90" s="27"/>
      <c r="L90" s="27"/>
      <c r="P90" s="27"/>
      <c r="T90" s="27"/>
      <c r="X90" s="27"/>
      <c r="AB90" s="27"/>
      <c r="AF90" s="27"/>
      <c r="AL90" s="27"/>
      <c r="AP90" s="27"/>
      <c r="AT90" s="27"/>
      <c r="AX90" s="27"/>
    </row>
    <row r="91" spans="1:53">
      <c r="B91" s="27"/>
      <c r="D91" s="27"/>
      <c r="H91" s="27"/>
      <c r="L91" s="27"/>
      <c r="P91" s="27"/>
      <c r="T91" s="27"/>
      <c r="X91" s="27"/>
      <c r="AB91" s="27"/>
      <c r="AF91" s="27"/>
      <c r="AL91" s="27"/>
      <c r="AP91" s="27"/>
      <c r="AT91" s="27"/>
      <c r="AX91" s="27"/>
    </row>
    <row r="92" spans="1:53">
      <c r="B92" s="27"/>
      <c r="D92" s="27"/>
      <c r="H92" s="27"/>
      <c r="L92" s="27"/>
      <c r="P92" s="27"/>
      <c r="T92" s="27"/>
      <c r="X92" s="27"/>
      <c r="AB92" s="27"/>
      <c r="AF92" s="27"/>
      <c r="AL92" s="27"/>
      <c r="AP92" s="27"/>
      <c r="AT92" s="27"/>
      <c r="AX92" s="27"/>
    </row>
    <row r="93" spans="1:53">
      <c r="B93" s="27"/>
      <c r="D93" s="27"/>
      <c r="H93" s="27"/>
      <c r="L93" s="27"/>
      <c r="P93" s="27"/>
      <c r="T93" s="27"/>
      <c r="X93" s="27"/>
      <c r="AB93" s="27"/>
      <c r="AF93" s="27"/>
      <c r="AL93" s="27"/>
      <c r="AP93" s="27"/>
      <c r="AT93" s="27"/>
      <c r="AX93" s="27"/>
    </row>
    <row r="94" spans="1:53">
      <c r="B94" s="27"/>
    </row>
    <row r="95" spans="1:53">
      <c r="B95" s="27"/>
    </row>
  </sheetData>
  <mergeCells count="48">
    <mergeCell ref="D82:E82"/>
    <mergeCell ref="F82:G82"/>
    <mergeCell ref="D83:E83"/>
    <mergeCell ref="F83:G83"/>
    <mergeCell ref="AT4:AU4"/>
    <mergeCell ref="R4:S4"/>
    <mergeCell ref="T4:U4"/>
    <mergeCell ref="AV4:AW4"/>
    <mergeCell ref="V4:W4"/>
    <mergeCell ref="X4:Y4"/>
    <mergeCell ref="Z4:AA4"/>
    <mergeCell ref="AB4:AC4"/>
    <mergeCell ref="AX4:AY4"/>
    <mergeCell ref="AZ4:BA4"/>
    <mergeCell ref="D81:E81"/>
    <mergeCell ref="F81:G81"/>
    <mergeCell ref="AH4:AI4"/>
    <mergeCell ref="AJ4:AK4"/>
    <mergeCell ref="AL4:AM4"/>
    <mergeCell ref="AN4:AO4"/>
    <mergeCell ref="AP4:AQ4"/>
    <mergeCell ref="AR4:AS4"/>
    <mergeCell ref="AD4:AE4"/>
    <mergeCell ref="AF4:AG4"/>
    <mergeCell ref="J4:K4"/>
    <mergeCell ref="L4:M4"/>
    <mergeCell ref="N4:O4"/>
    <mergeCell ref="P4:Q4"/>
    <mergeCell ref="AX2:BA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T2:AW3"/>
    <mergeCell ref="A2:A5"/>
    <mergeCell ref="B2:E3"/>
    <mergeCell ref="F2:AC2"/>
    <mergeCell ref="AD2:AO2"/>
    <mergeCell ref="AP2:AS3"/>
    <mergeCell ref="B4:C4"/>
    <mergeCell ref="D4:E4"/>
    <mergeCell ref="F4:G4"/>
    <mergeCell ref="H4:I4"/>
  </mergeCells>
  <phoneticPr fontId="37"/>
  <dataValidations count="2">
    <dataValidation imeMode="on" allowBlank="1" showInputMessage="1" showErrorMessage="1" sqref="A2:BA5" xr:uid="{4E3D1F06-F317-4B84-BD5E-8828D063A5EF}"/>
    <dataValidation imeMode="off" allowBlank="1" showInputMessage="1" showErrorMessage="1" sqref="B1 AP1 AR1:AT1 AZ1:BA1 AV1:AX1 B6:BA65536" xr:uid="{00FAB2B6-E40E-415E-BF9E-F49BA65D2F95}"/>
  </dataValidations>
  <printOptions gridLinesSet="0"/>
  <pageMargins left="0.39370078740157483" right="0.19685039370078741" top="0.39370078740157483" bottom="0.19685039370078741" header="0" footer="0"/>
  <pageSetup paperSize="8" scale="68" orientation="landscape" r:id="rId1"/>
  <headerFooter alignWithMargins="0">
    <oddHeader>&amp;L&amp;D&amp;T&amp;C&amp;"明朝,太字"&amp;16&amp;F&amp;R&amp;"明朝,太字"&amp;A</oddHeader>
    <oddFooter>&amp;C&amp;"明朝,太字"&amp;14&amp;F&amp;R&amp;"明朝,太字"&amp;14&amp;A</oddFooter>
  </headerFooter>
  <colBreaks count="1" manualBreakCount="1">
    <brk id="29" min="1" max="7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18</vt:i4>
      </vt:variant>
    </vt:vector>
  </HeadingPairs>
  <TitlesOfParts>
    <vt:vector size="27" baseType="lpstr">
      <vt:lpstr>6月</vt:lpstr>
      <vt:lpstr>7月</vt:lpstr>
      <vt:lpstr>8月</vt:lpstr>
      <vt:lpstr>9月</vt:lpstr>
      <vt:lpstr>10月</vt:lpstr>
      <vt:lpstr>11月</vt:lpstr>
      <vt:lpstr>12月</vt:lpstr>
      <vt:lpstr>1月</vt:lpstr>
      <vt:lpstr>2月</vt:lpstr>
      <vt:lpstr>'10月'!Print_Area</vt:lpstr>
      <vt:lpstr>'11月'!Print_Area</vt:lpstr>
      <vt:lpstr>'12月'!Print_Area</vt:lpstr>
      <vt:lpstr>'1月'!Print_Area</vt:lpstr>
      <vt:lpstr>'2月'!Print_Area</vt:lpstr>
      <vt:lpstr>'6月'!Print_Area</vt:lpstr>
      <vt:lpstr>'7月'!Print_Area</vt:lpstr>
      <vt:lpstr>'8月'!Print_Area</vt:lpstr>
      <vt:lpstr>'9月'!Print_Area</vt:lpstr>
      <vt:lpstr>'10月'!Print_Titles</vt:lpstr>
      <vt:lpstr>'11月'!Print_Titles</vt:lpstr>
      <vt:lpstr>'12月'!Print_Titles</vt:lpstr>
      <vt:lpstr>'1月'!Print_Titles</vt:lpstr>
      <vt:lpstr>'2月'!Print_Titles</vt:lpstr>
      <vt:lpstr>'6月'!Print_Titles</vt:lpstr>
      <vt:lpstr>'7月'!Print_Titles</vt:lpstr>
      <vt:lpstr>'8月'!Print_Titles</vt:lpstr>
      <vt:lpstr>'9月'!Print_Titles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竹村 翔</cp:lastModifiedBy>
  <cp:lastPrinted>2019-04-04T00:45:54Z</cp:lastPrinted>
  <dcterms:created xsi:type="dcterms:W3CDTF">2010-07-06T11:32:27Z</dcterms:created>
  <dcterms:modified xsi:type="dcterms:W3CDTF">2026-03-11T06:38:49Z</dcterms:modified>
</cp:coreProperties>
</file>