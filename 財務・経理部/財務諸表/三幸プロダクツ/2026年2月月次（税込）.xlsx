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126\三幸プロダクツ\小家用\※会計・決算\第41期\41期月次報告\"/>
    </mc:Choice>
  </mc:AlternateContent>
  <xr:revisionPtr revIDLastSave="0" documentId="13_ncr:1_{14BE1537-1AFF-44FD-A612-6A582702B3B0}" xr6:coauthVersionLast="47" xr6:coauthVersionMax="47" xr10:uidLastSave="{00000000-0000-0000-0000-000000000000}"/>
  <bookViews>
    <workbookView xWindow="885" yWindow="1230" windowWidth="13800" windowHeight="14250" tabRatio="594" xr2:uid="{00000000-000D-0000-FFFF-FFFF00000000}"/>
  </bookViews>
  <sheets>
    <sheet name="全社" sheetId="5" r:id="rId1"/>
    <sheet name="東大阪工場" sheetId="6" r:id="rId2"/>
    <sheet name="松原工場" sheetId="9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2">松原工場!$B$1:$T$95</definedName>
    <definedName name="_xlnm.Print_Area" localSheetId="0">全社!$B$1:$T$95</definedName>
    <definedName name="_xlnm.Print_Area" localSheetId="1">東大阪工場!$B$1:$T$95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8" i="9" l="1"/>
  <c r="P87" i="9"/>
  <c r="P86" i="9"/>
  <c r="P84" i="9"/>
  <c r="P83" i="9"/>
  <c r="P82" i="9"/>
  <c r="P81" i="9"/>
  <c r="P80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3" i="9"/>
  <c r="P22" i="9"/>
  <c r="P21" i="9"/>
  <c r="P20" i="9"/>
  <c r="P19" i="9"/>
  <c r="P18" i="9"/>
  <c r="P17" i="9"/>
  <c r="P14" i="9"/>
  <c r="P7" i="9"/>
  <c r="G92" i="9"/>
  <c r="G91" i="9"/>
  <c r="G88" i="9"/>
  <c r="G87" i="9"/>
  <c r="G86" i="9"/>
  <c r="G84" i="9"/>
  <c r="G83" i="9"/>
  <c r="G82" i="9"/>
  <c r="G81" i="9"/>
  <c r="G80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3" i="9"/>
  <c r="G22" i="9"/>
  <c r="G21" i="9"/>
  <c r="G20" i="9"/>
  <c r="G19" i="9"/>
  <c r="G18" i="9"/>
  <c r="G17" i="9"/>
  <c r="G13" i="9"/>
  <c r="G12" i="9"/>
  <c r="G7" i="9"/>
  <c r="E92" i="9"/>
  <c r="E91" i="9"/>
  <c r="E88" i="9"/>
  <c r="E87" i="9"/>
  <c r="E86" i="9"/>
  <c r="E84" i="9"/>
  <c r="E83" i="9"/>
  <c r="E82" i="9"/>
  <c r="E81" i="9"/>
  <c r="E80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3" i="9"/>
  <c r="E22" i="9"/>
  <c r="E21" i="9"/>
  <c r="E20" i="9"/>
  <c r="E19" i="9"/>
  <c r="E18" i="9"/>
  <c r="E17" i="9"/>
  <c r="E13" i="9"/>
  <c r="E12" i="9"/>
  <c r="E7" i="9"/>
  <c r="P88" i="6"/>
  <c r="P87" i="6"/>
  <c r="P86" i="6"/>
  <c r="P84" i="6"/>
  <c r="P83" i="6"/>
  <c r="P82" i="6"/>
  <c r="P81" i="6"/>
  <c r="P80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3" i="6"/>
  <c r="P22" i="6"/>
  <c r="P21" i="6"/>
  <c r="P20" i="6"/>
  <c r="P19" i="6"/>
  <c r="P18" i="6"/>
  <c r="P17" i="6"/>
  <c r="P14" i="6"/>
  <c r="P7" i="6"/>
  <c r="G92" i="6"/>
  <c r="G91" i="6"/>
  <c r="G88" i="6"/>
  <c r="G87" i="6"/>
  <c r="G86" i="6"/>
  <c r="G84" i="6"/>
  <c r="G83" i="6"/>
  <c r="G82" i="6"/>
  <c r="G81" i="6"/>
  <c r="G80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3" i="6"/>
  <c r="G22" i="6"/>
  <c r="G21" i="6"/>
  <c r="G20" i="6"/>
  <c r="G19" i="6"/>
  <c r="G18" i="6"/>
  <c r="G17" i="6"/>
  <c r="G13" i="6"/>
  <c r="G12" i="6"/>
  <c r="G7" i="6"/>
  <c r="E92" i="6"/>
  <c r="E91" i="6"/>
  <c r="E88" i="6"/>
  <c r="E87" i="6"/>
  <c r="E86" i="6"/>
  <c r="E84" i="6"/>
  <c r="E83" i="6"/>
  <c r="E82" i="6"/>
  <c r="E81" i="6"/>
  <c r="E80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3" i="6"/>
  <c r="E22" i="6"/>
  <c r="E21" i="6"/>
  <c r="E20" i="6"/>
  <c r="E19" i="6"/>
  <c r="E18" i="6"/>
  <c r="E17" i="6"/>
  <c r="E13" i="6"/>
  <c r="E12" i="6"/>
  <c r="E7" i="6"/>
  <c r="I1" i="9" l="1"/>
  <c r="J15" i="5"/>
  <c r="J11" i="5"/>
  <c r="J9" i="5"/>
  <c r="J8" i="5"/>
  <c r="L15" i="5"/>
  <c r="L11" i="5"/>
  <c r="L9" i="5"/>
  <c r="L8" i="5"/>
  <c r="G78" i="9" l="1"/>
  <c r="U9" i="9"/>
  <c r="U8" i="9"/>
  <c r="U9" i="6"/>
  <c r="U8" i="6"/>
  <c r="E77" i="5"/>
  <c r="E10" i="9"/>
  <c r="R94" i="5"/>
  <c r="R92" i="5"/>
  <c r="R91" i="5"/>
  <c r="R9" i="9"/>
  <c r="R8" i="9"/>
  <c r="J94" i="9"/>
  <c r="E14" i="9" l="1"/>
  <c r="E16" i="9" s="1"/>
  <c r="E40" i="9"/>
  <c r="E78" i="9"/>
  <c r="E89" i="9"/>
  <c r="E24" i="9"/>
  <c r="E85" i="9"/>
  <c r="E41" i="9" l="1"/>
  <c r="E42" i="9" s="1"/>
  <c r="E79" i="9" s="1"/>
  <c r="E90" i="9" s="1"/>
  <c r="E93" i="9" s="1"/>
  <c r="E95" i="9" s="1"/>
  <c r="P26" i="5" l="1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I38" i="6" l="1"/>
  <c r="I39" i="6"/>
  <c r="I38" i="9"/>
  <c r="F39" i="9"/>
  <c r="I39" i="9"/>
  <c r="P40" i="9" l="1"/>
  <c r="E39" i="5"/>
  <c r="G39" i="5"/>
  <c r="G38" i="5"/>
  <c r="F38" i="9"/>
  <c r="E40" i="6"/>
  <c r="E38" i="5"/>
  <c r="P40" i="6"/>
  <c r="G40" i="9" l="1"/>
  <c r="G40" i="6"/>
  <c r="G85" i="6"/>
  <c r="I39" i="5"/>
  <c r="I38" i="5"/>
  <c r="I1" i="6"/>
  <c r="I13" i="6" l="1"/>
  <c r="G14" i="9"/>
  <c r="G13" i="5"/>
  <c r="E13" i="5"/>
  <c r="G12" i="5"/>
  <c r="P12" i="5"/>
  <c r="P13" i="5"/>
  <c r="G14" i="6"/>
  <c r="I12" i="6" l="1"/>
  <c r="E12" i="5"/>
  <c r="I12" i="5" s="1"/>
  <c r="E14" i="6"/>
  <c r="I13" i="5"/>
  <c r="P16" i="9"/>
  <c r="P10" i="9"/>
  <c r="Q39" i="9" l="1"/>
  <c r="Q38" i="9"/>
  <c r="P24" i="9"/>
  <c r="P77" i="5"/>
  <c r="P89" i="9"/>
  <c r="P78" i="9"/>
  <c r="P85" i="9"/>
  <c r="P41" i="9" l="1"/>
  <c r="P42" i="9" s="1"/>
  <c r="P79" i="9" s="1"/>
  <c r="P90" i="9" s="1"/>
  <c r="P93" i="9" s="1"/>
  <c r="P95" i="9" s="1"/>
  <c r="E81" i="5" l="1"/>
  <c r="E80" i="5"/>
  <c r="E74" i="5"/>
  <c r="E70" i="5"/>
  <c r="E65" i="5"/>
  <c r="E63" i="5"/>
  <c r="E58" i="5"/>
  <c r="E55" i="5"/>
  <c r="E37" i="5"/>
  <c r="E19" i="5"/>
  <c r="E24" i="6"/>
  <c r="E54" i="5"/>
  <c r="E21" i="5"/>
  <c r="E75" i="5"/>
  <c r="E59" i="5"/>
  <c r="E51" i="5"/>
  <c r="E43" i="5"/>
  <c r="E16" i="6"/>
  <c r="E8" i="5"/>
  <c r="E9" i="5"/>
  <c r="E20" i="5"/>
  <c r="E34" i="5"/>
  <c r="E84" i="5"/>
  <c r="E92" i="5"/>
  <c r="E60" i="5" l="1"/>
  <c r="E87" i="5"/>
  <c r="E27" i="5"/>
  <c r="E64" i="5"/>
  <c r="E49" i="5"/>
  <c r="E35" i="5"/>
  <c r="E23" i="5"/>
  <c r="E28" i="5"/>
  <c r="E32" i="5"/>
  <c r="E36" i="5"/>
  <c r="E45" i="5"/>
  <c r="E53" i="5"/>
  <c r="E57" i="5"/>
  <c r="E61" i="5"/>
  <c r="E69" i="5"/>
  <c r="E73" i="5"/>
  <c r="E83" i="5"/>
  <c r="E88" i="5"/>
  <c r="E41" i="6"/>
  <c r="E85" i="6"/>
  <c r="E25" i="5"/>
  <c r="E89" i="6"/>
  <c r="E26" i="5"/>
  <c r="E30" i="5"/>
  <c r="E47" i="5"/>
  <c r="E67" i="5"/>
  <c r="E71" i="5"/>
  <c r="E7" i="5"/>
  <c r="E10" i="5" s="1"/>
  <c r="E14" i="5"/>
  <c r="E16" i="5" s="1"/>
  <c r="E50" i="5"/>
  <c r="E62" i="5"/>
  <c r="E66" i="5"/>
  <c r="E18" i="5"/>
  <c r="E22" i="5"/>
  <c r="E31" i="5"/>
  <c r="E44" i="5"/>
  <c r="E48" i="5"/>
  <c r="E52" i="5"/>
  <c r="E56" i="5"/>
  <c r="E68" i="5"/>
  <c r="E72" i="5"/>
  <c r="E76" i="5"/>
  <c r="E82" i="5"/>
  <c r="E29" i="5"/>
  <c r="E33" i="5"/>
  <c r="E91" i="5"/>
  <c r="E17" i="5"/>
  <c r="E78" i="6"/>
  <c r="E10" i="6"/>
  <c r="E86" i="5"/>
  <c r="E46" i="5"/>
  <c r="E40" i="5" l="1"/>
  <c r="F38" i="5"/>
  <c r="F39" i="5"/>
  <c r="F38" i="6"/>
  <c r="F39" i="6"/>
  <c r="F13" i="6"/>
  <c r="F12" i="6"/>
  <c r="F13" i="5"/>
  <c r="F12" i="5"/>
  <c r="E89" i="5"/>
  <c r="E85" i="5"/>
  <c r="E78" i="5"/>
  <c r="E24" i="5"/>
  <c r="E42" i="6"/>
  <c r="E79" i="6" s="1"/>
  <c r="E90" i="6" s="1"/>
  <c r="E93" i="6" s="1"/>
  <c r="E95" i="6" s="1"/>
  <c r="E41" i="5" l="1"/>
  <c r="E42" i="5" s="1"/>
  <c r="E79" i="5" s="1"/>
  <c r="E90" i="5" s="1"/>
  <c r="E93" i="5" s="1"/>
  <c r="E95" i="5" s="1"/>
  <c r="G78" i="6" l="1"/>
  <c r="I77" i="6"/>
  <c r="I77" i="9"/>
  <c r="P91" i="5"/>
  <c r="P92" i="5"/>
  <c r="Q77" i="9"/>
  <c r="G16" i="9"/>
  <c r="I92" i="9"/>
  <c r="I87" i="9"/>
  <c r="I86" i="9"/>
  <c r="I82" i="9"/>
  <c r="I80" i="9"/>
  <c r="I76" i="9"/>
  <c r="I64" i="9"/>
  <c r="I60" i="9"/>
  <c r="I56" i="9"/>
  <c r="I54" i="9"/>
  <c r="I47" i="9"/>
  <c r="I44" i="9"/>
  <c r="I36" i="9"/>
  <c r="I35" i="9"/>
  <c r="I33" i="9"/>
  <c r="I19" i="9"/>
  <c r="I94" i="9"/>
  <c r="I91" i="9"/>
  <c r="I88" i="9"/>
  <c r="I68" i="9"/>
  <c r="I48" i="9"/>
  <c r="I31" i="9"/>
  <c r="N15" i="9"/>
  <c r="I15" i="9"/>
  <c r="N11" i="9"/>
  <c r="I11" i="9"/>
  <c r="T9" i="9"/>
  <c r="N9" i="9"/>
  <c r="I9" i="9"/>
  <c r="T8" i="9"/>
  <c r="N8" i="9"/>
  <c r="I8" i="9"/>
  <c r="P87" i="5"/>
  <c r="P78" i="6"/>
  <c r="I23" i="9" l="1"/>
  <c r="I78" i="9"/>
  <c r="G89" i="6"/>
  <c r="G77" i="5"/>
  <c r="I46" i="9"/>
  <c r="I66" i="9"/>
  <c r="G10" i="9"/>
  <c r="I18" i="9"/>
  <c r="I55" i="9"/>
  <c r="I28" i="9"/>
  <c r="Q83" i="9"/>
  <c r="I52" i="9"/>
  <c r="I72" i="9"/>
  <c r="I74" i="9"/>
  <c r="I70" i="9"/>
  <c r="I37" i="9"/>
  <c r="I62" i="9"/>
  <c r="I17" i="9"/>
  <c r="P14" i="5"/>
  <c r="Q84" i="9"/>
  <c r="P17" i="5"/>
  <c r="Q82" i="9"/>
  <c r="P25" i="5"/>
  <c r="P50" i="5"/>
  <c r="P58" i="5"/>
  <c r="P66" i="5"/>
  <c r="P74" i="5"/>
  <c r="P46" i="5"/>
  <c r="P54" i="5"/>
  <c r="P62" i="5"/>
  <c r="P70" i="5"/>
  <c r="P82" i="5"/>
  <c r="P43" i="5"/>
  <c r="Q14" i="9"/>
  <c r="P47" i="5"/>
  <c r="P55" i="5"/>
  <c r="P67" i="5"/>
  <c r="P71" i="5"/>
  <c r="P75" i="5"/>
  <c r="P86" i="5"/>
  <c r="P18" i="5"/>
  <c r="P22" i="5"/>
  <c r="P44" i="5"/>
  <c r="P48" i="5"/>
  <c r="P52" i="5"/>
  <c r="P56" i="5"/>
  <c r="P60" i="5"/>
  <c r="P64" i="5"/>
  <c r="P68" i="5"/>
  <c r="P72" i="5"/>
  <c r="P81" i="5"/>
  <c r="P51" i="5"/>
  <c r="P63" i="5"/>
  <c r="P23" i="5"/>
  <c r="P69" i="5"/>
  <c r="P73" i="5"/>
  <c r="P7" i="5"/>
  <c r="P10" i="5" s="1"/>
  <c r="P19" i="5"/>
  <c r="P45" i="5"/>
  <c r="P49" i="5"/>
  <c r="P53" i="5"/>
  <c r="P57" i="5"/>
  <c r="P61" i="5"/>
  <c r="P65" i="5"/>
  <c r="P80" i="5"/>
  <c r="P21" i="5"/>
  <c r="P59" i="5"/>
  <c r="P76" i="5"/>
  <c r="P83" i="5"/>
  <c r="Q40" i="9"/>
  <c r="G85" i="9"/>
  <c r="G24" i="9"/>
  <c r="I20" i="9"/>
  <c r="I21" i="9"/>
  <c r="I30" i="9"/>
  <c r="I34" i="9"/>
  <c r="I14" i="9"/>
  <c r="I26" i="9"/>
  <c r="I63" i="9"/>
  <c r="F70" i="9"/>
  <c r="F84" i="9"/>
  <c r="F46" i="9"/>
  <c r="F31" i="9"/>
  <c r="F8" i="9"/>
  <c r="F59" i="9"/>
  <c r="F58" i="9"/>
  <c r="F43" i="9"/>
  <c r="Q23" i="9"/>
  <c r="I50" i="9"/>
  <c r="Q91" i="9"/>
  <c r="Q94" i="9"/>
  <c r="Q87" i="9"/>
  <c r="Q92" i="9"/>
  <c r="Q67" i="9"/>
  <c r="Q68" i="9"/>
  <c r="Q81" i="9"/>
  <c r="Q76" i="9"/>
  <c r="Q72" i="9"/>
  <c r="Q71" i="9"/>
  <c r="Q70" i="9"/>
  <c r="Q65" i="9"/>
  <c r="Q63" i="9"/>
  <c r="Q59" i="9"/>
  <c r="Q47" i="9"/>
  <c r="Q43" i="9"/>
  <c r="Q29" i="9"/>
  <c r="Q25" i="9"/>
  <c r="Q21" i="9"/>
  <c r="Q17" i="9"/>
  <c r="Q9" i="9"/>
  <c r="Q8" i="9"/>
  <c r="Q55" i="9"/>
  <c r="Q51" i="9"/>
  <c r="Q57" i="9"/>
  <c r="Q53" i="9"/>
  <c r="Q35" i="9"/>
  <c r="Q11" i="9"/>
  <c r="Q10" i="9"/>
  <c r="Q22" i="9"/>
  <c r="Q33" i="9"/>
  <c r="Q49" i="9"/>
  <c r="I16" i="9"/>
  <c r="Q24" i="9"/>
  <c r="Q20" i="9"/>
  <c r="Q28" i="9"/>
  <c r="I29" i="9"/>
  <c r="F32" i="9"/>
  <c r="Q34" i="9"/>
  <c r="Q61" i="9"/>
  <c r="F63" i="9"/>
  <c r="Q73" i="9"/>
  <c r="Q75" i="9"/>
  <c r="F94" i="9"/>
  <c r="F33" i="9"/>
  <c r="Q15" i="9"/>
  <c r="Q19" i="9"/>
  <c r="I7" i="9"/>
  <c r="Q7" i="9"/>
  <c r="Q16" i="9"/>
  <c r="Q18" i="9"/>
  <c r="F20" i="9"/>
  <c r="I22" i="9"/>
  <c r="I25" i="9"/>
  <c r="I27" i="9"/>
  <c r="Q27" i="9"/>
  <c r="Q31" i="9"/>
  <c r="Q36" i="9"/>
  <c r="Q45" i="9"/>
  <c r="Q80" i="9"/>
  <c r="Q26" i="9"/>
  <c r="Q30" i="9"/>
  <c r="I32" i="9"/>
  <c r="I58" i="9"/>
  <c r="Q64" i="9"/>
  <c r="I69" i="9"/>
  <c r="Q52" i="9"/>
  <c r="Q56" i="9"/>
  <c r="Q32" i="9"/>
  <c r="Q37" i="9"/>
  <c r="Q44" i="9"/>
  <c r="Q48" i="9"/>
  <c r="Q60" i="9"/>
  <c r="Q74" i="9"/>
  <c r="F91" i="9"/>
  <c r="I45" i="9"/>
  <c r="I49" i="9"/>
  <c r="I53" i="9"/>
  <c r="I57" i="9"/>
  <c r="I61" i="9"/>
  <c r="I65" i="9"/>
  <c r="Q69" i="9"/>
  <c r="I71" i="9"/>
  <c r="I73" i="9"/>
  <c r="Q78" i="9"/>
  <c r="I84" i="9"/>
  <c r="I43" i="9"/>
  <c r="Q46" i="9"/>
  <c r="Q50" i="9"/>
  <c r="I51" i="9"/>
  <c r="Q54" i="9"/>
  <c r="Q58" i="9"/>
  <c r="I59" i="9"/>
  <c r="Q62" i="9"/>
  <c r="Q66" i="9"/>
  <c r="I75" i="9"/>
  <c r="G89" i="9"/>
  <c r="Q86" i="9"/>
  <c r="I81" i="9"/>
  <c r="I83" i="9"/>
  <c r="N94" i="9"/>
  <c r="I67" i="9"/>
  <c r="H38" i="9" l="1"/>
  <c r="H39" i="9"/>
  <c r="P40" i="5"/>
  <c r="Q38" i="5"/>
  <c r="Q39" i="5"/>
  <c r="H46" i="9"/>
  <c r="H13" i="9"/>
  <c r="H12" i="9"/>
  <c r="Q12" i="5"/>
  <c r="Q13" i="5"/>
  <c r="H26" i="9"/>
  <c r="H15" i="9"/>
  <c r="H71" i="9"/>
  <c r="H84" i="9"/>
  <c r="H78" i="9"/>
  <c r="H86" i="9"/>
  <c r="H87" i="9"/>
  <c r="H82" i="9"/>
  <c r="H66" i="9"/>
  <c r="H21" i="9"/>
  <c r="H32" i="9"/>
  <c r="H18" i="9"/>
  <c r="H22" i="9"/>
  <c r="H48" i="9"/>
  <c r="H27" i="9"/>
  <c r="H36" i="9"/>
  <c r="H69" i="9"/>
  <c r="H34" i="9"/>
  <c r="H7" i="9"/>
  <c r="H58" i="9"/>
  <c r="H30" i="9"/>
  <c r="H81" i="9"/>
  <c r="H68" i="9"/>
  <c r="H28" i="9"/>
  <c r="H14" i="9"/>
  <c r="H33" i="9"/>
  <c r="H16" i="9"/>
  <c r="H37" i="9"/>
  <c r="H80" i="9"/>
  <c r="H25" i="9"/>
  <c r="H60" i="9"/>
  <c r="H83" i="9"/>
  <c r="H76" i="9"/>
  <c r="H74" i="9"/>
  <c r="H51" i="9"/>
  <c r="H8" i="9"/>
  <c r="H62" i="9"/>
  <c r="H50" i="9"/>
  <c r="H85" i="9"/>
  <c r="H89" i="9"/>
  <c r="H88" i="9"/>
  <c r="H92" i="9"/>
  <c r="H75" i="9"/>
  <c r="H63" i="9"/>
  <c r="H61" i="9"/>
  <c r="H9" i="9"/>
  <c r="H23" i="9"/>
  <c r="H20" i="9"/>
  <c r="H53" i="9"/>
  <c r="H11" i="9"/>
  <c r="H29" i="9"/>
  <c r="H64" i="9"/>
  <c r="H35" i="9"/>
  <c r="H91" i="9"/>
  <c r="H56" i="9"/>
  <c r="H67" i="9"/>
  <c r="H19" i="9"/>
  <c r="H70" i="9"/>
  <c r="H55" i="9"/>
  <c r="H47" i="9"/>
  <c r="H73" i="9"/>
  <c r="H59" i="9"/>
  <c r="H54" i="9"/>
  <c r="H43" i="9"/>
  <c r="H31" i="9"/>
  <c r="H10" i="9"/>
  <c r="H57" i="9"/>
  <c r="H17" i="9"/>
  <c r="H44" i="9"/>
  <c r="H65" i="9"/>
  <c r="H72" i="9"/>
  <c r="H94" i="9"/>
  <c r="H40" i="9"/>
  <c r="H49" i="9"/>
  <c r="H77" i="9"/>
  <c r="P78" i="5"/>
  <c r="F76" i="9"/>
  <c r="F77" i="9"/>
  <c r="I77" i="5"/>
  <c r="F28" i="9"/>
  <c r="F26" i="9"/>
  <c r="F7" i="9"/>
  <c r="F66" i="9"/>
  <c r="F14" i="9"/>
  <c r="F62" i="9"/>
  <c r="F60" i="9"/>
  <c r="F57" i="9"/>
  <c r="F53" i="9"/>
  <c r="F45" i="9"/>
  <c r="F80" i="9"/>
  <c r="F88" i="9"/>
  <c r="F64" i="9"/>
  <c r="F56" i="9"/>
  <c r="F52" i="9"/>
  <c r="F49" i="9"/>
  <c r="F71" i="9"/>
  <c r="F21" i="9"/>
  <c r="F15" i="9"/>
  <c r="F25" i="9"/>
  <c r="F17" i="9"/>
  <c r="F72" i="9"/>
  <c r="F19" i="9"/>
  <c r="F67" i="9"/>
  <c r="F78" i="9"/>
  <c r="H52" i="9"/>
  <c r="H24" i="9"/>
  <c r="H45" i="9"/>
  <c r="F92" i="9"/>
  <c r="F73" i="9"/>
  <c r="F48" i="9"/>
  <c r="F44" i="9"/>
  <c r="F34" i="9"/>
  <c r="F36" i="9"/>
  <c r="F18" i="9"/>
  <c r="F30" i="9"/>
  <c r="F16" i="9"/>
  <c r="F11" i="9"/>
  <c r="F82" i="9"/>
  <c r="F9" i="9"/>
  <c r="F23" i="9"/>
  <c r="F50" i="9"/>
  <c r="F69" i="9"/>
  <c r="F68" i="9"/>
  <c r="F83" i="9"/>
  <c r="F81" i="9"/>
  <c r="F86" i="9"/>
  <c r="F75" i="9"/>
  <c r="F65" i="9"/>
  <c r="F61" i="9"/>
  <c r="F87" i="9"/>
  <c r="F47" i="9"/>
  <c r="F37" i="9"/>
  <c r="F35" i="9"/>
  <c r="F29" i="9"/>
  <c r="F22" i="9"/>
  <c r="F10" i="9"/>
  <c r="F55" i="9"/>
  <c r="F54" i="9"/>
  <c r="I10" i="9"/>
  <c r="F27" i="9"/>
  <c r="F51" i="9"/>
  <c r="F74" i="9"/>
  <c r="P20" i="5"/>
  <c r="G41" i="9"/>
  <c r="H41" i="9" s="1"/>
  <c r="I89" i="9"/>
  <c r="F89" i="9"/>
  <c r="I24" i="9"/>
  <c r="F24" i="9"/>
  <c r="I85" i="9"/>
  <c r="F85" i="9"/>
  <c r="F40" i="9"/>
  <c r="I40" i="9"/>
  <c r="G42" i="9" l="1"/>
  <c r="H42" i="9" s="1"/>
  <c r="I41" i="9"/>
  <c r="F41" i="9"/>
  <c r="Q41" i="9"/>
  <c r="G79" i="9" l="1"/>
  <c r="H79" i="9" s="1"/>
  <c r="Q42" i="9"/>
  <c r="I42" i="9"/>
  <c r="F42" i="9"/>
  <c r="G90" i="9" l="1"/>
  <c r="H90" i="9" s="1"/>
  <c r="Q79" i="9"/>
  <c r="I79" i="9"/>
  <c r="F79" i="9"/>
  <c r="G93" i="9" l="1"/>
  <c r="G95" i="9" s="1"/>
  <c r="H95" i="9" s="1"/>
  <c r="F90" i="9"/>
  <c r="I90" i="9"/>
  <c r="H93" i="9" l="1"/>
  <c r="I93" i="9"/>
  <c r="F93" i="9"/>
  <c r="F95" i="9" l="1"/>
  <c r="I95" i="9"/>
  <c r="P88" i="5" l="1"/>
  <c r="Q89" i="9"/>
  <c r="Q88" i="9"/>
  <c r="P84" i="5"/>
  <c r="Q85" i="9" l="1"/>
  <c r="Q90" i="9" l="1"/>
  <c r="Q95" i="9" l="1"/>
  <c r="Q93" i="9"/>
  <c r="P10" i="6"/>
  <c r="G92" i="5"/>
  <c r="G91" i="5"/>
  <c r="G88" i="5"/>
  <c r="G87" i="5"/>
  <c r="G86" i="5"/>
  <c r="G84" i="5"/>
  <c r="G83" i="5"/>
  <c r="G82" i="5"/>
  <c r="G81" i="5"/>
  <c r="G80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3" i="5"/>
  <c r="G22" i="5"/>
  <c r="G21" i="5"/>
  <c r="G20" i="5"/>
  <c r="G19" i="5"/>
  <c r="G18" i="5"/>
  <c r="G17" i="5"/>
  <c r="G14" i="5"/>
  <c r="G7" i="5"/>
  <c r="G40" i="5" l="1"/>
  <c r="Q39" i="6"/>
  <c r="Q38" i="6"/>
  <c r="Q77" i="6"/>
  <c r="Q13" i="6"/>
  <c r="Q14" i="6"/>
  <c r="Q11" i="6"/>
  <c r="Q12" i="6"/>
  <c r="G78" i="5"/>
  <c r="I78" i="6"/>
  <c r="G89" i="5"/>
  <c r="I78" i="5" l="1"/>
  <c r="J94" i="6" l="1"/>
  <c r="J94" i="5" s="1"/>
  <c r="I94" i="6"/>
  <c r="Q92" i="6"/>
  <c r="I87" i="6"/>
  <c r="Q86" i="6"/>
  <c r="I83" i="6"/>
  <c r="I82" i="6"/>
  <c r="P85" i="6"/>
  <c r="I80" i="6"/>
  <c r="I76" i="6"/>
  <c r="Q72" i="6"/>
  <c r="Q65" i="6"/>
  <c r="I65" i="6"/>
  <c r="I64" i="6"/>
  <c r="I63" i="6"/>
  <c r="I60" i="6"/>
  <c r="I58" i="6"/>
  <c r="I57" i="6"/>
  <c r="I56" i="6"/>
  <c r="I55" i="6"/>
  <c r="I53" i="6"/>
  <c r="Q52" i="6"/>
  <c r="I52" i="6"/>
  <c r="I51" i="6"/>
  <c r="I49" i="6"/>
  <c r="Q48" i="6"/>
  <c r="I48" i="6"/>
  <c r="Q47" i="6"/>
  <c r="I47" i="6"/>
  <c r="I45" i="6"/>
  <c r="Q44" i="6"/>
  <c r="I44" i="6"/>
  <c r="Q43" i="6"/>
  <c r="I43" i="6"/>
  <c r="Q37" i="6"/>
  <c r="I37" i="6"/>
  <c r="Q34" i="6"/>
  <c r="I34" i="6"/>
  <c r="Q33" i="6"/>
  <c r="I33" i="6"/>
  <c r="Q30" i="6"/>
  <c r="I30" i="6"/>
  <c r="Q29" i="6"/>
  <c r="I29" i="6"/>
  <c r="Q26" i="6"/>
  <c r="I26" i="6"/>
  <c r="I25" i="6"/>
  <c r="G24" i="6"/>
  <c r="Q22" i="6"/>
  <c r="I22" i="6"/>
  <c r="Q21" i="6"/>
  <c r="Q18" i="6"/>
  <c r="I18" i="6"/>
  <c r="P16" i="6"/>
  <c r="Q16" i="6" s="1"/>
  <c r="G16" i="6"/>
  <c r="N15" i="6"/>
  <c r="I15" i="6"/>
  <c r="N11" i="6"/>
  <c r="I11" i="6"/>
  <c r="R9" i="6"/>
  <c r="Q9" i="6"/>
  <c r="N9" i="6"/>
  <c r="I9" i="6"/>
  <c r="R8" i="6"/>
  <c r="T8" i="6" s="1"/>
  <c r="Q8" i="6"/>
  <c r="N8" i="6"/>
  <c r="I8" i="6"/>
  <c r="Q7" i="6"/>
  <c r="I82" i="5"/>
  <c r="Q56" i="6" l="1"/>
  <c r="P24" i="6"/>
  <c r="Q24" i="6" s="1"/>
  <c r="Q51" i="6"/>
  <c r="Q87" i="6"/>
  <c r="Q17" i="6"/>
  <c r="Q25" i="6"/>
  <c r="Q64" i="6"/>
  <c r="G41" i="6"/>
  <c r="I89" i="6"/>
  <c r="I66" i="6"/>
  <c r="I68" i="6"/>
  <c r="I7" i="6"/>
  <c r="Q31" i="6"/>
  <c r="Q35" i="6"/>
  <c r="Q53" i="6"/>
  <c r="Q67" i="6"/>
  <c r="Q19" i="6"/>
  <c r="Q28" i="6"/>
  <c r="Q36" i="6"/>
  <c r="Q46" i="6"/>
  <c r="Q50" i="6"/>
  <c r="Q54" i="6"/>
  <c r="G10" i="6"/>
  <c r="Q20" i="6"/>
  <c r="I27" i="6"/>
  <c r="I31" i="6"/>
  <c r="I35" i="6"/>
  <c r="Q60" i="6"/>
  <c r="I91" i="6"/>
  <c r="Q27" i="6"/>
  <c r="Q45" i="6"/>
  <c r="Q49" i="6"/>
  <c r="I72" i="6"/>
  <c r="Q23" i="6"/>
  <c r="Q32" i="6"/>
  <c r="Q78" i="6"/>
  <c r="Q69" i="6"/>
  <c r="Q70" i="6"/>
  <c r="I84" i="6"/>
  <c r="T9" i="6"/>
  <c r="I14" i="6"/>
  <c r="I17" i="6"/>
  <c r="I19" i="6"/>
  <c r="I21" i="6"/>
  <c r="I23" i="6"/>
  <c r="Q59" i="6"/>
  <c r="I61" i="6"/>
  <c r="I62" i="6"/>
  <c r="I75" i="6"/>
  <c r="Q91" i="6"/>
  <c r="Q94" i="6"/>
  <c r="Q75" i="6"/>
  <c r="Q71" i="6"/>
  <c r="Q66" i="6"/>
  <c r="Q62" i="6"/>
  <c r="Q58" i="6"/>
  <c r="Q83" i="6"/>
  <c r="Q15" i="6"/>
  <c r="I20" i="6"/>
  <c r="I28" i="6"/>
  <c r="I32" i="6"/>
  <c r="I36" i="6"/>
  <c r="I46" i="6"/>
  <c r="I50" i="6"/>
  <c r="I54" i="6"/>
  <c r="Q57" i="6"/>
  <c r="I59" i="6"/>
  <c r="Q63" i="6"/>
  <c r="I67" i="6"/>
  <c r="Q68" i="6"/>
  <c r="I71" i="6"/>
  <c r="Q76" i="6"/>
  <c r="Q80" i="6"/>
  <c r="N94" i="6"/>
  <c r="Q10" i="6"/>
  <c r="Q55" i="6"/>
  <c r="Q61" i="6"/>
  <c r="Q73" i="6"/>
  <c r="Q74" i="6"/>
  <c r="Q82" i="6"/>
  <c r="I81" i="6"/>
  <c r="Q81" i="6"/>
  <c r="F87" i="6"/>
  <c r="I88" i="6"/>
  <c r="Q88" i="6"/>
  <c r="P89" i="6"/>
  <c r="Q89" i="6" s="1"/>
  <c r="I69" i="6"/>
  <c r="I73" i="6"/>
  <c r="Q84" i="6"/>
  <c r="Q85" i="6"/>
  <c r="I70" i="6"/>
  <c r="I74" i="6"/>
  <c r="I86" i="6"/>
  <c r="I92" i="6"/>
  <c r="G9" i="5"/>
  <c r="G8" i="5"/>
  <c r="H38" i="6" l="1"/>
  <c r="H39" i="6"/>
  <c r="H55" i="6"/>
  <c r="H13" i="6"/>
  <c r="H12" i="6"/>
  <c r="H84" i="6"/>
  <c r="H20" i="6"/>
  <c r="H77" i="6"/>
  <c r="F82" i="5"/>
  <c r="F77" i="5"/>
  <c r="F30" i="6"/>
  <c r="F77" i="6"/>
  <c r="F83" i="6"/>
  <c r="F70" i="6"/>
  <c r="H92" i="6"/>
  <c r="H68" i="6"/>
  <c r="H85" i="6"/>
  <c r="H26" i="6"/>
  <c r="H22" i="6"/>
  <c r="H81" i="6"/>
  <c r="H48" i="6"/>
  <c r="H69" i="6"/>
  <c r="H72" i="6"/>
  <c r="H58" i="6"/>
  <c r="H44" i="6"/>
  <c r="H63" i="6"/>
  <c r="F76" i="6"/>
  <c r="H19" i="6"/>
  <c r="H59" i="6"/>
  <c r="H36" i="6"/>
  <c r="H88" i="6"/>
  <c r="H76" i="6"/>
  <c r="H34" i="6"/>
  <c r="H18" i="6"/>
  <c r="H70" i="6"/>
  <c r="H52" i="6"/>
  <c r="H30" i="6"/>
  <c r="H11" i="6"/>
  <c r="H74" i="6"/>
  <c r="H31" i="6"/>
  <c r="H73" i="6"/>
  <c r="H50" i="6"/>
  <c r="H54" i="6"/>
  <c r="H49" i="6"/>
  <c r="H27" i="6"/>
  <c r="H41" i="6"/>
  <c r="H78" i="6"/>
  <c r="H16" i="6"/>
  <c r="H8" i="6"/>
  <c r="H15" i="6"/>
  <c r="H46" i="6"/>
  <c r="H64" i="6"/>
  <c r="F75" i="6"/>
  <c r="F46" i="6"/>
  <c r="F61" i="6"/>
  <c r="F29" i="6"/>
  <c r="F86" i="6"/>
  <c r="F74" i="6"/>
  <c r="F80" i="6"/>
  <c r="F20" i="6"/>
  <c r="F68" i="6"/>
  <c r="F51" i="6"/>
  <c r="F47" i="6"/>
  <c r="F43" i="6"/>
  <c r="F37" i="6"/>
  <c r="F9" i="6"/>
  <c r="F54" i="6"/>
  <c r="F32" i="6"/>
  <c r="F65" i="6"/>
  <c r="F33" i="6"/>
  <c r="F92" i="6"/>
  <c r="F57" i="6"/>
  <c r="F50" i="6"/>
  <c r="F36" i="6"/>
  <c r="F28" i="6"/>
  <c r="F71" i="6"/>
  <c r="F25" i="6"/>
  <c r="F44" i="6"/>
  <c r="F26" i="6"/>
  <c r="F7" i="6"/>
  <c r="F72" i="6"/>
  <c r="F52" i="6"/>
  <c r="F82" i="6"/>
  <c r="F94" i="6"/>
  <c r="F64" i="6"/>
  <c r="F60" i="6"/>
  <c r="F56" i="6"/>
  <c r="F88" i="6"/>
  <c r="F73" i="6"/>
  <c r="F67" i="6"/>
  <c r="F59" i="6"/>
  <c r="F89" i="6"/>
  <c r="F55" i="6"/>
  <c r="F53" i="6"/>
  <c r="F49" i="6"/>
  <c r="F45" i="6"/>
  <c r="F35" i="6"/>
  <c r="F31" i="6"/>
  <c r="F27" i="6"/>
  <c r="F81" i="6"/>
  <c r="F8" i="6"/>
  <c r="F63" i="6"/>
  <c r="F11" i="6"/>
  <c r="I10" i="6"/>
  <c r="F69" i="6"/>
  <c r="F66" i="6"/>
  <c r="F10" i="6"/>
  <c r="F23" i="6"/>
  <c r="F19" i="6"/>
  <c r="F78" i="6"/>
  <c r="F40" i="6"/>
  <c r="I40" i="6"/>
  <c r="F24" i="6"/>
  <c r="I24" i="6"/>
  <c r="F16" i="6"/>
  <c r="I16" i="6"/>
  <c r="F84" i="6"/>
  <c r="Q40" i="6"/>
  <c r="P41" i="6"/>
  <c r="H35" i="6"/>
  <c r="H40" i="6"/>
  <c r="H67" i="6"/>
  <c r="F22" i="6"/>
  <c r="F58" i="6"/>
  <c r="F34" i="6"/>
  <c r="H28" i="6"/>
  <c r="H89" i="6"/>
  <c r="H53" i="6"/>
  <c r="H45" i="6"/>
  <c r="F14" i="6"/>
  <c r="H24" i="6"/>
  <c r="I85" i="6"/>
  <c r="F85" i="6"/>
  <c r="F62" i="6"/>
  <c r="F21" i="6"/>
  <c r="F91" i="6"/>
  <c r="H94" i="6"/>
  <c r="H66" i="6"/>
  <c r="H62" i="6"/>
  <c r="H91" i="6"/>
  <c r="H75" i="6"/>
  <c r="H71" i="6"/>
  <c r="H10" i="6"/>
  <c r="H80" i="6"/>
  <c r="H61" i="6"/>
  <c r="H87" i="6"/>
  <c r="H60" i="6"/>
  <c r="H9" i="6"/>
  <c r="H7" i="6"/>
  <c r="H86" i="6"/>
  <c r="H83" i="6"/>
  <c r="H37" i="6"/>
  <c r="H29" i="6"/>
  <c r="G42" i="6"/>
  <c r="H82" i="6"/>
  <c r="H65" i="6"/>
  <c r="H57" i="6"/>
  <c r="H21" i="6"/>
  <c r="H17" i="6"/>
  <c r="H14" i="6"/>
  <c r="H51" i="6"/>
  <c r="H47" i="6"/>
  <c r="H43" i="6"/>
  <c r="H33" i="6"/>
  <c r="H25" i="6"/>
  <c r="H56" i="6"/>
  <c r="F48" i="6"/>
  <c r="H32" i="6"/>
  <c r="H23" i="6"/>
  <c r="F17" i="6"/>
  <c r="F18" i="6"/>
  <c r="F15" i="6"/>
  <c r="R8" i="5"/>
  <c r="R9" i="5"/>
  <c r="R11" i="5"/>
  <c r="R15" i="5"/>
  <c r="Q77" i="5"/>
  <c r="I37" i="5"/>
  <c r="I34" i="5"/>
  <c r="I74" i="5"/>
  <c r="I66" i="5"/>
  <c r="I68" i="5"/>
  <c r="Q48" i="5" l="1"/>
  <c r="Q82" i="5"/>
  <c r="F42" i="6"/>
  <c r="I42" i="6"/>
  <c r="G79" i="6"/>
  <c r="H42" i="6"/>
  <c r="Q41" i="6"/>
  <c r="P42" i="6"/>
  <c r="I41" i="6"/>
  <c r="F41" i="6"/>
  <c r="P89" i="5"/>
  <c r="Q89" i="5" s="1"/>
  <c r="Q35" i="5"/>
  <c r="Q27" i="5"/>
  <c r="Q72" i="5"/>
  <c r="Q21" i="5"/>
  <c r="Q83" i="5"/>
  <c r="Q86" i="5"/>
  <c r="Q52" i="5"/>
  <c r="Q18" i="5"/>
  <c r="P24" i="5"/>
  <c r="Q24" i="5" s="1"/>
  <c r="P16" i="5"/>
  <c r="Q16" i="5" s="1"/>
  <c r="Q74" i="5"/>
  <c r="Q70" i="5"/>
  <c r="Q66" i="5"/>
  <c r="Q62" i="5"/>
  <c r="Q58" i="5"/>
  <c r="Q54" i="5"/>
  <c r="Q50" i="5"/>
  <c r="Q46" i="5"/>
  <c r="Q81" i="5"/>
  <c r="Q64" i="5"/>
  <c r="Q30" i="5"/>
  <c r="Q14" i="5"/>
  <c r="Q9" i="5"/>
  <c r="Q15" i="5"/>
  <c r="Q91" i="5"/>
  <c r="Q11" i="5"/>
  <c r="Q29" i="5"/>
  <c r="Q37" i="5"/>
  <c r="Q47" i="5"/>
  <c r="Q55" i="5"/>
  <c r="Q63" i="5"/>
  <c r="Q71" i="5"/>
  <c r="Q80" i="5"/>
  <c r="Q10" i="5"/>
  <c r="Q92" i="5"/>
  <c r="Q17" i="5"/>
  <c r="Q33" i="5"/>
  <c r="Q51" i="5"/>
  <c r="Q59" i="5"/>
  <c r="Q67" i="5"/>
  <c r="Q75" i="5"/>
  <c r="Q31" i="5"/>
  <c r="Q56" i="5"/>
  <c r="Q22" i="5"/>
  <c r="Q40" i="5"/>
  <c r="Q25" i="5"/>
  <c r="Q87" i="5"/>
  <c r="Q68" i="5"/>
  <c r="Q34" i="5"/>
  <c r="Q20" i="5"/>
  <c r="Q7" i="5"/>
  <c r="Q23" i="5"/>
  <c r="Q19" i="5"/>
  <c r="Q36" i="5"/>
  <c r="Q32" i="5"/>
  <c r="Q28" i="5"/>
  <c r="Q78" i="5"/>
  <c r="Q43" i="5"/>
  <c r="Q73" i="5"/>
  <c r="Q69" i="5"/>
  <c r="Q65" i="5"/>
  <c r="Q61" i="5"/>
  <c r="Q57" i="5"/>
  <c r="Q53" i="5"/>
  <c r="Q49" i="5"/>
  <c r="Q45" i="5"/>
  <c r="P85" i="5"/>
  <c r="Q85" i="5" s="1"/>
  <c r="Q94" i="5"/>
  <c r="Q76" i="5"/>
  <c r="Q60" i="5"/>
  <c r="Q44" i="5"/>
  <c r="Q26" i="5"/>
  <c r="Q8" i="5"/>
  <c r="Q88" i="5"/>
  <c r="Q84" i="5"/>
  <c r="F72" i="5"/>
  <c r="F33" i="5"/>
  <c r="I33" i="5"/>
  <c r="F37" i="5"/>
  <c r="F71" i="5"/>
  <c r="F36" i="5"/>
  <c r="I65" i="5"/>
  <c r="F75" i="5"/>
  <c r="F34" i="5"/>
  <c r="F35" i="5"/>
  <c r="F69" i="5"/>
  <c r="I73" i="5"/>
  <c r="F22" i="5"/>
  <c r="I22" i="5"/>
  <c r="F67" i="5"/>
  <c r="F74" i="5"/>
  <c r="I36" i="5"/>
  <c r="I35" i="5"/>
  <c r="F66" i="5"/>
  <c r="I72" i="5"/>
  <c r="I70" i="5"/>
  <c r="I69" i="5"/>
  <c r="F65" i="5"/>
  <c r="F76" i="5"/>
  <c r="I75" i="5"/>
  <c r="F73" i="5"/>
  <c r="F70" i="5"/>
  <c r="F68" i="5"/>
  <c r="I76" i="5"/>
  <c r="I71" i="5"/>
  <c r="I67" i="5"/>
  <c r="I23" i="5"/>
  <c r="G90" i="6" l="1"/>
  <c r="H79" i="6"/>
  <c r="P79" i="6"/>
  <c r="Q42" i="6"/>
  <c r="F79" i="6"/>
  <c r="I79" i="6"/>
  <c r="P41" i="5"/>
  <c r="H90" i="6" l="1"/>
  <c r="G93" i="6"/>
  <c r="F90" i="6"/>
  <c r="I90" i="6"/>
  <c r="Q79" i="6"/>
  <c r="P90" i="6"/>
  <c r="P42" i="5"/>
  <c r="Q41" i="5"/>
  <c r="I84" i="5"/>
  <c r="I81" i="5"/>
  <c r="I64" i="5"/>
  <c r="I62" i="5"/>
  <c r="I59" i="5"/>
  <c r="I58" i="5"/>
  <c r="I52" i="5"/>
  <c r="I50" i="5"/>
  <c r="I43" i="5"/>
  <c r="I32" i="5"/>
  <c r="I30" i="5"/>
  <c r="I28" i="5"/>
  <c r="I27" i="5"/>
  <c r="I26" i="5"/>
  <c r="I21" i="5"/>
  <c r="I20" i="5"/>
  <c r="I19" i="5"/>
  <c r="I17" i="5"/>
  <c r="I14" i="5"/>
  <c r="G16" i="5"/>
  <c r="I16" i="5" s="1"/>
  <c r="I7" i="5"/>
  <c r="F7" i="5"/>
  <c r="F8" i="5"/>
  <c r="F9" i="5"/>
  <c r="F10" i="5"/>
  <c r="F11" i="5"/>
  <c r="F14" i="5"/>
  <c r="F15" i="5"/>
  <c r="F16" i="5"/>
  <c r="F17" i="5"/>
  <c r="F18" i="5"/>
  <c r="F19" i="5"/>
  <c r="F20" i="5"/>
  <c r="F21" i="5"/>
  <c r="F23" i="5"/>
  <c r="F24" i="5"/>
  <c r="F25" i="5"/>
  <c r="F26" i="5"/>
  <c r="F27" i="5"/>
  <c r="F28" i="5"/>
  <c r="F29" i="5"/>
  <c r="F30" i="5"/>
  <c r="F31" i="5"/>
  <c r="F32" i="5"/>
  <c r="F40" i="5"/>
  <c r="F41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78" i="5"/>
  <c r="F80" i="5"/>
  <c r="F81" i="5"/>
  <c r="F83" i="5"/>
  <c r="F84" i="5"/>
  <c r="F85" i="5"/>
  <c r="F86" i="5"/>
  <c r="F87" i="5"/>
  <c r="F88" i="5"/>
  <c r="F89" i="5"/>
  <c r="F91" i="5"/>
  <c r="F92" i="5"/>
  <c r="F94" i="5"/>
  <c r="I8" i="5"/>
  <c r="I9" i="5"/>
  <c r="I11" i="5"/>
  <c r="I15" i="5"/>
  <c r="I18" i="5"/>
  <c r="I25" i="5"/>
  <c r="I29" i="5"/>
  <c r="I31" i="5"/>
  <c r="I44" i="5"/>
  <c r="I45" i="5"/>
  <c r="I46" i="5"/>
  <c r="I47" i="5"/>
  <c r="I48" i="5"/>
  <c r="I49" i="5"/>
  <c r="I51" i="5"/>
  <c r="I53" i="5"/>
  <c r="I54" i="5"/>
  <c r="I55" i="5"/>
  <c r="I56" i="5"/>
  <c r="I57" i="5"/>
  <c r="I60" i="5"/>
  <c r="I61" i="5"/>
  <c r="I63" i="5"/>
  <c r="I80" i="5"/>
  <c r="I83" i="5"/>
  <c r="I86" i="5"/>
  <c r="I87" i="5"/>
  <c r="I88" i="5"/>
  <c r="I89" i="5"/>
  <c r="I91" i="5"/>
  <c r="I92" i="5"/>
  <c r="I94" i="5"/>
  <c r="N8" i="5"/>
  <c r="N9" i="5"/>
  <c r="N11" i="5"/>
  <c r="N15" i="5"/>
  <c r="F42" i="5" l="1"/>
  <c r="Q90" i="6"/>
  <c r="P93" i="6"/>
  <c r="G95" i="6"/>
  <c r="H95" i="6" s="1"/>
  <c r="H93" i="6"/>
  <c r="I93" i="6"/>
  <c r="F93" i="6"/>
  <c r="F79" i="5"/>
  <c r="Q42" i="5"/>
  <c r="P79" i="5"/>
  <c r="G24" i="5"/>
  <c r="I24" i="5" s="1"/>
  <c r="N94" i="5"/>
  <c r="P95" i="6" l="1"/>
  <c r="Q95" i="6" s="1"/>
  <c r="Q93" i="6"/>
  <c r="F95" i="6"/>
  <c r="I95" i="6"/>
  <c r="F90" i="5"/>
  <c r="Q79" i="5"/>
  <c r="P90" i="5"/>
  <c r="G41" i="5"/>
  <c r="F95" i="5" l="1"/>
  <c r="F93" i="5"/>
  <c r="P93" i="5"/>
  <c r="Q90" i="5"/>
  <c r="P95" i="5" l="1"/>
  <c r="Q95" i="5" s="1"/>
  <c r="Q93" i="5"/>
  <c r="I40" i="5" l="1"/>
  <c r="G10" i="5" l="1"/>
  <c r="I41" i="5"/>
  <c r="H38" i="5" l="1"/>
  <c r="H39" i="5"/>
  <c r="H77" i="5"/>
  <c r="H13" i="5"/>
  <c r="H12" i="5"/>
  <c r="H37" i="5"/>
  <c r="H82" i="5"/>
  <c r="H33" i="5"/>
  <c r="H35" i="5"/>
  <c r="H34" i="5"/>
  <c r="H36" i="5"/>
  <c r="H70" i="5"/>
  <c r="H69" i="5"/>
  <c r="H76" i="5"/>
  <c r="H66" i="5"/>
  <c r="H75" i="5"/>
  <c r="H73" i="5"/>
  <c r="H71" i="5"/>
  <c r="H67" i="5"/>
  <c r="H65" i="5"/>
  <c r="H72" i="5"/>
  <c r="H68" i="5"/>
  <c r="H74" i="5"/>
  <c r="I10" i="5"/>
  <c r="H22" i="5"/>
  <c r="H23" i="5"/>
  <c r="G42" i="5"/>
  <c r="H24" i="5"/>
  <c r="H41" i="5"/>
  <c r="H10" i="5"/>
  <c r="H94" i="5"/>
  <c r="H92" i="5"/>
  <c r="H7" i="5"/>
  <c r="H20" i="5"/>
  <c r="H53" i="5"/>
  <c r="H8" i="5"/>
  <c r="H9" i="5"/>
  <c r="H55" i="5"/>
  <c r="H64" i="5"/>
  <c r="H83" i="5"/>
  <c r="H63" i="5"/>
  <c r="H29" i="5"/>
  <c r="H50" i="5"/>
  <c r="H91" i="5"/>
  <c r="H88" i="5"/>
  <c r="H60" i="5"/>
  <c r="H21" i="5"/>
  <c r="H43" i="5"/>
  <c r="H15" i="5"/>
  <c r="H26" i="5"/>
  <c r="H62" i="5"/>
  <c r="H11" i="5"/>
  <c r="H17" i="5"/>
  <c r="H57" i="5"/>
  <c r="H59" i="5"/>
  <c r="H25" i="5"/>
  <c r="H46" i="5"/>
  <c r="H31" i="5"/>
  <c r="H84" i="5"/>
  <c r="H56" i="5"/>
  <c r="H14" i="5"/>
  <c r="H28" i="5"/>
  <c r="H51" i="5"/>
  <c r="H32" i="5"/>
  <c r="H47" i="5"/>
  <c r="H86" i="5"/>
  <c r="H58" i="5"/>
  <c r="H19" i="5"/>
  <c r="H61" i="5"/>
  <c r="H27" i="5"/>
  <c r="H52" i="5"/>
  <c r="H30" i="5"/>
  <c r="H49" i="5"/>
  <c r="H80" i="5"/>
  <c r="H48" i="5"/>
  <c r="H87" i="5"/>
  <c r="H81" i="5"/>
  <c r="H54" i="5"/>
  <c r="H45" i="5"/>
  <c r="H18" i="5"/>
  <c r="H44" i="5"/>
  <c r="H89" i="5"/>
  <c r="H16" i="5"/>
  <c r="H40" i="5"/>
  <c r="H78" i="5"/>
  <c r="H42" i="5" l="1"/>
  <c r="I42" i="5"/>
  <c r="G79" i="5"/>
  <c r="H79" i="5" l="1"/>
  <c r="I79" i="5"/>
  <c r="G85" i="5"/>
  <c r="G90" i="5" s="1"/>
  <c r="H85" i="5" l="1"/>
  <c r="I85" i="5"/>
  <c r="H90" i="5" l="1"/>
  <c r="I90" i="5"/>
  <c r="G93" i="5"/>
  <c r="H93" i="5" l="1"/>
  <c r="I93" i="5"/>
  <c r="G95" i="5"/>
  <c r="H95" i="5" l="1"/>
  <c r="I95" i="5"/>
  <c r="R80" i="6"/>
  <c r="R76" i="6"/>
  <c r="R74" i="6"/>
  <c r="R73" i="6"/>
  <c r="R60" i="6"/>
  <c r="R46" i="6"/>
  <c r="R44" i="6"/>
  <c r="R39" i="6"/>
  <c r="R38" i="6"/>
  <c r="R25" i="6"/>
  <c r="J92" i="6"/>
  <c r="J88" i="6"/>
  <c r="J87" i="6"/>
  <c r="J86" i="6"/>
  <c r="J73" i="6"/>
  <c r="J71" i="6"/>
  <c r="J69" i="6"/>
  <c r="J57" i="6"/>
  <c r="J55" i="6"/>
  <c r="J53" i="6"/>
  <c r="J52" i="6"/>
  <c r="J51" i="6"/>
  <c r="J38" i="6"/>
  <c r="J36" i="6"/>
  <c r="J34" i="6"/>
  <c r="J21" i="6"/>
  <c r="J19" i="6"/>
  <c r="J17" i="6"/>
  <c r="J13" i="6"/>
  <c r="J7" i="6"/>
  <c r="R84" i="6"/>
  <c r="R82" i="6"/>
  <c r="R75" i="6"/>
  <c r="R72" i="6"/>
  <c r="R71" i="6"/>
  <c r="R70" i="6"/>
  <c r="R66" i="6"/>
  <c r="R62" i="6"/>
  <c r="R59" i="6"/>
  <c r="R58" i="6"/>
  <c r="R57" i="6"/>
  <c r="R56" i="6"/>
  <c r="R55" i="6"/>
  <c r="R54" i="6"/>
  <c r="R50" i="6"/>
  <c r="R43" i="6"/>
  <c r="R37" i="6"/>
  <c r="R36" i="6"/>
  <c r="R35" i="6"/>
  <c r="R31" i="6"/>
  <c r="R27" i="6"/>
  <c r="R23" i="6"/>
  <c r="R22" i="6"/>
  <c r="R21" i="6"/>
  <c r="R20" i="6"/>
  <c r="R19" i="6"/>
  <c r="R18" i="6"/>
  <c r="J84" i="6"/>
  <c r="J83" i="6"/>
  <c r="J77" i="6"/>
  <c r="J70" i="6"/>
  <c r="J68" i="6"/>
  <c r="J67" i="6"/>
  <c r="J66" i="6"/>
  <c r="J65" i="6"/>
  <c r="J61" i="6"/>
  <c r="J50" i="6"/>
  <c r="J49" i="6"/>
  <c r="J45" i="6"/>
  <c r="J33" i="6"/>
  <c r="J32" i="6"/>
  <c r="J31" i="6"/>
  <c r="J30" i="6"/>
  <c r="J26" i="6"/>
  <c r="J18" i="6"/>
  <c r="J12" i="6"/>
  <c r="R88" i="6"/>
  <c r="R87" i="6"/>
  <c r="R86" i="6"/>
  <c r="R83" i="6"/>
  <c r="R81" i="6"/>
  <c r="R77" i="6"/>
  <c r="R69" i="6"/>
  <c r="R68" i="6"/>
  <c r="R67" i="6"/>
  <c r="R65" i="6"/>
  <c r="R64" i="6"/>
  <c r="R63" i="6"/>
  <c r="R61" i="6"/>
  <c r="R53" i="6"/>
  <c r="R52" i="6"/>
  <c r="R51" i="6"/>
  <c r="R49" i="6"/>
  <c r="R48" i="6"/>
  <c r="R47" i="6"/>
  <c r="R45" i="6"/>
  <c r="R34" i="6"/>
  <c r="R33" i="6"/>
  <c r="R32" i="6"/>
  <c r="R30" i="6"/>
  <c r="R29" i="6"/>
  <c r="R28" i="6"/>
  <c r="R26" i="6"/>
  <c r="R17" i="6"/>
  <c r="R15" i="6"/>
  <c r="R14" i="6"/>
  <c r="R13" i="6"/>
  <c r="R12" i="6"/>
  <c r="R11" i="6"/>
  <c r="R7" i="6"/>
  <c r="J91" i="6"/>
  <c r="J82" i="6"/>
  <c r="J81" i="6"/>
  <c r="J80" i="6"/>
  <c r="J76" i="6"/>
  <c r="J75" i="6"/>
  <c r="J74" i="6"/>
  <c r="J72" i="6"/>
  <c r="J64" i="6"/>
  <c r="J63" i="6"/>
  <c r="J62" i="6"/>
  <c r="J60" i="6"/>
  <c r="J59" i="6"/>
  <c r="J58" i="6"/>
  <c r="J56" i="6"/>
  <c r="J54" i="6"/>
  <c r="J48" i="6"/>
  <c r="J47" i="6"/>
  <c r="J46" i="6"/>
  <c r="J44" i="6"/>
  <c r="J43" i="6"/>
  <c r="J39" i="6"/>
  <c r="J37" i="6"/>
  <c r="J35" i="6"/>
  <c r="J29" i="6"/>
  <c r="J28" i="6"/>
  <c r="J27" i="6"/>
  <c r="J25" i="6"/>
  <c r="J23" i="6"/>
  <c r="J22" i="6"/>
  <c r="J20" i="6"/>
  <c r="L94" i="6"/>
  <c r="U94" i="6" l="1"/>
  <c r="T94" i="6"/>
  <c r="U11" i="6"/>
  <c r="T11" i="6"/>
  <c r="U15" i="6"/>
  <c r="T15" i="6"/>
  <c r="R78" i="6"/>
  <c r="R50" i="5"/>
  <c r="R48" i="5"/>
  <c r="R40" i="6"/>
  <c r="R66" i="5"/>
  <c r="R10" i="6"/>
  <c r="S49" i="6" s="1"/>
  <c r="S7" i="6"/>
  <c r="S63" i="6"/>
  <c r="R24" i="6"/>
  <c r="S27" i="6"/>
  <c r="R23" i="5"/>
  <c r="R31" i="5"/>
  <c r="R80" i="5"/>
  <c r="R85" i="6"/>
  <c r="R64" i="5"/>
  <c r="S64" i="6"/>
  <c r="R29" i="5"/>
  <c r="S29" i="6"/>
  <c r="R82" i="5"/>
  <c r="R16" i="6"/>
  <c r="S67" i="6"/>
  <c r="R47" i="5"/>
  <c r="R89" i="6"/>
  <c r="R84" i="5"/>
  <c r="N75" i="6"/>
  <c r="N74" i="6"/>
  <c r="N39" i="6"/>
  <c r="J78" i="6"/>
  <c r="N45" i="6"/>
  <c r="J61" i="5"/>
  <c r="N47" i="6"/>
  <c r="N82" i="6"/>
  <c r="J85" i="6"/>
  <c r="N46" i="6"/>
  <c r="K46" i="6"/>
  <c r="N48" i="6"/>
  <c r="N91" i="6"/>
  <c r="N67" i="6"/>
  <c r="N54" i="6"/>
  <c r="K54" i="6"/>
  <c r="N68" i="6"/>
  <c r="K68" i="6"/>
  <c r="J10" i="6"/>
  <c r="K61" i="6" s="1"/>
  <c r="J89" i="6"/>
  <c r="K86" i="6"/>
  <c r="K87" i="6"/>
  <c r="N87" i="6"/>
  <c r="K77" i="6"/>
  <c r="K17" i="6"/>
  <c r="J24" i="6"/>
  <c r="N88" i="6"/>
  <c r="K88" i="6"/>
  <c r="N23" i="6"/>
  <c r="K59" i="6"/>
  <c r="K18" i="6"/>
  <c r="J83" i="5"/>
  <c r="N83" i="6"/>
  <c r="K83" i="6"/>
  <c r="K19" i="6"/>
  <c r="N19" i="6"/>
  <c r="N92" i="6"/>
  <c r="K92" i="6"/>
  <c r="N81" i="6"/>
  <c r="K81" i="6"/>
  <c r="K20" i="6"/>
  <c r="J14" i="6"/>
  <c r="K12" i="6"/>
  <c r="J84" i="5"/>
  <c r="K84" i="6"/>
  <c r="K21" i="6"/>
  <c r="K58" i="6"/>
  <c r="K25" i="6"/>
  <c r="J40" i="6"/>
  <c r="K27" i="6"/>
  <c r="N62" i="6"/>
  <c r="K34" i="6"/>
  <c r="N63" i="6"/>
  <c r="J31" i="5"/>
  <c r="K36" i="6"/>
  <c r="K37" i="6"/>
  <c r="N37" i="6"/>
  <c r="K22" i="6"/>
  <c r="J29" i="5"/>
  <c r="J64" i="5"/>
  <c r="K64" i="6"/>
  <c r="K32" i="6"/>
  <c r="N38" i="6"/>
  <c r="K72" i="6"/>
  <c r="N33" i="6"/>
  <c r="N51" i="6"/>
  <c r="R88" i="9"/>
  <c r="R87" i="9"/>
  <c r="R86" i="9"/>
  <c r="R84" i="9"/>
  <c r="R83" i="9"/>
  <c r="R83" i="5" s="1"/>
  <c r="R82" i="9"/>
  <c r="R81" i="9"/>
  <c r="R81" i="5" s="1"/>
  <c r="R80" i="9"/>
  <c r="R77" i="9"/>
  <c r="R76" i="9"/>
  <c r="R75" i="9"/>
  <c r="R75" i="5" s="1"/>
  <c r="R74" i="9"/>
  <c r="R74" i="5" s="1"/>
  <c r="R73" i="9"/>
  <c r="R72" i="9"/>
  <c r="R71" i="9"/>
  <c r="R70" i="9"/>
  <c r="R69" i="9"/>
  <c r="R68" i="9"/>
  <c r="R67" i="9"/>
  <c r="R66" i="9"/>
  <c r="R65" i="9"/>
  <c r="R65" i="5" s="1"/>
  <c r="R64" i="9"/>
  <c r="R63" i="9"/>
  <c r="R63" i="5" s="1"/>
  <c r="R62" i="9"/>
  <c r="R62" i="5" s="1"/>
  <c r="R61" i="9"/>
  <c r="R60" i="9"/>
  <c r="R60" i="5" s="1"/>
  <c r="R59" i="9"/>
  <c r="R58" i="9"/>
  <c r="R57" i="9"/>
  <c r="R56" i="9"/>
  <c r="R55" i="9"/>
  <c r="R54" i="9"/>
  <c r="R54" i="5" s="1"/>
  <c r="R53" i="9"/>
  <c r="R52" i="9"/>
  <c r="R51" i="9"/>
  <c r="R50" i="9"/>
  <c r="R49" i="9"/>
  <c r="R49" i="5" s="1"/>
  <c r="R48" i="9"/>
  <c r="R47" i="9"/>
  <c r="R46" i="9"/>
  <c r="R46" i="5" s="1"/>
  <c r="R45" i="9"/>
  <c r="R45" i="5" s="1"/>
  <c r="R44" i="9"/>
  <c r="R43" i="9"/>
  <c r="R43" i="5" s="1"/>
  <c r="R39" i="9"/>
  <c r="R39" i="5" s="1"/>
  <c r="R38" i="9"/>
  <c r="R38" i="5" s="1"/>
  <c r="R37" i="9"/>
  <c r="R36" i="9"/>
  <c r="R35" i="9"/>
  <c r="R34" i="9"/>
  <c r="R33" i="9"/>
  <c r="R32" i="9"/>
  <c r="R31" i="9"/>
  <c r="R30" i="9"/>
  <c r="R30" i="5" s="1"/>
  <c r="R29" i="9"/>
  <c r="R28" i="9"/>
  <c r="R27" i="9"/>
  <c r="R27" i="5" s="1"/>
  <c r="R26" i="9"/>
  <c r="R26" i="5" s="1"/>
  <c r="R25" i="9"/>
  <c r="R23" i="9"/>
  <c r="R22" i="9"/>
  <c r="R21" i="9"/>
  <c r="R20" i="9"/>
  <c r="R20" i="5" s="1"/>
  <c r="R19" i="9"/>
  <c r="R19" i="5" s="1"/>
  <c r="R18" i="9"/>
  <c r="R18" i="5" s="1"/>
  <c r="R17" i="9"/>
  <c r="R15" i="9"/>
  <c r="R14" i="9"/>
  <c r="R13" i="9"/>
  <c r="R13" i="5" s="1"/>
  <c r="R12" i="9"/>
  <c r="R12" i="5" s="1"/>
  <c r="R11" i="9"/>
  <c r="R7" i="9"/>
  <c r="R7" i="5" s="1"/>
  <c r="L94" i="9"/>
  <c r="L91" i="9"/>
  <c r="L86" i="9"/>
  <c r="L70" i="9"/>
  <c r="L68" i="9"/>
  <c r="L67" i="9"/>
  <c r="L51" i="9"/>
  <c r="L18" i="9"/>
  <c r="L13" i="9"/>
  <c r="U13" i="9" s="1"/>
  <c r="J92" i="9"/>
  <c r="J91" i="9"/>
  <c r="J88" i="9"/>
  <c r="J87" i="9"/>
  <c r="J87" i="5" s="1"/>
  <c r="J86" i="9"/>
  <c r="J86" i="5" s="1"/>
  <c r="J84" i="9"/>
  <c r="J83" i="9"/>
  <c r="J82" i="9"/>
  <c r="J81" i="9"/>
  <c r="J81" i="5" s="1"/>
  <c r="J80" i="9"/>
  <c r="J77" i="9"/>
  <c r="J77" i="5" s="1"/>
  <c r="J76" i="9"/>
  <c r="J75" i="9"/>
  <c r="J74" i="9"/>
  <c r="J73" i="9"/>
  <c r="J72" i="9"/>
  <c r="J71" i="9"/>
  <c r="J70" i="9"/>
  <c r="J69" i="9"/>
  <c r="J68" i="9"/>
  <c r="J68" i="5" s="1"/>
  <c r="J67" i="9"/>
  <c r="J67" i="5" s="1"/>
  <c r="J66" i="9"/>
  <c r="J66" i="5" s="1"/>
  <c r="J65" i="9"/>
  <c r="J65" i="5" s="1"/>
  <c r="J64" i="9"/>
  <c r="J63" i="9"/>
  <c r="J63" i="5" s="1"/>
  <c r="J62" i="9"/>
  <c r="J61" i="9"/>
  <c r="J60" i="9"/>
  <c r="J59" i="9"/>
  <c r="J58" i="9"/>
  <c r="J57" i="9"/>
  <c r="J56" i="9"/>
  <c r="J55" i="9"/>
  <c r="J54" i="9"/>
  <c r="J53" i="9"/>
  <c r="J52" i="9"/>
  <c r="J52" i="5" s="1"/>
  <c r="J51" i="9"/>
  <c r="J51" i="5" s="1"/>
  <c r="J50" i="9"/>
  <c r="J50" i="5" s="1"/>
  <c r="J49" i="9"/>
  <c r="J49" i="5" s="1"/>
  <c r="J48" i="9"/>
  <c r="J47" i="9"/>
  <c r="J46" i="9"/>
  <c r="J46" i="5" s="1"/>
  <c r="J45" i="9"/>
  <c r="J45" i="5" s="1"/>
  <c r="J44" i="9"/>
  <c r="J43" i="9"/>
  <c r="J43" i="5" s="1"/>
  <c r="J39" i="9"/>
  <c r="J39" i="5" s="1"/>
  <c r="J38" i="9"/>
  <c r="J37" i="9"/>
  <c r="J37" i="5" s="1"/>
  <c r="J36" i="9"/>
  <c r="J36" i="5" s="1"/>
  <c r="J35" i="9"/>
  <c r="J34" i="9"/>
  <c r="J33" i="9"/>
  <c r="J33" i="5" s="1"/>
  <c r="J32" i="9"/>
  <c r="J32" i="5" s="1"/>
  <c r="J31" i="9"/>
  <c r="J30" i="9"/>
  <c r="J30" i="5" s="1"/>
  <c r="J29" i="9"/>
  <c r="J28" i="9"/>
  <c r="J28" i="5" s="1"/>
  <c r="J27" i="9"/>
  <c r="J27" i="5" s="1"/>
  <c r="J26" i="9"/>
  <c r="J25" i="9"/>
  <c r="J25" i="5" s="1"/>
  <c r="J23" i="9"/>
  <c r="J22" i="9"/>
  <c r="J21" i="9"/>
  <c r="J20" i="9"/>
  <c r="J20" i="5" s="1"/>
  <c r="J19" i="9"/>
  <c r="J18" i="9"/>
  <c r="J17" i="9"/>
  <c r="J13" i="9"/>
  <c r="J13" i="5" s="1"/>
  <c r="J12" i="9"/>
  <c r="J14" i="9" s="1"/>
  <c r="J7" i="9"/>
  <c r="L92" i="9"/>
  <c r="L88" i="9"/>
  <c r="L87" i="9"/>
  <c r="L83" i="9"/>
  <c r="L82" i="9"/>
  <c r="L81" i="9"/>
  <c r="L80" i="9"/>
  <c r="L77" i="9"/>
  <c r="L76" i="9"/>
  <c r="L75" i="9"/>
  <c r="L74" i="9"/>
  <c r="L73" i="9"/>
  <c r="L72" i="9"/>
  <c r="L71" i="9"/>
  <c r="L69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0" i="9"/>
  <c r="L49" i="9"/>
  <c r="L48" i="9"/>
  <c r="L47" i="9"/>
  <c r="L46" i="9"/>
  <c r="L45" i="9"/>
  <c r="L44" i="9"/>
  <c r="L43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3" i="9"/>
  <c r="L22" i="9"/>
  <c r="L21" i="9"/>
  <c r="L20" i="9"/>
  <c r="L19" i="9"/>
  <c r="L17" i="9"/>
  <c r="L12" i="9"/>
  <c r="L14" i="9" s="1"/>
  <c r="L7" i="9"/>
  <c r="L92" i="6"/>
  <c r="L91" i="6"/>
  <c r="L88" i="6"/>
  <c r="L87" i="6"/>
  <c r="L86" i="6"/>
  <c r="N86" i="6" s="1"/>
  <c r="L84" i="6"/>
  <c r="N84" i="6" s="1"/>
  <c r="L83" i="6"/>
  <c r="L82" i="6"/>
  <c r="L81" i="6"/>
  <c r="L80" i="6"/>
  <c r="N80" i="6" s="1"/>
  <c r="L77" i="6"/>
  <c r="L76" i="6"/>
  <c r="L75" i="6"/>
  <c r="L74" i="6"/>
  <c r="L73" i="6"/>
  <c r="N73" i="6" s="1"/>
  <c r="L72" i="6"/>
  <c r="L71" i="6"/>
  <c r="N71" i="6" s="1"/>
  <c r="L70" i="6"/>
  <c r="N70" i="6" s="1"/>
  <c r="L69" i="6"/>
  <c r="L68" i="6"/>
  <c r="L67" i="6"/>
  <c r="L66" i="6"/>
  <c r="N66" i="6" s="1"/>
  <c r="L65" i="6"/>
  <c r="L64" i="6"/>
  <c r="N64" i="6" s="1"/>
  <c r="L63" i="6"/>
  <c r="L62" i="6"/>
  <c r="L61" i="6"/>
  <c r="N61" i="6" s="1"/>
  <c r="L60" i="6"/>
  <c r="N60" i="6" s="1"/>
  <c r="L59" i="6"/>
  <c r="L58" i="6"/>
  <c r="N58" i="6" s="1"/>
  <c r="L57" i="6"/>
  <c r="N57" i="6" s="1"/>
  <c r="L56" i="6"/>
  <c r="N56" i="6" s="1"/>
  <c r="L55" i="6"/>
  <c r="N55" i="6" s="1"/>
  <c r="L54" i="6"/>
  <c r="L53" i="6"/>
  <c r="L52" i="6"/>
  <c r="L51" i="6"/>
  <c r="L50" i="6"/>
  <c r="N50" i="6" s="1"/>
  <c r="L49" i="6"/>
  <c r="N49" i="6" s="1"/>
  <c r="L48" i="6"/>
  <c r="L47" i="6"/>
  <c r="L46" i="6"/>
  <c r="L45" i="6"/>
  <c r="L44" i="6"/>
  <c r="N44" i="6" s="1"/>
  <c r="L43" i="6"/>
  <c r="L39" i="6"/>
  <c r="L38" i="6"/>
  <c r="L37" i="6"/>
  <c r="L36" i="6"/>
  <c r="L35" i="6"/>
  <c r="N35" i="6" s="1"/>
  <c r="L34" i="6"/>
  <c r="L33" i="6"/>
  <c r="L32" i="6"/>
  <c r="N32" i="6" s="1"/>
  <c r="L31" i="6"/>
  <c r="N31" i="6" s="1"/>
  <c r="L30" i="6"/>
  <c r="N30" i="6" s="1"/>
  <c r="L29" i="6"/>
  <c r="L28" i="6"/>
  <c r="N28" i="6" s="1"/>
  <c r="L27" i="6"/>
  <c r="L26" i="6"/>
  <c r="L25" i="6"/>
  <c r="N25" i="6" s="1"/>
  <c r="L23" i="6"/>
  <c r="L22" i="6"/>
  <c r="N22" i="6" s="1"/>
  <c r="L21" i="6"/>
  <c r="N21" i="6" s="1"/>
  <c r="L20" i="6"/>
  <c r="N20" i="6" s="1"/>
  <c r="L19" i="6"/>
  <c r="L18" i="6"/>
  <c r="N18" i="6" s="1"/>
  <c r="L17" i="6"/>
  <c r="L13" i="6"/>
  <c r="N13" i="6" s="1"/>
  <c r="L12" i="6"/>
  <c r="N12" i="6" s="1"/>
  <c r="L7" i="6"/>
  <c r="N7" i="6" s="1"/>
  <c r="U83" i="9" l="1"/>
  <c r="T83" i="9"/>
  <c r="U31" i="9"/>
  <c r="T31" i="9"/>
  <c r="U7" i="9"/>
  <c r="L10" i="9"/>
  <c r="T7" i="9"/>
  <c r="M7" i="9"/>
  <c r="U33" i="9"/>
  <c r="T33" i="9"/>
  <c r="M33" i="9"/>
  <c r="U53" i="9"/>
  <c r="T53" i="9"/>
  <c r="U72" i="9"/>
  <c r="T72" i="9"/>
  <c r="J24" i="9"/>
  <c r="N17" i="9"/>
  <c r="N34" i="9"/>
  <c r="N53" i="9"/>
  <c r="N69" i="9"/>
  <c r="N88" i="9"/>
  <c r="R89" i="9"/>
  <c r="U62" i="9"/>
  <c r="T62" i="9"/>
  <c r="R40" i="9"/>
  <c r="L16" i="9"/>
  <c r="U14" i="9"/>
  <c r="M14" i="9"/>
  <c r="T14" i="9"/>
  <c r="U34" i="9"/>
  <c r="T34" i="9"/>
  <c r="U54" i="9"/>
  <c r="T54" i="9"/>
  <c r="U73" i="9"/>
  <c r="M73" i="9"/>
  <c r="T73" i="9"/>
  <c r="N18" i="9"/>
  <c r="N35" i="9"/>
  <c r="N54" i="9"/>
  <c r="N70" i="9"/>
  <c r="N91" i="9"/>
  <c r="U15" i="9"/>
  <c r="T15" i="9"/>
  <c r="J12" i="5"/>
  <c r="K45" i="6"/>
  <c r="K39" i="6"/>
  <c r="R86" i="5"/>
  <c r="R33" i="5"/>
  <c r="U55" i="9"/>
  <c r="T55" i="9"/>
  <c r="M55" i="9"/>
  <c r="R24" i="9"/>
  <c r="N72" i="9"/>
  <c r="U35" i="9"/>
  <c r="T35" i="9"/>
  <c r="M35" i="9"/>
  <c r="N19" i="9"/>
  <c r="N36" i="9"/>
  <c r="N55" i="9"/>
  <c r="U75" i="9"/>
  <c r="M75" i="9"/>
  <c r="T75" i="9"/>
  <c r="U20" i="9"/>
  <c r="T20" i="9"/>
  <c r="M20" i="9"/>
  <c r="U37" i="9"/>
  <c r="T37" i="9"/>
  <c r="M37" i="9"/>
  <c r="U57" i="9"/>
  <c r="T57" i="9"/>
  <c r="U76" i="9"/>
  <c r="T76" i="9"/>
  <c r="N21" i="9"/>
  <c r="N38" i="9"/>
  <c r="N57" i="9"/>
  <c r="N73" i="9"/>
  <c r="U18" i="9"/>
  <c r="T18" i="9"/>
  <c r="M18" i="9"/>
  <c r="K51" i="6"/>
  <c r="K29" i="6"/>
  <c r="K31" i="6"/>
  <c r="J18" i="5"/>
  <c r="K80" i="6"/>
  <c r="K69" i="6"/>
  <c r="K74" i="6"/>
  <c r="R68" i="5"/>
  <c r="R71" i="5"/>
  <c r="J85" i="9"/>
  <c r="N80" i="9"/>
  <c r="U48" i="9"/>
  <c r="T48" i="9"/>
  <c r="U74" i="9"/>
  <c r="T74" i="9"/>
  <c r="N71" i="9"/>
  <c r="U56" i="9"/>
  <c r="T56" i="9"/>
  <c r="M56" i="9"/>
  <c r="N37" i="9"/>
  <c r="U21" i="9"/>
  <c r="T21" i="9"/>
  <c r="M21" i="9"/>
  <c r="U38" i="9"/>
  <c r="T38" i="9"/>
  <c r="U58" i="9"/>
  <c r="T58" i="9"/>
  <c r="U77" i="9"/>
  <c r="T77" i="9"/>
  <c r="M77" i="9"/>
  <c r="N22" i="9"/>
  <c r="N39" i="9"/>
  <c r="N58" i="9"/>
  <c r="N74" i="9"/>
  <c r="U51" i="9"/>
  <c r="T51" i="9"/>
  <c r="J54" i="5"/>
  <c r="J80" i="5"/>
  <c r="J69" i="5"/>
  <c r="S57" i="6"/>
  <c r="N46" i="9"/>
  <c r="U65" i="9"/>
  <c r="T65" i="9"/>
  <c r="M65" i="9"/>
  <c r="U17" i="9"/>
  <c r="L24" i="9"/>
  <c r="T17" i="9"/>
  <c r="N92" i="9"/>
  <c r="U19" i="9"/>
  <c r="T19" i="9"/>
  <c r="M19" i="9"/>
  <c r="U36" i="9"/>
  <c r="M36" i="9"/>
  <c r="T36" i="9"/>
  <c r="N20" i="9"/>
  <c r="N56" i="9"/>
  <c r="U22" i="9"/>
  <c r="T22" i="9"/>
  <c r="U39" i="9"/>
  <c r="T39" i="9"/>
  <c r="M39" i="9"/>
  <c r="U59" i="9"/>
  <c r="T59" i="9"/>
  <c r="M59" i="9"/>
  <c r="U80" i="9"/>
  <c r="T80" i="9"/>
  <c r="M80" i="9"/>
  <c r="N23" i="9"/>
  <c r="J78" i="9"/>
  <c r="N43" i="9"/>
  <c r="N59" i="9"/>
  <c r="N75" i="9"/>
  <c r="U67" i="9"/>
  <c r="M67" i="9"/>
  <c r="T67" i="9"/>
  <c r="S21" i="9"/>
  <c r="K33" i="6"/>
  <c r="K28" i="6"/>
  <c r="K63" i="6"/>
  <c r="J58" i="5"/>
  <c r="J59" i="5"/>
  <c r="K70" i="6"/>
  <c r="K73" i="6"/>
  <c r="K71" i="6"/>
  <c r="J74" i="5"/>
  <c r="R67" i="5"/>
  <c r="R57" i="5"/>
  <c r="R87" i="5"/>
  <c r="R89" i="5" s="1"/>
  <c r="U23" i="9"/>
  <c r="T23" i="9"/>
  <c r="M23" i="9"/>
  <c r="U43" i="9"/>
  <c r="L78" i="9"/>
  <c r="T43" i="9"/>
  <c r="M43" i="9"/>
  <c r="U60" i="9"/>
  <c r="T60" i="9"/>
  <c r="U81" i="9"/>
  <c r="T81" i="9"/>
  <c r="M81" i="9"/>
  <c r="J40" i="9"/>
  <c r="N25" i="9"/>
  <c r="K44" i="9"/>
  <c r="N44" i="9"/>
  <c r="N60" i="9"/>
  <c r="N76" i="9"/>
  <c r="U68" i="9"/>
  <c r="T68" i="9"/>
  <c r="J70" i="5"/>
  <c r="J73" i="5"/>
  <c r="J71" i="5"/>
  <c r="K57" i="6"/>
  <c r="K53" i="6"/>
  <c r="S14" i="6"/>
  <c r="R35" i="5"/>
  <c r="S30" i="6"/>
  <c r="U25" i="9"/>
  <c r="L40" i="9"/>
  <c r="T25" i="9"/>
  <c r="U44" i="9"/>
  <c r="T44" i="9"/>
  <c r="M44" i="9"/>
  <c r="U61" i="9"/>
  <c r="T61" i="9"/>
  <c r="M61" i="9"/>
  <c r="U82" i="9"/>
  <c r="T82" i="9"/>
  <c r="M82" i="9"/>
  <c r="N26" i="9"/>
  <c r="N45" i="9"/>
  <c r="N61" i="9"/>
  <c r="N77" i="9"/>
  <c r="U70" i="9"/>
  <c r="T70" i="9"/>
  <c r="M70" i="9"/>
  <c r="R78" i="9"/>
  <c r="S43" i="9"/>
  <c r="S59" i="9"/>
  <c r="J21" i="5"/>
  <c r="K52" i="6"/>
  <c r="K23" i="6"/>
  <c r="K56" i="6"/>
  <c r="K67" i="6"/>
  <c r="K66" i="6"/>
  <c r="J57" i="5"/>
  <c r="J53" i="5"/>
  <c r="S16" i="6"/>
  <c r="R25" i="5"/>
  <c r="U86" i="9"/>
  <c r="L89" i="9"/>
  <c r="T86" i="9"/>
  <c r="M86" i="9"/>
  <c r="S60" i="9"/>
  <c r="J23" i="5"/>
  <c r="J56" i="5"/>
  <c r="K55" i="6"/>
  <c r="K49" i="6"/>
  <c r="R14" i="5"/>
  <c r="R34" i="5"/>
  <c r="S24" i="6"/>
  <c r="R56" i="5"/>
  <c r="J72" i="5"/>
  <c r="J34" i="5"/>
  <c r="J55" i="5"/>
  <c r="S69" i="6"/>
  <c r="R17" i="5"/>
  <c r="S21" i="6"/>
  <c r="R53" i="5"/>
  <c r="U27" i="9"/>
  <c r="M27" i="9"/>
  <c r="T27" i="9"/>
  <c r="U46" i="9"/>
  <c r="T46" i="9"/>
  <c r="U63" i="9"/>
  <c r="T63" i="9"/>
  <c r="M63" i="9"/>
  <c r="U87" i="9"/>
  <c r="T87" i="9"/>
  <c r="M87" i="9"/>
  <c r="N28" i="9"/>
  <c r="K28" i="9"/>
  <c r="N47" i="9"/>
  <c r="N63" i="9"/>
  <c r="N81" i="9"/>
  <c r="U91" i="9"/>
  <c r="T91" i="9"/>
  <c r="M91" i="9"/>
  <c r="U28" i="9"/>
  <c r="T28" i="9"/>
  <c r="M28" i="9"/>
  <c r="U47" i="9"/>
  <c r="T47" i="9"/>
  <c r="M47" i="9"/>
  <c r="U64" i="9"/>
  <c r="T64" i="9"/>
  <c r="M64" i="9"/>
  <c r="U88" i="9"/>
  <c r="M88" i="9"/>
  <c r="T88" i="9"/>
  <c r="N29" i="9"/>
  <c r="N48" i="9"/>
  <c r="N64" i="9"/>
  <c r="N82" i="9"/>
  <c r="K82" i="9"/>
  <c r="U94" i="9"/>
  <c r="T94" i="9"/>
  <c r="M94" i="9"/>
  <c r="S27" i="9"/>
  <c r="S62" i="9"/>
  <c r="R85" i="9"/>
  <c r="S85" i="9" s="1"/>
  <c r="K35" i="6"/>
  <c r="J22" i="5"/>
  <c r="K30" i="6"/>
  <c r="K26" i="6"/>
  <c r="J82" i="5"/>
  <c r="N82" i="5" s="1"/>
  <c r="K50" i="6"/>
  <c r="R36" i="5"/>
  <c r="R69" i="5"/>
  <c r="R61" i="5"/>
  <c r="S61" i="5" s="1"/>
  <c r="R21" i="5"/>
  <c r="R55" i="5"/>
  <c r="U26" i="9"/>
  <c r="T26" i="9"/>
  <c r="M26" i="9"/>
  <c r="N27" i="9"/>
  <c r="U29" i="9"/>
  <c r="T29" i="9"/>
  <c r="M29" i="9"/>
  <c r="U92" i="9"/>
  <c r="T92" i="9"/>
  <c r="M92" i="9"/>
  <c r="N49" i="9"/>
  <c r="K49" i="9"/>
  <c r="K65" i="9"/>
  <c r="N65" i="9"/>
  <c r="N83" i="9"/>
  <c r="R10" i="9"/>
  <c r="S14" i="9" s="1"/>
  <c r="S7" i="9"/>
  <c r="S28" i="9"/>
  <c r="J35" i="5"/>
  <c r="J26" i="5"/>
  <c r="J92" i="5"/>
  <c r="J88" i="5"/>
  <c r="K91" i="6"/>
  <c r="J75" i="5"/>
  <c r="S76" i="6"/>
  <c r="R73" i="5"/>
  <c r="S65" i="6"/>
  <c r="R52" i="5"/>
  <c r="U30" i="9"/>
  <c r="T30" i="9"/>
  <c r="M30" i="9"/>
  <c r="U49" i="9"/>
  <c r="T49" i="9"/>
  <c r="M49" i="9"/>
  <c r="U66" i="9"/>
  <c r="T66" i="9"/>
  <c r="M66" i="9"/>
  <c r="J10" i="9"/>
  <c r="K34" i="9" s="1"/>
  <c r="K7" i="9"/>
  <c r="N7" i="9"/>
  <c r="N31" i="9"/>
  <c r="K31" i="9"/>
  <c r="K50" i="9"/>
  <c r="N50" i="9"/>
  <c r="N66" i="9"/>
  <c r="K66" i="9"/>
  <c r="U11" i="9"/>
  <c r="R16" i="9"/>
  <c r="T11" i="9"/>
  <c r="S29" i="9"/>
  <c r="S48" i="9"/>
  <c r="S64" i="9"/>
  <c r="S82" i="9"/>
  <c r="K38" i="6"/>
  <c r="K44" i="6"/>
  <c r="K62" i="6"/>
  <c r="K60" i="6"/>
  <c r="K7" i="6"/>
  <c r="J91" i="5"/>
  <c r="N91" i="5" s="1"/>
  <c r="K47" i="6"/>
  <c r="K76" i="6"/>
  <c r="S84" i="6"/>
  <c r="R77" i="5"/>
  <c r="R76" i="5"/>
  <c r="R70" i="5"/>
  <c r="R51" i="5"/>
  <c r="K62" i="9"/>
  <c r="N62" i="9"/>
  <c r="K30" i="9"/>
  <c r="N30" i="9"/>
  <c r="U50" i="9"/>
  <c r="T50" i="9"/>
  <c r="M50" i="9"/>
  <c r="U69" i="9"/>
  <c r="T69" i="9"/>
  <c r="M69" i="9"/>
  <c r="J16" i="9"/>
  <c r="K14" i="9"/>
  <c r="N14" i="9"/>
  <c r="N32" i="9"/>
  <c r="K51" i="9"/>
  <c r="N51" i="9"/>
  <c r="K67" i="9"/>
  <c r="N67" i="9"/>
  <c r="J89" i="9"/>
  <c r="N86" i="9"/>
  <c r="K86" i="9"/>
  <c r="S30" i="9"/>
  <c r="S49" i="9"/>
  <c r="S65" i="9"/>
  <c r="S83" i="9"/>
  <c r="J44" i="5"/>
  <c r="J47" i="5"/>
  <c r="J78" i="5" s="1"/>
  <c r="J76" i="5"/>
  <c r="R32" i="5"/>
  <c r="S72" i="6"/>
  <c r="R28" i="5"/>
  <c r="R44" i="5"/>
  <c r="R78" i="5" s="1"/>
  <c r="S88" i="6"/>
  <c r="L94" i="5"/>
  <c r="U45" i="9"/>
  <c r="T45" i="9"/>
  <c r="M45" i="9"/>
  <c r="U32" i="9"/>
  <c r="T32" i="9"/>
  <c r="M32" i="9"/>
  <c r="U52" i="9"/>
  <c r="M52" i="9"/>
  <c r="T52" i="9"/>
  <c r="U71" i="9"/>
  <c r="T71" i="9"/>
  <c r="M71" i="9"/>
  <c r="N33" i="9"/>
  <c r="K33" i="9"/>
  <c r="N52" i="9"/>
  <c r="K52" i="9"/>
  <c r="N68" i="9"/>
  <c r="K68" i="9"/>
  <c r="K87" i="9"/>
  <c r="N87" i="9"/>
  <c r="S31" i="9"/>
  <c r="S50" i="9"/>
  <c r="S66" i="9"/>
  <c r="J38" i="5"/>
  <c r="J40" i="5" s="1"/>
  <c r="J62" i="5"/>
  <c r="J60" i="5"/>
  <c r="J19" i="5"/>
  <c r="J17" i="5"/>
  <c r="J7" i="5"/>
  <c r="J10" i="5" s="1"/>
  <c r="J48" i="5"/>
  <c r="R37" i="5"/>
  <c r="R22" i="5"/>
  <c r="R24" i="5" s="1"/>
  <c r="R72" i="5"/>
  <c r="R58" i="5"/>
  <c r="R59" i="5"/>
  <c r="R88" i="5"/>
  <c r="S38" i="6"/>
  <c r="R10" i="5"/>
  <c r="S9" i="6"/>
  <c r="S8" i="6"/>
  <c r="S92" i="6"/>
  <c r="S91" i="6"/>
  <c r="S15" i="6"/>
  <c r="S12" i="6"/>
  <c r="S13" i="6"/>
  <c r="S11" i="6"/>
  <c r="S10" i="6"/>
  <c r="S94" i="6"/>
  <c r="S44" i="6"/>
  <c r="S40" i="6"/>
  <c r="R41" i="6"/>
  <c r="S37" i="6"/>
  <c r="S82" i="6"/>
  <c r="S80" i="6"/>
  <c r="S17" i="6"/>
  <c r="S25" i="6"/>
  <c r="S54" i="6"/>
  <c r="S85" i="6"/>
  <c r="S31" i="6"/>
  <c r="S60" i="6"/>
  <c r="S59" i="6"/>
  <c r="R40" i="5"/>
  <c r="S25" i="5"/>
  <c r="S54" i="5"/>
  <c r="S89" i="6"/>
  <c r="S61" i="6"/>
  <c r="S56" i="6"/>
  <c r="S48" i="6"/>
  <c r="S36" i="6"/>
  <c r="R85" i="5"/>
  <c r="S86" i="6"/>
  <c r="S75" i="6"/>
  <c r="S33" i="6"/>
  <c r="S66" i="6"/>
  <c r="S20" i="6"/>
  <c r="S83" i="6"/>
  <c r="S73" i="6"/>
  <c r="S53" i="6"/>
  <c r="S50" i="6"/>
  <c r="S26" i="6"/>
  <c r="S19" i="6"/>
  <c r="S53" i="5"/>
  <c r="R16" i="5"/>
  <c r="S23" i="6"/>
  <c r="S77" i="6"/>
  <c r="S70" i="6"/>
  <c r="S55" i="6"/>
  <c r="S78" i="6"/>
  <c r="S83" i="5"/>
  <c r="S45" i="6"/>
  <c r="S81" i="6"/>
  <c r="S74" i="6"/>
  <c r="S46" i="6"/>
  <c r="S18" i="6"/>
  <c r="S43" i="6"/>
  <c r="S35" i="6"/>
  <c r="S32" i="6"/>
  <c r="S74" i="5"/>
  <c r="S28" i="6"/>
  <c r="S52" i="6"/>
  <c r="S68" i="6"/>
  <c r="S34" i="6"/>
  <c r="S71" i="6"/>
  <c r="S62" i="6"/>
  <c r="S39" i="6"/>
  <c r="S52" i="5"/>
  <c r="S87" i="6"/>
  <c r="S47" i="6"/>
  <c r="S22" i="6"/>
  <c r="S58" i="6"/>
  <c r="S51" i="6"/>
  <c r="U34" i="6"/>
  <c r="L34" i="5"/>
  <c r="T34" i="6"/>
  <c r="U53" i="6"/>
  <c r="L53" i="5"/>
  <c r="T53" i="6"/>
  <c r="U69" i="6"/>
  <c r="L69" i="5"/>
  <c r="T69" i="6"/>
  <c r="U88" i="6"/>
  <c r="L88" i="5"/>
  <c r="T88" i="6"/>
  <c r="U91" i="6"/>
  <c r="L91" i="5"/>
  <c r="T91" i="6"/>
  <c r="N92" i="5"/>
  <c r="N63" i="5"/>
  <c r="N39" i="5"/>
  <c r="U17" i="6"/>
  <c r="L17" i="5"/>
  <c r="N17" i="5" s="1"/>
  <c r="T17" i="6"/>
  <c r="L24" i="6"/>
  <c r="N24" i="6" s="1"/>
  <c r="U37" i="6"/>
  <c r="L37" i="5"/>
  <c r="N37" i="5" s="1"/>
  <c r="T37" i="6"/>
  <c r="N88" i="5"/>
  <c r="N46" i="5"/>
  <c r="U68" i="6"/>
  <c r="L68" i="5"/>
  <c r="N68" i="5" s="1"/>
  <c r="T68" i="6"/>
  <c r="U19" i="6"/>
  <c r="L19" i="5"/>
  <c r="T19" i="6"/>
  <c r="N38" i="5"/>
  <c r="N34" i="6"/>
  <c r="N19" i="5"/>
  <c r="K24" i="6"/>
  <c r="N54" i="5"/>
  <c r="K85" i="6"/>
  <c r="U13" i="6"/>
  <c r="L13" i="5"/>
  <c r="T13" i="6"/>
  <c r="U58" i="6"/>
  <c r="L58" i="5"/>
  <c r="T58" i="6"/>
  <c r="U74" i="6"/>
  <c r="L74" i="5"/>
  <c r="T74" i="6"/>
  <c r="N34" i="5"/>
  <c r="J14" i="5"/>
  <c r="J16" i="6"/>
  <c r="J41" i="6" s="1"/>
  <c r="K14" i="6"/>
  <c r="N17" i="6"/>
  <c r="N74" i="5"/>
  <c r="U87" i="6"/>
  <c r="L87" i="5"/>
  <c r="T87" i="6"/>
  <c r="U35" i="6"/>
  <c r="L35" i="5"/>
  <c r="N35" i="5" s="1"/>
  <c r="T35" i="6"/>
  <c r="U36" i="6"/>
  <c r="L36" i="5"/>
  <c r="T36" i="6"/>
  <c r="U72" i="6"/>
  <c r="L72" i="5"/>
  <c r="T72" i="6"/>
  <c r="U43" i="6"/>
  <c r="L43" i="5"/>
  <c r="T43" i="6"/>
  <c r="L78" i="6"/>
  <c r="N78" i="6" s="1"/>
  <c r="U59" i="6"/>
  <c r="L59" i="5"/>
  <c r="T59" i="6"/>
  <c r="U75" i="6"/>
  <c r="L75" i="5"/>
  <c r="T75" i="6"/>
  <c r="U25" i="6"/>
  <c r="L25" i="5"/>
  <c r="N25" i="5" s="1"/>
  <c r="T25" i="6"/>
  <c r="L40" i="6"/>
  <c r="N40" i="6" s="1"/>
  <c r="U44" i="6"/>
  <c r="L44" i="5"/>
  <c r="T44" i="6"/>
  <c r="U60" i="6"/>
  <c r="L60" i="5"/>
  <c r="T60" i="6"/>
  <c r="U76" i="6"/>
  <c r="L76" i="5"/>
  <c r="N76" i="5" s="1"/>
  <c r="T76" i="6"/>
  <c r="N83" i="5"/>
  <c r="J24" i="5"/>
  <c r="J85" i="5"/>
  <c r="N53" i="6"/>
  <c r="U33" i="6"/>
  <c r="L33" i="5"/>
  <c r="N33" i="5" s="1"/>
  <c r="T33" i="6"/>
  <c r="U56" i="6"/>
  <c r="L56" i="5"/>
  <c r="T56" i="6"/>
  <c r="U22" i="6"/>
  <c r="L22" i="5"/>
  <c r="T22" i="6"/>
  <c r="U45" i="6"/>
  <c r="L45" i="5"/>
  <c r="N45" i="5" s="1"/>
  <c r="T45" i="6"/>
  <c r="U61" i="6"/>
  <c r="L61" i="5"/>
  <c r="T61" i="6"/>
  <c r="U77" i="6"/>
  <c r="L77" i="5"/>
  <c r="T77" i="6"/>
  <c r="N51" i="5"/>
  <c r="N30" i="5"/>
  <c r="K89" i="6"/>
  <c r="N53" i="5"/>
  <c r="U52" i="6"/>
  <c r="L52" i="5"/>
  <c r="T52" i="6"/>
  <c r="U54" i="6"/>
  <c r="L54" i="5"/>
  <c r="T54" i="6"/>
  <c r="U92" i="6"/>
  <c r="L92" i="5"/>
  <c r="T92" i="6"/>
  <c r="U73" i="6"/>
  <c r="L73" i="5"/>
  <c r="N73" i="5" s="1"/>
  <c r="T73" i="6"/>
  <c r="U23" i="6"/>
  <c r="L23" i="5"/>
  <c r="T23" i="6"/>
  <c r="U26" i="6"/>
  <c r="L26" i="5"/>
  <c r="T26" i="6"/>
  <c r="U27" i="6"/>
  <c r="L27" i="5"/>
  <c r="T27" i="6"/>
  <c r="U46" i="6"/>
  <c r="L46" i="5"/>
  <c r="T46" i="6"/>
  <c r="U62" i="6"/>
  <c r="L62" i="5"/>
  <c r="N62" i="5" s="1"/>
  <c r="T62" i="6"/>
  <c r="U80" i="6"/>
  <c r="L80" i="5"/>
  <c r="N80" i="5" s="1"/>
  <c r="L85" i="6"/>
  <c r="N85" i="6" s="1"/>
  <c r="T80" i="6"/>
  <c r="N77" i="6"/>
  <c r="K40" i="6"/>
  <c r="N43" i="5"/>
  <c r="U28" i="6"/>
  <c r="L28" i="5"/>
  <c r="N28" i="5" s="1"/>
  <c r="T28" i="6"/>
  <c r="U47" i="6"/>
  <c r="L47" i="5"/>
  <c r="T47" i="6"/>
  <c r="U63" i="6"/>
  <c r="L63" i="5"/>
  <c r="T63" i="6"/>
  <c r="U81" i="6"/>
  <c r="L81" i="5"/>
  <c r="T81" i="6"/>
  <c r="J89" i="5"/>
  <c r="N67" i="5"/>
  <c r="N76" i="6"/>
  <c r="U71" i="6"/>
  <c r="L71" i="5"/>
  <c r="T71" i="6"/>
  <c r="U21" i="6"/>
  <c r="L21" i="5"/>
  <c r="T21" i="6"/>
  <c r="U39" i="6"/>
  <c r="L39" i="5"/>
  <c r="T39" i="6"/>
  <c r="U29" i="6"/>
  <c r="L29" i="5"/>
  <c r="T29" i="6"/>
  <c r="U48" i="6"/>
  <c r="L48" i="5"/>
  <c r="T48" i="6"/>
  <c r="U64" i="6"/>
  <c r="L64" i="5"/>
  <c r="T64" i="6"/>
  <c r="U82" i="6"/>
  <c r="L82" i="5"/>
  <c r="T82" i="6"/>
  <c r="N29" i="6"/>
  <c r="N36" i="6"/>
  <c r="N81" i="5"/>
  <c r="N69" i="6"/>
  <c r="N49" i="5"/>
  <c r="U70" i="6"/>
  <c r="L70" i="5"/>
  <c r="N70" i="5" s="1"/>
  <c r="T70" i="6"/>
  <c r="U20" i="6"/>
  <c r="L20" i="5"/>
  <c r="T20" i="6"/>
  <c r="M20" i="6"/>
  <c r="U38" i="6"/>
  <c r="L38" i="5"/>
  <c r="T38" i="6"/>
  <c r="U30" i="6"/>
  <c r="L30" i="5"/>
  <c r="T30" i="6"/>
  <c r="U49" i="6"/>
  <c r="L49" i="5"/>
  <c r="T49" i="6"/>
  <c r="U65" i="6"/>
  <c r="L65" i="5"/>
  <c r="T65" i="6"/>
  <c r="M65" i="6"/>
  <c r="U83" i="6"/>
  <c r="L83" i="5"/>
  <c r="T83" i="6"/>
  <c r="N72" i="6"/>
  <c r="N36" i="5"/>
  <c r="N26" i="6"/>
  <c r="N52" i="6"/>
  <c r="N59" i="6"/>
  <c r="N69" i="5"/>
  <c r="K78" i="6"/>
  <c r="U50" i="6"/>
  <c r="L50" i="5"/>
  <c r="T50" i="6"/>
  <c r="U66" i="6"/>
  <c r="L66" i="5"/>
  <c r="N66" i="5" s="1"/>
  <c r="T66" i="6"/>
  <c r="U84" i="6"/>
  <c r="L84" i="5"/>
  <c r="T84" i="6"/>
  <c r="N29" i="5"/>
  <c r="N27" i="6"/>
  <c r="N59" i="5"/>
  <c r="N87" i="5"/>
  <c r="K94" i="6"/>
  <c r="K10" i="6"/>
  <c r="K65" i="6"/>
  <c r="N43" i="6"/>
  <c r="K75" i="6"/>
  <c r="U18" i="6"/>
  <c r="L18" i="5"/>
  <c r="T18" i="6"/>
  <c r="U55" i="6"/>
  <c r="L55" i="5"/>
  <c r="N55" i="5" s="1"/>
  <c r="T55" i="6"/>
  <c r="U57" i="6"/>
  <c r="L57" i="5"/>
  <c r="N57" i="5" s="1"/>
  <c r="T57" i="6"/>
  <c r="U7" i="6"/>
  <c r="L7" i="5"/>
  <c r="T7" i="6"/>
  <c r="L10" i="6"/>
  <c r="M13" i="6" s="1"/>
  <c r="U31" i="6"/>
  <c r="L31" i="5"/>
  <c r="N31" i="5" s="1"/>
  <c r="M31" i="6"/>
  <c r="T31" i="6"/>
  <c r="L14" i="6"/>
  <c r="N14" i="6" s="1"/>
  <c r="L12" i="5"/>
  <c r="N12" i="5" s="1"/>
  <c r="U32" i="6"/>
  <c r="L32" i="5"/>
  <c r="N32" i="5" s="1"/>
  <c r="T32" i="6"/>
  <c r="U51" i="6"/>
  <c r="L51" i="5"/>
  <c r="T51" i="6"/>
  <c r="U67" i="6"/>
  <c r="L67" i="5"/>
  <c r="T67" i="6"/>
  <c r="M67" i="6"/>
  <c r="U86" i="6"/>
  <c r="L86" i="5"/>
  <c r="N86" i="5" s="1"/>
  <c r="T86" i="6"/>
  <c r="L89" i="6"/>
  <c r="N89" i="6" s="1"/>
  <c r="N27" i="5"/>
  <c r="N26" i="5"/>
  <c r="N52" i="5"/>
  <c r="K13" i="6"/>
  <c r="K48" i="6"/>
  <c r="K82" i="6"/>
  <c r="N65" i="6"/>
  <c r="K43" i="6"/>
  <c r="N75" i="5"/>
  <c r="L84" i="9"/>
  <c r="L85" i="9" s="1"/>
  <c r="K35" i="5" l="1"/>
  <c r="K84" i="5"/>
  <c r="K87" i="5"/>
  <c r="K7" i="5"/>
  <c r="K64" i="5"/>
  <c r="K44" i="5"/>
  <c r="K21" i="5"/>
  <c r="U85" i="9"/>
  <c r="M85" i="9"/>
  <c r="T85" i="9"/>
  <c r="N47" i="5"/>
  <c r="S72" i="5"/>
  <c r="K84" i="9"/>
  <c r="K27" i="9"/>
  <c r="K61" i="9"/>
  <c r="U40" i="9"/>
  <c r="T40" i="9"/>
  <c r="M40" i="9"/>
  <c r="K78" i="9"/>
  <c r="N78" i="9"/>
  <c r="K56" i="9"/>
  <c r="S19" i="9"/>
  <c r="K19" i="9"/>
  <c r="K91" i="9"/>
  <c r="K45" i="9"/>
  <c r="K74" i="9"/>
  <c r="K80" i="9"/>
  <c r="K88" i="9"/>
  <c r="S91" i="9"/>
  <c r="S92" i="9"/>
  <c r="S94" i="9"/>
  <c r="S10" i="9"/>
  <c r="S9" i="9"/>
  <c r="S8" i="9"/>
  <c r="S46" i="9"/>
  <c r="K81" i="9"/>
  <c r="S74" i="9"/>
  <c r="K76" i="9"/>
  <c r="U78" i="9"/>
  <c r="T78" i="9"/>
  <c r="M78" i="9"/>
  <c r="K23" i="9"/>
  <c r="K70" i="9"/>
  <c r="M18" i="6"/>
  <c r="K83" i="9"/>
  <c r="K63" i="9"/>
  <c r="K26" i="9"/>
  <c r="S73" i="9"/>
  <c r="K20" i="9"/>
  <c r="K58" i="9"/>
  <c r="N85" i="9"/>
  <c r="K85" i="9"/>
  <c r="K54" i="9"/>
  <c r="K69" i="9"/>
  <c r="M88" i="6"/>
  <c r="K60" i="9"/>
  <c r="S57" i="9"/>
  <c r="K46" i="9"/>
  <c r="K39" i="9"/>
  <c r="S70" i="9"/>
  <c r="K47" i="9"/>
  <c r="S76" i="9"/>
  <c r="S75" i="9"/>
  <c r="S38" i="9"/>
  <c r="K37" i="9"/>
  <c r="K73" i="9"/>
  <c r="S54" i="9"/>
  <c r="U16" i="9"/>
  <c r="L41" i="9"/>
  <c r="T16" i="9"/>
  <c r="M16" i="9"/>
  <c r="K53" i="9"/>
  <c r="S35" i="9"/>
  <c r="K35" i="9"/>
  <c r="S25" i="9"/>
  <c r="T94" i="5"/>
  <c r="U94" i="5"/>
  <c r="K22" i="9"/>
  <c r="K57" i="9"/>
  <c r="S18" i="9"/>
  <c r="R41" i="9"/>
  <c r="S40" i="9"/>
  <c r="U10" i="9"/>
  <c r="M10" i="9"/>
  <c r="T10" i="9"/>
  <c r="S78" i="9"/>
  <c r="K25" i="9"/>
  <c r="K38" i="9"/>
  <c r="S87" i="9"/>
  <c r="K18" i="9"/>
  <c r="M62" i="9"/>
  <c r="K94" i="9"/>
  <c r="K10" i="9"/>
  <c r="N10" i="9"/>
  <c r="K64" i="9"/>
  <c r="U89" i="9"/>
  <c r="M89" i="9"/>
  <c r="T89" i="9"/>
  <c r="S23" i="9"/>
  <c r="J41" i="9"/>
  <c r="N40" i="9"/>
  <c r="K40" i="9"/>
  <c r="S72" i="9"/>
  <c r="K71" i="9"/>
  <c r="K72" i="9"/>
  <c r="S68" i="9"/>
  <c r="M31" i="9"/>
  <c r="K75" i="9"/>
  <c r="K92" i="9"/>
  <c r="S56" i="9"/>
  <c r="S88" i="9"/>
  <c r="S52" i="9"/>
  <c r="K17" i="9"/>
  <c r="U84" i="9"/>
  <c r="M84" i="9"/>
  <c r="T84" i="9"/>
  <c r="S29" i="5"/>
  <c r="S11" i="9"/>
  <c r="K48" i="9"/>
  <c r="S61" i="9"/>
  <c r="S58" i="9"/>
  <c r="S37" i="9"/>
  <c r="M58" i="9"/>
  <c r="K21" i="9"/>
  <c r="K55" i="9"/>
  <c r="S69" i="9"/>
  <c r="S33" i="9"/>
  <c r="S86" i="9"/>
  <c r="K24" i="9"/>
  <c r="N24" i="9"/>
  <c r="M51" i="6"/>
  <c r="K32" i="9"/>
  <c r="S45" i="9"/>
  <c r="S77" i="9"/>
  <c r="S39" i="9"/>
  <c r="K59" i="9"/>
  <c r="S20" i="9"/>
  <c r="M74" i="9"/>
  <c r="M76" i="9"/>
  <c r="S53" i="9"/>
  <c r="S15" i="9"/>
  <c r="S89" i="9"/>
  <c r="M72" i="9"/>
  <c r="S44" i="9"/>
  <c r="K89" i="9"/>
  <c r="N89" i="9"/>
  <c r="N48" i="5"/>
  <c r="S16" i="9"/>
  <c r="S81" i="9"/>
  <c r="S26" i="9"/>
  <c r="S22" i="9"/>
  <c r="M60" i="9"/>
  <c r="M22" i="9"/>
  <c r="M17" i="9"/>
  <c r="S71" i="9"/>
  <c r="K36" i="9"/>
  <c r="S34" i="9"/>
  <c r="M54" i="9"/>
  <c r="S67" i="9"/>
  <c r="M83" i="9"/>
  <c r="S63" i="9"/>
  <c r="K29" i="9"/>
  <c r="K77" i="9"/>
  <c r="M25" i="9"/>
  <c r="M68" i="9"/>
  <c r="U24" i="9"/>
  <c r="M24" i="9"/>
  <c r="T24" i="9"/>
  <c r="M51" i="9"/>
  <c r="M38" i="9"/>
  <c r="M48" i="9"/>
  <c r="S55" i="9"/>
  <c r="S17" i="9"/>
  <c r="S51" i="9"/>
  <c r="S46" i="5"/>
  <c r="S84" i="9"/>
  <c r="N16" i="9"/>
  <c r="K16" i="9"/>
  <c r="N84" i="9"/>
  <c r="S47" i="9"/>
  <c r="S80" i="9"/>
  <c r="M46" i="9"/>
  <c r="K43" i="9"/>
  <c r="S36" i="9"/>
  <c r="M57" i="9"/>
  <c r="S24" i="9"/>
  <c r="M34" i="9"/>
  <c r="S32" i="9"/>
  <c r="M53" i="9"/>
  <c r="S91" i="5"/>
  <c r="S13" i="5"/>
  <c r="S9" i="5"/>
  <c r="S10" i="5"/>
  <c r="S11" i="5"/>
  <c r="S12" i="5"/>
  <c r="S94" i="5"/>
  <c r="S92" i="5"/>
  <c r="S15" i="5"/>
  <c r="S8" i="5"/>
  <c r="R42" i="5"/>
  <c r="S73" i="5"/>
  <c r="S64" i="5"/>
  <c r="S28" i="5"/>
  <c r="S49" i="5"/>
  <c r="S57" i="5"/>
  <c r="S36" i="5"/>
  <c r="S87" i="5"/>
  <c r="S45" i="5"/>
  <c r="S19" i="5"/>
  <c r="S60" i="5"/>
  <c r="R42" i="6"/>
  <c r="S41" i="6"/>
  <c r="S65" i="5"/>
  <c r="S26" i="5"/>
  <c r="S20" i="5"/>
  <c r="S85" i="5"/>
  <c r="S17" i="5"/>
  <c r="S30" i="5"/>
  <c r="S39" i="5"/>
  <c r="S32" i="5"/>
  <c r="S69" i="5"/>
  <c r="S66" i="5"/>
  <c r="S80" i="5"/>
  <c r="S24" i="5"/>
  <c r="S76" i="5"/>
  <c r="R41" i="5"/>
  <c r="S41" i="5" s="1"/>
  <c r="S40" i="5"/>
  <c r="S62" i="5"/>
  <c r="S23" i="5"/>
  <c r="S88" i="5"/>
  <c r="S89" i="5"/>
  <c r="S55" i="5"/>
  <c r="S35" i="5"/>
  <c r="S33" i="5"/>
  <c r="S37" i="5"/>
  <c r="S63" i="5"/>
  <c r="S86" i="5"/>
  <c r="S75" i="5"/>
  <c r="S84" i="5"/>
  <c r="S82" i="5"/>
  <c r="S38" i="5"/>
  <c r="S81" i="5"/>
  <c r="S34" i="5"/>
  <c r="S67" i="5"/>
  <c r="S47" i="5"/>
  <c r="S21" i="5"/>
  <c r="S78" i="5"/>
  <c r="S70" i="5"/>
  <c r="S48" i="5"/>
  <c r="S51" i="5"/>
  <c r="S68" i="5"/>
  <c r="S43" i="5"/>
  <c r="S14" i="5"/>
  <c r="S56" i="5"/>
  <c r="S59" i="5"/>
  <c r="S44" i="5"/>
  <c r="S16" i="5"/>
  <c r="S7" i="5"/>
  <c r="S58" i="5"/>
  <c r="S71" i="5"/>
  <c r="S27" i="5"/>
  <c r="S18" i="5"/>
  <c r="S77" i="5"/>
  <c r="S50" i="5"/>
  <c r="S31" i="5"/>
  <c r="S22" i="5"/>
  <c r="K41" i="6"/>
  <c r="J42" i="6"/>
  <c r="U72" i="5"/>
  <c r="T72" i="5"/>
  <c r="K94" i="5"/>
  <c r="K10" i="5"/>
  <c r="U71" i="5"/>
  <c r="T71" i="5"/>
  <c r="M81" i="6"/>
  <c r="M62" i="6"/>
  <c r="M22" i="6"/>
  <c r="K73" i="5"/>
  <c r="M75" i="6"/>
  <c r="K55" i="5"/>
  <c r="U58" i="5"/>
  <c r="T58" i="5"/>
  <c r="K46" i="5"/>
  <c r="K39" i="5"/>
  <c r="U20" i="5"/>
  <c r="T20" i="5"/>
  <c r="K43" i="5"/>
  <c r="M23" i="6"/>
  <c r="K31" i="5"/>
  <c r="K30" i="5"/>
  <c r="M44" i="6"/>
  <c r="M36" i="6"/>
  <c r="K38" i="5"/>
  <c r="K70" i="5"/>
  <c r="M91" i="6"/>
  <c r="U88" i="5"/>
  <c r="T88" i="5"/>
  <c r="M88" i="5"/>
  <c r="U60" i="5"/>
  <c r="T60" i="5"/>
  <c r="K59" i="5"/>
  <c r="T65" i="5"/>
  <c r="U65" i="5"/>
  <c r="K62" i="5"/>
  <c r="M7" i="6"/>
  <c r="M29" i="6"/>
  <c r="U81" i="5"/>
  <c r="T81" i="5"/>
  <c r="K78" i="5"/>
  <c r="U62" i="5"/>
  <c r="T62" i="5"/>
  <c r="M62" i="5"/>
  <c r="U23" i="5"/>
  <c r="T23" i="5"/>
  <c r="M52" i="6"/>
  <c r="T22" i="5"/>
  <c r="U22" i="5"/>
  <c r="K17" i="5"/>
  <c r="U75" i="5"/>
  <c r="T75" i="5"/>
  <c r="U67" i="5"/>
  <c r="T67" i="5"/>
  <c r="M67" i="5"/>
  <c r="U10" i="6"/>
  <c r="M94" i="6"/>
  <c r="T10" i="6"/>
  <c r="M10" i="6"/>
  <c r="T44" i="5"/>
  <c r="U44" i="5"/>
  <c r="U36" i="5"/>
  <c r="T36" i="5"/>
  <c r="M19" i="6"/>
  <c r="K57" i="5"/>
  <c r="U91" i="5"/>
  <c r="T91" i="5"/>
  <c r="M69" i="6"/>
  <c r="K16" i="6"/>
  <c r="M13" i="5"/>
  <c r="K88" i="5"/>
  <c r="U31" i="5"/>
  <c r="T31" i="5"/>
  <c r="K26" i="5"/>
  <c r="U51" i="5"/>
  <c r="T51" i="5"/>
  <c r="T7" i="5"/>
  <c r="U7" i="5"/>
  <c r="L10" i="5"/>
  <c r="M60" i="5" s="1"/>
  <c r="M84" i="6"/>
  <c r="T49" i="5"/>
  <c r="U49" i="5"/>
  <c r="M49" i="5"/>
  <c r="U70" i="5"/>
  <c r="T70" i="5"/>
  <c r="M70" i="5"/>
  <c r="K67" i="5"/>
  <c r="M73" i="6"/>
  <c r="K83" i="5"/>
  <c r="M40" i="6"/>
  <c r="U40" i="6"/>
  <c r="T40" i="6"/>
  <c r="J16" i="5"/>
  <c r="J41" i="5" s="1"/>
  <c r="K14" i="5"/>
  <c r="U19" i="5"/>
  <c r="T19" i="5"/>
  <c r="K22" i="5"/>
  <c r="K25" i="5"/>
  <c r="K82" i="5"/>
  <c r="U69" i="5"/>
  <c r="T69" i="5"/>
  <c r="M69" i="5"/>
  <c r="K51" i="5"/>
  <c r="M82" i="6"/>
  <c r="M39" i="6"/>
  <c r="T63" i="5"/>
  <c r="U63" i="5"/>
  <c r="M63" i="5"/>
  <c r="U46" i="5"/>
  <c r="T46" i="5"/>
  <c r="T73" i="5"/>
  <c r="U73" i="5"/>
  <c r="M73" i="5"/>
  <c r="T77" i="5"/>
  <c r="U77" i="5"/>
  <c r="M77" i="5"/>
  <c r="T56" i="5"/>
  <c r="U56" i="5"/>
  <c r="M25" i="6"/>
  <c r="U59" i="5"/>
  <c r="T59" i="5"/>
  <c r="M35" i="6"/>
  <c r="N58" i="5"/>
  <c r="N22" i="5"/>
  <c r="K40" i="5"/>
  <c r="N40" i="5"/>
  <c r="U18" i="5"/>
  <c r="T18" i="5"/>
  <c r="M18" i="5"/>
  <c r="K52" i="5"/>
  <c r="M63" i="6"/>
  <c r="K27" i="5"/>
  <c r="M30" i="6"/>
  <c r="K53" i="5"/>
  <c r="T35" i="5"/>
  <c r="U35" i="5"/>
  <c r="M35" i="5"/>
  <c r="K58" i="5"/>
  <c r="K65" i="5"/>
  <c r="M37" i="6"/>
  <c r="M53" i="6"/>
  <c r="U50" i="5"/>
  <c r="T50" i="5"/>
  <c r="M50" i="5"/>
  <c r="K69" i="5"/>
  <c r="M77" i="6"/>
  <c r="T39" i="5"/>
  <c r="U39" i="5"/>
  <c r="M47" i="6"/>
  <c r="M92" i="6"/>
  <c r="N50" i="5"/>
  <c r="M61" i="6"/>
  <c r="M33" i="6"/>
  <c r="K32" i="5"/>
  <c r="L40" i="5"/>
  <c r="U25" i="5"/>
  <c r="T25" i="5"/>
  <c r="M25" i="5"/>
  <c r="U78" i="6"/>
  <c r="T78" i="6"/>
  <c r="M78" i="6"/>
  <c r="K34" i="5"/>
  <c r="N65" i="5"/>
  <c r="K63" i="5"/>
  <c r="K48" i="5"/>
  <c r="U52" i="5"/>
  <c r="T52" i="5"/>
  <c r="M52" i="5"/>
  <c r="M56" i="6"/>
  <c r="M57" i="6"/>
  <c r="K72" i="5"/>
  <c r="K89" i="5"/>
  <c r="K37" i="5"/>
  <c r="M27" i="6"/>
  <c r="K50" i="5"/>
  <c r="M76" i="6"/>
  <c r="M43" i="6"/>
  <c r="M87" i="6"/>
  <c r="K54" i="5"/>
  <c r="M68" i="6"/>
  <c r="T37" i="5"/>
  <c r="U37" i="5"/>
  <c r="K68" i="5"/>
  <c r="K13" i="5"/>
  <c r="U53" i="5"/>
  <c r="T53" i="5"/>
  <c r="K85" i="5"/>
  <c r="K71" i="5"/>
  <c r="M70" i="6"/>
  <c r="K24" i="5"/>
  <c r="K75" i="5"/>
  <c r="K36" i="5"/>
  <c r="K49" i="5"/>
  <c r="U82" i="5"/>
  <c r="T82" i="5"/>
  <c r="U57" i="5"/>
  <c r="T57" i="5"/>
  <c r="M57" i="5"/>
  <c r="M66" i="6"/>
  <c r="K76" i="5"/>
  <c r="M64" i="6"/>
  <c r="M21" i="6"/>
  <c r="K77" i="5"/>
  <c r="U47" i="5"/>
  <c r="T47" i="5"/>
  <c r="U27" i="5"/>
  <c r="T27" i="5"/>
  <c r="U92" i="5"/>
  <c r="T92" i="5"/>
  <c r="U61" i="5"/>
  <c r="T61" i="5"/>
  <c r="M61" i="5"/>
  <c r="U33" i="5"/>
  <c r="T33" i="5"/>
  <c r="M33" i="5"/>
  <c r="N61" i="5"/>
  <c r="M74" i="6"/>
  <c r="N13" i="5"/>
  <c r="T48" i="5"/>
  <c r="U48" i="5"/>
  <c r="M48" i="5"/>
  <c r="K29" i="5"/>
  <c r="M49" i="6"/>
  <c r="K33" i="5"/>
  <c r="U29" i="5"/>
  <c r="T29" i="5"/>
  <c r="M29" i="5"/>
  <c r="K66" i="5"/>
  <c r="M32" i="6"/>
  <c r="K45" i="5"/>
  <c r="U30" i="5"/>
  <c r="T30" i="5"/>
  <c r="M30" i="5"/>
  <c r="M86" i="6"/>
  <c r="T89" i="6"/>
  <c r="U89" i="6"/>
  <c r="M89" i="6"/>
  <c r="M12" i="6"/>
  <c r="M55" i="6"/>
  <c r="U66" i="5"/>
  <c r="T66" i="5"/>
  <c r="M66" i="5"/>
  <c r="M83" i="6"/>
  <c r="M38" i="6"/>
  <c r="N77" i="5"/>
  <c r="M80" i="6"/>
  <c r="U76" i="5"/>
  <c r="T76" i="5"/>
  <c r="M76" i="5"/>
  <c r="K61" i="5"/>
  <c r="U43" i="5"/>
  <c r="L78" i="5"/>
  <c r="N78" i="5" s="1"/>
  <c r="T43" i="5"/>
  <c r="U87" i="5"/>
  <c r="T87" i="5"/>
  <c r="U68" i="5"/>
  <c r="T68" i="5"/>
  <c r="M68" i="5"/>
  <c r="M17" i="6"/>
  <c r="K92" i="5"/>
  <c r="K23" i="5"/>
  <c r="M34" i="6"/>
  <c r="N71" i="5"/>
  <c r="M46" i="6"/>
  <c r="M59" i="6"/>
  <c r="U84" i="5"/>
  <c r="T84" i="5"/>
  <c r="K86" i="5"/>
  <c r="N72" i="5"/>
  <c r="U32" i="5"/>
  <c r="T32" i="5"/>
  <c r="M32" i="5"/>
  <c r="K91" i="5"/>
  <c r="M12" i="5"/>
  <c r="U64" i="5"/>
  <c r="T64" i="5"/>
  <c r="M64" i="5"/>
  <c r="U21" i="5"/>
  <c r="T21" i="5"/>
  <c r="M21" i="5"/>
  <c r="N18" i="5"/>
  <c r="M28" i="6"/>
  <c r="M26" i="6"/>
  <c r="M54" i="6"/>
  <c r="N20" i="5"/>
  <c r="N56" i="5"/>
  <c r="T74" i="5"/>
  <c r="U74" i="5"/>
  <c r="M74" i="5"/>
  <c r="M24" i="6"/>
  <c r="T24" i="6"/>
  <c r="U24" i="6"/>
  <c r="N23" i="5"/>
  <c r="U55" i="5"/>
  <c r="T55" i="5"/>
  <c r="M55" i="5"/>
  <c r="M50" i="6"/>
  <c r="T83" i="5"/>
  <c r="U83" i="5"/>
  <c r="U38" i="5"/>
  <c r="T38" i="5"/>
  <c r="M38" i="5"/>
  <c r="K81" i="5"/>
  <c r="K18" i="5"/>
  <c r="U85" i="6"/>
  <c r="T85" i="6"/>
  <c r="M85" i="6"/>
  <c r="K20" i="5"/>
  <c r="M45" i="6"/>
  <c r="M60" i="6"/>
  <c r="K56" i="5"/>
  <c r="M72" i="6"/>
  <c r="K74" i="5"/>
  <c r="K19" i="5"/>
  <c r="N60" i="5"/>
  <c r="U34" i="5"/>
  <c r="T34" i="5"/>
  <c r="M34" i="5"/>
  <c r="U86" i="5"/>
  <c r="L89" i="5"/>
  <c r="T86" i="5"/>
  <c r="M86" i="5"/>
  <c r="L14" i="5"/>
  <c r="U14" i="6"/>
  <c r="T14" i="6"/>
  <c r="L16" i="6"/>
  <c r="N16" i="6" s="1"/>
  <c r="M14" i="6"/>
  <c r="N10" i="6"/>
  <c r="N7" i="5"/>
  <c r="N84" i="5"/>
  <c r="M48" i="6"/>
  <c r="M71" i="6"/>
  <c r="N64" i="5"/>
  <c r="U28" i="5"/>
  <c r="T28" i="5"/>
  <c r="M28" i="5"/>
  <c r="L85" i="5"/>
  <c r="N85" i="5" s="1"/>
  <c r="U80" i="5"/>
  <c r="T80" i="5"/>
  <c r="M80" i="5"/>
  <c r="U26" i="5"/>
  <c r="T26" i="5"/>
  <c r="M26" i="5"/>
  <c r="U54" i="5"/>
  <c r="T54" i="5"/>
  <c r="N21" i="5"/>
  <c r="T45" i="5"/>
  <c r="U45" i="5"/>
  <c r="M45" i="5"/>
  <c r="K80" i="5"/>
  <c r="N44" i="5"/>
  <c r="M58" i="6"/>
  <c r="K12" i="5"/>
  <c r="K47" i="5"/>
  <c r="U17" i="5"/>
  <c r="T17" i="5"/>
  <c r="L24" i="5"/>
  <c r="M17" i="5"/>
  <c r="K60" i="5"/>
  <c r="K28" i="5"/>
  <c r="M19" i="5" l="1"/>
  <c r="M53" i="5"/>
  <c r="M46" i="5"/>
  <c r="M91" i="5"/>
  <c r="M7" i="5"/>
  <c r="M59" i="5"/>
  <c r="M22" i="5"/>
  <c r="M65" i="5"/>
  <c r="M71" i="5"/>
  <c r="J42" i="9"/>
  <c r="K41" i="9"/>
  <c r="N41" i="9"/>
  <c r="U41" i="9"/>
  <c r="T41" i="9"/>
  <c r="M41" i="9"/>
  <c r="M87" i="5"/>
  <c r="M92" i="5"/>
  <c r="M82" i="5"/>
  <c r="M37" i="5"/>
  <c r="L42" i="9"/>
  <c r="M83" i="5"/>
  <c r="M44" i="5"/>
  <c r="M20" i="5"/>
  <c r="N10" i="5"/>
  <c r="M54" i="5"/>
  <c r="M84" i="5"/>
  <c r="M43" i="5"/>
  <c r="M27" i="5"/>
  <c r="M31" i="5"/>
  <c r="M23" i="5"/>
  <c r="R42" i="9"/>
  <c r="S41" i="9"/>
  <c r="R79" i="5"/>
  <c r="S42" i="5"/>
  <c r="R79" i="6"/>
  <c r="S42" i="6"/>
  <c r="U14" i="5"/>
  <c r="L16" i="5"/>
  <c r="T14" i="5"/>
  <c r="M14" i="5"/>
  <c r="U85" i="5"/>
  <c r="T85" i="5"/>
  <c r="M85" i="5"/>
  <c r="K41" i="5"/>
  <c r="N89" i="5"/>
  <c r="M89" i="5"/>
  <c r="U89" i="5"/>
  <c r="T89" i="5"/>
  <c r="M40" i="5"/>
  <c r="U40" i="5"/>
  <c r="T40" i="5"/>
  <c r="J42" i="5"/>
  <c r="N14" i="5"/>
  <c r="M10" i="5"/>
  <c r="T10" i="5"/>
  <c r="M94" i="5"/>
  <c r="U10" i="5"/>
  <c r="M58" i="5"/>
  <c r="M72" i="5"/>
  <c r="K16" i="5"/>
  <c r="N16" i="5"/>
  <c r="M75" i="5"/>
  <c r="M81" i="5"/>
  <c r="T78" i="5"/>
  <c r="M78" i="5"/>
  <c r="U78" i="5"/>
  <c r="M39" i="5"/>
  <c r="M51" i="5"/>
  <c r="K42" i="6"/>
  <c r="J79" i="6"/>
  <c r="M47" i="5"/>
  <c r="M56" i="5"/>
  <c r="M36" i="5"/>
  <c r="U24" i="5"/>
  <c r="T24" i="5"/>
  <c r="M24" i="5"/>
  <c r="U16" i="6"/>
  <c r="M16" i="6"/>
  <c r="T16" i="6"/>
  <c r="L41" i="6"/>
  <c r="N24" i="5"/>
  <c r="J79" i="9" l="1"/>
  <c r="N42" i="9"/>
  <c r="K42" i="9"/>
  <c r="U42" i="9"/>
  <c r="L79" i="9"/>
  <c r="T42" i="9"/>
  <c r="M42" i="9"/>
  <c r="R79" i="9"/>
  <c r="S42" i="9"/>
  <c r="S79" i="6"/>
  <c r="R90" i="6"/>
  <c r="R90" i="5"/>
  <c r="S79" i="5"/>
  <c r="M41" i="6"/>
  <c r="U41" i="6"/>
  <c r="T41" i="6"/>
  <c r="N41" i="6"/>
  <c r="L42" i="6"/>
  <c r="J90" i="6"/>
  <c r="K79" i="6"/>
  <c r="U16" i="5"/>
  <c r="T16" i="5"/>
  <c r="L41" i="5"/>
  <c r="M16" i="5"/>
  <c r="K42" i="5"/>
  <c r="J79" i="5"/>
  <c r="R90" i="9" l="1"/>
  <c r="S79" i="9"/>
  <c r="L90" i="9"/>
  <c r="U79" i="9"/>
  <c r="T79" i="9"/>
  <c r="M79" i="9"/>
  <c r="J90" i="9"/>
  <c r="N79" i="9"/>
  <c r="K79" i="9"/>
  <c r="R93" i="5"/>
  <c r="S90" i="5"/>
  <c r="R93" i="6"/>
  <c r="S90" i="6"/>
  <c r="J93" i="6"/>
  <c r="K90" i="6"/>
  <c r="K79" i="5"/>
  <c r="J90" i="5"/>
  <c r="U42" i="6"/>
  <c r="M42" i="6"/>
  <c r="L79" i="6"/>
  <c r="T42" i="6"/>
  <c r="N42" i="6"/>
  <c r="L42" i="5"/>
  <c r="T41" i="5"/>
  <c r="U41" i="5"/>
  <c r="M41" i="5"/>
  <c r="N41" i="5"/>
  <c r="J93" i="9" l="1"/>
  <c r="N90" i="9"/>
  <c r="K90" i="9"/>
  <c r="L93" i="9"/>
  <c r="U90" i="9"/>
  <c r="M90" i="9"/>
  <c r="T90" i="9"/>
  <c r="R93" i="9"/>
  <c r="S90" i="9"/>
  <c r="R95" i="6"/>
  <c r="S95" i="6" s="1"/>
  <c r="S93" i="6"/>
  <c r="R95" i="5"/>
  <c r="S95" i="5" s="1"/>
  <c r="S93" i="5"/>
  <c r="U42" i="5"/>
  <c r="T42" i="5"/>
  <c r="M42" i="5"/>
  <c r="L79" i="5"/>
  <c r="N42" i="5"/>
  <c r="M79" i="6"/>
  <c r="L90" i="6"/>
  <c r="T79" i="6"/>
  <c r="U79" i="6"/>
  <c r="N79" i="6"/>
  <c r="K90" i="5"/>
  <c r="J93" i="5"/>
  <c r="J95" i="6"/>
  <c r="K93" i="6"/>
  <c r="R95" i="9" l="1"/>
  <c r="S95" i="9" s="1"/>
  <c r="S93" i="9"/>
  <c r="L95" i="9"/>
  <c r="U93" i="9"/>
  <c r="M93" i="9"/>
  <c r="T93" i="9"/>
  <c r="J95" i="9"/>
  <c r="N93" i="9"/>
  <c r="K93" i="9"/>
  <c r="J95" i="5"/>
  <c r="K93" i="5"/>
  <c r="L93" i="6"/>
  <c r="M90" i="6"/>
  <c r="T90" i="6"/>
  <c r="U90" i="6"/>
  <c r="N90" i="6"/>
  <c r="K95" i="6"/>
  <c r="M79" i="5"/>
  <c r="U79" i="5"/>
  <c r="T79" i="5"/>
  <c r="L90" i="5"/>
  <c r="N79" i="5"/>
  <c r="K95" i="9" l="1"/>
  <c r="N95" i="9"/>
  <c r="U95" i="9"/>
  <c r="M95" i="9"/>
  <c r="T95" i="9"/>
  <c r="M93" i="6"/>
  <c r="L95" i="6"/>
  <c r="T93" i="6"/>
  <c r="U93" i="6"/>
  <c r="N93" i="6"/>
  <c r="U90" i="5"/>
  <c r="T90" i="5"/>
  <c r="M90" i="5"/>
  <c r="L93" i="5"/>
  <c r="N90" i="5"/>
  <c r="K95" i="5"/>
  <c r="M95" i="6" l="1"/>
  <c r="U95" i="6"/>
  <c r="T95" i="6"/>
  <c r="N95" i="6"/>
  <c r="U93" i="5"/>
  <c r="T93" i="5"/>
  <c r="L95" i="5"/>
  <c r="M93" i="5"/>
  <c r="N93" i="5"/>
  <c r="U95" i="5" l="1"/>
  <c r="T95" i="5"/>
  <c r="M95" i="5"/>
  <c r="N95" i="5"/>
</calcChain>
</file>

<file path=xl/sharedStrings.xml><?xml version="1.0" encoding="utf-8"?>
<sst xmlns="http://schemas.openxmlformats.org/spreadsheetml/2006/main" count="382" uniqueCount="112">
  <si>
    <t>退職金</t>
    <rPh sb="0" eb="2">
      <t>タイショク</t>
    </rPh>
    <rPh sb="2" eb="3">
      <t>キン</t>
    </rPh>
    <phoneticPr fontId="4"/>
  </si>
  <si>
    <t>減価償却費</t>
    <rPh sb="0" eb="5">
      <t>ゲンカショウキャクヒ</t>
    </rPh>
    <phoneticPr fontId="2"/>
  </si>
  <si>
    <t>製造経費</t>
    <rPh sb="0" eb="2">
      <t>セイゾウ</t>
    </rPh>
    <rPh sb="2" eb="4">
      <t>ケイヒ</t>
    </rPh>
    <phoneticPr fontId="4"/>
  </si>
  <si>
    <t>製造経費計</t>
    <rPh sb="0" eb="4">
      <t>セイゾウケイヒ</t>
    </rPh>
    <rPh sb="4" eb="5">
      <t>ケイ</t>
    </rPh>
    <phoneticPr fontId="2"/>
  </si>
  <si>
    <t>期首製品棚卸高</t>
    <rPh sb="0" eb="2">
      <t>キシュ</t>
    </rPh>
    <rPh sb="2" eb="4">
      <t>セイヒン</t>
    </rPh>
    <rPh sb="4" eb="6">
      <t>タナオロ</t>
    </rPh>
    <rPh sb="6" eb="7">
      <t>ダカ</t>
    </rPh>
    <phoneticPr fontId="4"/>
  </si>
  <si>
    <t>期末製品棚卸高</t>
    <rPh sb="0" eb="2">
      <t>キマツ</t>
    </rPh>
    <rPh sb="2" eb="4">
      <t>セイヒン</t>
    </rPh>
    <rPh sb="4" eb="6">
      <t>タナオロ</t>
    </rPh>
    <rPh sb="6" eb="7">
      <t>ダカ</t>
    </rPh>
    <phoneticPr fontId="4"/>
  </si>
  <si>
    <t>総製造経費</t>
    <rPh sb="0" eb="1">
      <t>ソウ</t>
    </rPh>
    <rPh sb="1" eb="5">
      <t>セイゾウケイヒ</t>
    </rPh>
    <phoneticPr fontId="2"/>
  </si>
  <si>
    <t>役員賞与</t>
    <rPh sb="0" eb="4">
      <t>ヤクインショウヨ</t>
    </rPh>
    <phoneticPr fontId="2"/>
  </si>
  <si>
    <t>給料手当</t>
    <rPh sb="0" eb="4">
      <t>キュウリョウ</t>
    </rPh>
    <phoneticPr fontId="2"/>
  </si>
  <si>
    <t>賞与</t>
    <rPh sb="0" eb="2">
      <t>ショウヨ</t>
    </rPh>
    <phoneticPr fontId="2"/>
  </si>
  <si>
    <t>法定福利費</t>
    <rPh sb="0" eb="5">
      <t>ホウテイフクリヒ</t>
    </rPh>
    <phoneticPr fontId="2"/>
  </si>
  <si>
    <t>事務用品費</t>
    <phoneticPr fontId="2"/>
  </si>
  <si>
    <t>水道光熱費</t>
    <rPh sb="0" eb="5">
      <t>スイドウ</t>
    </rPh>
    <phoneticPr fontId="4"/>
  </si>
  <si>
    <t>新聞図書費</t>
    <rPh sb="0" eb="5">
      <t>シンブン</t>
    </rPh>
    <phoneticPr fontId="4"/>
  </si>
  <si>
    <t>諸会費</t>
    <rPh sb="0" eb="3">
      <t>ショカイヒ</t>
    </rPh>
    <phoneticPr fontId="4"/>
  </si>
  <si>
    <t>支払手数料</t>
    <rPh sb="0" eb="5">
      <t>シハライテスウリョウ</t>
    </rPh>
    <phoneticPr fontId="4"/>
  </si>
  <si>
    <t>車両費</t>
    <rPh sb="0" eb="3">
      <t>シャリョウヒ</t>
    </rPh>
    <phoneticPr fontId="4"/>
  </si>
  <si>
    <t>燃料費</t>
    <rPh sb="0" eb="3">
      <t>ネンリョウヒ</t>
    </rPh>
    <phoneticPr fontId="4"/>
  </si>
  <si>
    <t>リース料</t>
    <rPh sb="3" eb="4">
      <t>リョウ</t>
    </rPh>
    <phoneticPr fontId="2"/>
  </si>
  <si>
    <t>保険料</t>
    <rPh sb="0" eb="3">
      <t>ホケンリョウ</t>
    </rPh>
    <phoneticPr fontId="4"/>
  </si>
  <si>
    <t>租税公課</t>
    <rPh sb="0" eb="4">
      <t>ソゼイコウカ</t>
    </rPh>
    <phoneticPr fontId="4"/>
  </si>
  <si>
    <t>雑費</t>
    <rPh sb="0" eb="2">
      <t>ザッピ</t>
    </rPh>
    <phoneticPr fontId="2"/>
  </si>
  <si>
    <t>賃借料</t>
    <rPh sb="0" eb="3">
      <t>チンシャクリョウ</t>
    </rPh>
    <phoneticPr fontId="4"/>
  </si>
  <si>
    <t>名称</t>
  </si>
  <si>
    <t>三幸プロダクツ株式会社</t>
    <rPh sb="0" eb="2">
      <t>サンコウ</t>
    </rPh>
    <rPh sb="7" eb="11">
      <t>カブ</t>
    </rPh>
    <phoneticPr fontId="4"/>
  </si>
  <si>
    <t>事　業　収　支　実　績　</t>
    <rPh sb="8" eb="9">
      <t>ジツ</t>
    </rPh>
    <rPh sb="10" eb="11">
      <t>セキ</t>
    </rPh>
    <phoneticPr fontId="4"/>
  </si>
  <si>
    <t>※税込み</t>
    <rPh sb="1" eb="3">
      <t>ゼイコ</t>
    </rPh>
    <phoneticPr fontId="4"/>
  </si>
  <si>
    <t>単位：千円</t>
    <rPh sb="0" eb="2">
      <t>タンイ</t>
    </rPh>
    <rPh sb="3" eb="4">
      <t>セン</t>
    </rPh>
    <rPh sb="4" eb="5">
      <t>エン</t>
    </rPh>
    <phoneticPr fontId="4"/>
  </si>
  <si>
    <t>前年比</t>
    <rPh sb="0" eb="2">
      <t>ゼンネン</t>
    </rPh>
    <rPh sb="2" eb="3">
      <t>ヒ</t>
    </rPh>
    <phoneticPr fontId="4"/>
  </si>
  <si>
    <t>％</t>
    <phoneticPr fontId="4"/>
  </si>
  <si>
    <t>実績合計：予算比（千円）</t>
    <rPh sb="0" eb="2">
      <t>ジッセキ</t>
    </rPh>
    <rPh sb="2" eb="4">
      <t>ゴウケイ</t>
    </rPh>
    <rPh sb="5" eb="7">
      <t>ヨサン</t>
    </rPh>
    <rPh sb="7" eb="8">
      <t>ヒ</t>
    </rPh>
    <rPh sb="9" eb="10">
      <t>セン</t>
    </rPh>
    <rPh sb="10" eb="11">
      <t>エン</t>
    </rPh>
    <phoneticPr fontId="2"/>
  </si>
  <si>
    <t>売上高</t>
  </si>
  <si>
    <t>材料費</t>
    <rPh sb="0" eb="2">
      <t>ザイリョウ</t>
    </rPh>
    <rPh sb="2" eb="3">
      <t>ヒ</t>
    </rPh>
    <phoneticPr fontId="4"/>
  </si>
  <si>
    <t>材料費計</t>
    <rPh sb="0" eb="2">
      <t>ザイリョウ</t>
    </rPh>
    <rPh sb="2" eb="3">
      <t>ヒ</t>
    </rPh>
    <phoneticPr fontId="4"/>
  </si>
  <si>
    <t>期首材料棚卸高</t>
    <rPh sb="0" eb="2">
      <t>キシュ</t>
    </rPh>
    <rPh sb="2" eb="4">
      <t>ザイリョウ</t>
    </rPh>
    <rPh sb="4" eb="6">
      <t>タナオロ</t>
    </rPh>
    <rPh sb="6" eb="7">
      <t>ダカ</t>
    </rPh>
    <phoneticPr fontId="4"/>
  </si>
  <si>
    <t>期末材料棚卸高</t>
    <rPh sb="0" eb="2">
      <t>キマツ</t>
    </rPh>
    <rPh sb="2" eb="4">
      <t>ザイリョウ</t>
    </rPh>
    <rPh sb="4" eb="6">
      <t>タナオロシ</t>
    </rPh>
    <rPh sb="6" eb="7">
      <t>タカ</t>
    </rPh>
    <phoneticPr fontId="4"/>
  </si>
  <si>
    <t>労務費</t>
    <rPh sb="0" eb="2">
      <t>ロウム</t>
    </rPh>
    <rPh sb="2" eb="3">
      <t>ヒ</t>
    </rPh>
    <phoneticPr fontId="4"/>
  </si>
  <si>
    <t>労務費計</t>
    <rPh sb="0" eb="2">
      <t>ロウム</t>
    </rPh>
    <rPh sb="2" eb="3">
      <t>ヒ</t>
    </rPh>
    <phoneticPr fontId="4"/>
  </si>
  <si>
    <t>法定福利費</t>
    <rPh sb="0" eb="2">
      <t>ホウテイ</t>
    </rPh>
    <rPh sb="2" eb="4">
      <t>フクリ</t>
    </rPh>
    <rPh sb="4" eb="5">
      <t>ヒ</t>
    </rPh>
    <phoneticPr fontId="4"/>
  </si>
  <si>
    <t>福利厚生費</t>
    <rPh sb="0" eb="2">
      <t>フクリ</t>
    </rPh>
    <rPh sb="2" eb="4">
      <t>コウセイ</t>
    </rPh>
    <rPh sb="4" eb="5">
      <t>ヒ</t>
    </rPh>
    <phoneticPr fontId="4"/>
  </si>
  <si>
    <t>人材派遣費</t>
    <rPh sb="0" eb="2">
      <t>ジンザイ</t>
    </rPh>
    <rPh sb="2" eb="4">
      <t>ハケン</t>
    </rPh>
    <rPh sb="4" eb="5">
      <t>ヒ</t>
    </rPh>
    <phoneticPr fontId="4"/>
  </si>
  <si>
    <t>外注加工費</t>
    <rPh sb="0" eb="2">
      <t>ガイチュウ</t>
    </rPh>
    <rPh sb="2" eb="4">
      <t>カコウ</t>
    </rPh>
    <rPh sb="4" eb="5">
      <t>ヒ</t>
    </rPh>
    <phoneticPr fontId="4"/>
  </si>
  <si>
    <t>動力費</t>
    <rPh sb="0" eb="2">
      <t>ドウリョク</t>
    </rPh>
    <rPh sb="2" eb="3">
      <t>ヒ</t>
    </rPh>
    <phoneticPr fontId="4"/>
  </si>
  <si>
    <t>旅費交通費</t>
    <rPh sb="0" eb="2">
      <t>リョヒ</t>
    </rPh>
    <rPh sb="2" eb="5">
      <t>コウツウヒ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</si>
  <si>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</si>
  <si>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修繕費</t>
    <rPh sb="0" eb="3">
      <t>シュウゼンヒ</t>
    </rPh>
    <phoneticPr fontId="4"/>
  </si>
  <si>
    <t>減価償却費</t>
    <rPh sb="0" eb="2">
      <t>ゲンカ</t>
    </rPh>
    <rPh sb="2" eb="4">
      <t>ショウキャク</t>
    </rPh>
    <rPh sb="4" eb="5">
      <t>ヒ</t>
    </rPh>
    <phoneticPr fontId="4"/>
  </si>
  <si>
    <t>地代家賃</t>
    <rPh sb="0" eb="2">
      <t>チダイ</t>
    </rPh>
    <rPh sb="2" eb="4">
      <t>ヤチン</t>
    </rPh>
    <phoneticPr fontId="4"/>
  </si>
  <si>
    <t>保守料</t>
    <rPh sb="0" eb="3">
      <t>ホシュリョウ</t>
    </rPh>
    <phoneticPr fontId="4"/>
  </si>
  <si>
    <t>少額資産減価償却費</t>
    <rPh sb="0" eb="2">
      <t>ショウガク</t>
    </rPh>
    <rPh sb="2" eb="4">
      <t>シサン</t>
    </rPh>
    <rPh sb="4" eb="6">
      <t>ゲンカ</t>
    </rPh>
    <rPh sb="6" eb="8">
      <t>ショウキャク</t>
    </rPh>
    <rPh sb="8" eb="9">
      <t>ヒ</t>
    </rPh>
    <phoneticPr fontId="4"/>
  </si>
  <si>
    <t>売上総利益（粗利）</t>
  </si>
  <si>
    <t>販管費</t>
  </si>
  <si>
    <t>販管費計</t>
  </si>
  <si>
    <t>役員報酬</t>
    <rPh sb="0" eb="2">
      <t>ヤクイン</t>
    </rPh>
    <rPh sb="2" eb="4">
      <t>ホウシュウ</t>
    </rPh>
    <phoneticPr fontId="4"/>
  </si>
  <si>
    <t>福利厚生費</t>
    <rPh sb="0" eb="2">
      <t>フクリ</t>
    </rPh>
    <rPh sb="2" eb="5">
      <t>コウセイヒ</t>
    </rPh>
    <phoneticPr fontId="4"/>
  </si>
  <si>
    <t>採用教育費</t>
    <rPh sb="0" eb="2">
      <t>サイヨウ</t>
    </rPh>
    <rPh sb="2" eb="5">
      <t>キョウイクヒ</t>
    </rPh>
    <phoneticPr fontId="4"/>
  </si>
  <si>
    <t>外注費</t>
    <rPh sb="0" eb="2">
      <t>ガイチュウ</t>
    </rPh>
    <phoneticPr fontId="4"/>
  </si>
  <si>
    <t>運賃</t>
    <rPh sb="0" eb="2">
      <t>ウンチン</t>
    </rPh>
    <phoneticPr fontId="4"/>
  </si>
  <si>
    <t>荷造包装費</t>
    <rPh sb="0" eb="1">
      <t>ニ</t>
    </rPh>
    <rPh sb="1" eb="2">
      <t>ツク</t>
    </rPh>
    <rPh sb="2" eb="4">
      <t>ホウソウ</t>
    </rPh>
    <rPh sb="4" eb="5">
      <t>ヒ</t>
    </rPh>
    <phoneticPr fontId="4"/>
  </si>
  <si>
    <t>交際費</t>
    <rPh sb="0" eb="2">
      <t>コウサイ</t>
    </rPh>
    <rPh sb="2" eb="3">
      <t>ヒ</t>
    </rPh>
    <phoneticPr fontId="4"/>
  </si>
  <si>
    <t>会議費</t>
    <rPh sb="0" eb="3">
      <t>カイギヒ</t>
    </rPh>
    <phoneticPr fontId="4"/>
  </si>
  <si>
    <t>通信費</t>
    <rPh sb="0" eb="3">
      <t>ツウシンヒ</t>
    </rPh>
    <phoneticPr fontId="4"/>
  </si>
  <si>
    <t>貸倒引当金繰入</t>
    <rPh sb="0" eb="1">
      <t>カ</t>
    </rPh>
    <rPh sb="1" eb="2">
      <t>タオ</t>
    </rPh>
    <rPh sb="2" eb="4">
      <t>ヒキアテ</t>
    </rPh>
    <rPh sb="4" eb="5">
      <t>キン</t>
    </rPh>
    <rPh sb="5" eb="7">
      <t>クリイレ</t>
    </rPh>
    <phoneticPr fontId="4"/>
  </si>
  <si>
    <t>業務委託費</t>
    <rPh sb="0" eb="2">
      <t>ギョウム</t>
    </rPh>
    <rPh sb="2" eb="4">
      <t>イタク</t>
    </rPh>
    <rPh sb="4" eb="5">
      <t>ヒ</t>
    </rPh>
    <phoneticPr fontId="4"/>
  </si>
  <si>
    <t>営業利益　　　</t>
    <phoneticPr fontId="4"/>
  </si>
  <si>
    <t>営業外収益</t>
    <phoneticPr fontId="4"/>
  </si>
  <si>
    <t>営業外収益計</t>
  </si>
  <si>
    <t>受取利息</t>
    <rPh sb="0" eb="2">
      <t>ウケトリ</t>
    </rPh>
    <rPh sb="2" eb="4">
      <t>リソク</t>
    </rPh>
    <phoneticPr fontId="4"/>
  </si>
  <si>
    <t>受取配当金</t>
    <rPh sb="0" eb="2">
      <t>ウケトリ</t>
    </rPh>
    <rPh sb="2" eb="5">
      <t>ハイトウキン</t>
    </rPh>
    <phoneticPr fontId="4"/>
  </si>
  <si>
    <t>貸倒引当金戻入益</t>
    <rPh sb="0" eb="2">
      <t>カシダオレ</t>
    </rPh>
    <rPh sb="2" eb="4">
      <t>ヒキアテ</t>
    </rPh>
    <rPh sb="4" eb="5">
      <t>キン</t>
    </rPh>
    <rPh sb="5" eb="6">
      <t>モド</t>
    </rPh>
    <rPh sb="6" eb="7">
      <t>イ</t>
    </rPh>
    <rPh sb="7" eb="8">
      <t>エキ</t>
    </rPh>
    <phoneticPr fontId="4"/>
  </si>
  <si>
    <t>雑収入</t>
    <rPh sb="0" eb="1">
      <t>ザツ</t>
    </rPh>
    <rPh sb="1" eb="3">
      <t>シュウニュウ</t>
    </rPh>
    <phoneticPr fontId="4"/>
  </si>
  <si>
    <t>営業外費用</t>
  </si>
  <si>
    <t>営業外費用計</t>
  </si>
  <si>
    <t>支払利息</t>
    <rPh sb="0" eb="2">
      <t>シハライ</t>
    </rPh>
    <rPh sb="2" eb="4">
      <t>リソク</t>
    </rPh>
    <phoneticPr fontId="4"/>
  </si>
  <si>
    <t>売上割引</t>
    <rPh sb="0" eb="2">
      <t>ウリアゲ</t>
    </rPh>
    <rPh sb="2" eb="4">
      <t>ワリビキ</t>
    </rPh>
    <phoneticPr fontId="4"/>
  </si>
  <si>
    <t>雑損失</t>
    <rPh sb="0" eb="1">
      <t>ザツ</t>
    </rPh>
    <rPh sb="1" eb="3">
      <t>ソンシツ</t>
    </rPh>
    <phoneticPr fontId="4"/>
  </si>
  <si>
    <t>経常利益</t>
  </si>
  <si>
    <t>特別利益</t>
    <phoneticPr fontId="4"/>
  </si>
  <si>
    <t>特別損失</t>
    <phoneticPr fontId="4"/>
  </si>
  <si>
    <t>税引前当期利益</t>
  </si>
  <si>
    <t>法人税等</t>
  </si>
  <si>
    <t>税引後当期利益</t>
  </si>
  <si>
    <t>生産高</t>
    <rPh sb="0" eb="3">
      <t>セイサンダカ</t>
    </rPh>
    <phoneticPr fontId="2"/>
  </si>
  <si>
    <t>総製造経費計</t>
    <rPh sb="5" eb="6">
      <t>ケイ</t>
    </rPh>
    <phoneticPr fontId="2"/>
  </si>
  <si>
    <t>前期比</t>
    <rPh sb="0" eb="3">
      <t>ゼンキヒヒ</t>
    </rPh>
    <phoneticPr fontId="4"/>
  </si>
  <si>
    <t>予算</t>
    <rPh sb="0" eb="2">
      <t>ヨサン</t>
    </rPh>
    <phoneticPr fontId="2"/>
  </si>
  <si>
    <t>予算比</t>
    <phoneticPr fontId="2"/>
  </si>
  <si>
    <t>％</t>
    <phoneticPr fontId="2"/>
  </si>
  <si>
    <t>広告宣伝費</t>
    <rPh sb="0" eb="5">
      <t>コウコク</t>
    </rPh>
    <phoneticPr fontId="2"/>
  </si>
  <si>
    <t>構成比</t>
    <rPh sb="0" eb="3">
      <t>コウセイヒ</t>
    </rPh>
    <phoneticPr fontId="2"/>
  </si>
  <si>
    <t>実習生管理費</t>
    <rPh sb="0" eb="6">
      <t>ジッシュウセイ</t>
    </rPh>
    <phoneticPr fontId="2"/>
  </si>
  <si>
    <t>給料手当</t>
    <rPh sb="0" eb="2">
      <t>キュウリョウ</t>
    </rPh>
    <rPh sb="2" eb="4">
      <t>テアテ</t>
    </rPh>
    <phoneticPr fontId="4"/>
  </si>
  <si>
    <t>賞与</t>
    <rPh sb="0" eb="2">
      <t>ショウヨ</t>
    </rPh>
    <phoneticPr fontId="4"/>
  </si>
  <si>
    <t>出向負担金</t>
    <rPh sb="0" eb="2">
      <t>シュッコウ</t>
    </rPh>
    <rPh sb="2" eb="5">
      <t>フタンキン</t>
    </rPh>
    <phoneticPr fontId="2"/>
  </si>
  <si>
    <t>業務委託費</t>
    <rPh sb="0" eb="5">
      <t>ギョウムイタクヒ</t>
    </rPh>
    <phoneticPr fontId="4"/>
  </si>
  <si>
    <t>仕入割引</t>
    <rPh sb="0" eb="4">
      <t>シイレワリビキ</t>
    </rPh>
    <phoneticPr fontId="2"/>
  </si>
  <si>
    <t>[ 全社]</t>
    <rPh sb="2" eb="4">
      <t>ゼンシャ</t>
    </rPh>
    <phoneticPr fontId="2"/>
  </si>
  <si>
    <t>[ 東大阪]</t>
    <rPh sb="2" eb="5">
      <t>ヒガシオオサカ</t>
    </rPh>
    <phoneticPr fontId="2"/>
  </si>
  <si>
    <t>保管料</t>
    <rPh sb="0" eb="3">
      <t>ホカンリョウ</t>
    </rPh>
    <phoneticPr fontId="2"/>
  </si>
  <si>
    <t>[松原]</t>
    <rPh sb="1" eb="3">
      <t>マツバラ</t>
    </rPh>
    <phoneticPr fontId="2"/>
  </si>
  <si>
    <t>材料仕入高計</t>
    <rPh sb="0" eb="2">
      <t>ザイリョウ</t>
    </rPh>
    <rPh sb="2" eb="4">
      <t>シイレ</t>
    </rPh>
    <rPh sb="4" eb="5">
      <t>タカ</t>
    </rPh>
    <rPh sb="5" eb="6">
      <t>ケイ</t>
    </rPh>
    <phoneticPr fontId="4"/>
  </si>
  <si>
    <t>材料仕入高（三幸商事他）</t>
    <rPh sb="6" eb="8">
      <t>サンコウ</t>
    </rPh>
    <rPh sb="8" eb="10">
      <t>ショウジ</t>
    </rPh>
    <rPh sb="10" eb="11">
      <t>ホカ</t>
    </rPh>
    <phoneticPr fontId="2"/>
  </si>
  <si>
    <t>材料仕入高（ファイン技研）</t>
    <rPh sb="10" eb="12">
      <t>ギケン</t>
    </rPh>
    <phoneticPr fontId="2"/>
  </si>
  <si>
    <t>予算比</t>
    <rPh sb="2" eb="3">
      <t>キ</t>
    </rPh>
    <phoneticPr fontId="2"/>
  </si>
  <si>
    <t>棚卸評価損</t>
    <rPh sb="0" eb="5">
      <t>タナオロ</t>
    </rPh>
    <phoneticPr fontId="2"/>
  </si>
  <si>
    <t>41期累計</t>
    <rPh sb="2" eb="3">
      <t>キ</t>
    </rPh>
    <rPh sb="3" eb="5">
      <t>ルイケイ</t>
    </rPh>
    <phoneticPr fontId="2"/>
  </si>
  <si>
    <t>40期累計</t>
    <rPh sb="2" eb="3">
      <t>キ</t>
    </rPh>
    <rPh sb="3" eb="5">
      <t>ルイケイ</t>
    </rPh>
    <phoneticPr fontId="4"/>
  </si>
  <si>
    <t>41期累計</t>
    <rPh sb="3" eb="5">
      <t>ルイケイ</t>
    </rPh>
    <phoneticPr fontId="4"/>
  </si>
  <si>
    <t xml:space="preserve">[備考]
---BS----
-----製造原価---------
-----販管費-----------
【雑費】今期10月　102万円　ミャンマー実習生キャンセルお見舞金
【雑収入】前期7月　1,200万円ほど補助金入金があった。（ものづくり補助金+IT補助金）
</t>
    <rPh sb="1" eb="3">
      <t>ビコウ</t>
    </rPh>
    <rPh sb="92" eb="95">
      <t>ザッシュウニュウ</t>
    </rPh>
    <rPh sb="96" eb="98">
      <t>ゼンキ</t>
    </rPh>
    <rPh sb="99" eb="100">
      <t>ガツ</t>
    </rPh>
    <rPh sb="106" eb="107">
      <t>マン</t>
    </rPh>
    <rPh sb="107" eb="108">
      <t>エン</t>
    </rPh>
    <rPh sb="110" eb="113">
      <t>ホジョキン</t>
    </rPh>
    <rPh sb="113" eb="115">
      <t>ニュウキン</t>
    </rPh>
    <rPh sb="126" eb="129">
      <t>ホj</t>
    </rPh>
    <rPh sb="132" eb="135">
      <t>ホジョキン</t>
    </rPh>
    <phoneticPr fontId="2"/>
  </si>
  <si>
    <t>40期2月</t>
    <rPh sb="2" eb="3">
      <t>キ</t>
    </rPh>
    <phoneticPr fontId="4"/>
  </si>
  <si>
    <t>41期2月</t>
    <rPh sb="2" eb="3">
      <t>キ</t>
    </rPh>
    <phoneticPr fontId="4"/>
  </si>
  <si>
    <t>41期2月</t>
    <rPh sb="2" eb="3">
      <t>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</si>
</sst>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;@"/>
    <numFmt numFmtId="177" formatCode="#,##0_ "/>
    <numFmt numFmtId="178" formatCode="#,##0,;[Red]\-#,###,"/>
  </numFmts>
  <fonts count="17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sz val="9"/>
      <name val="游ゴシック"/>
      <family val="3"/>
      <charset val="128"/>
    </font>
    <font>
      <sz val="12"/>
      <name val="游ゴシック"/>
      <family val="3"/>
      <charset val="128"/>
    </font>
    <font>
      <sz val="8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0"/>
      <name val="游ゴシック"/>
      <family val="3"/>
      <charset val="128"/>
    </font>
    <font>
      <sz val="10"/>
      <name val="游ゴシック"/>
      <family val="3"/>
      <charset val="128"/>
    </font>
    <font>
      <sz val="12"/>
      <color theme="1"/>
      <name val="游ゴシック"/>
      <family val="3"/>
      <charset val="128"/>
    </font>
    <font>
      <b/>
      <sz val="8"/>
      <name val="游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94">
    <xf numFmtId="0" fontId="0" fillId="0" borderId="0" xfId="0">
      <alignment vertical="center"/>
    </xf>
    <xf numFmtId="9" fontId="11" fillId="4" borderId="1" xfId="3" applyFont="1" applyFill="1" applyBorder="1" applyAlignment="1" applyProtection="1">
      <alignment horizontal="right" vertical="center" shrinkToFit="1"/>
    </xf>
    <xf numFmtId="9" fontId="5" fillId="2" borderId="1" xfId="3" applyFont="1" applyFill="1" applyBorder="1" applyAlignment="1" applyProtection="1">
      <alignment horizontal="right" vertical="center" shrinkToFit="1"/>
    </xf>
    <xf numFmtId="0" fontId="5" fillId="0" borderId="0" xfId="0" applyFont="1" applyProtection="1">
      <alignment vertical="center"/>
      <protection locked="0"/>
    </xf>
    <xf numFmtId="0" fontId="5" fillId="0" borderId="0" xfId="0" applyFont="1">
      <alignment vertical="center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38" fontId="5" fillId="0" borderId="0" xfId="2" applyFont="1" applyBorder="1" applyAlignment="1" applyProtection="1">
      <alignment vertical="center"/>
      <protection locked="0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9" fontId="5" fillId="2" borderId="1" xfId="3" applyFont="1" applyFill="1" applyBorder="1" applyAlignment="1" applyProtection="1">
      <alignment vertical="center" shrinkToFit="1"/>
    </xf>
    <xf numFmtId="178" fontId="6" fillId="2" borderId="1" xfId="0" applyNumberFormat="1" applyFont="1" applyFill="1" applyBorder="1" applyAlignment="1">
      <alignment vertical="center" shrinkToFit="1"/>
    </xf>
    <xf numFmtId="178" fontId="10" fillId="0" borderId="0" xfId="0" applyNumberFormat="1" applyFont="1">
      <alignment vertical="center"/>
    </xf>
    <xf numFmtId="178" fontId="7" fillId="2" borderId="14" xfId="0" applyNumberFormat="1" applyFont="1" applyFill="1" applyBorder="1" applyAlignment="1">
      <alignment vertical="center" shrinkToFit="1"/>
    </xf>
    <xf numFmtId="178" fontId="9" fillId="0" borderId="2" xfId="0" applyNumberFormat="1" applyFont="1" applyBorder="1" applyAlignment="1">
      <alignment vertical="center" shrinkToFit="1"/>
    </xf>
    <xf numFmtId="9" fontId="5" fillId="0" borderId="1" xfId="3" applyFont="1" applyFill="1" applyBorder="1" applyAlignment="1" applyProtection="1">
      <alignment horizontal="right" vertical="center" shrinkToFit="1"/>
    </xf>
    <xf numFmtId="178" fontId="9" fillId="0" borderId="16" xfId="0" applyNumberFormat="1" applyFont="1" applyBorder="1" applyAlignment="1" applyProtection="1">
      <alignment vertical="center" shrinkToFit="1"/>
      <protection locked="0"/>
    </xf>
    <xf numFmtId="178" fontId="9" fillId="0" borderId="1" xfId="0" applyNumberFormat="1" applyFont="1" applyBorder="1" applyAlignment="1" applyProtection="1">
      <alignment vertical="center" shrinkToFit="1"/>
      <protection locked="0"/>
    </xf>
    <xf numFmtId="178" fontId="5" fillId="0" borderId="1" xfId="0" applyNumberFormat="1" applyFont="1" applyBorder="1" applyAlignment="1" applyProtection="1">
      <alignment vertical="center" shrinkToFit="1"/>
      <protection locked="0"/>
    </xf>
    <xf numFmtId="9" fontId="11" fillId="0" borderId="2" xfId="3" applyFont="1" applyFill="1" applyBorder="1" applyAlignment="1" applyProtection="1">
      <alignment horizontal="right" vertical="center" shrinkToFit="1"/>
    </xf>
    <xf numFmtId="9" fontId="5" fillId="4" borderId="1" xfId="3" applyFont="1" applyFill="1" applyBorder="1" applyAlignment="1" applyProtection="1">
      <alignment horizontal="right" vertical="center" shrinkToFit="1"/>
    </xf>
    <xf numFmtId="178" fontId="6" fillId="4" borderId="1" xfId="0" applyNumberFormat="1" applyFont="1" applyFill="1" applyBorder="1" applyAlignment="1">
      <alignment vertical="center" shrinkToFit="1"/>
    </xf>
    <xf numFmtId="178" fontId="7" fillId="4" borderId="14" xfId="0" applyNumberFormat="1" applyFont="1" applyFill="1" applyBorder="1" applyAlignment="1">
      <alignment vertical="center" shrinkToFit="1"/>
    </xf>
    <xf numFmtId="9" fontId="11" fillId="4" borderId="2" xfId="3" applyFont="1" applyFill="1" applyBorder="1" applyAlignment="1" applyProtection="1">
      <alignment horizontal="right" vertical="center" shrinkToFit="1"/>
    </xf>
    <xf numFmtId="178" fontId="9" fillId="0" borderId="1" xfId="0" applyNumberFormat="1" applyFont="1" applyBorder="1" applyAlignment="1">
      <alignment vertical="center" shrinkToFit="1"/>
    </xf>
    <xf numFmtId="178" fontId="6" fillId="2" borderId="18" xfId="0" applyNumberFormat="1" applyFont="1" applyFill="1" applyBorder="1" applyAlignment="1">
      <alignment vertical="center" shrinkToFit="1"/>
    </xf>
    <xf numFmtId="178" fontId="7" fillId="4" borderId="14" xfId="0" applyNumberFormat="1" applyFont="1" applyFill="1" applyBorder="1" applyAlignment="1" applyProtection="1">
      <alignment vertical="center" shrinkToFit="1"/>
      <protection locked="0"/>
    </xf>
    <xf numFmtId="9" fontId="11" fillId="0" borderId="1" xfId="3" applyFont="1" applyBorder="1" applyAlignment="1" applyProtection="1">
      <alignment horizontal="right" vertical="center" shrinkToFit="1"/>
      <protection locked="0"/>
    </xf>
    <xf numFmtId="178" fontId="9" fillId="0" borderId="14" xfId="0" applyNumberFormat="1" applyFont="1" applyBorder="1" applyAlignment="1" applyProtection="1">
      <alignment vertical="center" shrinkToFit="1"/>
      <protection locked="0"/>
    </xf>
    <xf numFmtId="9" fontId="11" fillId="0" borderId="1" xfId="3" applyFont="1" applyFill="1" applyBorder="1" applyAlignment="1" applyProtection="1">
      <alignment horizontal="right" vertical="center" shrinkToFit="1"/>
    </xf>
    <xf numFmtId="178" fontId="7" fillId="2" borderId="14" xfId="3" applyNumberFormat="1" applyFont="1" applyFill="1" applyBorder="1" applyAlignment="1" applyProtection="1">
      <alignment vertical="center" shrinkToFit="1"/>
    </xf>
    <xf numFmtId="178" fontId="6" fillId="4" borderId="1" xfId="3" applyNumberFormat="1" applyFont="1" applyFill="1" applyBorder="1" applyAlignment="1" applyProtection="1">
      <alignment vertical="center" shrinkToFit="1"/>
    </xf>
    <xf numFmtId="0" fontId="5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38" fontId="5" fillId="0" borderId="0" xfId="2" applyFont="1" applyBorder="1" applyAlignment="1">
      <alignment vertical="center"/>
    </xf>
    <xf numFmtId="178" fontId="6" fillId="2" borderId="2" xfId="0" applyNumberFormat="1" applyFont="1" applyFill="1" applyBorder="1" applyAlignment="1">
      <alignment vertical="center" shrinkToFit="1"/>
    </xf>
    <xf numFmtId="9" fontId="5" fillId="7" borderId="1" xfId="3" applyFont="1" applyFill="1" applyBorder="1" applyAlignment="1" applyProtection="1">
      <alignment horizontal="right" vertical="center" shrinkToFit="1"/>
    </xf>
    <xf numFmtId="178" fontId="6" fillId="7" borderId="1" xfId="0" applyNumberFormat="1" applyFont="1" applyFill="1" applyBorder="1" applyAlignment="1" applyProtection="1">
      <alignment vertical="center" shrinkToFit="1"/>
      <protection locked="0"/>
    </xf>
    <xf numFmtId="178" fontId="5" fillId="0" borderId="0" xfId="0" applyNumberFormat="1" applyFont="1">
      <alignment vertical="center"/>
    </xf>
    <xf numFmtId="178" fontId="6" fillId="2" borderId="14" xfId="0" applyNumberFormat="1" applyFont="1" applyFill="1" applyBorder="1" applyAlignment="1">
      <alignment vertical="center" shrinkToFit="1"/>
    </xf>
    <xf numFmtId="178" fontId="6" fillId="0" borderId="0" xfId="0" applyNumberFormat="1" applyFont="1">
      <alignment vertical="center"/>
    </xf>
    <xf numFmtId="178" fontId="6" fillId="7" borderId="1" xfId="3" applyNumberFormat="1" applyFont="1" applyFill="1" applyBorder="1" applyAlignment="1" applyProtection="1">
      <alignment vertical="center" shrinkToFit="1"/>
    </xf>
    <xf numFmtId="9" fontId="5" fillId="7" borderId="2" xfId="3" applyFont="1" applyFill="1" applyBorder="1" applyAlignment="1" applyProtection="1">
      <alignment horizontal="right" vertical="center" shrinkToFit="1"/>
    </xf>
    <xf numFmtId="178" fontId="6" fillId="7" borderId="16" xfId="0" applyNumberFormat="1" applyFont="1" applyFill="1" applyBorder="1" applyAlignment="1" applyProtection="1">
      <alignment vertical="center" shrinkToFit="1"/>
      <protection locked="0"/>
    </xf>
    <xf numFmtId="0" fontId="14" fillId="0" borderId="0" xfId="0" applyFont="1" applyProtection="1">
      <alignment vertical="center"/>
      <protection locked="0"/>
    </xf>
    <xf numFmtId="178" fontId="14" fillId="0" borderId="18" xfId="0" applyNumberFormat="1" applyFont="1" applyBorder="1" applyAlignment="1">
      <alignment vertical="center" shrinkToFit="1"/>
    </xf>
    <xf numFmtId="9" fontId="14" fillId="0" borderId="1" xfId="3" applyFont="1" applyFill="1" applyBorder="1" applyAlignment="1" applyProtection="1">
      <alignment horizontal="right" vertical="center" shrinkToFit="1"/>
    </xf>
    <xf numFmtId="178" fontId="14" fillId="0" borderId="0" xfId="0" applyNumberFormat="1" applyFont="1">
      <alignment vertical="center"/>
    </xf>
    <xf numFmtId="178" fontId="14" fillId="0" borderId="14" xfId="0" applyNumberFormat="1" applyFont="1" applyBorder="1" applyAlignment="1">
      <alignment vertical="center" shrinkToFit="1"/>
    </xf>
    <xf numFmtId="0" fontId="14" fillId="0" borderId="0" xfId="0" applyFont="1">
      <alignment vertical="center"/>
    </xf>
    <xf numFmtId="178" fontId="14" fillId="0" borderId="1" xfId="0" applyNumberFormat="1" applyFont="1" applyBorder="1" applyAlignment="1">
      <alignment vertical="center" shrinkToFit="1"/>
    </xf>
    <xf numFmtId="178" fontId="13" fillId="4" borderId="2" xfId="0" applyNumberFormat="1" applyFont="1" applyFill="1" applyBorder="1" applyAlignment="1">
      <alignment vertical="center" shrinkToFit="1"/>
    </xf>
    <xf numFmtId="9" fontId="14" fillId="4" borderId="2" xfId="3" applyFont="1" applyFill="1" applyBorder="1" applyAlignment="1" applyProtection="1">
      <alignment horizontal="right" vertical="center" shrinkToFit="1"/>
    </xf>
    <xf numFmtId="178" fontId="13" fillId="4" borderId="16" xfId="0" applyNumberFormat="1" applyFont="1" applyFill="1" applyBorder="1" applyAlignment="1">
      <alignment vertical="center" shrinkToFit="1"/>
    </xf>
    <xf numFmtId="178" fontId="13" fillId="4" borderId="18" xfId="0" applyNumberFormat="1" applyFont="1" applyFill="1" applyBorder="1" applyAlignment="1">
      <alignment vertical="center" shrinkToFit="1"/>
    </xf>
    <xf numFmtId="9" fontId="14" fillId="4" borderId="1" xfId="3" applyFont="1" applyFill="1" applyBorder="1" applyAlignment="1" applyProtection="1">
      <alignment horizontal="right" vertical="center" shrinkToFit="1"/>
    </xf>
    <xf numFmtId="178" fontId="13" fillId="4" borderId="1" xfId="0" applyNumberFormat="1" applyFont="1" applyFill="1" applyBorder="1" applyAlignment="1">
      <alignment vertical="center" shrinkToFit="1"/>
    </xf>
    <xf numFmtId="178" fontId="13" fillId="4" borderId="1" xfId="0" applyNumberFormat="1" applyFont="1" applyFill="1" applyBorder="1" applyAlignment="1" applyProtection="1">
      <alignment vertical="center" shrinkToFit="1"/>
      <protection locked="0"/>
    </xf>
    <xf numFmtId="9" fontId="9" fillId="0" borderId="1" xfId="3" applyFont="1" applyFill="1" applyBorder="1" applyAlignment="1" applyProtection="1">
      <alignment horizontal="right" vertical="center" shrinkToFit="1"/>
    </xf>
    <xf numFmtId="9" fontId="9" fillId="0" borderId="2" xfId="3" applyFont="1" applyFill="1" applyBorder="1" applyAlignment="1" applyProtection="1">
      <alignment horizontal="right" vertical="center" shrinkToFit="1"/>
    </xf>
    <xf numFmtId="178" fontId="14" fillId="0" borderId="1" xfId="0" applyNumberFormat="1" applyFont="1" applyBorder="1" applyAlignment="1" applyProtection="1">
      <alignment vertical="center" shrinkToFit="1"/>
      <protection locked="0"/>
    </xf>
    <xf numFmtId="178" fontId="13" fillId="2" borderId="14" xfId="0" applyNumberFormat="1" applyFont="1" applyFill="1" applyBorder="1" applyAlignment="1">
      <alignment vertical="center" shrinkToFit="1"/>
    </xf>
    <xf numFmtId="178" fontId="7" fillId="4" borderId="16" xfId="0" applyNumberFormat="1" applyFont="1" applyFill="1" applyBorder="1" applyAlignment="1" applyProtection="1">
      <alignment vertical="center" shrinkToFit="1"/>
      <protection locked="0"/>
    </xf>
    <xf numFmtId="178" fontId="7" fillId="2" borderId="14" xfId="0" applyNumberFormat="1" applyFont="1" applyFill="1" applyBorder="1" applyAlignment="1" applyProtection="1">
      <alignment vertical="center" shrinkToFit="1"/>
      <protection locked="0"/>
    </xf>
    <xf numFmtId="176" fontId="6" fillId="5" borderId="28" xfId="0" applyNumberFormat="1" applyFont="1" applyFill="1" applyBorder="1" applyAlignment="1" applyProtection="1">
      <alignment horizontal="center" vertical="center" shrinkToFit="1"/>
      <protection locked="0"/>
    </xf>
    <xf numFmtId="176" fontId="6" fillId="5" borderId="10" xfId="0" applyNumberFormat="1" applyFont="1" applyFill="1" applyBorder="1" applyAlignment="1" applyProtection="1">
      <alignment horizontal="center" vertical="center" shrinkToFit="1"/>
      <protection locked="0"/>
    </xf>
    <xf numFmtId="9" fontId="14" fillId="0" borderId="17" xfId="3" applyFont="1" applyFill="1" applyBorder="1" applyAlignment="1" applyProtection="1">
      <alignment horizontal="right" vertical="center" shrinkToFit="1"/>
    </xf>
    <xf numFmtId="9" fontId="14" fillId="0" borderId="15" xfId="3" applyFont="1" applyFill="1" applyBorder="1" applyAlignment="1" applyProtection="1">
      <alignment horizontal="right" vertical="center" shrinkToFit="1"/>
    </xf>
    <xf numFmtId="9" fontId="9" fillId="0" borderId="17" xfId="3" applyFont="1" applyFill="1" applyBorder="1" applyAlignment="1" applyProtection="1">
      <alignment horizontal="right" vertical="center" shrinkToFit="1"/>
    </xf>
    <xf numFmtId="9" fontId="9" fillId="0" borderId="17" xfId="3" applyFont="1" applyFill="1" applyBorder="1" applyAlignment="1" applyProtection="1">
      <alignment horizontal="right" vertical="center" shrinkToFit="1"/>
      <protection locked="0"/>
    </xf>
    <xf numFmtId="9" fontId="11" fillId="0" borderId="17" xfId="3" applyFont="1" applyFill="1" applyBorder="1" applyAlignment="1" applyProtection="1">
      <alignment horizontal="right" vertical="center" shrinkToFit="1"/>
    </xf>
    <xf numFmtId="9" fontId="5" fillId="0" borderId="17" xfId="3" applyFont="1" applyFill="1" applyBorder="1" applyAlignment="1" applyProtection="1">
      <alignment horizontal="right" vertical="center" shrinkToFit="1"/>
    </xf>
    <xf numFmtId="178" fontId="14" fillId="8" borderId="1" xfId="0" applyNumberFormat="1" applyFont="1" applyFill="1" applyBorder="1" applyAlignment="1" applyProtection="1">
      <alignment vertical="center" shrinkToFit="1"/>
      <protection locked="0"/>
    </xf>
    <xf numFmtId="178" fontId="14" fillId="8" borderId="16" xfId="0" applyNumberFormat="1" applyFont="1" applyFill="1" applyBorder="1" applyAlignment="1" applyProtection="1">
      <alignment vertical="center" shrinkToFit="1"/>
      <protection locked="0"/>
    </xf>
    <xf numFmtId="178" fontId="14" fillId="8" borderId="14" xfId="0" applyNumberFormat="1" applyFont="1" applyFill="1" applyBorder="1" applyAlignment="1">
      <alignment vertical="center" shrinkToFit="1"/>
    </xf>
    <xf numFmtId="178" fontId="9" fillId="8" borderId="1" xfId="0" applyNumberFormat="1" applyFont="1" applyFill="1" applyBorder="1" applyAlignment="1" applyProtection="1">
      <alignment vertical="center" shrinkToFit="1"/>
      <protection locked="0"/>
    </xf>
    <xf numFmtId="178" fontId="9" fillId="8" borderId="16" xfId="0" applyNumberFormat="1" applyFont="1" applyFill="1" applyBorder="1" applyAlignment="1" applyProtection="1">
      <alignment vertical="center" shrinkToFit="1"/>
      <protection locked="0"/>
    </xf>
    <xf numFmtId="176" fontId="6" fillId="6" borderId="28" xfId="0" applyNumberFormat="1" applyFont="1" applyFill="1" applyBorder="1" applyAlignment="1" applyProtection="1">
      <alignment horizontal="center" vertical="center" shrinkToFit="1"/>
      <protection locked="0"/>
    </xf>
    <xf numFmtId="176" fontId="6" fillId="6" borderId="26" xfId="0" applyNumberFormat="1" applyFont="1" applyFill="1" applyBorder="1" applyAlignment="1" applyProtection="1">
      <alignment horizontal="center" vertical="center" shrinkToFit="1"/>
      <protection locked="0"/>
    </xf>
    <xf numFmtId="9" fontId="9" fillId="0" borderId="15" xfId="3" applyFont="1" applyFill="1" applyBorder="1" applyAlignment="1" applyProtection="1">
      <alignment horizontal="right" vertical="center" shrinkToFit="1"/>
    </xf>
    <xf numFmtId="9" fontId="11" fillId="0" borderId="15" xfId="3" applyFont="1" applyBorder="1" applyAlignment="1" applyProtection="1">
      <alignment horizontal="right" vertical="center" shrinkToFit="1"/>
      <protection locked="0"/>
    </xf>
    <xf numFmtId="9" fontId="5" fillId="0" borderId="15" xfId="3" applyFont="1" applyFill="1" applyBorder="1" applyAlignment="1" applyProtection="1">
      <alignment horizontal="right"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55" fontId="6" fillId="3" borderId="5" xfId="0" applyNumberFormat="1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176" fontId="6" fillId="6" borderId="9" xfId="0" applyNumberFormat="1" applyFont="1" applyFill="1" applyBorder="1" applyAlignment="1" applyProtection="1">
      <alignment horizontal="center" vertical="center" shrinkToFit="1"/>
      <protection locked="0"/>
    </xf>
    <xf numFmtId="176" fontId="6" fillId="6" borderId="6" xfId="0" applyNumberFormat="1" applyFont="1" applyFill="1" applyBorder="1" applyAlignment="1" applyProtection="1">
      <alignment horizontal="center" vertical="center" shrinkToFit="1"/>
      <protection locked="0"/>
    </xf>
    <xf numFmtId="9" fontId="6" fillId="2" borderId="14" xfId="3" applyFont="1" applyFill="1" applyBorder="1" applyAlignment="1" applyProtection="1">
      <alignment vertical="center" shrinkToFit="1"/>
    </xf>
    <xf numFmtId="9" fontId="14" fillId="0" borderId="12" xfId="3" applyFont="1" applyFill="1" applyBorder="1" applyAlignment="1" applyProtection="1">
      <alignment vertical="center" shrinkToFit="1"/>
    </xf>
    <xf numFmtId="9" fontId="14" fillId="0" borderId="14" xfId="3" applyFont="1" applyFill="1" applyBorder="1" applyAlignment="1" applyProtection="1">
      <alignment vertical="center" shrinkToFit="1"/>
    </xf>
    <xf numFmtId="9" fontId="6" fillId="2" borderId="16" xfId="3" applyFont="1" applyFill="1" applyBorder="1" applyAlignment="1" applyProtection="1">
      <alignment vertical="center" shrinkToFit="1"/>
    </xf>
    <xf numFmtId="9" fontId="13" fillId="4" borderId="16" xfId="3" applyFont="1" applyFill="1" applyBorder="1" applyAlignment="1" applyProtection="1">
      <alignment vertical="center" shrinkToFit="1"/>
    </xf>
    <xf numFmtId="9" fontId="9" fillId="0" borderId="16" xfId="3" applyFont="1" applyFill="1" applyBorder="1" applyAlignment="1" applyProtection="1">
      <alignment vertical="center" shrinkToFit="1"/>
    </xf>
    <xf numFmtId="9" fontId="9" fillId="0" borderId="16" xfId="3" applyFont="1" applyFill="1" applyBorder="1" applyAlignment="1" applyProtection="1">
      <alignment vertical="center" shrinkToFit="1"/>
      <protection locked="0"/>
    </xf>
    <xf numFmtId="9" fontId="9" fillId="0" borderId="14" xfId="3" applyFont="1" applyFill="1" applyBorder="1" applyAlignment="1" applyProtection="1">
      <alignment vertical="center" shrinkToFit="1"/>
      <protection locked="0"/>
    </xf>
    <xf numFmtId="9" fontId="13" fillId="4" borderId="16" xfId="3" applyFont="1" applyFill="1" applyBorder="1" applyAlignment="1" applyProtection="1">
      <alignment vertical="center" shrinkToFit="1"/>
      <protection locked="0"/>
    </xf>
    <xf numFmtId="9" fontId="6" fillId="4" borderId="14" xfId="3" applyFont="1" applyFill="1" applyBorder="1" applyAlignment="1" applyProtection="1">
      <alignment vertical="center" shrinkToFit="1"/>
    </xf>
    <xf numFmtId="9" fontId="5" fillId="0" borderId="14" xfId="3" applyFont="1" applyFill="1" applyBorder="1" applyAlignment="1" applyProtection="1">
      <alignment vertical="center" shrinkToFit="1"/>
      <protection locked="0"/>
    </xf>
    <xf numFmtId="9" fontId="6" fillId="4" borderId="16" xfId="3" applyFont="1" applyFill="1" applyBorder="1" applyAlignment="1" applyProtection="1">
      <alignment vertical="center" shrinkToFit="1"/>
    </xf>
    <xf numFmtId="9" fontId="5" fillId="0" borderId="16" xfId="3" applyFont="1" applyFill="1" applyBorder="1" applyAlignment="1" applyProtection="1">
      <alignment vertical="center" shrinkToFit="1"/>
      <protection locked="0"/>
    </xf>
    <xf numFmtId="9" fontId="6" fillId="2" borderId="12" xfId="3" applyFont="1" applyFill="1" applyBorder="1" applyAlignment="1" applyProtection="1">
      <alignment vertical="center" shrinkToFit="1"/>
    </xf>
    <xf numFmtId="9" fontId="5" fillId="0" borderId="14" xfId="3" applyFont="1" applyBorder="1" applyAlignment="1" applyProtection="1">
      <alignment vertical="center" shrinkToFit="1"/>
      <protection locked="0"/>
    </xf>
    <xf numFmtId="9" fontId="5" fillId="0" borderId="14" xfId="3" applyFont="1" applyFill="1" applyBorder="1" applyAlignment="1" applyProtection="1">
      <alignment vertical="center" shrinkToFit="1"/>
    </xf>
    <xf numFmtId="9" fontId="6" fillId="2" borderId="15" xfId="3" applyFont="1" applyFill="1" applyBorder="1" applyAlignment="1" applyProtection="1">
      <alignment horizontal="right" vertical="center" shrinkToFit="1"/>
    </xf>
    <xf numFmtId="9" fontId="16" fillId="4" borderId="17" xfId="3" applyFont="1" applyFill="1" applyBorder="1" applyAlignment="1" applyProtection="1">
      <alignment horizontal="right" vertical="center" shrinkToFit="1"/>
    </xf>
    <xf numFmtId="9" fontId="6" fillId="4" borderId="15" xfId="3" applyFont="1" applyFill="1" applyBorder="1" applyAlignment="1" applyProtection="1">
      <alignment horizontal="right" vertical="center" shrinkToFit="1"/>
    </xf>
    <xf numFmtId="9" fontId="6" fillId="2" borderId="20" xfId="3" applyFont="1" applyFill="1" applyBorder="1" applyAlignment="1" applyProtection="1">
      <alignment horizontal="right" vertical="center" shrinkToFit="1"/>
    </xf>
    <xf numFmtId="9" fontId="13" fillId="4" borderId="17" xfId="3" applyFont="1" applyFill="1" applyBorder="1" applyAlignment="1" applyProtection="1">
      <alignment horizontal="right" vertical="center" shrinkToFit="1"/>
    </xf>
    <xf numFmtId="9" fontId="13" fillId="4" borderId="15" xfId="3" applyFont="1" applyFill="1" applyBorder="1" applyAlignment="1" applyProtection="1">
      <alignment horizontal="right" vertical="center" shrinkToFit="1"/>
    </xf>
    <xf numFmtId="9" fontId="13" fillId="4" borderId="1" xfId="3" applyFont="1" applyFill="1" applyBorder="1" applyAlignment="1" applyProtection="1">
      <alignment vertical="center" shrinkToFit="1"/>
    </xf>
    <xf numFmtId="9" fontId="6" fillId="7" borderId="15" xfId="3" applyFont="1" applyFill="1" applyBorder="1" applyAlignment="1" applyProtection="1">
      <alignment horizontal="right" vertical="center" shrinkToFit="1"/>
    </xf>
    <xf numFmtId="9" fontId="6" fillId="2" borderId="15" xfId="3" applyFont="1" applyFill="1" applyBorder="1" applyAlignment="1" applyProtection="1">
      <alignment vertical="center" shrinkToFit="1"/>
    </xf>
    <xf numFmtId="176" fontId="6" fillId="5" borderId="9" xfId="0" applyNumberFormat="1" applyFont="1" applyFill="1" applyBorder="1" applyAlignment="1" applyProtection="1">
      <alignment horizontal="center" vertical="center" shrinkToFit="1"/>
      <protection locked="0"/>
    </xf>
    <xf numFmtId="177" fontId="5" fillId="0" borderId="0" xfId="0" applyNumberFormat="1" applyFont="1" applyProtection="1">
      <alignment vertical="center"/>
      <protection locked="0"/>
    </xf>
    <xf numFmtId="176" fontId="6" fillId="5" borderId="6" xfId="0" applyNumberFormat="1" applyFont="1" applyFill="1" applyBorder="1" applyAlignment="1" applyProtection="1">
      <alignment horizontal="center" vertical="center" shrinkToFit="1"/>
      <protection locked="0"/>
    </xf>
    <xf numFmtId="9" fontId="6" fillId="7" borderId="14" xfId="3" applyFont="1" applyFill="1" applyBorder="1" applyAlignment="1" applyProtection="1">
      <alignment vertical="center" shrinkToFit="1"/>
    </xf>
    <xf numFmtId="9" fontId="6" fillId="2" borderId="17" xfId="3" applyFont="1" applyFill="1" applyBorder="1" applyAlignment="1" applyProtection="1">
      <alignment horizontal="right" vertical="center" shrinkToFit="1"/>
    </xf>
    <xf numFmtId="9" fontId="6" fillId="4" borderId="15" xfId="3" applyFont="1" applyFill="1" applyBorder="1" applyAlignment="1" applyProtection="1">
      <alignment horizontal="right" vertical="center" shrinkToFit="1"/>
      <protection locked="0"/>
    </xf>
    <xf numFmtId="9" fontId="6" fillId="7" borderId="17" xfId="3" applyFont="1" applyFill="1" applyBorder="1" applyAlignment="1" applyProtection="1">
      <alignment horizontal="right" vertical="center" shrinkToFit="1"/>
    </xf>
    <xf numFmtId="9" fontId="14" fillId="0" borderId="16" xfId="3" applyFont="1" applyFill="1" applyBorder="1" applyAlignment="1" applyProtection="1">
      <alignment vertical="center" shrinkToFit="1"/>
      <protection locked="0"/>
    </xf>
    <xf numFmtId="9" fontId="14" fillId="0" borderId="14" xfId="3" applyFont="1" applyFill="1" applyBorder="1" applyAlignment="1" applyProtection="1">
      <alignment vertical="center" shrinkToFit="1"/>
      <protection locked="0"/>
    </xf>
    <xf numFmtId="9" fontId="6" fillId="7" borderId="16" xfId="3" applyFont="1" applyFill="1" applyBorder="1" applyAlignment="1" applyProtection="1">
      <alignment vertical="center" shrinkToFit="1"/>
      <protection locked="0"/>
    </xf>
    <xf numFmtId="9" fontId="6" fillId="2" borderId="1" xfId="3" applyFont="1" applyFill="1" applyBorder="1" applyAlignment="1" applyProtection="1">
      <alignment vertical="center" shrinkToFit="1"/>
    </xf>
    <xf numFmtId="9" fontId="6" fillId="7" borderId="13" xfId="3" applyFont="1" applyFill="1" applyBorder="1" applyAlignment="1" applyProtection="1">
      <alignment vertical="center" shrinkToFit="1"/>
    </xf>
    <xf numFmtId="9" fontId="13" fillId="4" borderId="43" xfId="3" applyFont="1" applyFill="1" applyBorder="1" applyAlignment="1" applyProtection="1">
      <alignment vertical="center" shrinkToFit="1"/>
    </xf>
    <xf numFmtId="9" fontId="9" fillId="0" borderId="43" xfId="3" applyFont="1" applyFill="1" applyBorder="1" applyAlignment="1" applyProtection="1">
      <alignment vertical="center" shrinkToFit="1"/>
    </xf>
    <xf numFmtId="9" fontId="9" fillId="0" borderId="13" xfId="3" applyFont="1" applyFill="1" applyBorder="1" applyAlignment="1" applyProtection="1">
      <alignment vertical="center" shrinkToFit="1"/>
      <protection locked="0"/>
    </xf>
    <xf numFmtId="9" fontId="13" fillId="4" borderId="42" xfId="3" applyFont="1" applyFill="1" applyBorder="1" applyAlignment="1" applyProtection="1">
      <alignment vertical="center" shrinkToFit="1"/>
    </xf>
    <xf numFmtId="9" fontId="13" fillId="4" borderId="13" xfId="3" applyFont="1" applyFill="1" applyBorder="1" applyAlignment="1" applyProtection="1">
      <alignment vertical="center" shrinkToFit="1"/>
      <protection locked="0"/>
    </xf>
    <xf numFmtId="9" fontId="9" fillId="0" borderId="13" xfId="3" applyFont="1" applyFill="1" applyBorder="1" applyAlignment="1" applyProtection="1">
      <alignment vertical="center" shrinkToFit="1"/>
    </xf>
    <xf numFmtId="9" fontId="6" fillId="2" borderId="13" xfId="3" applyFont="1" applyFill="1" applyBorder="1" applyAlignment="1" applyProtection="1">
      <alignment vertical="center" shrinkToFit="1"/>
    </xf>
    <xf numFmtId="9" fontId="7" fillId="4" borderId="13" xfId="3" applyFont="1" applyFill="1" applyBorder="1" applyAlignment="1" applyProtection="1">
      <alignment vertical="center" shrinkToFit="1"/>
    </xf>
    <xf numFmtId="9" fontId="9" fillId="0" borderId="13" xfId="3" applyFont="1" applyBorder="1" applyAlignment="1" applyProtection="1">
      <alignment vertical="center" shrinkToFit="1"/>
      <protection locked="0"/>
    </xf>
    <xf numFmtId="9" fontId="7" fillId="2" borderId="13" xfId="3" applyFont="1" applyFill="1" applyBorder="1" applyAlignment="1" applyProtection="1">
      <alignment vertical="center" shrinkToFit="1"/>
    </xf>
    <xf numFmtId="9" fontId="6" fillId="4" borderId="13" xfId="3" applyFont="1" applyFill="1" applyBorder="1" applyAlignment="1" applyProtection="1">
      <alignment vertical="center" shrinkToFit="1"/>
    </xf>
    <xf numFmtId="9" fontId="7" fillId="2" borderId="42" xfId="3" applyFont="1" applyFill="1" applyBorder="1" applyAlignment="1" applyProtection="1">
      <alignment vertical="center" shrinkToFit="1"/>
    </xf>
    <xf numFmtId="9" fontId="14" fillId="0" borderId="42" xfId="3" applyFont="1" applyFill="1" applyBorder="1" applyAlignment="1" applyProtection="1">
      <alignment vertical="center" shrinkToFit="1"/>
    </xf>
    <xf numFmtId="9" fontId="14" fillId="0" borderId="13" xfId="3" applyFont="1" applyFill="1" applyBorder="1" applyAlignment="1" applyProtection="1">
      <alignment vertical="center" shrinkToFit="1"/>
    </xf>
    <xf numFmtId="9" fontId="6" fillId="2" borderId="43" xfId="3" applyFont="1" applyFill="1" applyBorder="1" applyAlignment="1" applyProtection="1">
      <alignment vertical="center" shrinkToFit="1"/>
    </xf>
    <xf numFmtId="177" fontId="6" fillId="7" borderId="22" xfId="0" applyNumberFormat="1" applyFont="1" applyFill="1" applyBorder="1" applyAlignment="1" applyProtection="1">
      <alignment vertical="top" shrinkToFit="1"/>
      <protection locked="0"/>
    </xf>
    <xf numFmtId="177" fontId="9" fillId="0" borderId="0" xfId="0" applyNumberFormat="1" applyFont="1" applyProtection="1">
      <alignment vertical="center"/>
      <protection locked="0"/>
    </xf>
    <xf numFmtId="177" fontId="5" fillId="0" borderId="0" xfId="0" applyNumberFormat="1" applyFont="1" applyAlignment="1" applyProtection="1">
      <alignment horizontal="right" vertical="center"/>
      <protection locked="0"/>
    </xf>
    <xf numFmtId="9" fontId="7" fillId="2" borderId="25" xfId="3" applyFont="1" applyFill="1" applyBorder="1" applyAlignment="1" applyProtection="1">
      <alignment vertical="center" shrinkToFit="1"/>
    </xf>
    <xf numFmtId="178" fontId="6" fillId="2" borderId="8" xfId="0" applyNumberFormat="1" applyFont="1" applyFill="1" applyBorder="1" applyAlignment="1">
      <alignment vertical="center" shrinkToFit="1"/>
    </xf>
    <xf numFmtId="9" fontId="6" fillId="2" borderId="24" xfId="3" applyFont="1" applyFill="1" applyBorder="1" applyAlignment="1" applyProtection="1">
      <alignment vertical="center" shrinkToFit="1"/>
    </xf>
    <xf numFmtId="9" fontId="6" fillId="2" borderId="26" xfId="3" applyFont="1" applyFill="1" applyBorder="1" applyAlignment="1" applyProtection="1">
      <alignment horizontal="right" vertical="center" shrinkToFit="1"/>
    </xf>
    <xf numFmtId="178" fontId="7" fillId="2" borderId="9" xfId="0" applyNumberFormat="1" applyFont="1" applyFill="1" applyBorder="1" applyAlignment="1">
      <alignment vertical="center" shrinkToFit="1"/>
    </xf>
    <xf numFmtId="9" fontId="6" fillId="2" borderId="9" xfId="3" applyFont="1" applyFill="1" applyBorder="1" applyAlignment="1" applyProtection="1">
      <alignment vertical="center" shrinkToFit="1"/>
    </xf>
    <xf numFmtId="9" fontId="6" fillId="2" borderId="10" xfId="3" applyFont="1" applyFill="1" applyBorder="1" applyAlignment="1" applyProtection="1">
      <alignment horizontal="right" vertical="center" shrinkToFit="1"/>
    </xf>
    <xf numFmtId="0" fontId="5" fillId="0" borderId="23" xfId="0" applyFont="1" applyBorder="1" applyProtection="1">
      <alignment vertical="center"/>
      <protection locked="0"/>
    </xf>
    <xf numFmtId="0" fontId="5" fillId="0" borderId="29" xfId="0" applyFont="1" applyBorder="1" applyProtection="1">
      <alignment vertical="center"/>
      <protection locked="0"/>
    </xf>
    <xf numFmtId="0" fontId="5" fillId="0" borderId="32" xfId="0" applyFont="1" applyBorder="1" applyProtection="1">
      <alignment vertical="center"/>
      <protection locked="0"/>
    </xf>
    <xf numFmtId="0" fontId="5" fillId="0" borderId="30" xfId="0" applyFont="1" applyBorder="1" applyProtection="1">
      <alignment vertical="center"/>
      <protection locked="0"/>
    </xf>
    <xf numFmtId="0" fontId="5" fillId="0" borderId="27" xfId="0" applyFont="1" applyBorder="1" applyProtection="1">
      <alignment vertical="center"/>
      <protection locked="0"/>
    </xf>
    <xf numFmtId="0" fontId="5" fillId="0" borderId="31" xfId="0" applyFont="1" applyBorder="1" applyProtection="1">
      <alignment vertical="center"/>
      <protection locked="0"/>
    </xf>
    <xf numFmtId="9" fontId="13" fillId="2" borderId="14" xfId="3" applyFont="1" applyFill="1" applyBorder="1" applyAlignment="1" applyProtection="1">
      <alignment vertical="center" shrinkToFit="1"/>
    </xf>
    <xf numFmtId="9" fontId="7" fillId="4" borderId="14" xfId="3" applyFont="1" applyFill="1" applyBorder="1" applyAlignment="1" applyProtection="1">
      <alignment vertical="center" shrinkToFit="1"/>
      <protection locked="0"/>
    </xf>
    <xf numFmtId="9" fontId="9" fillId="0" borderId="14" xfId="3" applyFont="1" applyBorder="1" applyAlignment="1" applyProtection="1">
      <alignment vertical="center" shrinkToFit="1"/>
      <protection locked="0"/>
    </xf>
    <xf numFmtId="9" fontId="7" fillId="2" borderId="14" xfId="3" applyFont="1" applyFill="1" applyBorder="1" applyAlignment="1" applyProtection="1">
      <alignment vertical="center" shrinkToFit="1"/>
    </xf>
    <xf numFmtId="9" fontId="7" fillId="4" borderId="16" xfId="3" applyFont="1" applyFill="1" applyBorder="1" applyAlignment="1" applyProtection="1">
      <alignment vertical="center" shrinkToFit="1"/>
      <protection locked="0"/>
    </xf>
    <xf numFmtId="9" fontId="9" fillId="0" borderId="14" xfId="3" applyFont="1" applyFill="1" applyBorder="1" applyAlignment="1" applyProtection="1">
      <alignment vertical="center" shrinkToFit="1"/>
    </xf>
    <xf numFmtId="9" fontId="7" fillId="4" borderId="14" xfId="3" applyFont="1" applyFill="1" applyBorder="1" applyAlignment="1" applyProtection="1">
      <alignment vertical="center" shrinkToFit="1"/>
    </xf>
    <xf numFmtId="9" fontId="9" fillId="0" borderId="12" xfId="3" applyFont="1" applyFill="1" applyBorder="1" applyAlignment="1" applyProtection="1">
      <alignment vertical="center" shrinkToFit="1"/>
    </xf>
    <xf numFmtId="9" fontId="7" fillId="2" borderId="12" xfId="3" applyFont="1" applyFill="1" applyBorder="1" applyAlignment="1" applyProtection="1">
      <alignment vertical="center" shrinkToFit="1"/>
      <protection locked="0"/>
    </xf>
    <xf numFmtId="9" fontId="7" fillId="2" borderId="9" xfId="3" applyFont="1" applyFill="1" applyBorder="1" applyAlignment="1" applyProtection="1">
      <alignment vertical="center" shrinkToFit="1"/>
    </xf>
    <xf numFmtId="178" fontId="5" fillId="0" borderId="1" xfId="0" applyNumberFormat="1" applyFont="1" applyBorder="1" applyAlignment="1">
      <alignment vertical="center" shrinkToFit="1"/>
    </xf>
    <xf numFmtId="177" fontId="13" fillId="0" borderId="15" xfId="0" applyNumberFormat="1" applyFont="1" applyBorder="1" applyAlignment="1" applyProtection="1">
      <alignment vertical="top" shrinkToFit="1"/>
      <protection locked="0"/>
    </xf>
    <xf numFmtId="178" fontId="13" fillId="4" borderId="40" xfId="0" applyNumberFormat="1" applyFont="1" applyFill="1" applyBorder="1" applyAlignment="1">
      <alignment vertical="center" shrinkToFit="1"/>
    </xf>
    <xf numFmtId="178" fontId="6" fillId="2" borderId="13" xfId="0" applyNumberFormat="1" applyFont="1" applyFill="1" applyBorder="1" applyAlignment="1">
      <alignment vertical="center" shrinkToFit="1"/>
    </xf>
    <xf numFmtId="178" fontId="14" fillId="0" borderId="42" xfId="0" applyNumberFormat="1" applyFont="1" applyBorder="1" applyAlignment="1">
      <alignment vertical="center" shrinkToFit="1"/>
    </xf>
    <xf numFmtId="178" fontId="9" fillId="0" borderId="43" xfId="0" applyNumberFormat="1" applyFont="1" applyBorder="1" applyAlignment="1">
      <alignment vertical="center" shrinkToFit="1"/>
    </xf>
    <xf numFmtId="178" fontId="9" fillId="0" borderId="13" xfId="0" applyNumberFormat="1" applyFont="1" applyBorder="1" applyAlignment="1" applyProtection="1">
      <alignment vertical="center" shrinkToFit="1"/>
      <protection locked="0"/>
    </xf>
    <xf numFmtId="178" fontId="13" fillId="4" borderId="13" xfId="0" applyNumberFormat="1" applyFont="1" applyFill="1" applyBorder="1" applyAlignment="1">
      <alignment vertical="center" shrinkToFit="1"/>
    </xf>
    <xf numFmtId="178" fontId="9" fillId="0" borderId="13" xfId="0" applyNumberFormat="1" applyFont="1" applyBorder="1" applyAlignment="1">
      <alignment vertical="center" shrinkToFit="1"/>
    </xf>
    <xf numFmtId="178" fontId="13" fillId="4" borderId="13" xfId="0" applyNumberFormat="1" applyFont="1" applyFill="1" applyBorder="1" applyAlignment="1" applyProtection="1">
      <alignment vertical="center" shrinkToFit="1"/>
      <protection locked="0"/>
    </xf>
    <xf numFmtId="178" fontId="6" fillId="7" borderId="13" xfId="3" applyNumberFormat="1" applyFont="1" applyFill="1" applyBorder="1" applyAlignment="1" applyProtection="1">
      <alignment vertical="center" shrinkToFit="1"/>
    </xf>
    <xf numFmtId="178" fontId="6" fillId="4" borderId="13" xfId="0" applyNumberFormat="1" applyFont="1" applyFill="1" applyBorder="1" applyAlignment="1">
      <alignment vertical="center" shrinkToFit="1"/>
    </xf>
    <xf numFmtId="178" fontId="6" fillId="4" borderId="13" xfId="3" applyNumberFormat="1" applyFont="1" applyFill="1" applyBorder="1" applyAlignment="1" applyProtection="1">
      <alignment vertical="center" shrinkToFit="1"/>
    </xf>
    <xf numFmtId="178" fontId="6" fillId="2" borderId="42" xfId="0" applyNumberFormat="1" applyFont="1" applyFill="1" applyBorder="1" applyAlignment="1">
      <alignment vertical="center" shrinkToFit="1"/>
    </xf>
    <xf numFmtId="178" fontId="6" fillId="2" borderId="25" xfId="0" applyNumberFormat="1" applyFont="1" applyFill="1" applyBorder="1" applyAlignment="1">
      <alignment vertical="center" shrinkToFit="1"/>
    </xf>
    <xf numFmtId="177" fontId="13" fillId="4" borderId="51" xfId="0" applyNumberFormat="1" applyFont="1" applyFill="1" applyBorder="1" applyAlignment="1" applyProtection="1">
      <alignment vertical="top" shrinkToFit="1"/>
      <protection locked="0"/>
    </xf>
    <xf numFmtId="177" fontId="13" fillId="4" borderId="48" xfId="0" applyNumberFormat="1" applyFont="1" applyFill="1" applyBorder="1" applyAlignment="1" applyProtection="1">
      <alignment vertical="top" shrinkToFit="1"/>
      <protection locked="0"/>
    </xf>
    <xf numFmtId="177" fontId="6" fillId="7" borderId="51" xfId="0" applyNumberFormat="1" applyFont="1" applyFill="1" applyBorder="1" applyAlignment="1" applyProtection="1">
      <alignment vertical="top" shrinkToFit="1"/>
      <protection locked="0"/>
    </xf>
    <xf numFmtId="177" fontId="6" fillId="0" borderId="15" xfId="0" applyNumberFormat="1" applyFont="1" applyBorder="1" applyAlignment="1" applyProtection="1">
      <alignment vertical="top" shrinkToFit="1"/>
      <protection locked="0"/>
    </xf>
    <xf numFmtId="177" fontId="6" fillId="0" borderId="17" xfId="0" applyNumberFormat="1" applyFont="1" applyBorder="1" applyAlignment="1" applyProtection="1">
      <alignment vertical="top" shrinkToFit="1"/>
      <protection locked="0"/>
    </xf>
    <xf numFmtId="177" fontId="6" fillId="4" borderId="48" xfId="0" applyNumberFormat="1" applyFont="1" applyFill="1" applyBorder="1" applyAlignment="1" applyProtection="1">
      <alignment vertical="top" shrinkToFit="1"/>
      <protection locked="0"/>
    </xf>
    <xf numFmtId="177" fontId="13" fillId="0" borderId="48" xfId="0" applyNumberFormat="1" applyFont="1" applyBorder="1" applyAlignment="1" applyProtection="1">
      <alignment vertical="top" shrinkToFit="1"/>
      <protection locked="0"/>
    </xf>
    <xf numFmtId="9" fontId="13" fillId="4" borderId="1" xfId="3" applyFont="1" applyFill="1" applyBorder="1" applyAlignment="1" applyProtection="1">
      <alignment vertical="center" shrinkToFit="1"/>
      <protection locked="0"/>
    </xf>
    <xf numFmtId="178" fontId="14" fillId="0" borderId="40" xfId="0" applyNumberFormat="1" applyFont="1" applyBorder="1" applyAlignment="1">
      <alignment vertical="center" shrinkToFit="1"/>
    </xf>
    <xf numFmtId="0" fontId="6" fillId="0" borderId="0" xfId="0" applyFont="1">
      <alignment vertical="center"/>
    </xf>
    <xf numFmtId="178" fontId="9" fillId="0" borderId="54" xfId="0" applyNumberFormat="1" applyFont="1" applyBorder="1" applyAlignment="1">
      <alignment vertical="center" shrinkToFit="1"/>
    </xf>
    <xf numFmtId="9" fontId="9" fillId="0" borderId="33" xfId="3" applyFont="1" applyFill="1" applyBorder="1" applyAlignment="1" applyProtection="1">
      <alignment vertical="center" shrinkToFit="1"/>
      <protection locked="0"/>
    </xf>
    <xf numFmtId="178" fontId="6" fillId="2" borderId="44" xfId="0" applyNumberFormat="1" applyFont="1" applyFill="1" applyBorder="1" applyAlignment="1">
      <alignment vertical="center" shrinkToFit="1"/>
    </xf>
    <xf numFmtId="9" fontId="5" fillId="2" borderId="15" xfId="3" applyFont="1" applyFill="1" applyBorder="1" applyAlignment="1" applyProtection="1">
      <alignment vertical="center" shrinkToFit="1"/>
    </xf>
    <xf numFmtId="178" fontId="14" fillId="0" borderId="44" xfId="0" applyNumberFormat="1" applyFont="1" applyBorder="1" applyAlignment="1">
      <alignment vertical="center" shrinkToFit="1"/>
    </xf>
    <xf numFmtId="9" fontId="5" fillId="2" borderId="15" xfId="3" applyFont="1" applyFill="1" applyBorder="1" applyAlignment="1" applyProtection="1">
      <alignment horizontal="right" vertical="center" shrinkToFit="1"/>
    </xf>
    <xf numFmtId="178" fontId="9" fillId="0" borderId="45" xfId="0" applyNumberFormat="1" applyFont="1" applyBorder="1" applyAlignment="1" applyProtection="1">
      <alignment vertical="center" shrinkToFit="1"/>
      <protection locked="0"/>
    </xf>
    <xf numFmtId="178" fontId="9" fillId="0" borderId="40" xfId="0" applyNumberFormat="1" applyFont="1" applyBorder="1" applyAlignment="1">
      <alignment vertical="center" shrinkToFit="1"/>
    </xf>
    <xf numFmtId="178" fontId="13" fillId="4" borderId="54" xfId="0" applyNumberFormat="1" applyFont="1" applyFill="1" applyBorder="1" applyAlignment="1">
      <alignment vertical="center" shrinkToFit="1"/>
    </xf>
    <xf numFmtId="9" fontId="14" fillId="4" borderId="17" xfId="3" applyFont="1" applyFill="1" applyBorder="1" applyAlignment="1" applyProtection="1">
      <alignment horizontal="right" vertical="center" shrinkToFit="1"/>
    </xf>
    <xf numFmtId="178" fontId="9" fillId="0" borderId="40" xfId="0" applyNumberFormat="1" applyFont="1" applyBorder="1" applyAlignment="1" applyProtection="1">
      <alignment vertical="center" shrinkToFit="1"/>
      <protection locked="0"/>
    </xf>
    <xf numFmtId="9" fontId="14" fillId="4" borderId="15" xfId="3" applyFont="1" applyFill="1" applyBorder="1" applyAlignment="1" applyProtection="1">
      <alignment horizontal="right" vertical="center" shrinkToFit="1"/>
    </xf>
    <xf numFmtId="178" fontId="13" fillId="4" borderId="40" xfId="0" applyNumberFormat="1" applyFont="1" applyFill="1" applyBorder="1" applyAlignment="1" applyProtection="1">
      <alignment vertical="center" shrinkToFit="1"/>
      <protection locked="0"/>
    </xf>
    <xf numFmtId="178" fontId="6" fillId="7" borderId="45" xfId="0" applyNumberFormat="1" applyFont="1" applyFill="1" applyBorder="1" applyAlignment="1" applyProtection="1">
      <alignment vertical="center" shrinkToFit="1"/>
      <protection locked="0"/>
    </xf>
    <xf numFmtId="9" fontId="5" fillId="7" borderId="15" xfId="3" applyFont="1" applyFill="1" applyBorder="1" applyAlignment="1" applyProtection="1">
      <alignment horizontal="right" vertical="center" shrinkToFit="1"/>
    </xf>
    <xf numFmtId="178" fontId="13" fillId="2" borderId="44" xfId="0" applyNumberFormat="1" applyFont="1" applyFill="1" applyBorder="1" applyAlignment="1">
      <alignment vertical="center" shrinkToFit="1"/>
    </xf>
    <xf numFmtId="178" fontId="6" fillId="4" borderId="40" xfId="0" applyNumberFormat="1" applyFont="1" applyFill="1" applyBorder="1" applyAlignment="1">
      <alignment vertical="center" shrinkToFit="1"/>
    </xf>
    <xf numFmtId="9" fontId="11" fillId="4" borderId="15" xfId="3" applyFont="1" applyFill="1" applyBorder="1" applyAlignment="1" applyProtection="1">
      <alignment horizontal="right" vertical="center" shrinkToFit="1"/>
    </xf>
    <xf numFmtId="178" fontId="6" fillId="2" borderId="40" xfId="0" applyNumberFormat="1" applyFont="1" applyFill="1" applyBorder="1" applyAlignment="1">
      <alignment vertical="center" shrinkToFit="1"/>
    </xf>
    <xf numFmtId="178" fontId="6" fillId="4" borderId="40" xfId="3" applyNumberFormat="1" applyFont="1" applyFill="1" applyBorder="1" applyAlignment="1" applyProtection="1">
      <alignment vertical="center" shrinkToFit="1"/>
    </xf>
    <xf numFmtId="9" fontId="11" fillId="4" borderId="17" xfId="3" applyFont="1" applyFill="1" applyBorder="1" applyAlignment="1" applyProtection="1">
      <alignment horizontal="right" vertical="center" shrinkToFit="1"/>
    </xf>
    <xf numFmtId="9" fontId="5" fillId="4" borderId="15" xfId="3" applyFont="1" applyFill="1" applyBorder="1" applyAlignment="1" applyProtection="1">
      <alignment horizontal="right" vertical="center" shrinkToFit="1"/>
    </xf>
    <xf numFmtId="178" fontId="6" fillId="2" borderId="55" xfId="0" applyNumberFormat="1" applyFont="1" applyFill="1" applyBorder="1" applyAlignment="1">
      <alignment vertical="center" shrinkToFit="1"/>
    </xf>
    <xf numFmtId="178" fontId="6" fillId="2" borderId="7" xfId="0" applyNumberFormat="1" applyFont="1" applyFill="1" applyBorder="1" applyAlignment="1">
      <alignment vertical="center" shrinkToFit="1"/>
    </xf>
    <xf numFmtId="9" fontId="5" fillId="2" borderId="8" xfId="3" applyFont="1" applyFill="1" applyBorder="1" applyAlignment="1" applyProtection="1">
      <alignment horizontal="right" vertical="center" shrinkToFit="1"/>
    </xf>
    <xf numFmtId="9" fontId="5" fillId="2" borderId="26" xfId="3" applyFont="1" applyFill="1" applyBorder="1" applyAlignment="1" applyProtection="1">
      <alignment horizontal="right" vertical="center" shrinkToFit="1"/>
    </xf>
    <xf numFmtId="9" fontId="5" fillId="0" borderId="0" xfId="3" applyFont="1" applyFill="1" applyBorder="1" applyAlignment="1" applyProtection="1">
      <alignment horizontal="right" vertical="center" shrinkToFit="1"/>
    </xf>
    <xf numFmtId="177" fontId="13" fillId="0" borderId="15" xfId="0" applyNumberFormat="1" applyFont="1" applyBorder="1" applyAlignment="1" applyProtection="1">
      <alignment vertical="center" shrinkToFit="1"/>
      <protection locked="0"/>
    </xf>
    <xf numFmtId="177" fontId="13" fillId="0" borderId="15" xfId="0" applyNumberFormat="1" applyFont="1" applyBorder="1" applyAlignment="1" applyProtection="1">
      <alignment horizontal="left" vertical="center" shrinkToFit="1"/>
      <protection locked="0"/>
    </xf>
    <xf numFmtId="0" fontId="6" fillId="3" borderId="56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9" fontId="14" fillId="0" borderId="14" xfId="3" applyFont="1" applyFill="1" applyBorder="1" applyAlignment="1" applyProtection="1">
      <alignment horizontal="right" vertical="center" shrinkToFit="1"/>
    </xf>
    <xf numFmtId="55" fontId="6" fillId="3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77" fontId="13" fillId="4" borderId="12" xfId="0" applyNumberFormat="1" applyFont="1" applyFill="1" applyBorder="1" applyAlignment="1" applyProtection="1">
      <alignment horizontal="center" vertical="center" shrinkToFit="1"/>
      <protection locked="0"/>
    </xf>
    <xf numFmtId="177" fontId="13" fillId="4" borderId="19" xfId="0" applyNumberFormat="1" applyFont="1" applyFill="1" applyBorder="1" applyAlignment="1" applyProtection="1">
      <alignment horizontal="center" vertical="center" shrinkToFit="1"/>
      <protection locked="0"/>
    </xf>
    <xf numFmtId="177" fontId="13" fillId="4" borderId="16" xfId="0" applyNumberFormat="1" applyFont="1" applyFill="1" applyBorder="1" applyAlignment="1" applyProtection="1">
      <alignment horizontal="center" vertical="center" shrinkToFit="1"/>
      <protection locked="0"/>
    </xf>
    <xf numFmtId="0" fontId="15" fillId="4" borderId="30" xfId="0" applyFont="1" applyFill="1" applyBorder="1" applyAlignment="1">
      <alignment horizontal="left" vertical="top" wrapText="1"/>
    </xf>
    <xf numFmtId="0" fontId="15" fillId="4" borderId="27" xfId="0" applyFont="1" applyFill="1" applyBorder="1" applyAlignment="1">
      <alignment horizontal="left" vertical="top" wrapText="1"/>
    </xf>
    <xf numFmtId="0" fontId="15" fillId="4" borderId="31" xfId="0" applyFont="1" applyFill="1" applyBorder="1" applyAlignment="1">
      <alignment horizontal="left" vertical="top" wrapText="1"/>
    </xf>
    <xf numFmtId="0" fontId="15" fillId="4" borderId="11" xfId="0" applyFont="1" applyFill="1" applyBorder="1" applyAlignment="1">
      <alignment horizontal="left" vertical="top" wrapText="1"/>
    </xf>
    <xf numFmtId="0" fontId="15" fillId="4" borderId="0" xfId="0" applyFont="1" applyFill="1" applyAlignment="1">
      <alignment horizontal="left" vertical="top" wrapText="1"/>
    </xf>
    <xf numFmtId="0" fontId="15" fillId="4" borderId="21" xfId="0" applyFont="1" applyFill="1" applyBorder="1" applyAlignment="1">
      <alignment horizontal="left" vertical="top" wrapText="1"/>
    </xf>
    <xf numFmtId="0" fontId="15" fillId="4" borderId="23" xfId="0" applyFont="1" applyFill="1" applyBorder="1" applyAlignment="1">
      <alignment horizontal="left" vertical="top" wrapText="1"/>
    </xf>
    <xf numFmtId="0" fontId="15" fillId="4" borderId="29" xfId="0" applyFont="1" applyFill="1" applyBorder="1" applyAlignment="1">
      <alignment horizontal="left" vertical="top" wrapText="1"/>
    </xf>
    <xf numFmtId="0" fontId="15" fillId="4" borderId="32" xfId="0" applyFont="1" applyFill="1" applyBorder="1" applyAlignment="1">
      <alignment horizontal="left" vertical="top" wrapText="1"/>
    </xf>
    <xf numFmtId="177" fontId="6" fillId="0" borderId="44" xfId="0" applyNumberFormat="1" applyFont="1" applyBorder="1" applyAlignment="1" applyProtection="1">
      <alignment vertical="top" shrinkToFit="1"/>
      <protection locked="0"/>
    </xf>
    <xf numFmtId="177" fontId="6" fillId="0" borderId="33" xfId="0" applyNumberFormat="1" applyFont="1" applyBorder="1" applyAlignment="1" applyProtection="1">
      <alignment vertical="top" shrinkToFit="1"/>
      <protection locked="0"/>
    </xf>
    <xf numFmtId="177" fontId="6" fillId="0" borderId="48" xfId="0" applyNumberFormat="1" applyFont="1" applyBorder="1" applyAlignment="1" applyProtection="1">
      <alignment vertical="top" shrinkToFit="1"/>
      <protection locked="0"/>
    </xf>
    <xf numFmtId="177" fontId="6" fillId="2" borderId="47" xfId="0" applyNumberFormat="1" applyFont="1" applyFill="1" applyBorder="1" applyAlignment="1" applyProtection="1">
      <alignment vertical="top" shrinkToFit="1"/>
      <protection locked="0"/>
    </xf>
    <xf numFmtId="177" fontId="6" fillId="2" borderId="36" xfId="0" applyNumberFormat="1" applyFont="1" applyFill="1" applyBorder="1" applyAlignment="1" applyProtection="1">
      <alignment vertical="top" shrinkToFit="1"/>
      <protection locked="0"/>
    </xf>
    <xf numFmtId="177" fontId="6" fillId="2" borderId="52" xfId="0" applyNumberFormat="1" applyFont="1" applyFill="1" applyBorder="1" applyAlignment="1" applyProtection="1">
      <alignment vertical="top" shrinkToFit="1"/>
      <protection locked="0"/>
    </xf>
    <xf numFmtId="177" fontId="6" fillId="2" borderId="44" xfId="0" applyNumberFormat="1" applyFont="1" applyFill="1" applyBorder="1" applyAlignment="1" applyProtection="1">
      <alignment vertical="top" shrinkToFit="1"/>
      <protection locked="0"/>
    </xf>
    <xf numFmtId="177" fontId="6" fillId="2" borderId="33" xfId="0" applyNumberFormat="1" applyFont="1" applyFill="1" applyBorder="1" applyAlignment="1" applyProtection="1">
      <alignment vertical="top" shrinkToFit="1"/>
      <protection locked="0"/>
    </xf>
    <xf numFmtId="177" fontId="6" fillId="2" borderId="48" xfId="0" applyNumberFormat="1" applyFont="1" applyFill="1" applyBorder="1" applyAlignment="1" applyProtection="1">
      <alignment vertical="top" shrinkToFit="1"/>
      <protection locked="0"/>
    </xf>
    <xf numFmtId="177" fontId="6" fillId="4" borderId="46" xfId="0" applyNumberFormat="1" applyFont="1" applyFill="1" applyBorder="1" applyAlignment="1" applyProtection="1">
      <alignment horizontal="center" vertical="center" shrinkToFit="1"/>
      <protection locked="0"/>
    </xf>
    <xf numFmtId="177" fontId="6" fillId="4" borderId="35" xfId="0" applyNumberFormat="1" applyFont="1" applyFill="1" applyBorder="1" applyAlignment="1" applyProtection="1">
      <alignment horizontal="center" vertical="center" shrinkToFit="1"/>
      <protection locked="0"/>
    </xf>
    <xf numFmtId="177" fontId="6" fillId="4" borderId="11" xfId="0" applyNumberFormat="1" applyFont="1" applyFill="1" applyBorder="1" applyAlignment="1" applyProtection="1">
      <alignment horizontal="center" vertical="center" shrinkToFit="1"/>
      <protection locked="0"/>
    </xf>
    <xf numFmtId="177" fontId="6" fillId="4" borderId="0" xfId="0" applyNumberFormat="1" applyFont="1" applyFill="1" applyAlignment="1" applyProtection="1">
      <alignment horizontal="center" vertical="center" shrinkToFit="1"/>
      <protection locked="0"/>
    </xf>
    <xf numFmtId="177" fontId="6" fillId="4" borderId="45" xfId="0" applyNumberFormat="1" applyFont="1" applyFill="1" applyBorder="1" applyAlignment="1" applyProtection="1">
      <alignment horizontal="center" vertical="center" shrinkToFit="1"/>
      <protection locked="0"/>
    </xf>
    <xf numFmtId="177" fontId="6" fillId="4" borderId="34" xfId="0" applyNumberFormat="1" applyFont="1" applyFill="1" applyBorder="1" applyAlignment="1" applyProtection="1">
      <alignment horizontal="center" vertical="center" shrinkToFit="1"/>
      <protection locked="0"/>
    </xf>
    <xf numFmtId="177" fontId="6" fillId="0" borderId="44" xfId="0" applyNumberFormat="1" applyFont="1" applyBorder="1" applyAlignment="1" applyProtection="1">
      <alignment horizontal="left" vertical="top" shrinkToFit="1"/>
      <protection locked="0"/>
    </xf>
    <xf numFmtId="177" fontId="6" fillId="0" borderId="33" xfId="0" applyNumberFormat="1" applyFont="1" applyBorder="1" applyAlignment="1" applyProtection="1">
      <alignment horizontal="left" vertical="top" shrinkToFit="1"/>
      <protection locked="0"/>
    </xf>
    <xf numFmtId="177" fontId="6" fillId="0" borderId="48" xfId="0" applyNumberFormat="1" applyFont="1" applyBorder="1" applyAlignment="1" applyProtection="1">
      <alignment horizontal="left" vertical="top" shrinkToFit="1"/>
      <protection locked="0"/>
    </xf>
    <xf numFmtId="31" fontId="5" fillId="0" borderId="0" xfId="0" applyNumberFormat="1" applyFont="1" applyAlignment="1" applyProtection="1">
      <alignment horizontal="center" vertical="center"/>
      <protection locked="0"/>
    </xf>
    <xf numFmtId="176" fontId="6" fillId="5" borderId="37" xfId="0" applyNumberFormat="1" applyFont="1" applyFill="1" applyBorder="1" applyAlignment="1" applyProtection="1">
      <alignment horizontal="center" vertical="center" shrinkToFit="1"/>
      <protection locked="0"/>
    </xf>
    <xf numFmtId="176" fontId="6" fillId="5" borderId="38" xfId="0" applyNumberFormat="1" applyFont="1" applyFill="1" applyBorder="1" applyAlignment="1" applyProtection="1">
      <alignment horizontal="center" vertical="center" shrinkToFit="1"/>
      <protection locked="0"/>
    </xf>
    <xf numFmtId="176" fontId="13" fillId="5" borderId="37" xfId="0" applyNumberFormat="1" applyFont="1" applyFill="1" applyBorder="1" applyAlignment="1" applyProtection="1">
      <alignment horizontal="center" vertical="center" shrinkToFit="1"/>
      <protection locked="0"/>
    </xf>
    <xf numFmtId="176" fontId="13" fillId="5" borderId="38" xfId="0" applyNumberFormat="1" applyFont="1" applyFill="1" applyBorder="1" applyAlignment="1" applyProtection="1">
      <alignment horizontal="center" vertical="center" shrinkToFit="1"/>
      <protection locked="0"/>
    </xf>
    <xf numFmtId="177" fontId="6" fillId="6" borderId="44" xfId="0" applyNumberFormat="1" applyFont="1" applyFill="1" applyBorder="1" applyAlignment="1" applyProtection="1">
      <alignment horizontal="left" vertical="top" shrinkToFit="1"/>
      <protection locked="0"/>
    </xf>
    <xf numFmtId="177" fontId="6" fillId="6" borderId="33" xfId="0" applyNumberFormat="1" applyFont="1" applyFill="1" applyBorder="1" applyAlignment="1" applyProtection="1">
      <alignment horizontal="left" vertical="top" shrinkToFit="1"/>
      <protection locked="0"/>
    </xf>
    <xf numFmtId="177" fontId="6" fillId="6" borderId="48" xfId="0" applyNumberFormat="1" applyFont="1" applyFill="1" applyBorder="1" applyAlignment="1" applyProtection="1">
      <alignment horizontal="left" vertical="top" shrinkToFit="1"/>
      <protection locked="0"/>
    </xf>
    <xf numFmtId="177" fontId="6" fillId="7" borderId="11" xfId="0" applyNumberFormat="1" applyFont="1" applyFill="1" applyBorder="1" applyAlignment="1" applyProtection="1">
      <alignment horizontal="left" vertical="top" shrinkToFit="1"/>
      <protection locked="0"/>
    </xf>
    <xf numFmtId="177" fontId="6" fillId="7" borderId="35" xfId="0" applyNumberFormat="1" applyFont="1" applyFill="1" applyBorder="1" applyAlignment="1" applyProtection="1">
      <alignment horizontal="left" vertical="top" shrinkToFit="1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176" fontId="6" fillId="6" borderId="37" xfId="0" applyNumberFormat="1" applyFont="1" applyFill="1" applyBorder="1" applyAlignment="1" applyProtection="1">
      <alignment horizontal="center" vertical="center" shrinkToFit="1"/>
      <protection locked="0"/>
    </xf>
    <xf numFmtId="176" fontId="6" fillId="6" borderId="38" xfId="0" applyNumberFormat="1" applyFont="1" applyFill="1" applyBorder="1" applyAlignment="1" applyProtection="1">
      <alignment horizontal="center" vertical="center" shrinkToFit="1"/>
      <protection locked="0"/>
    </xf>
    <xf numFmtId="176" fontId="6" fillId="6" borderId="39" xfId="0" applyNumberFormat="1" applyFont="1" applyFill="1" applyBorder="1" applyAlignment="1" applyProtection="1">
      <alignment horizontal="center" vertical="center" shrinkToFit="1"/>
      <protection locked="0"/>
    </xf>
    <xf numFmtId="176" fontId="6" fillId="6" borderId="49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13" fillId="0" borderId="45" xfId="0" applyNumberFormat="1" applyFont="1" applyBorder="1" applyAlignment="1" applyProtection="1">
      <alignment horizontal="left" vertical="top" shrinkToFit="1"/>
      <protection locked="0"/>
    </xf>
    <xf numFmtId="177" fontId="13" fillId="0" borderId="34" xfId="0" applyNumberFormat="1" applyFont="1" applyBorder="1" applyAlignment="1" applyProtection="1">
      <alignment horizontal="left" vertical="top" shrinkToFit="1"/>
      <protection locked="0"/>
    </xf>
    <xf numFmtId="177" fontId="13" fillId="0" borderId="50" xfId="0" applyNumberFormat="1" applyFont="1" applyBorder="1" applyAlignment="1" applyProtection="1">
      <alignment horizontal="left" vertical="top" shrinkToFit="1"/>
      <protection locked="0"/>
    </xf>
    <xf numFmtId="177" fontId="13" fillId="0" borderId="44" xfId="0" applyNumberFormat="1" applyFont="1" applyBorder="1" applyAlignment="1" applyProtection="1">
      <alignment horizontal="left" vertical="top" shrinkToFit="1"/>
      <protection locked="0"/>
    </xf>
    <xf numFmtId="177" fontId="13" fillId="0" borderId="33" xfId="0" applyNumberFormat="1" applyFont="1" applyBorder="1" applyAlignment="1" applyProtection="1">
      <alignment horizontal="left" vertical="top" shrinkToFit="1"/>
      <protection locked="0"/>
    </xf>
    <xf numFmtId="177" fontId="13" fillId="0" borderId="48" xfId="0" applyNumberFormat="1" applyFont="1" applyBorder="1" applyAlignment="1" applyProtection="1">
      <alignment horizontal="left" vertical="top" shrinkToFit="1"/>
      <protection locked="0"/>
    </xf>
    <xf numFmtId="177" fontId="13" fillId="4" borderId="18" xfId="0" applyNumberFormat="1" applyFont="1" applyFill="1" applyBorder="1" applyAlignment="1" applyProtection="1">
      <alignment horizontal="center" vertical="center" shrinkToFit="1"/>
      <protection locked="0"/>
    </xf>
    <xf numFmtId="177" fontId="13" fillId="4" borderId="53" xfId="0" applyNumberFormat="1" applyFont="1" applyFill="1" applyBorder="1" applyAlignment="1" applyProtection="1">
      <alignment horizontal="center" vertical="center" shrinkToFit="1"/>
      <protection locked="0"/>
    </xf>
    <xf numFmtId="177" fontId="13" fillId="4" borderId="2" xfId="0" applyNumberFormat="1" applyFont="1" applyFill="1" applyBorder="1" applyAlignment="1" applyProtection="1">
      <alignment horizontal="center" vertical="center" shrinkToFit="1"/>
      <protection locked="0"/>
    </xf>
    <xf numFmtId="177" fontId="6" fillId="2" borderId="44" xfId="0" applyNumberFormat="1" applyFont="1" applyFill="1" applyBorder="1" applyAlignment="1" applyProtection="1">
      <alignment horizontal="left" vertical="top" shrinkToFit="1"/>
      <protection locked="0"/>
    </xf>
    <xf numFmtId="177" fontId="6" fillId="2" borderId="33" xfId="0" applyNumberFormat="1" applyFont="1" applyFill="1" applyBorder="1" applyAlignment="1" applyProtection="1">
      <alignment horizontal="left" vertical="top" shrinkToFit="1"/>
      <protection locked="0"/>
    </xf>
    <xf numFmtId="177" fontId="6" fillId="2" borderId="48" xfId="0" applyNumberFormat="1" applyFont="1" applyFill="1" applyBorder="1" applyAlignment="1" applyProtection="1">
      <alignment horizontal="left" vertical="top" shrinkToFit="1"/>
      <protection locked="0"/>
    </xf>
  </cellXfs>
  <cellStyles count="4">
    <cellStyle name="パーセント" xfId="3" builtinId="5"/>
    <cellStyle name="桁区切り" xfId="2" builtinId="6"/>
    <cellStyle name="標準" xfId="0" builtinId="0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1532;38&#26399;/38&#26399;&#26376;&#27425;&#22577;&#21578;/38&#26399;&#25613;&#30410;&#35336;&#31639;&#26360;&#19968;&#35239;&#34920;.xlsx" TargetMode="External"/><Relationship Id="rId2" Type="http://schemas.openxmlformats.org/officeDocument/2006/relationships/externalLinkPath" Target="file:///\\192.168.1.126\&#19977;&#24184;&#12503;&#12525;&#12480;&#12463;&#12484;\&#23567;&#23478;&#29992;\&#8251;&#20250;&#35336;&#12539;&#27770;&#31639;\&#31532;38&#26399;\38&#26399;&#26376;&#27425;&#22577;&#21578;\38&#26399;&#25613;&#30410;&#35336;&#31639;&#26360;&#19968;&#35239;&#34920;.xlsx" TargetMode="External"/><Relationship Id="rId1" Type="http://schemas.openxmlformats.org/officeDocument/2006/relationships/externalLinkPath" Target="/&#23567;&#23478;&#29992;/&#8251;&#20250;&#35336;&#12539;&#27770;&#31639;/&#31532;38&#26399;/38&#26399;&#26376;&#27425;&#22577;&#21578;/38&#26399;&#25613;&#30410;&#35336;&#31639;&#26360;&#19968;&#3523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1532;40&#26399;/40&#26399;&#26376;&#27425;&#22577;&#21578;/40&#26399;&#25613;&#30410;&#35336;&#31639;&#26360;&#19968;&#35239;&#34920;.xlsx" TargetMode="External"/><Relationship Id="rId2" Type="http://schemas.openxmlformats.org/officeDocument/2006/relationships/externalLinkPath" Target="file:///\\192.168.1.126\&#19977;&#24184;&#12503;&#12525;&#12480;&#12463;&#12484;\&#23567;&#23478;&#29992;\&#8251;&#20250;&#35336;&#12539;&#27770;&#31639;\&#31532;40&#26399;\40&#26399;&#26376;&#27425;&#22577;&#21578;\40&#26399;&#25613;&#30410;&#35336;&#31639;&#26360;&#19968;&#35239;&#34920;.xlsx" TargetMode="External"/><Relationship Id="rId1" Type="http://schemas.openxmlformats.org/officeDocument/2006/relationships/externalLinkPath" Target="/&#23567;&#23478;&#29992;/&#8251;&#20250;&#35336;&#12539;&#27770;&#31639;/&#31532;40&#26399;/40&#26399;&#26376;&#27425;&#22577;&#21578;/40&#26399;&#25613;&#30410;&#35336;&#31639;&#26360;&#19968;&#35239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26\&#19977;&#24184;&#12503;&#12525;&#12480;&#12463;&#12484;\&#23567;&#23478;&#29992;\&#8251;&#20250;&#35336;&#12539;&#27770;&#31639;\&#31532;41&#26399;\41&#26399;&#26376;&#27425;&#22577;&#21578;\41&#26399;&#25613;&#30410;&#35336;&#31639;&#26360;&#19968;&#35239;&#34920;.xlsx" TargetMode="External"/><Relationship Id="rId1" Type="http://schemas.openxmlformats.org/officeDocument/2006/relationships/externalLinkPath" Target="41&#26399;&#25613;&#30410;&#35336;&#31639;&#26360;&#19968;&#3523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26\&#19977;&#24184;&#12503;&#12525;&#12480;&#12463;&#12484;\&#23567;&#23478;&#29992;\&#8251;&#20250;&#35336;&#12539;&#27770;&#31639;\&#31532;41&#26399;\41&#26399;&#26376;&#27425;&#22577;&#21578;\2026&#24180;1&#26376;&#26376;&#27425;&#65288;&#31246;&#36796;&#65289;.xlsx" TargetMode="External"/><Relationship Id="rId1" Type="http://schemas.openxmlformats.org/officeDocument/2006/relationships/externalLinkPath" Target="2026&#24180;1&#26376;&#26376;&#27425;&#65288;&#31246;&#36796;&#65289;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65288;&#35336;&#30011;&#65289;41&#26399;&#25613;&#30410;&#35336;&#31639;&#26360;&#19968;&#35239;&#34920;&#65288;Ver4&#65289;.xlsx" TargetMode="External"/><Relationship Id="rId2" Type="http://schemas.openxmlformats.org/officeDocument/2006/relationships/externalLinkPath" Target="file:///\\192.168.1.126\&#19977;&#24184;&#12503;&#12525;&#12480;&#12463;&#12484;\&#23567;&#23478;&#29992;\&#8251;&#20250;&#35336;&#12539;&#27770;&#31639;\&#31532;41&#26399;\&#65288;&#35336;&#30011;&#65289;41&#26399;&#25613;&#30410;&#35336;&#31639;&#26360;&#19968;&#35239;&#34920;&#65288;Ver4&#65289;.xlsx" TargetMode="External"/><Relationship Id="rId1" Type="http://schemas.openxmlformats.org/officeDocument/2006/relationships/externalLinkPath" Target="/&#23567;&#23478;&#29992;/&#8251;&#20250;&#35336;&#12539;&#27770;&#31639;/&#31532;41&#26399;/&#65288;&#35336;&#30011;&#65289;41&#26399;&#25613;&#30410;&#35336;&#31639;&#26360;&#19968;&#35239;&#34920;&#65288;Ver4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全社"/>
      <sheetName val="東大阪工場"/>
      <sheetName val="守口工場"/>
      <sheetName val="松原工場"/>
    </sheetNames>
    <sheetDataSet>
      <sheetData sheetId="0" refreshError="1">
        <row r="7">
          <cell r="C7">
            <v>0</v>
          </cell>
        </row>
        <row r="8">
          <cell r="C8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全社"/>
      <sheetName val="東大阪工場"/>
      <sheetName val="松原工場"/>
    </sheetNames>
    <sheetDataSet>
      <sheetData sheetId="0"/>
      <sheetData sheetId="1">
        <row r="5">
          <cell r="H5">
            <v>52622909</v>
          </cell>
          <cell r="L5">
            <v>42614877</v>
          </cell>
        </row>
        <row r="11">
          <cell r="L11">
            <v>21559478</v>
          </cell>
        </row>
        <row r="12">
          <cell r="L12">
            <v>1104400</v>
          </cell>
        </row>
        <row r="17">
          <cell r="L17">
            <v>3542843</v>
          </cell>
        </row>
        <row r="18">
          <cell r="L18">
            <v>830000</v>
          </cell>
        </row>
        <row r="19">
          <cell r="L19"/>
        </row>
        <row r="20">
          <cell r="L20">
            <v>540479</v>
          </cell>
        </row>
        <row r="21">
          <cell r="L21">
            <v>173064</v>
          </cell>
        </row>
        <row r="22">
          <cell r="L22">
            <v>1327783</v>
          </cell>
        </row>
        <row r="23">
          <cell r="L23"/>
        </row>
        <row r="25">
          <cell r="L25"/>
        </row>
        <row r="26">
          <cell r="L26">
            <v>0</v>
          </cell>
        </row>
        <row r="27">
          <cell r="L27">
            <v>219287</v>
          </cell>
        </row>
        <row r="28">
          <cell r="L28">
            <v>192490</v>
          </cell>
        </row>
        <row r="29">
          <cell r="L29">
            <v>409031</v>
          </cell>
        </row>
        <row r="30">
          <cell r="L30">
            <v>38500</v>
          </cell>
        </row>
        <row r="31">
          <cell r="L31">
            <v>530000</v>
          </cell>
        </row>
        <row r="32">
          <cell r="L32">
            <v>990000</v>
          </cell>
        </row>
        <row r="33">
          <cell r="L33"/>
        </row>
        <row r="34">
          <cell r="L34">
            <v>43044</v>
          </cell>
        </row>
        <row r="35">
          <cell r="L35">
            <v>16500</v>
          </cell>
        </row>
        <row r="36">
          <cell r="L36">
            <v>0</v>
          </cell>
        </row>
        <row r="37">
          <cell r="L37"/>
        </row>
        <row r="38">
          <cell r="L38"/>
        </row>
        <row r="39">
          <cell r="L39"/>
        </row>
        <row r="45">
          <cell r="L45">
            <v>1421000</v>
          </cell>
        </row>
        <row r="46">
          <cell r="L46">
            <v>220000</v>
          </cell>
        </row>
        <row r="47">
          <cell r="L47"/>
        </row>
        <row r="48">
          <cell r="L48"/>
        </row>
        <row r="49">
          <cell r="L49"/>
        </row>
        <row r="50">
          <cell r="L50"/>
        </row>
        <row r="51">
          <cell r="L51">
            <v>126469</v>
          </cell>
        </row>
        <row r="52">
          <cell r="L52">
            <v>22000</v>
          </cell>
        </row>
        <row r="53">
          <cell r="L53"/>
        </row>
        <row r="54">
          <cell r="L54">
            <v>545974</v>
          </cell>
        </row>
        <row r="55">
          <cell r="L55">
            <v>462768</v>
          </cell>
        </row>
        <row r="56">
          <cell r="L56"/>
        </row>
        <row r="57">
          <cell r="L57">
            <v>63436</v>
          </cell>
        </row>
        <row r="58">
          <cell r="L58">
            <v>0</v>
          </cell>
        </row>
        <row r="59">
          <cell r="L59">
            <v>28090</v>
          </cell>
        </row>
        <row r="60">
          <cell r="L60">
            <v>9312</v>
          </cell>
        </row>
        <row r="61">
          <cell r="L61">
            <v>1650</v>
          </cell>
        </row>
        <row r="62">
          <cell r="L62">
            <v>3960</v>
          </cell>
        </row>
        <row r="63">
          <cell r="L63">
            <v>4840</v>
          </cell>
        </row>
        <row r="64">
          <cell r="L64"/>
        </row>
        <row r="65">
          <cell r="L65"/>
        </row>
        <row r="66">
          <cell r="L66">
            <v>4500</v>
          </cell>
        </row>
        <row r="67">
          <cell r="L67">
            <v>94380</v>
          </cell>
        </row>
        <row r="68">
          <cell r="L68">
            <v>-400</v>
          </cell>
        </row>
        <row r="69">
          <cell r="L69"/>
        </row>
        <row r="70">
          <cell r="L70"/>
        </row>
        <row r="71">
          <cell r="L71">
            <v>45110</v>
          </cell>
        </row>
        <row r="72">
          <cell r="L72"/>
        </row>
        <row r="73">
          <cell r="L73">
            <v>450</v>
          </cell>
        </row>
        <row r="74">
          <cell r="L74">
            <v>4815</v>
          </cell>
        </row>
        <row r="75">
          <cell r="L75">
            <v>89000</v>
          </cell>
        </row>
        <row r="76">
          <cell r="L76"/>
        </row>
        <row r="77">
          <cell r="L77"/>
        </row>
        <row r="78">
          <cell r="L78">
            <v>93500</v>
          </cell>
        </row>
        <row r="79">
          <cell r="L79">
            <v>78375</v>
          </cell>
        </row>
        <row r="84">
          <cell r="L84">
            <v>514</v>
          </cell>
        </row>
        <row r="85">
          <cell r="L85"/>
        </row>
        <row r="86">
          <cell r="L86"/>
        </row>
        <row r="87">
          <cell r="L87"/>
        </row>
        <row r="88">
          <cell r="L88">
            <v>768125</v>
          </cell>
        </row>
        <row r="90">
          <cell r="L90">
            <v>54935</v>
          </cell>
        </row>
        <row r="91">
          <cell r="L91"/>
        </row>
        <row r="92">
          <cell r="L92"/>
        </row>
        <row r="96">
          <cell r="L96"/>
        </row>
        <row r="98">
          <cell r="L98"/>
        </row>
      </sheetData>
      <sheetData sheetId="2">
        <row r="5">
          <cell r="H5">
            <v>68007561</v>
          </cell>
          <cell r="L5">
            <v>35233078</v>
          </cell>
        </row>
        <row r="11">
          <cell r="L11">
            <v>18483152</v>
          </cell>
        </row>
        <row r="12">
          <cell r="L12">
            <v>4964960</v>
          </cell>
        </row>
        <row r="17">
          <cell r="L17">
            <v>4871822</v>
          </cell>
        </row>
        <row r="18">
          <cell r="L18">
            <v>400000</v>
          </cell>
        </row>
        <row r="19">
          <cell r="L19"/>
        </row>
        <row r="20">
          <cell r="L20">
            <v>605634</v>
          </cell>
        </row>
        <row r="21">
          <cell r="L21">
            <v>180174</v>
          </cell>
        </row>
        <row r="22">
          <cell r="L22">
            <v>423850</v>
          </cell>
        </row>
        <row r="23">
          <cell r="L23">
            <v>21500</v>
          </cell>
        </row>
        <row r="25">
          <cell r="L25">
            <v>255066</v>
          </cell>
        </row>
        <row r="26">
          <cell r="L26">
            <v>6336035</v>
          </cell>
        </row>
        <row r="27">
          <cell r="L27">
            <v>575833</v>
          </cell>
        </row>
        <row r="28">
          <cell r="L28">
            <v>135290</v>
          </cell>
        </row>
        <row r="29">
          <cell r="L29">
            <v>246191</v>
          </cell>
        </row>
        <row r="30">
          <cell r="L30">
            <v>771419</v>
          </cell>
        </row>
        <row r="31">
          <cell r="L31">
            <v>2150000</v>
          </cell>
        </row>
        <row r="32">
          <cell r="L32">
            <v>1160412</v>
          </cell>
        </row>
        <row r="33">
          <cell r="L33">
            <v>50325</v>
          </cell>
        </row>
        <row r="34">
          <cell r="L34">
            <v>25075</v>
          </cell>
        </row>
        <row r="35">
          <cell r="L35">
            <v>7333</v>
          </cell>
        </row>
        <row r="36">
          <cell r="L36">
            <v>440000</v>
          </cell>
        </row>
        <row r="37">
          <cell r="L37">
            <v>352000</v>
          </cell>
        </row>
        <row r="38">
          <cell r="L38"/>
        </row>
        <row r="39">
          <cell r="L39"/>
        </row>
        <row r="45">
          <cell r="L45">
            <v>150000</v>
          </cell>
        </row>
        <row r="46">
          <cell r="L46"/>
        </row>
        <row r="47">
          <cell r="L47">
            <v>208968</v>
          </cell>
        </row>
        <row r="48">
          <cell r="L48">
            <v>20000</v>
          </cell>
        </row>
        <row r="49">
          <cell r="L49"/>
        </row>
        <row r="50">
          <cell r="L50"/>
        </row>
        <row r="51">
          <cell r="L51">
            <v>29360</v>
          </cell>
        </row>
        <row r="52">
          <cell r="L52">
            <v>94356</v>
          </cell>
        </row>
        <row r="53">
          <cell r="L53"/>
        </row>
        <row r="54">
          <cell r="L54">
            <v>704869</v>
          </cell>
        </row>
        <row r="55">
          <cell r="L55">
            <v>617643</v>
          </cell>
        </row>
        <row r="56">
          <cell r="L56"/>
        </row>
        <row r="57">
          <cell r="L57">
            <v>13707</v>
          </cell>
        </row>
        <row r="58">
          <cell r="L58">
            <v>1395</v>
          </cell>
        </row>
        <row r="59">
          <cell r="L59">
            <v>42180</v>
          </cell>
        </row>
        <row r="60">
          <cell r="L60">
            <v>113922</v>
          </cell>
        </row>
        <row r="61">
          <cell r="L61">
            <v>7920</v>
          </cell>
        </row>
        <row r="62">
          <cell r="L62">
            <v>24288</v>
          </cell>
        </row>
        <row r="63">
          <cell r="L63">
            <v>7480</v>
          </cell>
        </row>
        <row r="64">
          <cell r="L64"/>
        </row>
        <row r="65">
          <cell r="L65"/>
        </row>
        <row r="66">
          <cell r="L66"/>
        </row>
        <row r="67">
          <cell r="L67">
            <v>71165</v>
          </cell>
        </row>
        <row r="68">
          <cell r="L68"/>
        </row>
        <row r="69">
          <cell r="L69"/>
        </row>
        <row r="70">
          <cell r="L70"/>
        </row>
        <row r="71">
          <cell r="L71">
            <v>10497</v>
          </cell>
        </row>
        <row r="72">
          <cell r="L72">
            <v>111760</v>
          </cell>
        </row>
        <row r="73">
          <cell r="L73">
            <v>1800</v>
          </cell>
        </row>
        <row r="74">
          <cell r="L74">
            <v>1450</v>
          </cell>
        </row>
        <row r="75">
          <cell r="L75">
            <v>96000</v>
          </cell>
        </row>
        <row r="76">
          <cell r="L76"/>
        </row>
        <row r="77">
          <cell r="L77"/>
        </row>
        <row r="78">
          <cell r="L78">
            <v>93500</v>
          </cell>
        </row>
        <row r="79">
          <cell r="L79">
            <v>711364</v>
          </cell>
        </row>
        <row r="84">
          <cell r="L84"/>
        </row>
        <row r="85">
          <cell r="L85"/>
        </row>
        <row r="86">
          <cell r="L86"/>
        </row>
        <row r="87">
          <cell r="L87"/>
        </row>
        <row r="88">
          <cell r="L88">
            <v>192463</v>
          </cell>
        </row>
        <row r="90">
          <cell r="L90"/>
        </row>
        <row r="91">
          <cell r="L91"/>
        </row>
        <row r="92">
          <cell r="L92"/>
        </row>
        <row r="96">
          <cell r="L96"/>
        </row>
        <row r="98">
          <cell r="L98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全社"/>
      <sheetName val="東大阪工場"/>
      <sheetName val="松原工場"/>
    </sheetNames>
    <sheetDataSet>
      <sheetData sheetId="0"/>
      <sheetData sheetId="1">
        <row r="5">
          <cell r="J5">
            <v>35752714</v>
          </cell>
          <cell r="L5">
            <v>26245909</v>
          </cell>
        </row>
        <row r="11">
          <cell r="L11">
            <v>16271693</v>
          </cell>
        </row>
        <row r="12">
          <cell r="L12"/>
        </row>
        <row r="17">
          <cell r="L17">
            <v>3411149</v>
          </cell>
        </row>
        <row r="18">
          <cell r="L18">
            <v>950000</v>
          </cell>
        </row>
        <row r="19">
          <cell r="L19"/>
        </row>
        <row r="20">
          <cell r="L20">
            <v>567959</v>
          </cell>
        </row>
        <row r="21">
          <cell r="L21">
            <v>185064</v>
          </cell>
        </row>
        <row r="22">
          <cell r="L22">
            <v>1331084</v>
          </cell>
        </row>
        <row r="23">
          <cell r="L23"/>
        </row>
        <row r="25">
          <cell r="L25"/>
        </row>
        <row r="26">
          <cell r="L26">
            <v>0</v>
          </cell>
        </row>
        <row r="27">
          <cell r="L27">
            <v>149590</v>
          </cell>
        </row>
        <row r="28">
          <cell r="L28">
            <v>195490</v>
          </cell>
        </row>
        <row r="29">
          <cell r="L29">
            <v>288295</v>
          </cell>
        </row>
        <row r="30">
          <cell r="L30">
            <v>102317</v>
          </cell>
        </row>
        <row r="31">
          <cell r="L31">
            <v>270000</v>
          </cell>
        </row>
        <row r="32">
          <cell r="L32">
            <v>990000</v>
          </cell>
        </row>
        <row r="33">
          <cell r="L33"/>
        </row>
        <row r="34">
          <cell r="L34">
            <v>20530</v>
          </cell>
        </row>
        <row r="35">
          <cell r="L35"/>
        </row>
        <row r="36">
          <cell r="L36"/>
        </row>
        <row r="37">
          <cell r="L37"/>
        </row>
        <row r="38">
          <cell r="L38">
            <v>50050</v>
          </cell>
        </row>
        <row r="39">
          <cell r="L39"/>
        </row>
        <row r="45">
          <cell r="L45">
            <v>1271000</v>
          </cell>
        </row>
        <row r="46">
          <cell r="L46">
            <v>300000</v>
          </cell>
        </row>
        <row r="47">
          <cell r="L47"/>
        </row>
        <row r="48">
          <cell r="L48"/>
        </row>
        <row r="49">
          <cell r="L49"/>
        </row>
        <row r="50">
          <cell r="L50"/>
        </row>
        <row r="51">
          <cell r="L51">
            <v>128350</v>
          </cell>
        </row>
        <row r="52">
          <cell r="L52">
            <v>46000</v>
          </cell>
        </row>
        <row r="53">
          <cell r="L53"/>
        </row>
        <row r="54">
          <cell r="L54">
            <v>514960</v>
          </cell>
        </row>
        <row r="55">
          <cell r="L55">
            <v>362307</v>
          </cell>
        </row>
        <row r="56">
          <cell r="L56"/>
        </row>
        <row r="57">
          <cell r="L57"/>
        </row>
        <row r="58">
          <cell r="L58"/>
        </row>
        <row r="59">
          <cell r="L59">
            <v>48748</v>
          </cell>
        </row>
        <row r="60">
          <cell r="L60">
            <v>5811</v>
          </cell>
        </row>
        <row r="61">
          <cell r="L61">
            <v>16264</v>
          </cell>
        </row>
        <row r="62">
          <cell r="L62">
            <v>10539</v>
          </cell>
        </row>
        <row r="63">
          <cell r="L63">
            <v>4840</v>
          </cell>
        </row>
        <row r="64">
          <cell r="L64"/>
        </row>
        <row r="65">
          <cell r="L65"/>
        </row>
        <row r="66">
          <cell r="L66"/>
        </row>
        <row r="67">
          <cell r="L67">
            <v>80135</v>
          </cell>
        </row>
        <row r="68">
          <cell r="L68"/>
        </row>
        <row r="69">
          <cell r="L69"/>
        </row>
        <row r="70">
          <cell r="L70"/>
        </row>
        <row r="71">
          <cell r="L71">
            <v>34120</v>
          </cell>
        </row>
        <row r="72">
          <cell r="L72"/>
        </row>
        <row r="73">
          <cell r="L73">
            <v>100</v>
          </cell>
        </row>
        <row r="74">
          <cell r="L74">
            <v>4446</v>
          </cell>
        </row>
        <row r="75">
          <cell r="L75">
            <v>80000</v>
          </cell>
        </row>
        <row r="76">
          <cell r="L76"/>
        </row>
        <row r="77">
          <cell r="L77"/>
        </row>
        <row r="78">
          <cell r="L78">
            <v>93500</v>
          </cell>
        </row>
        <row r="79">
          <cell r="L79">
            <v>51524</v>
          </cell>
        </row>
        <row r="84">
          <cell r="L84">
            <v>2946</v>
          </cell>
        </row>
        <row r="85">
          <cell r="L85"/>
        </row>
        <row r="86">
          <cell r="L86"/>
        </row>
        <row r="87">
          <cell r="L87"/>
        </row>
        <row r="88">
          <cell r="L88">
            <v>281996</v>
          </cell>
        </row>
        <row r="90">
          <cell r="L90">
            <v>178646</v>
          </cell>
        </row>
        <row r="91">
          <cell r="L91"/>
        </row>
        <row r="92">
          <cell r="L92"/>
        </row>
        <row r="96">
          <cell r="L96"/>
        </row>
        <row r="98">
          <cell r="L98"/>
        </row>
      </sheetData>
      <sheetData sheetId="2">
        <row r="5">
          <cell r="J5">
            <v>18163559</v>
          </cell>
          <cell r="L5">
            <v>19285732</v>
          </cell>
        </row>
        <row r="11">
          <cell r="L11">
            <v>3106942</v>
          </cell>
        </row>
        <row r="12">
          <cell r="L12"/>
        </row>
        <row r="17">
          <cell r="L17">
            <v>2950608</v>
          </cell>
        </row>
        <row r="18">
          <cell r="L18">
            <v>630000</v>
          </cell>
        </row>
        <row r="19">
          <cell r="L19"/>
        </row>
        <row r="20">
          <cell r="L20">
            <v>418792</v>
          </cell>
        </row>
        <row r="21">
          <cell r="L21">
            <v>120039</v>
          </cell>
        </row>
        <row r="22">
          <cell r="L22">
            <v>337316</v>
          </cell>
        </row>
        <row r="23">
          <cell r="L23">
            <v>21500</v>
          </cell>
        </row>
        <row r="25">
          <cell r="L25"/>
        </row>
        <row r="26">
          <cell r="L26">
            <v>625065</v>
          </cell>
        </row>
        <row r="27">
          <cell r="L27">
            <v>371398</v>
          </cell>
        </row>
        <row r="28">
          <cell r="L28">
            <v>75900</v>
          </cell>
        </row>
        <row r="29">
          <cell r="L29">
            <v>1152754</v>
          </cell>
        </row>
        <row r="30">
          <cell r="L30">
            <v>63800</v>
          </cell>
        </row>
        <row r="31">
          <cell r="L31">
            <v>2200000</v>
          </cell>
        </row>
        <row r="32">
          <cell r="L32">
            <v>1160412</v>
          </cell>
        </row>
        <row r="33">
          <cell r="L33">
            <v>50325</v>
          </cell>
        </row>
        <row r="34">
          <cell r="L34">
            <v>13986</v>
          </cell>
        </row>
        <row r="35">
          <cell r="L35">
            <v>9933</v>
          </cell>
        </row>
        <row r="36">
          <cell r="L36"/>
        </row>
        <row r="37">
          <cell r="L37">
            <v>167000</v>
          </cell>
        </row>
        <row r="38">
          <cell r="L38"/>
        </row>
        <row r="39">
          <cell r="L39"/>
        </row>
        <row r="45">
          <cell r="L45"/>
        </row>
        <row r="46">
          <cell r="L46"/>
        </row>
        <row r="47">
          <cell r="L47">
            <v>214210</v>
          </cell>
        </row>
        <row r="48">
          <cell r="L48">
            <v>53000</v>
          </cell>
        </row>
        <row r="49">
          <cell r="L49"/>
        </row>
        <row r="50">
          <cell r="L50"/>
        </row>
        <row r="51">
          <cell r="L51">
            <v>32186</v>
          </cell>
        </row>
        <row r="52">
          <cell r="L52"/>
        </row>
        <row r="53">
          <cell r="L53"/>
        </row>
        <row r="54">
          <cell r="L54">
            <v>299277</v>
          </cell>
        </row>
        <row r="55">
          <cell r="L55">
            <v>328446</v>
          </cell>
        </row>
        <row r="56">
          <cell r="L56">
            <v>40700</v>
          </cell>
        </row>
        <row r="57">
          <cell r="L57"/>
        </row>
        <row r="58">
          <cell r="L58"/>
        </row>
        <row r="59">
          <cell r="L59">
            <v>32028</v>
          </cell>
        </row>
        <row r="60">
          <cell r="L60">
            <v>31990</v>
          </cell>
        </row>
        <row r="61">
          <cell r="L61">
            <v>20470</v>
          </cell>
        </row>
        <row r="62">
          <cell r="L62">
            <v>14053</v>
          </cell>
        </row>
        <row r="63">
          <cell r="L63">
            <v>7480</v>
          </cell>
        </row>
        <row r="64">
          <cell r="L64"/>
        </row>
        <row r="65">
          <cell r="L65"/>
        </row>
        <row r="66">
          <cell r="L66"/>
        </row>
        <row r="67">
          <cell r="L67">
            <v>50790</v>
          </cell>
        </row>
        <row r="68">
          <cell r="L68"/>
        </row>
        <row r="69">
          <cell r="L69"/>
        </row>
        <row r="70">
          <cell r="L70"/>
        </row>
        <row r="71">
          <cell r="L71">
            <v>8906</v>
          </cell>
        </row>
        <row r="72">
          <cell r="L72">
            <v>119680</v>
          </cell>
        </row>
        <row r="73">
          <cell r="L73">
            <v>1450</v>
          </cell>
        </row>
        <row r="74">
          <cell r="L74"/>
        </row>
        <row r="75">
          <cell r="L75">
            <v>160000</v>
          </cell>
        </row>
        <row r="76">
          <cell r="L76"/>
        </row>
        <row r="77">
          <cell r="L77"/>
        </row>
        <row r="78">
          <cell r="L78">
            <v>93500</v>
          </cell>
        </row>
        <row r="79">
          <cell r="L79">
            <v>219604</v>
          </cell>
        </row>
        <row r="84">
          <cell r="L84"/>
        </row>
        <row r="85">
          <cell r="L85"/>
        </row>
        <row r="86">
          <cell r="L86"/>
        </row>
        <row r="87">
          <cell r="L87"/>
        </row>
        <row r="88">
          <cell r="L88">
            <v>316080</v>
          </cell>
        </row>
        <row r="90">
          <cell r="L90"/>
        </row>
        <row r="91">
          <cell r="L91"/>
        </row>
        <row r="92">
          <cell r="L92"/>
        </row>
        <row r="97">
          <cell r="L97"/>
        </row>
        <row r="99">
          <cell r="L99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全社"/>
      <sheetName val="東大阪工場"/>
      <sheetName val="松原工場"/>
    </sheetNames>
    <sheetDataSet>
      <sheetData sheetId="0" refreshError="1"/>
      <sheetData sheetId="1">
        <row r="7">
          <cell r="J7">
            <v>371191187</v>
          </cell>
          <cell r="L7">
            <v>292677043</v>
          </cell>
          <cell r="R7">
            <v>345190000</v>
          </cell>
        </row>
        <row r="11">
          <cell r="R11">
            <v>0</v>
          </cell>
        </row>
        <row r="12">
          <cell r="J12">
            <v>197030645</v>
          </cell>
          <cell r="L12">
            <v>135684509</v>
          </cell>
          <cell r="R12">
            <v>0</v>
          </cell>
        </row>
        <row r="13">
          <cell r="J13">
            <v>8006900</v>
          </cell>
          <cell r="L13">
            <v>0</v>
          </cell>
          <cell r="R13">
            <v>0</v>
          </cell>
        </row>
        <row r="14">
          <cell r="R14">
            <v>182950700</v>
          </cell>
        </row>
        <row r="15">
          <cell r="R15">
            <v>0</v>
          </cell>
        </row>
        <row r="17">
          <cell r="J17">
            <v>30497489</v>
          </cell>
          <cell r="L17">
            <v>28733431</v>
          </cell>
          <cell r="R17">
            <v>28800000</v>
          </cell>
        </row>
        <row r="18">
          <cell r="J18">
            <v>6640000</v>
          </cell>
          <cell r="L18">
            <v>7600000</v>
          </cell>
          <cell r="R18">
            <v>7600000</v>
          </cell>
        </row>
        <row r="19">
          <cell r="J19">
            <v>0</v>
          </cell>
          <cell r="L19">
            <v>0</v>
          </cell>
          <cell r="R19">
            <v>0</v>
          </cell>
        </row>
        <row r="20">
          <cell r="J20">
            <v>6254991</v>
          </cell>
          <cell r="L20">
            <v>6860016</v>
          </cell>
          <cell r="R20">
            <v>6206000</v>
          </cell>
        </row>
        <row r="21">
          <cell r="J21">
            <v>1333893</v>
          </cell>
          <cell r="L21">
            <v>1446912</v>
          </cell>
          <cell r="R21">
            <v>1490000</v>
          </cell>
        </row>
        <row r="22">
          <cell r="J22">
            <v>11988060</v>
          </cell>
          <cell r="L22">
            <v>10641537</v>
          </cell>
          <cell r="R22">
            <v>10760000</v>
          </cell>
        </row>
        <row r="23">
          <cell r="J23">
            <v>0</v>
          </cell>
          <cell r="L23">
            <v>0</v>
          </cell>
          <cell r="R23">
            <v>0</v>
          </cell>
        </row>
        <row r="25">
          <cell r="J25">
            <v>231518</v>
          </cell>
          <cell r="L25">
            <v>0</v>
          </cell>
          <cell r="R25">
            <v>0</v>
          </cell>
        </row>
        <row r="26">
          <cell r="J26">
            <v>381106</v>
          </cell>
          <cell r="L26">
            <v>437734</v>
          </cell>
          <cell r="R26">
            <v>280000</v>
          </cell>
        </row>
        <row r="27">
          <cell r="J27">
            <v>2345695</v>
          </cell>
          <cell r="L27">
            <v>1731795</v>
          </cell>
          <cell r="R27">
            <v>2240000</v>
          </cell>
        </row>
        <row r="28">
          <cell r="J28">
            <v>1510000</v>
          </cell>
          <cell r="L28">
            <v>1528890</v>
          </cell>
          <cell r="R28">
            <v>1416000</v>
          </cell>
        </row>
        <row r="29">
          <cell r="J29">
            <v>3083117</v>
          </cell>
          <cell r="L29">
            <v>2307673</v>
          </cell>
          <cell r="R29">
            <v>2660000</v>
          </cell>
        </row>
        <row r="30">
          <cell r="J30">
            <v>2242724</v>
          </cell>
          <cell r="L30">
            <v>313500</v>
          </cell>
          <cell r="R30">
            <v>1890000</v>
          </cell>
        </row>
        <row r="31">
          <cell r="J31">
            <v>4240000</v>
          </cell>
          <cell r="L31">
            <v>2160000</v>
          </cell>
          <cell r="R31">
            <v>2160000</v>
          </cell>
        </row>
        <row r="32">
          <cell r="J32">
            <v>7920000</v>
          </cell>
          <cell r="L32">
            <v>7920000</v>
          </cell>
          <cell r="R32">
            <v>7920000</v>
          </cell>
        </row>
        <row r="33">
          <cell r="J33">
            <v>0</v>
          </cell>
          <cell r="L33">
            <v>0</v>
          </cell>
          <cell r="R33">
            <v>0</v>
          </cell>
        </row>
        <row r="34">
          <cell r="J34">
            <v>344352</v>
          </cell>
          <cell r="L34">
            <v>164240</v>
          </cell>
          <cell r="R34">
            <v>352000</v>
          </cell>
        </row>
        <row r="35">
          <cell r="J35">
            <v>132000</v>
          </cell>
          <cell r="L35">
            <v>324500</v>
          </cell>
          <cell r="R35">
            <v>136000</v>
          </cell>
        </row>
        <row r="36">
          <cell r="J36">
            <v>773300</v>
          </cell>
          <cell r="L36">
            <v>198000</v>
          </cell>
          <cell r="R36">
            <v>800000</v>
          </cell>
        </row>
        <row r="37">
          <cell r="J37">
            <v>0</v>
          </cell>
          <cell r="L37">
            <v>0</v>
          </cell>
          <cell r="R37">
            <v>0</v>
          </cell>
        </row>
        <row r="38">
          <cell r="J38">
            <v>0</v>
          </cell>
          <cell r="L38">
            <v>400400</v>
          </cell>
          <cell r="R38">
            <v>400000</v>
          </cell>
        </row>
        <row r="39">
          <cell r="J39">
            <v>0</v>
          </cell>
          <cell r="L39">
            <v>0</v>
          </cell>
          <cell r="R39">
            <v>0</v>
          </cell>
        </row>
        <row r="43">
          <cell r="J43">
            <v>11368000</v>
          </cell>
          <cell r="L43">
            <v>10168000</v>
          </cell>
          <cell r="R43">
            <v>10168000</v>
          </cell>
        </row>
        <row r="44">
          <cell r="J44">
            <v>1760000</v>
          </cell>
          <cell r="L44">
            <v>2400000</v>
          </cell>
          <cell r="R44">
            <v>2400000</v>
          </cell>
        </row>
        <row r="45">
          <cell r="J45">
            <v>0</v>
          </cell>
          <cell r="L45">
            <v>0</v>
          </cell>
          <cell r="R45">
            <v>0</v>
          </cell>
        </row>
        <row r="46">
          <cell r="J46">
            <v>0</v>
          </cell>
          <cell r="L46">
            <v>0</v>
          </cell>
          <cell r="R46">
            <v>0</v>
          </cell>
        </row>
        <row r="47">
          <cell r="J47">
            <v>0</v>
          </cell>
          <cell r="L47">
            <v>0</v>
          </cell>
          <cell r="R47">
            <v>0</v>
          </cell>
        </row>
        <row r="48">
          <cell r="J48">
            <v>0</v>
          </cell>
          <cell r="L48">
            <v>30000</v>
          </cell>
          <cell r="R48">
            <v>0</v>
          </cell>
        </row>
        <row r="49">
          <cell r="J49">
            <v>1355691</v>
          </cell>
          <cell r="L49">
            <v>1374705</v>
          </cell>
          <cell r="R49">
            <v>1459000</v>
          </cell>
        </row>
        <row r="50">
          <cell r="J50">
            <v>535245</v>
          </cell>
          <cell r="L50">
            <v>86583</v>
          </cell>
          <cell r="R50">
            <v>400000</v>
          </cell>
        </row>
        <row r="51">
          <cell r="J51">
            <v>0</v>
          </cell>
          <cell r="L51">
            <v>0</v>
          </cell>
          <cell r="R51">
            <v>0</v>
          </cell>
        </row>
        <row r="52">
          <cell r="J52">
            <v>5078195</v>
          </cell>
          <cell r="L52">
            <v>3777479</v>
          </cell>
          <cell r="R52">
            <v>4382000</v>
          </cell>
        </row>
        <row r="53">
          <cell r="J53">
            <v>4408386</v>
          </cell>
          <cell r="L53">
            <v>3160166</v>
          </cell>
          <cell r="R53">
            <v>3689000</v>
          </cell>
        </row>
        <row r="54">
          <cell r="J54">
            <v>0</v>
          </cell>
          <cell r="L54">
            <v>0</v>
          </cell>
          <cell r="R54">
            <v>0</v>
          </cell>
        </row>
        <row r="55">
          <cell r="J55">
            <v>337956</v>
          </cell>
          <cell r="L55">
            <v>306017</v>
          </cell>
          <cell r="R55">
            <v>320000</v>
          </cell>
        </row>
        <row r="56">
          <cell r="J56">
            <v>29806</v>
          </cell>
          <cell r="L56">
            <v>31476</v>
          </cell>
          <cell r="R56">
            <v>32000</v>
          </cell>
        </row>
        <row r="57">
          <cell r="J57">
            <v>329140</v>
          </cell>
          <cell r="L57">
            <v>373390</v>
          </cell>
          <cell r="R57">
            <v>320000</v>
          </cell>
        </row>
        <row r="58">
          <cell r="J58">
            <v>93984</v>
          </cell>
          <cell r="L58">
            <v>53070</v>
          </cell>
          <cell r="R58">
            <v>93000</v>
          </cell>
        </row>
        <row r="59">
          <cell r="J59">
            <v>68948</v>
          </cell>
          <cell r="L59">
            <v>12628</v>
          </cell>
          <cell r="R59">
            <v>56000</v>
          </cell>
        </row>
        <row r="60">
          <cell r="J60">
            <v>52148</v>
          </cell>
          <cell r="L60">
            <v>72270</v>
          </cell>
          <cell r="R60">
            <v>72000</v>
          </cell>
        </row>
        <row r="61">
          <cell r="J61">
            <v>415283</v>
          </cell>
          <cell r="L61">
            <v>172260</v>
          </cell>
          <cell r="R61">
            <v>405000</v>
          </cell>
        </row>
        <row r="62">
          <cell r="J62">
            <v>0</v>
          </cell>
          <cell r="L62">
            <v>0</v>
          </cell>
          <cell r="R62">
            <v>0</v>
          </cell>
        </row>
        <row r="63">
          <cell r="J63">
            <v>0</v>
          </cell>
          <cell r="L63">
            <v>0</v>
          </cell>
          <cell r="R63">
            <v>0</v>
          </cell>
        </row>
        <row r="64">
          <cell r="J64">
            <v>70500</v>
          </cell>
          <cell r="L64">
            <v>70500</v>
          </cell>
          <cell r="R64">
            <v>71000</v>
          </cell>
        </row>
        <row r="65">
          <cell r="J65">
            <v>888233</v>
          </cell>
          <cell r="L65">
            <v>828110</v>
          </cell>
          <cell r="R65">
            <v>870000</v>
          </cell>
        </row>
        <row r="66">
          <cell r="J66">
            <v>1560</v>
          </cell>
          <cell r="L66">
            <v>24305</v>
          </cell>
          <cell r="R66">
            <v>0</v>
          </cell>
        </row>
        <row r="67">
          <cell r="J67">
            <v>0</v>
          </cell>
          <cell r="L67">
            <v>0</v>
          </cell>
          <cell r="R67">
            <v>0</v>
          </cell>
        </row>
        <row r="68">
          <cell r="J68">
            <v>0</v>
          </cell>
          <cell r="L68">
            <v>0</v>
          </cell>
          <cell r="R68">
            <v>0</v>
          </cell>
        </row>
        <row r="69">
          <cell r="J69">
            <v>186404</v>
          </cell>
          <cell r="L69">
            <v>154234</v>
          </cell>
          <cell r="R69">
            <v>201000</v>
          </cell>
        </row>
        <row r="70">
          <cell r="J70">
            <v>36960</v>
          </cell>
          <cell r="L70">
            <v>36960</v>
          </cell>
          <cell r="R70">
            <v>37000</v>
          </cell>
        </row>
        <row r="71">
          <cell r="J71">
            <v>128501</v>
          </cell>
          <cell r="L71">
            <v>155032</v>
          </cell>
          <cell r="R71">
            <v>128500</v>
          </cell>
        </row>
        <row r="72">
          <cell r="J72">
            <v>99218</v>
          </cell>
          <cell r="L72">
            <v>82677</v>
          </cell>
          <cell r="R72">
            <v>45500</v>
          </cell>
        </row>
        <row r="73">
          <cell r="J73">
            <v>712000</v>
          </cell>
          <cell r="L73">
            <v>640000</v>
          </cell>
          <cell r="R73">
            <v>640000</v>
          </cell>
        </row>
        <row r="74">
          <cell r="J74">
            <v>0</v>
          </cell>
          <cell r="L74">
            <v>0</v>
          </cell>
          <cell r="R74">
            <v>0</v>
          </cell>
        </row>
        <row r="75">
          <cell r="J75">
            <v>0</v>
          </cell>
          <cell r="L75">
            <v>0</v>
          </cell>
          <cell r="R75">
            <v>0</v>
          </cell>
        </row>
        <row r="76">
          <cell r="J76">
            <v>748000</v>
          </cell>
          <cell r="L76">
            <v>748000</v>
          </cell>
          <cell r="R76">
            <v>748000</v>
          </cell>
        </row>
        <row r="77">
          <cell r="J77">
            <v>167805</v>
          </cell>
          <cell r="L77">
            <v>358061</v>
          </cell>
          <cell r="R77">
            <v>266000</v>
          </cell>
        </row>
        <row r="80">
          <cell r="J80">
            <v>60</v>
          </cell>
          <cell r="L80">
            <v>1792</v>
          </cell>
          <cell r="R80">
            <v>0</v>
          </cell>
        </row>
        <row r="81">
          <cell r="J81">
            <v>0</v>
          </cell>
          <cell r="L81">
            <v>0</v>
          </cell>
          <cell r="R81">
            <v>0</v>
          </cell>
        </row>
        <row r="82">
          <cell r="J82">
            <v>0</v>
          </cell>
          <cell r="L82">
            <v>0</v>
          </cell>
          <cell r="R82">
            <v>0</v>
          </cell>
        </row>
        <row r="83">
          <cell r="J83">
            <v>0</v>
          </cell>
          <cell r="L83">
            <v>0</v>
          </cell>
          <cell r="R83">
            <v>0</v>
          </cell>
        </row>
        <row r="84">
          <cell r="J84">
            <v>7751233</v>
          </cell>
          <cell r="L84">
            <v>4257973</v>
          </cell>
          <cell r="R84">
            <v>6000000</v>
          </cell>
        </row>
        <row r="86">
          <cell r="J86">
            <v>352591</v>
          </cell>
          <cell r="L86">
            <v>1387598</v>
          </cell>
          <cell r="R86">
            <v>1520000</v>
          </cell>
        </row>
        <row r="87">
          <cell r="J87">
            <v>0</v>
          </cell>
          <cell r="L87">
            <v>0</v>
          </cell>
          <cell r="R87">
            <v>0</v>
          </cell>
        </row>
        <row r="88">
          <cell r="J88">
            <v>0</v>
          </cell>
          <cell r="L88">
            <v>0</v>
          </cell>
          <cell r="R88">
            <v>0</v>
          </cell>
        </row>
        <row r="91">
          <cell r="J91">
            <v>0</v>
          </cell>
          <cell r="L91">
            <v>0</v>
          </cell>
        </row>
        <row r="92">
          <cell r="J92">
            <v>0</v>
          </cell>
          <cell r="L92">
            <v>0</v>
          </cell>
        </row>
        <row r="94">
          <cell r="L94">
            <v>0</v>
          </cell>
        </row>
      </sheetData>
      <sheetData sheetId="2">
        <row r="7">
          <cell r="J7">
            <v>446492392</v>
          </cell>
          <cell r="L7">
            <v>133254084</v>
          </cell>
          <cell r="R7">
            <v>216800000</v>
          </cell>
        </row>
        <row r="11">
          <cell r="R11">
            <v>0</v>
          </cell>
        </row>
        <row r="12">
          <cell r="J12">
            <v>157937267</v>
          </cell>
          <cell r="L12">
            <v>16971339</v>
          </cell>
          <cell r="R12">
            <v>0</v>
          </cell>
        </row>
        <row r="13">
          <cell r="J13">
            <v>123674585</v>
          </cell>
          <cell r="L13">
            <v>0</v>
          </cell>
          <cell r="R13">
            <v>0</v>
          </cell>
        </row>
        <row r="14">
          <cell r="R14">
            <v>93224000</v>
          </cell>
        </row>
        <row r="15">
          <cell r="R15">
            <v>0</v>
          </cell>
        </row>
        <row r="17">
          <cell r="J17">
            <v>34543715</v>
          </cell>
          <cell r="L17">
            <v>28133829</v>
          </cell>
          <cell r="R17">
            <v>36120000</v>
          </cell>
        </row>
        <row r="18">
          <cell r="J18">
            <v>3200000</v>
          </cell>
          <cell r="L18">
            <v>5040000</v>
          </cell>
          <cell r="R18">
            <v>5040000</v>
          </cell>
        </row>
        <row r="19">
          <cell r="J19">
            <v>0</v>
          </cell>
          <cell r="L19">
            <v>0</v>
          </cell>
          <cell r="R19">
            <v>0</v>
          </cell>
        </row>
        <row r="20">
          <cell r="J20">
            <v>5109506</v>
          </cell>
          <cell r="L20">
            <v>5858834</v>
          </cell>
          <cell r="R20">
            <v>6065000</v>
          </cell>
        </row>
        <row r="21">
          <cell r="J21">
            <v>1529168</v>
          </cell>
          <cell r="L21">
            <v>1354738</v>
          </cell>
          <cell r="R21">
            <v>1541000</v>
          </cell>
        </row>
        <row r="22">
          <cell r="J22">
            <v>6172833</v>
          </cell>
          <cell r="L22">
            <v>2682109</v>
          </cell>
          <cell r="R22">
            <v>2680000</v>
          </cell>
        </row>
        <row r="23">
          <cell r="J23">
            <v>187500</v>
          </cell>
          <cell r="L23">
            <v>150500</v>
          </cell>
          <cell r="R23">
            <v>368000</v>
          </cell>
        </row>
        <row r="25">
          <cell r="J25">
            <v>2080119</v>
          </cell>
          <cell r="L25">
            <v>0</v>
          </cell>
          <cell r="R25">
            <v>0</v>
          </cell>
        </row>
        <row r="26">
          <cell r="J26">
            <v>38370846</v>
          </cell>
          <cell r="L26">
            <v>4572437</v>
          </cell>
          <cell r="R26">
            <v>3500000</v>
          </cell>
        </row>
        <row r="27">
          <cell r="J27">
            <v>3963500</v>
          </cell>
          <cell r="L27">
            <v>3261675</v>
          </cell>
          <cell r="R27">
            <v>4800000</v>
          </cell>
        </row>
        <row r="28">
          <cell r="J28">
            <v>917490</v>
          </cell>
          <cell r="L28">
            <v>726640</v>
          </cell>
          <cell r="R28">
            <v>960000</v>
          </cell>
        </row>
        <row r="29">
          <cell r="J29">
            <v>9112757</v>
          </cell>
          <cell r="L29">
            <v>7231075</v>
          </cell>
          <cell r="R29">
            <v>5950000</v>
          </cell>
        </row>
        <row r="30">
          <cell r="J30">
            <v>8460958</v>
          </cell>
          <cell r="L30">
            <v>2253240</v>
          </cell>
          <cell r="R30">
            <v>4200000</v>
          </cell>
        </row>
        <row r="31">
          <cell r="J31">
            <v>17200000</v>
          </cell>
          <cell r="L31">
            <v>17600000</v>
          </cell>
          <cell r="R31">
            <v>17600000</v>
          </cell>
        </row>
        <row r="32">
          <cell r="J32">
            <v>9153296</v>
          </cell>
          <cell r="L32">
            <v>9283296</v>
          </cell>
          <cell r="R32">
            <v>9400000</v>
          </cell>
        </row>
        <row r="33">
          <cell r="J33">
            <v>351450</v>
          </cell>
          <cell r="L33">
            <v>351450</v>
          </cell>
          <cell r="R33">
            <v>400000</v>
          </cell>
        </row>
        <row r="34">
          <cell r="J34">
            <v>200600</v>
          </cell>
          <cell r="L34">
            <v>111888</v>
          </cell>
          <cell r="R34">
            <v>176000</v>
          </cell>
        </row>
        <row r="35">
          <cell r="J35">
            <v>7353</v>
          </cell>
          <cell r="L35">
            <v>237864</v>
          </cell>
          <cell r="R35">
            <v>80000</v>
          </cell>
        </row>
        <row r="36">
          <cell r="J36">
            <v>2696628</v>
          </cell>
          <cell r="L36">
            <v>264000</v>
          </cell>
          <cell r="R36">
            <v>2400000</v>
          </cell>
        </row>
        <row r="37">
          <cell r="J37">
            <v>1981000</v>
          </cell>
          <cell r="L37">
            <v>2261000</v>
          </cell>
          <cell r="R37">
            <v>2261000</v>
          </cell>
        </row>
        <row r="38">
          <cell r="J38">
            <v>0</v>
          </cell>
          <cell r="L38">
            <v>0</v>
          </cell>
          <cell r="R38">
            <v>200000</v>
          </cell>
        </row>
        <row r="39">
          <cell r="J39">
            <v>0</v>
          </cell>
          <cell r="L39">
            <v>0</v>
          </cell>
          <cell r="R39">
            <v>0</v>
          </cell>
        </row>
        <row r="43">
          <cell r="J43">
            <v>1200000</v>
          </cell>
          <cell r="L43">
            <v>0</v>
          </cell>
          <cell r="R43">
            <v>0</v>
          </cell>
        </row>
        <row r="44">
          <cell r="J44">
            <v>0</v>
          </cell>
          <cell r="L44">
            <v>0</v>
          </cell>
          <cell r="R44">
            <v>0</v>
          </cell>
        </row>
        <row r="45">
          <cell r="J45">
            <v>1749589</v>
          </cell>
          <cell r="L45">
            <v>1716039</v>
          </cell>
          <cell r="R45">
            <v>1688000</v>
          </cell>
        </row>
        <row r="46">
          <cell r="J46">
            <v>160000</v>
          </cell>
          <cell r="L46">
            <v>424000</v>
          </cell>
          <cell r="R46">
            <v>424000</v>
          </cell>
        </row>
        <row r="47">
          <cell r="J47">
            <v>0</v>
          </cell>
          <cell r="L47">
            <v>0</v>
          </cell>
          <cell r="R47">
            <v>0</v>
          </cell>
        </row>
        <row r="48">
          <cell r="J48">
            <v>6437</v>
          </cell>
          <cell r="L48">
            <v>10518</v>
          </cell>
          <cell r="R48">
            <v>0</v>
          </cell>
        </row>
        <row r="49">
          <cell r="J49">
            <v>183500</v>
          </cell>
          <cell r="L49">
            <v>238301</v>
          </cell>
          <cell r="R49">
            <v>286000</v>
          </cell>
        </row>
        <row r="50">
          <cell r="J50">
            <v>746478</v>
          </cell>
          <cell r="L50">
            <v>78910</v>
          </cell>
          <cell r="R50">
            <v>400000</v>
          </cell>
        </row>
        <row r="51">
          <cell r="J51">
            <v>0</v>
          </cell>
          <cell r="L51">
            <v>0</v>
          </cell>
          <cell r="R51">
            <v>0</v>
          </cell>
        </row>
        <row r="52">
          <cell r="J52">
            <v>9282807</v>
          </cell>
          <cell r="L52">
            <v>1963957</v>
          </cell>
          <cell r="R52">
            <v>5250000</v>
          </cell>
        </row>
        <row r="53">
          <cell r="J53">
            <v>6456702</v>
          </cell>
          <cell r="L53">
            <v>1387459</v>
          </cell>
          <cell r="R53">
            <v>4200000</v>
          </cell>
        </row>
        <row r="54">
          <cell r="J54">
            <v>0</v>
          </cell>
          <cell r="L54">
            <v>0</v>
          </cell>
          <cell r="R54">
            <v>0</v>
          </cell>
        </row>
        <row r="55">
          <cell r="J55">
            <v>511586</v>
          </cell>
          <cell r="L55">
            <v>58125</v>
          </cell>
          <cell r="R55">
            <v>520000</v>
          </cell>
        </row>
        <row r="56">
          <cell r="J56">
            <v>8007</v>
          </cell>
          <cell r="L56">
            <v>41806</v>
          </cell>
          <cell r="R56">
            <v>12000</v>
          </cell>
        </row>
        <row r="57">
          <cell r="J57">
            <v>274410</v>
          </cell>
          <cell r="L57">
            <v>127660</v>
          </cell>
          <cell r="R57">
            <v>280000</v>
          </cell>
        </row>
        <row r="58">
          <cell r="J58">
            <v>637806</v>
          </cell>
          <cell r="L58">
            <v>644373</v>
          </cell>
          <cell r="R58">
            <v>680000</v>
          </cell>
        </row>
        <row r="59">
          <cell r="J59">
            <v>108161</v>
          </cell>
          <cell r="L59">
            <v>83437</v>
          </cell>
          <cell r="R59">
            <v>168000</v>
          </cell>
        </row>
        <row r="60">
          <cell r="J60">
            <v>373563</v>
          </cell>
          <cell r="L60">
            <v>195110</v>
          </cell>
          <cell r="R60">
            <v>384000</v>
          </cell>
        </row>
        <row r="61">
          <cell r="J61">
            <v>189090</v>
          </cell>
          <cell r="L61">
            <v>52360</v>
          </cell>
          <cell r="R61">
            <v>52500</v>
          </cell>
        </row>
        <row r="62">
          <cell r="J62">
            <v>13918</v>
          </cell>
          <cell r="L62">
            <v>8560</v>
          </cell>
          <cell r="R62">
            <v>14000</v>
          </cell>
        </row>
        <row r="63">
          <cell r="J63">
            <v>0</v>
          </cell>
          <cell r="L63">
            <v>0</v>
          </cell>
          <cell r="R63">
            <v>0</v>
          </cell>
        </row>
        <row r="64">
          <cell r="J64">
            <v>0</v>
          </cell>
          <cell r="L64">
            <v>31344</v>
          </cell>
          <cell r="R64">
            <v>0</v>
          </cell>
        </row>
        <row r="65">
          <cell r="J65">
            <v>976125</v>
          </cell>
          <cell r="L65">
            <v>835260</v>
          </cell>
          <cell r="R65">
            <v>785000</v>
          </cell>
        </row>
        <row r="66">
          <cell r="J66">
            <v>0</v>
          </cell>
          <cell r="L66">
            <v>0</v>
          </cell>
          <cell r="R66">
            <v>0</v>
          </cell>
        </row>
        <row r="67">
          <cell r="J67">
            <v>0</v>
          </cell>
          <cell r="L67">
            <v>0</v>
          </cell>
          <cell r="R67">
            <v>0</v>
          </cell>
        </row>
        <row r="68">
          <cell r="J68">
            <v>14850</v>
          </cell>
          <cell r="L68">
            <v>0</v>
          </cell>
          <cell r="R68">
            <v>0</v>
          </cell>
        </row>
        <row r="69">
          <cell r="J69">
            <v>82471</v>
          </cell>
          <cell r="L69">
            <v>95902</v>
          </cell>
          <cell r="R69">
            <v>77000</v>
          </cell>
        </row>
        <row r="70">
          <cell r="J70">
            <v>894080</v>
          </cell>
          <cell r="L70">
            <v>957440</v>
          </cell>
          <cell r="R70">
            <v>960000</v>
          </cell>
        </row>
        <row r="71">
          <cell r="J71">
            <v>98839</v>
          </cell>
          <cell r="L71">
            <v>176608</v>
          </cell>
          <cell r="R71">
            <v>99000</v>
          </cell>
        </row>
        <row r="72">
          <cell r="J72">
            <v>11600</v>
          </cell>
          <cell r="L72">
            <v>2000</v>
          </cell>
          <cell r="R72">
            <v>0</v>
          </cell>
        </row>
        <row r="73">
          <cell r="J73">
            <v>768000</v>
          </cell>
          <cell r="L73">
            <v>1280000</v>
          </cell>
          <cell r="R73">
            <v>1280000</v>
          </cell>
        </row>
        <row r="74">
          <cell r="J74">
            <v>0</v>
          </cell>
          <cell r="L74">
            <v>0</v>
          </cell>
          <cell r="R74">
            <v>0</v>
          </cell>
        </row>
        <row r="75">
          <cell r="J75">
            <v>3400</v>
          </cell>
          <cell r="L75">
            <v>1020000</v>
          </cell>
          <cell r="R75">
            <v>0</v>
          </cell>
        </row>
        <row r="76">
          <cell r="J76">
            <v>748000</v>
          </cell>
          <cell r="L76">
            <v>748000</v>
          </cell>
          <cell r="R76">
            <v>748000</v>
          </cell>
        </row>
        <row r="77">
          <cell r="J77">
            <v>3130852</v>
          </cell>
          <cell r="L77">
            <v>2254680</v>
          </cell>
          <cell r="R77">
            <v>3185000</v>
          </cell>
        </row>
        <row r="80">
          <cell r="J80">
            <v>0</v>
          </cell>
          <cell r="L80">
            <v>0</v>
          </cell>
          <cell r="R80">
            <v>0</v>
          </cell>
        </row>
        <row r="81">
          <cell r="J81">
            <v>0</v>
          </cell>
          <cell r="L81">
            <v>0</v>
          </cell>
          <cell r="R81">
            <v>0</v>
          </cell>
        </row>
        <row r="82">
          <cell r="J82">
            <v>0</v>
          </cell>
          <cell r="L82">
            <v>0</v>
          </cell>
          <cell r="R82">
            <v>0</v>
          </cell>
        </row>
        <row r="83">
          <cell r="J83">
            <v>0</v>
          </cell>
          <cell r="L83">
            <v>0</v>
          </cell>
          <cell r="R83">
            <v>0</v>
          </cell>
        </row>
        <row r="84">
          <cell r="J84">
            <v>13129982</v>
          </cell>
          <cell r="L84">
            <v>991855</v>
          </cell>
          <cell r="R84">
            <v>2640000</v>
          </cell>
        </row>
        <row r="86">
          <cell r="J86">
            <v>0</v>
          </cell>
          <cell r="L86">
            <v>0</v>
          </cell>
          <cell r="R86">
            <v>0</v>
          </cell>
        </row>
        <row r="87">
          <cell r="J87">
            <v>0</v>
          </cell>
          <cell r="L87">
            <v>0</v>
          </cell>
          <cell r="R87">
            <v>0</v>
          </cell>
        </row>
        <row r="88">
          <cell r="J88">
            <v>0</v>
          </cell>
          <cell r="L88">
            <v>0</v>
          </cell>
          <cell r="R88">
            <v>0</v>
          </cell>
        </row>
        <row r="91">
          <cell r="J91">
            <v>0</v>
          </cell>
          <cell r="L91">
            <v>0</v>
          </cell>
        </row>
        <row r="92">
          <cell r="J92">
            <v>0</v>
          </cell>
          <cell r="L92">
            <v>0</v>
          </cell>
        </row>
        <row r="94">
          <cell r="L9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全社"/>
      <sheetName val="東大阪工場"/>
      <sheetName val="松原工場"/>
    </sheetNames>
    <sheetDataSet>
      <sheetData sheetId="0"/>
      <sheetData sheetId="1">
        <row r="5">
          <cell r="H5">
            <v>42655000</v>
          </cell>
          <cell r="L5">
            <v>42545000</v>
          </cell>
        </row>
        <row r="11">
          <cell r="L11">
            <v>22548850</v>
          </cell>
        </row>
        <row r="15">
          <cell r="L15">
            <v>3600000</v>
          </cell>
        </row>
        <row r="16">
          <cell r="L16">
            <v>950000</v>
          </cell>
        </row>
        <row r="17">
          <cell r="L17"/>
        </row>
        <row r="18">
          <cell r="L18">
            <v>585000</v>
          </cell>
        </row>
        <row r="19">
          <cell r="L19">
            <v>195000</v>
          </cell>
        </row>
        <row r="20">
          <cell r="L20">
            <v>1345000</v>
          </cell>
        </row>
        <row r="21">
          <cell r="L21"/>
        </row>
        <row r="23">
          <cell r="L23"/>
        </row>
        <row r="24">
          <cell r="L24">
            <v>40000</v>
          </cell>
        </row>
        <row r="25">
          <cell r="L25">
            <v>280000</v>
          </cell>
        </row>
        <row r="26">
          <cell r="L26">
            <v>177000</v>
          </cell>
        </row>
        <row r="27">
          <cell r="L27">
            <v>380000</v>
          </cell>
        </row>
        <row r="28">
          <cell r="L28">
            <v>270000</v>
          </cell>
        </row>
        <row r="29">
          <cell r="L29">
            <v>270000</v>
          </cell>
        </row>
        <row r="30">
          <cell r="L30">
            <v>990000</v>
          </cell>
        </row>
        <row r="31">
          <cell r="L31"/>
        </row>
        <row r="32">
          <cell r="L32">
            <v>44000</v>
          </cell>
        </row>
        <row r="33">
          <cell r="L33">
            <v>17000</v>
          </cell>
        </row>
        <row r="34">
          <cell r="L34">
            <v>100000</v>
          </cell>
        </row>
        <row r="35">
          <cell r="L35"/>
        </row>
        <row r="36">
          <cell r="L36">
            <v>50000</v>
          </cell>
        </row>
        <row r="37">
          <cell r="L37"/>
        </row>
        <row r="43">
          <cell r="L43">
            <v>1271000</v>
          </cell>
        </row>
        <row r="44">
          <cell r="L44">
            <v>300000</v>
          </cell>
        </row>
        <row r="45">
          <cell r="L45"/>
        </row>
        <row r="46">
          <cell r="L46"/>
        </row>
        <row r="47">
          <cell r="L47"/>
        </row>
        <row r="48">
          <cell r="L48"/>
        </row>
        <row r="49">
          <cell r="L49">
            <v>137000</v>
          </cell>
        </row>
        <row r="50">
          <cell r="L50">
            <v>50000</v>
          </cell>
        </row>
        <row r="51">
          <cell r="L51"/>
        </row>
        <row r="52">
          <cell r="L52">
            <v>626000</v>
          </cell>
        </row>
        <row r="53">
          <cell r="L53">
            <v>527000</v>
          </cell>
        </row>
        <row r="54">
          <cell r="L54"/>
        </row>
        <row r="55">
          <cell r="L55">
            <v>40000</v>
          </cell>
        </row>
        <row r="56">
          <cell r="L56">
            <v>4000</v>
          </cell>
        </row>
        <row r="57">
          <cell r="L57">
            <v>40000</v>
          </cell>
        </row>
        <row r="58">
          <cell r="L58">
            <v>7500</v>
          </cell>
        </row>
        <row r="59">
          <cell r="L59">
            <v>7000</v>
          </cell>
        </row>
        <row r="60">
          <cell r="L60">
            <v>9000</v>
          </cell>
        </row>
        <row r="61">
          <cell r="L61">
            <v>5000</v>
          </cell>
        </row>
        <row r="62">
          <cell r="L62"/>
        </row>
        <row r="63">
          <cell r="L63"/>
        </row>
        <row r="64">
          <cell r="L64">
            <v>4500</v>
          </cell>
        </row>
        <row r="65">
          <cell r="L65">
            <v>95000</v>
          </cell>
        </row>
        <row r="66">
          <cell r="L66"/>
        </row>
        <row r="67">
          <cell r="L67"/>
        </row>
        <row r="68">
          <cell r="L68"/>
        </row>
        <row r="69">
          <cell r="L69">
            <v>43000</v>
          </cell>
        </row>
        <row r="70">
          <cell r="L70"/>
        </row>
        <row r="71">
          <cell r="L71">
            <v>500</v>
          </cell>
        </row>
        <row r="72">
          <cell r="L72">
            <v>6500</v>
          </cell>
        </row>
        <row r="73">
          <cell r="L73">
            <v>80000</v>
          </cell>
        </row>
        <row r="74">
          <cell r="L74"/>
        </row>
        <row r="75">
          <cell r="L75"/>
        </row>
        <row r="76">
          <cell r="L76">
            <v>93500</v>
          </cell>
        </row>
        <row r="77">
          <cell r="L77">
            <v>38000</v>
          </cell>
        </row>
        <row r="82">
          <cell r="L82"/>
        </row>
        <row r="83">
          <cell r="L83"/>
        </row>
        <row r="84">
          <cell r="L84"/>
        </row>
        <row r="85">
          <cell r="L85"/>
        </row>
        <row r="86">
          <cell r="L86">
            <v>750000</v>
          </cell>
        </row>
        <row r="88">
          <cell r="L88">
            <v>190000</v>
          </cell>
        </row>
        <row r="89">
          <cell r="L89"/>
        </row>
        <row r="90">
          <cell r="L90"/>
        </row>
      </sheetData>
      <sheetData sheetId="2">
        <row r="5">
          <cell r="H5">
            <v>28850000</v>
          </cell>
          <cell r="L5">
            <v>30350000</v>
          </cell>
        </row>
        <row r="11">
          <cell r="L11">
            <v>13050500</v>
          </cell>
        </row>
        <row r="15">
          <cell r="L15">
            <v>4515000</v>
          </cell>
        </row>
        <row r="16">
          <cell r="L16">
            <v>630000</v>
          </cell>
        </row>
        <row r="17">
          <cell r="L17"/>
        </row>
        <row r="18">
          <cell r="L18">
            <v>555000</v>
          </cell>
        </row>
        <row r="19">
          <cell r="L19">
            <v>194500</v>
          </cell>
        </row>
        <row r="20">
          <cell r="L20">
            <v>335000</v>
          </cell>
        </row>
        <row r="21">
          <cell r="L21">
            <v>65000</v>
          </cell>
        </row>
        <row r="23">
          <cell r="L23"/>
        </row>
        <row r="24">
          <cell r="L24">
            <v>500000</v>
          </cell>
        </row>
        <row r="25">
          <cell r="L25">
            <v>600000</v>
          </cell>
        </row>
        <row r="26">
          <cell r="L26">
            <v>120000</v>
          </cell>
        </row>
        <row r="27">
          <cell r="L27">
            <v>850000</v>
          </cell>
        </row>
        <row r="28">
          <cell r="L28">
            <v>600000</v>
          </cell>
        </row>
        <row r="29">
          <cell r="L29">
            <v>2200000</v>
          </cell>
        </row>
        <row r="30">
          <cell r="L30">
            <v>1175000</v>
          </cell>
        </row>
        <row r="31">
          <cell r="L31">
            <v>50000</v>
          </cell>
        </row>
        <row r="32">
          <cell r="L32">
            <v>22000</v>
          </cell>
        </row>
        <row r="33">
          <cell r="L33">
            <v>10000</v>
          </cell>
        </row>
        <row r="34">
          <cell r="L34">
            <v>300000</v>
          </cell>
        </row>
        <row r="35">
          <cell r="L35">
            <v>167000</v>
          </cell>
        </row>
        <row r="36">
          <cell r="L36">
            <v>25000</v>
          </cell>
        </row>
        <row r="37">
          <cell r="L37"/>
        </row>
        <row r="43">
          <cell r="L43"/>
        </row>
        <row r="44">
          <cell r="L44"/>
        </row>
        <row r="45">
          <cell r="L45">
            <v>211000</v>
          </cell>
        </row>
        <row r="46">
          <cell r="L46">
            <v>53000</v>
          </cell>
        </row>
        <row r="47">
          <cell r="L47"/>
        </row>
        <row r="48">
          <cell r="L48"/>
        </row>
        <row r="49">
          <cell r="L49">
            <v>32000</v>
          </cell>
        </row>
        <row r="50">
          <cell r="L50">
            <v>50000</v>
          </cell>
        </row>
        <row r="51">
          <cell r="L51"/>
        </row>
        <row r="52">
          <cell r="L52">
            <v>750000</v>
          </cell>
        </row>
        <row r="53">
          <cell r="L53">
            <v>600000</v>
          </cell>
        </row>
        <row r="54">
          <cell r="L54"/>
        </row>
        <row r="55">
          <cell r="L55">
            <v>65000</v>
          </cell>
        </row>
        <row r="56">
          <cell r="L56">
            <v>1500</v>
          </cell>
        </row>
        <row r="57">
          <cell r="L57">
            <v>35000</v>
          </cell>
        </row>
        <row r="58">
          <cell r="L58">
            <v>85000</v>
          </cell>
        </row>
        <row r="59">
          <cell r="L59">
            <v>21000</v>
          </cell>
        </row>
        <row r="60">
          <cell r="L60">
            <v>48000</v>
          </cell>
        </row>
        <row r="61">
          <cell r="L61">
            <v>7500</v>
          </cell>
        </row>
        <row r="62">
          <cell r="L62"/>
        </row>
        <row r="63">
          <cell r="L63"/>
        </row>
        <row r="64">
          <cell r="L64"/>
        </row>
        <row r="65">
          <cell r="L65">
            <v>60000</v>
          </cell>
        </row>
        <row r="66">
          <cell r="L66"/>
        </row>
        <row r="67">
          <cell r="L67"/>
        </row>
        <row r="68">
          <cell r="L68"/>
        </row>
        <row r="69">
          <cell r="L69">
            <v>11000</v>
          </cell>
        </row>
        <row r="70">
          <cell r="L70">
            <v>120000</v>
          </cell>
        </row>
        <row r="71">
          <cell r="L71">
            <v>4000</v>
          </cell>
        </row>
        <row r="72">
          <cell r="L72"/>
        </row>
        <row r="73">
          <cell r="L73">
            <v>160000</v>
          </cell>
        </row>
        <row r="74">
          <cell r="L74"/>
        </row>
        <row r="75">
          <cell r="L75"/>
        </row>
        <row r="76">
          <cell r="L76">
            <v>93500</v>
          </cell>
        </row>
        <row r="77">
          <cell r="L77">
            <v>455000</v>
          </cell>
        </row>
        <row r="82">
          <cell r="L82"/>
        </row>
        <row r="83">
          <cell r="L83"/>
        </row>
        <row r="84">
          <cell r="L84"/>
        </row>
        <row r="85">
          <cell r="L85"/>
        </row>
        <row r="86">
          <cell r="L86">
            <v>330000</v>
          </cell>
        </row>
        <row r="88">
          <cell r="L88"/>
        </row>
        <row r="89">
          <cell r="L89"/>
        </row>
        <row r="90">
          <cell r="L90"/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591"/>
  <sheetViews>
    <sheetView showZeros="0" tabSelected="1" zoomScale="90" zoomScaleNormal="90" workbookViewId="0">
      <pane xSplit="4" ySplit="1" topLeftCell="E2" activePane="bottomRight" state="frozen"/>
      <selection activeCell="E7" sqref="E7"/>
      <selection pane="topRight" activeCell="E7" sqref="E7"/>
      <selection pane="bottomLeft" activeCell="E7" sqref="E7"/>
      <selection pane="bottomRight" activeCell="I1" sqref="I1:N1"/>
    </sheetView>
  </sheetViews>
  <sheetFormatPr defaultColWidth="9" defaultRowHeight="18.75" x14ac:dyDescent="0.15"/>
  <cols>
    <col min="1" max="1" width="1" style="4" customWidth="1"/>
    <col min="2" max="2" width="2" style="4" customWidth="1"/>
    <col min="3" max="3" width="7.375" style="4" customWidth="1"/>
    <col min="4" max="4" width="17.75" style="4" customWidth="1"/>
    <col min="5" max="5" width="10" style="11" bestFit="1" customWidth="1"/>
    <col min="6" max="6" width="7.375" style="11" bestFit="1" customWidth="1"/>
    <col min="7" max="7" width="10" style="4" bestFit="1" customWidth="1"/>
    <col min="8" max="9" width="7.375" style="4" bestFit="1" customWidth="1"/>
    <col min="10" max="10" width="9" style="4" bestFit="1" customWidth="1"/>
    <col min="11" max="11" width="7.375" style="4" bestFit="1" customWidth="1"/>
    <col min="12" max="12" width="11" style="4" bestFit="1" customWidth="1"/>
    <col min="13" max="13" width="7.375" style="4" bestFit="1" customWidth="1"/>
    <col min="14" max="14" width="7.125" style="4" customWidth="1"/>
    <col min="15" max="15" width="1.5" style="42" customWidth="1"/>
    <col min="16" max="16" width="12.375" style="4" customWidth="1"/>
    <col min="17" max="17" width="7.75" style="4" customWidth="1"/>
    <col min="18" max="18" width="12.375" style="4" customWidth="1"/>
    <col min="19" max="19" width="8.375" style="4" customWidth="1"/>
    <col min="20" max="20" width="11.375" style="4" customWidth="1"/>
    <col min="21" max="16384" width="9" style="4"/>
  </cols>
  <sheetData>
    <row r="1" spans="1:75" ht="19.5" thickBot="1" x14ac:dyDescent="0.2">
      <c r="A1" s="3"/>
      <c r="B1" s="273" t="s">
        <v>23</v>
      </c>
      <c r="C1" s="274"/>
      <c r="D1" s="279" t="s">
        <v>24</v>
      </c>
      <c r="E1" s="280"/>
      <c r="F1" s="280"/>
      <c r="G1" s="281"/>
      <c r="H1" s="6"/>
      <c r="I1" s="263">
        <v>46093</v>
      </c>
      <c r="J1" s="263"/>
      <c r="K1" s="263"/>
      <c r="L1" s="263"/>
      <c r="M1" s="263"/>
      <c r="N1" s="263"/>
      <c r="O1" s="4"/>
    </row>
    <row r="2" spans="1:75" ht="9.75" customHeight="1" x14ac:dyDescent="0.15">
      <c r="A2" s="3"/>
      <c r="B2" s="5"/>
      <c r="C2" s="5"/>
      <c r="D2" s="6"/>
      <c r="E2" s="90"/>
      <c r="F2" s="90"/>
      <c r="G2" s="3"/>
      <c r="H2" s="3"/>
      <c r="I2" s="3"/>
      <c r="J2" s="3"/>
      <c r="K2" s="3"/>
      <c r="L2" s="3"/>
      <c r="M2" s="3"/>
      <c r="N2" s="3"/>
      <c r="O2" s="4"/>
    </row>
    <row r="3" spans="1:75" ht="14.85" customHeight="1" x14ac:dyDescent="0.15">
      <c r="A3" s="3"/>
      <c r="B3" s="7" t="s">
        <v>25</v>
      </c>
      <c r="C3" s="7"/>
      <c r="D3" s="8"/>
      <c r="E3" s="198" t="s">
        <v>96</v>
      </c>
      <c r="F3" s="91"/>
      <c r="G3" s="8"/>
      <c r="H3" s="8"/>
      <c r="I3" s="8"/>
      <c r="J3" s="91" t="s">
        <v>26</v>
      </c>
      <c r="K3" s="9"/>
      <c r="L3" s="9" t="s">
        <v>27</v>
      </c>
      <c r="M3" s="9"/>
      <c r="N3" s="9"/>
      <c r="O3" s="10"/>
    </row>
    <row r="4" spans="1:75" ht="6.75" customHeight="1" thickBot="1" x14ac:dyDescent="0.2">
      <c r="A4" s="3"/>
      <c r="J4" s="11"/>
      <c r="K4" s="11"/>
      <c r="N4" s="12"/>
      <c r="O4" s="10"/>
    </row>
    <row r="5" spans="1:75" ht="15" customHeight="1" x14ac:dyDescent="0.15">
      <c r="A5" s="3"/>
      <c r="B5" s="161"/>
      <c r="C5" s="162"/>
      <c r="D5" s="163"/>
      <c r="E5" s="277" t="s">
        <v>109</v>
      </c>
      <c r="F5" s="95" t="s">
        <v>89</v>
      </c>
      <c r="G5" s="275" t="s">
        <v>110</v>
      </c>
      <c r="H5" s="95" t="s">
        <v>89</v>
      </c>
      <c r="I5" s="85" t="s">
        <v>28</v>
      </c>
      <c r="J5" s="266" t="s">
        <v>106</v>
      </c>
      <c r="K5" s="123" t="s">
        <v>89</v>
      </c>
      <c r="L5" s="264" t="s">
        <v>107</v>
      </c>
      <c r="M5" s="123" t="s">
        <v>89</v>
      </c>
      <c r="N5" s="72" t="s">
        <v>84</v>
      </c>
      <c r="O5" s="10"/>
      <c r="P5" s="92" t="s">
        <v>111</v>
      </c>
      <c r="Q5" s="228" t="s">
        <v>103</v>
      </c>
      <c r="R5" s="231" t="s">
        <v>105</v>
      </c>
      <c r="S5" s="93" t="s">
        <v>86</v>
      </c>
    </row>
    <row r="6" spans="1:75" ht="15" customHeight="1" thickBot="1" x14ac:dyDescent="0.2">
      <c r="A6" s="3"/>
      <c r="B6" s="158"/>
      <c r="C6" s="159"/>
      <c r="D6" s="160"/>
      <c r="E6" s="278"/>
      <c r="F6" s="94" t="s">
        <v>87</v>
      </c>
      <c r="G6" s="276"/>
      <c r="H6" s="94" t="s">
        <v>87</v>
      </c>
      <c r="I6" s="86" t="s">
        <v>29</v>
      </c>
      <c r="J6" s="267"/>
      <c r="K6" s="121" t="s">
        <v>87</v>
      </c>
      <c r="L6" s="265"/>
      <c r="M6" s="121" t="s">
        <v>87</v>
      </c>
      <c r="N6" s="73" t="s">
        <v>29</v>
      </c>
      <c r="O6" s="13"/>
      <c r="P6" s="14" t="s">
        <v>85</v>
      </c>
      <c r="Q6" s="229" t="s">
        <v>87</v>
      </c>
      <c r="R6" s="232" t="s">
        <v>85</v>
      </c>
      <c r="S6" s="15" t="s">
        <v>87</v>
      </c>
      <c r="T6" s="4" t="s">
        <v>30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</row>
    <row r="7" spans="1:75" ht="15" customHeight="1" x14ac:dyDescent="0.15">
      <c r="A7" s="3"/>
      <c r="B7" s="268" t="s">
        <v>31</v>
      </c>
      <c r="C7" s="269"/>
      <c r="D7" s="270"/>
      <c r="E7" s="177">
        <f>東大阪工場!E7+松原工場!E7</f>
        <v>77847955</v>
      </c>
      <c r="F7" s="139">
        <f t="shared" ref="F7:F9" si="0">E7/$E$10</f>
        <v>1</v>
      </c>
      <c r="G7" s="177">
        <f>東大阪工場!G7+松原工場!G7</f>
        <v>45531641</v>
      </c>
      <c r="H7" s="96">
        <f>G7/$G$10</f>
        <v>1</v>
      </c>
      <c r="I7" s="120">
        <f t="shared" ref="I7:I45" si="1">IF(E7,G7/E7,"-")</f>
        <v>0.58487908898827212</v>
      </c>
      <c r="J7" s="47">
        <f>東大阪工場!J7+松原工場!J7</f>
        <v>895531534</v>
      </c>
      <c r="K7" s="99">
        <f>J7/$J$10</f>
        <v>0.93882536920172455</v>
      </c>
      <c r="L7" s="47">
        <f>東大阪工場!L7+松原工場!L7</f>
        <v>471462768</v>
      </c>
      <c r="M7" s="99">
        <f>L7/$L$10</f>
        <v>1.0359292183731201</v>
      </c>
      <c r="N7" s="112">
        <f t="shared" ref="N7:N44" si="2">IF(J7,L7/J7,"-")</f>
        <v>0.52646138086746597</v>
      </c>
      <c r="O7" s="46"/>
      <c r="P7" s="201">
        <f>東大阪工場!P7+松原工場!P7</f>
        <v>72895000</v>
      </c>
      <c r="Q7" s="99">
        <f>P7/$P$10</f>
        <v>1</v>
      </c>
      <c r="R7" s="47">
        <f>東大阪工場!R7+松原工場!R7</f>
        <v>634885000</v>
      </c>
      <c r="S7" s="202">
        <f>R7/$R$10</f>
        <v>1</v>
      </c>
      <c r="T7" s="48">
        <f>L7-R7</f>
        <v>-163422232</v>
      </c>
      <c r="U7" s="225">
        <f>IF(L7,L7/R7,"-")</f>
        <v>0.74259553777455756</v>
      </c>
    </row>
    <row r="8" spans="1:75" s="57" customFormat="1" ht="15" customHeight="1" x14ac:dyDescent="0.15">
      <c r="A8" s="52"/>
      <c r="B8" s="285" t="s">
        <v>4</v>
      </c>
      <c r="C8" s="286"/>
      <c r="D8" s="287"/>
      <c r="E8" s="178">
        <f>東大阪工場!E8+松原工場!E8</f>
        <v>0</v>
      </c>
      <c r="F8" s="145">
        <f t="shared" si="0"/>
        <v>0</v>
      </c>
      <c r="G8" s="53">
        <f>[1]全社!C7</f>
        <v>0</v>
      </c>
      <c r="H8" s="97">
        <f t="shared" ref="H8:H9" si="3">G8/$G$10</f>
        <v>0</v>
      </c>
      <c r="I8" s="75" t="str">
        <f t="shared" si="1"/>
        <v>-</v>
      </c>
      <c r="J8" s="81">
        <f>東大阪工場!J8+松原工場!J8</f>
        <v>55532929</v>
      </c>
      <c r="K8" s="128"/>
      <c r="L8" s="80">
        <f>東大阪工場!L8+松原工場!L8</f>
        <v>124406808</v>
      </c>
      <c r="M8" s="128"/>
      <c r="N8" s="74">
        <f t="shared" si="2"/>
        <v>2.2402349424068735</v>
      </c>
      <c r="O8" s="55"/>
      <c r="P8" s="203"/>
      <c r="Q8" s="230">
        <f t="shared" ref="Q8:Q75" si="4">P8/$P$10</f>
        <v>0</v>
      </c>
      <c r="R8" s="58">
        <f t="shared" ref="R8:R15" si="5">P8</f>
        <v>0</v>
      </c>
      <c r="S8" s="75">
        <f t="shared" ref="S8:S75" si="6">R8/$R$10</f>
        <v>0</v>
      </c>
      <c r="T8" s="48"/>
      <c r="U8" s="225"/>
    </row>
    <row r="9" spans="1:75" s="57" customFormat="1" ht="15" customHeight="1" x14ac:dyDescent="0.15">
      <c r="A9" s="52"/>
      <c r="B9" s="282" t="s">
        <v>5</v>
      </c>
      <c r="C9" s="283"/>
      <c r="D9" s="284"/>
      <c r="E9" s="197">
        <f>東大阪工場!E9+松原工場!E9</f>
        <v>0</v>
      </c>
      <c r="F9" s="146">
        <f t="shared" si="0"/>
        <v>0</v>
      </c>
      <c r="G9" s="58">
        <f>[1]全社!C8</f>
        <v>0</v>
      </c>
      <c r="H9" s="98">
        <f t="shared" si="3"/>
        <v>0</v>
      </c>
      <c r="I9" s="75" t="str">
        <f t="shared" si="1"/>
        <v>-</v>
      </c>
      <c r="J9" s="82">
        <f>東大阪工場!J9+松原工場!J9</f>
        <v>113886498</v>
      </c>
      <c r="K9" s="98"/>
      <c r="L9" s="80">
        <f>東大阪工場!L9+松原工場!L9</f>
        <v>108055026</v>
      </c>
      <c r="M9" s="129"/>
      <c r="N9" s="75">
        <f t="shared" si="2"/>
        <v>0.94879575628008161</v>
      </c>
      <c r="O9" s="55"/>
      <c r="P9" s="197"/>
      <c r="Q9" s="54">
        <f t="shared" si="4"/>
        <v>0</v>
      </c>
      <c r="R9" s="58">
        <f t="shared" si="5"/>
        <v>0</v>
      </c>
      <c r="S9" s="75">
        <f t="shared" si="6"/>
        <v>0</v>
      </c>
      <c r="T9" s="48"/>
      <c r="U9" s="225"/>
    </row>
    <row r="10" spans="1:75" ht="15" customHeight="1" x14ac:dyDescent="0.15">
      <c r="A10" s="3"/>
      <c r="B10" s="291" t="s">
        <v>82</v>
      </c>
      <c r="C10" s="292"/>
      <c r="D10" s="293"/>
      <c r="E10" s="43">
        <f>E7-E8+E9</f>
        <v>77847955</v>
      </c>
      <c r="F10" s="147">
        <f>E10/$E$10</f>
        <v>1</v>
      </c>
      <c r="G10" s="43">
        <f>G7-G8+G9</f>
        <v>45531641</v>
      </c>
      <c r="H10" s="99">
        <f t="shared" ref="H10:H48" si="7">G10/$G$10</f>
        <v>1</v>
      </c>
      <c r="I10" s="112">
        <f t="shared" si="1"/>
        <v>0.58487908898827212</v>
      </c>
      <c r="J10" s="47">
        <f>J7-J8+J9</f>
        <v>953885103</v>
      </c>
      <c r="K10" s="99">
        <f>J10/$J$10</f>
        <v>1</v>
      </c>
      <c r="L10" s="43">
        <f>L7-L8+L9</f>
        <v>455110986</v>
      </c>
      <c r="M10" s="99">
        <f>L10/$L$10</f>
        <v>1</v>
      </c>
      <c r="N10" s="112">
        <f t="shared" si="2"/>
        <v>0.47711300299025639</v>
      </c>
      <c r="O10" s="46"/>
      <c r="P10" s="43">
        <f>P7-P8+P9</f>
        <v>72895000</v>
      </c>
      <c r="Q10" s="2">
        <f t="shared" si="4"/>
        <v>1</v>
      </c>
      <c r="R10" s="47">
        <f>東大阪工場!R10+松原工場!R10</f>
        <v>634885000</v>
      </c>
      <c r="S10" s="204">
        <f t="shared" si="6"/>
        <v>1</v>
      </c>
      <c r="T10" s="48">
        <f t="shared" ref="T10:T64" si="8">L10-R10</f>
        <v>-179774014</v>
      </c>
      <c r="U10" s="225">
        <f t="shared" ref="U10:U75" si="9">IF(L10,L10/R10,"-")</f>
        <v>0.71684003559699783</v>
      </c>
    </row>
    <row r="11" spans="1:75" ht="15" customHeight="1" x14ac:dyDescent="0.15">
      <c r="A11" s="3"/>
      <c r="B11" s="148"/>
      <c r="C11" s="233" t="s">
        <v>32</v>
      </c>
      <c r="D11" s="175" t="s">
        <v>34</v>
      </c>
      <c r="E11" s="197"/>
      <c r="F11" s="134">
        <f t="shared" ref="F11:F83" si="10">E11/$E$10</f>
        <v>0</v>
      </c>
      <c r="G11" s="20"/>
      <c r="H11" s="101">
        <f t="shared" si="7"/>
        <v>0</v>
      </c>
      <c r="I11" s="87" t="str">
        <f t="shared" si="1"/>
        <v>-</v>
      </c>
      <c r="J11" s="84">
        <f>東大阪工場!J11+松原工場!J11</f>
        <v>19328505</v>
      </c>
      <c r="K11" s="102"/>
      <c r="L11" s="83">
        <f>東大阪工場!L11+松原工場!L11</f>
        <v>19224796</v>
      </c>
      <c r="M11" s="102"/>
      <c r="N11" s="76">
        <f t="shared" si="2"/>
        <v>0.99463440136730696</v>
      </c>
      <c r="O11" s="18"/>
      <c r="P11" s="205"/>
      <c r="Q11" s="66">
        <f t="shared" si="4"/>
        <v>0</v>
      </c>
      <c r="R11" s="22">
        <f t="shared" si="5"/>
        <v>0</v>
      </c>
      <c r="S11" s="87">
        <f t="shared" si="6"/>
        <v>0</v>
      </c>
      <c r="T11" s="48"/>
      <c r="U11" s="225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</row>
    <row r="12" spans="1:75" ht="15" customHeight="1" x14ac:dyDescent="0.15">
      <c r="A12" s="3"/>
      <c r="B12" s="148"/>
      <c r="C12" s="234"/>
      <c r="D12" s="226" t="s">
        <v>101</v>
      </c>
      <c r="E12" s="199">
        <f>東大阪工場!E12+松原工場!E12</f>
        <v>40042630</v>
      </c>
      <c r="F12" s="200">
        <f t="shared" ref="F12:F13" si="11">E12/$E$10</f>
        <v>0.51436970951902328</v>
      </c>
      <c r="G12" s="30">
        <f>東大阪工場!G12+松原工場!G12</f>
        <v>19378635</v>
      </c>
      <c r="H12" s="102">
        <f t="shared" ref="H12:H13" si="12">G12/$G$10</f>
        <v>0.42560809525841603</v>
      </c>
      <c r="I12" s="76">
        <f t="shared" ref="I12:I13" si="13">IF(E12,G12/E12,"-")</f>
        <v>0.48395010517540932</v>
      </c>
      <c r="J12" s="22">
        <f>東大阪工場!J12+松原工場!J12</f>
        <v>395010542</v>
      </c>
      <c r="K12" s="102">
        <f t="shared" ref="K12:K13" si="14">J12/$J$10</f>
        <v>0.41410704576230289</v>
      </c>
      <c r="L12" s="22">
        <f>東大阪工場!L12+松原工場!L12</f>
        <v>172034483</v>
      </c>
      <c r="M12" s="128">
        <f t="shared" ref="M12:M13" si="15">L12/$L$10</f>
        <v>0.3780055597251612</v>
      </c>
      <c r="N12" s="76">
        <f t="shared" ref="N12:N13" si="16">IF(J12,L12/J12,"-")</f>
        <v>0.43551871332082071</v>
      </c>
      <c r="O12" s="18"/>
      <c r="P12" s="206">
        <f>東大阪工場!P12+松原工場!P12</f>
        <v>0</v>
      </c>
      <c r="Q12" s="67">
        <f t="shared" ref="Q12:Q13" si="17">P12/$P$10</f>
        <v>0</v>
      </c>
      <c r="R12" s="22">
        <f>東大阪工場!R12+松原工場!R12</f>
        <v>0</v>
      </c>
      <c r="S12" s="87">
        <f t="shared" ref="S12:S13" si="18">R12/$R$10</f>
        <v>0</v>
      </c>
      <c r="T12" s="48"/>
      <c r="U12" s="225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</row>
    <row r="13" spans="1:75" ht="15" customHeight="1" x14ac:dyDescent="0.15">
      <c r="A13" s="3"/>
      <c r="B13" s="148"/>
      <c r="C13" s="234"/>
      <c r="D13" s="226" t="s">
        <v>102</v>
      </c>
      <c r="E13" s="199">
        <f>東大阪工場!E13+松原工場!E13</f>
        <v>6069360</v>
      </c>
      <c r="F13" s="200">
        <f t="shared" si="11"/>
        <v>7.7964283069478196E-2</v>
      </c>
      <c r="G13" s="30">
        <f>東大阪工場!G13+松原工場!G13</f>
        <v>0</v>
      </c>
      <c r="H13" s="102">
        <f t="shared" si="12"/>
        <v>0</v>
      </c>
      <c r="I13" s="76">
        <f t="shared" si="13"/>
        <v>0</v>
      </c>
      <c r="J13" s="22">
        <f>東大阪工場!J13+松原工場!J13</f>
        <v>137750845</v>
      </c>
      <c r="K13" s="102">
        <f t="shared" si="14"/>
        <v>0.14441031164735571</v>
      </c>
      <c r="L13" s="22">
        <f>東大阪工場!L13+松原工場!L13</f>
        <v>0</v>
      </c>
      <c r="M13" s="128">
        <f t="shared" si="15"/>
        <v>0</v>
      </c>
      <c r="N13" s="76">
        <f t="shared" si="16"/>
        <v>0</v>
      </c>
      <c r="O13" s="18"/>
      <c r="P13" s="206">
        <f>東大阪工場!P13+松原工場!P13</f>
        <v>0</v>
      </c>
      <c r="Q13" s="67">
        <f t="shared" si="17"/>
        <v>0</v>
      </c>
      <c r="R13" s="22">
        <f>東大阪工場!R13+松原工場!R13</f>
        <v>0</v>
      </c>
      <c r="S13" s="87">
        <f t="shared" si="18"/>
        <v>0</v>
      </c>
      <c r="T13" s="48"/>
      <c r="U13" s="225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</row>
    <row r="14" spans="1:75" ht="15" customHeight="1" x14ac:dyDescent="0.15">
      <c r="A14" s="3"/>
      <c r="B14" s="148"/>
      <c r="C14" s="234"/>
      <c r="D14" s="175" t="s">
        <v>100</v>
      </c>
      <c r="E14" s="199">
        <f>東大阪工場!E14+松原工場!E14</f>
        <v>46111990</v>
      </c>
      <c r="F14" s="200">
        <f t="shared" si="10"/>
        <v>0.5923339925885015</v>
      </c>
      <c r="G14" s="30">
        <f>東大阪工場!G14+松原工場!G14</f>
        <v>19378635</v>
      </c>
      <c r="H14" s="102">
        <f t="shared" si="7"/>
        <v>0.42560809525841603</v>
      </c>
      <c r="I14" s="76">
        <f t="shared" si="1"/>
        <v>0.42025154412117111</v>
      </c>
      <c r="J14" s="30">
        <f>東大阪工場!J14+松原工場!J14</f>
        <v>532761387</v>
      </c>
      <c r="K14" s="102">
        <f>J14/$J$10</f>
        <v>0.55851735740965858</v>
      </c>
      <c r="L14" s="30">
        <f>東大阪工場!L14+松原工場!L14</f>
        <v>172034483</v>
      </c>
      <c r="M14" s="128">
        <f>L14/$L$10</f>
        <v>0.3780055597251612</v>
      </c>
      <c r="N14" s="76">
        <f t="shared" si="2"/>
        <v>0.32291094512072815</v>
      </c>
      <c r="O14" s="18"/>
      <c r="P14" s="206">
        <f>東大阪工場!P14+松原工場!P14</f>
        <v>35599350</v>
      </c>
      <c r="Q14" s="67">
        <f t="shared" si="4"/>
        <v>0.48836477124631317</v>
      </c>
      <c r="R14" s="30">
        <f>東大阪工場!R14+松原工場!R14</f>
        <v>311774050</v>
      </c>
      <c r="S14" s="87">
        <f t="shared" si="6"/>
        <v>0.49107169014860957</v>
      </c>
      <c r="T14" s="48">
        <f t="shared" si="8"/>
        <v>-139739567</v>
      </c>
      <c r="U14" s="225">
        <f t="shared" si="9"/>
        <v>0.55179218090793636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</row>
    <row r="15" spans="1:75" ht="15" customHeight="1" x14ac:dyDescent="0.15">
      <c r="A15" s="3"/>
      <c r="B15" s="148"/>
      <c r="C15" s="234"/>
      <c r="D15" s="175" t="s">
        <v>35</v>
      </c>
      <c r="E15" s="179"/>
      <c r="F15" s="135">
        <f t="shared" si="10"/>
        <v>0</v>
      </c>
      <c r="G15" s="20"/>
      <c r="H15" s="102">
        <f t="shared" si="7"/>
        <v>0</v>
      </c>
      <c r="I15" s="76" t="str">
        <f t="shared" si="1"/>
        <v>-</v>
      </c>
      <c r="J15" s="84">
        <f>東大阪工場!J15+松原工場!J15</f>
        <v>27227369</v>
      </c>
      <c r="K15" s="102"/>
      <c r="L15" s="83">
        <f>東大阪工場!L15+松原工場!L15</f>
        <v>11725281</v>
      </c>
      <c r="M15" s="102"/>
      <c r="N15" s="77">
        <f t="shared" si="2"/>
        <v>0.43064318847700633</v>
      </c>
      <c r="O15" s="18"/>
      <c r="P15" s="205"/>
      <c r="Q15" s="67">
        <f t="shared" si="4"/>
        <v>0</v>
      </c>
      <c r="R15" s="22">
        <f t="shared" si="5"/>
        <v>0</v>
      </c>
      <c r="S15" s="87">
        <f t="shared" si="6"/>
        <v>0</v>
      </c>
      <c r="T15" s="48"/>
      <c r="U15" s="225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</row>
    <row r="16" spans="1:75" ht="15" customHeight="1" x14ac:dyDescent="0.15">
      <c r="A16" s="3"/>
      <c r="B16" s="148"/>
      <c r="C16" s="235"/>
      <c r="D16" s="189" t="s">
        <v>33</v>
      </c>
      <c r="E16" s="181">
        <f>E11+E14-E15</f>
        <v>46111990</v>
      </c>
      <c r="F16" s="133">
        <f>E16/$E$10</f>
        <v>0.5923339925885015</v>
      </c>
      <c r="G16" s="61">
        <f>G11+G14-G15</f>
        <v>19378635</v>
      </c>
      <c r="H16" s="100">
        <f t="shared" si="7"/>
        <v>0.42560809525841603</v>
      </c>
      <c r="I16" s="116">
        <f t="shared" si="1"/>
        <v>0.42025154412117111</v>
      </c>
      <c r="J16" s="61">
        <f>J11+J14-J15</f>
        <v>524862523</v>
      </c>
      <c r="K16" s="100">
        <f t="shared" ref="K16:K23" si="19">J16/$J$10</f>
        <v>0.55023662844643462</v>
      </c>
      <c r="L16" s="59">
        <f>L11+L14-L15</f>
        <v>179533998</v>
      </c>
      <c r="M16" s="100">
        <f t="shared" ref="M16:M23" si="20">L16/$L$10</f>
        <v>0.39448399076879237</v>
      </c>
      <c r="N16" s="116">
        <f>IF(J16,L16/J16,"-")</f>
        <v>0.34205909191958062</v>
      </c>
      <c r="O16" s="18"/>
      <c r="P16" s="207">
        <f>P11+P14-P15</f>
        <v>35599350</v>
      </c>
      <c r="Q16" s="60">
        <f t="shared" si="4"/>
        <v>0.48836477124631317</v>
      </c>
      <c r="R16" s="59">
        <f>R11+R14-R15</f>
        <v>311774050</v>
      </c>
      <c r="S16" s="208">
        <f t="shared" si="6"/>
        <v>0.49107169014860957</v>
      </c>
      <c r="T16" s="48">
        <f t="shared" si="8"/>
        <v>-132240052</v>
      </c>
      <c r="U16" s="225">
        <f t="shared" si="9"/>
        <v>0.5758465080721118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</row>
    <row r="17" spans="1:75" ht="15" customHeight="1" x14ac:dyDescent="0.15">
      <c r="A17" s="3"/>
      <c r="B17" s="148"/>
      <c r="C17" s="233" t="s">
        <v>36</v>
      </c>
      <c r="D17" s="175" t="s">
        <v>91</v>
      </c>
      <c r="E17" s="180">
        <f>東大阪工場!E17+松原工場!E17</f>
        <v>8414665</v>
      </c>
      <c r="F17" s="135">
        <f t="shared" si="10"/>
        <v>0.10809102178727752</v>
      </c>
      <c r="G17" s="180">
        <f>東大阪工場!G17+松原工場!G17</f>
        <v>6361757</v>
      </c>
      <c r="H17" s="102">
        <f t="shared" si="7"/>
        <v>0.1397216717930285</v>
      </c>
      <c r="I17" s="76">
        <f t="shared" si="1"/>
        <v>0.75603211773730739</v>
      </c>
      <c r="J17" s="22">
        <f>東大阪工場!J17+松原工場!J17</f>
        <v>73455869</v>
      </c>
      <c r="K17" s="102">
        <f t="shared" si="19"/>
        <v>7.7007040752580025E-2</v>
      </c>
      <c r="L17" s="22">
        <f>東大阪工場!L17+松原工場!L17</f>
        <v>63229017</v>
      </c>
      <c r="M17" s="128">
        <f t="shared" si="20"/>
        <v>0.13893098374909368</v>
      </c>
      <c r="N17" s="76">
        <f t="shared" si="2"/>
        <v>0.8607755630799222</v>
      </c>
      <c r="O17" s="18"/>
      <c r="P17" s="209">
        <f>東大阪工場!P17+松原工場!P17</f>
        <v>8115000</v>
      </c>
      <c r="Q17" s="67">
        <f t="shared" si="4"/>
        <v>0.11132450785376226</v>
      </c>
      <c r="R17" s="22">
        <f>東大阪工場!R17+松原工場!R17</f>
        <v>73035000</v>
      </c>
      <c r="S17" s="87">
        <f t="shared" si="6"/>
        <v>0.11503658142813265</v>
      </c>
      <c r="T17" s="48">
        <f t="shared" si="8"/>
        <v>-9805983</v>
      </c>
      <c r="U17" s="225">
        <f t="shared" si="9"/>
        <v>0.86573583898131035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</row>
    <row r="18" spans="1:75" ht="15" customHeight="1" x14ac:dyDescent="0.15">
      <c r="A18" s="3"/>
      <c r="B18" s="148"/>
      <c r="C18" s="234"/>
      <c r="D18" s="175" t="s">
        <v>92</v>
      </c>
      <c r="E18" s="180">
        <f>東大阪工場!E18+松原工場!E18</f>
        <v>1230000</v>
      </c>
      <c r="F18" s="135">
        <f t="shared" si="10"/>
        <v>1.5800029686072036E-2</v>
      </c>
      <c r="G18" s="180">
        <f>東大阪工場!G18+松原工場!G18</f>
        <v>1580000</v>
      </c>
      <c r="H18" s="103">
        <f t="shared" si="7"/>
        <v>3.470114332141027E-2</v>
      </c>
      <c r="I18" s="87">
        <f t="shared" si="1"/>
        <v>1.2845528455284554</v>
      </c>
      <c r="J18" s="22">
        <f>東大阪工場!J18+松原工場!J18</f>
        <v>11070000</v>
      </c>
      <c r="K18" s="102">
        <f t="shared" si="19"/>
        <v>1.1605171278159692E-2</v>
      </c>
      <c r="L18" s="22">
        <f>東大阪工場!L18+松原工場!L18</f>
        <v>14220000</v>
      </c>
      <c r="M18" s="128">
        <f t="shared" si="20"/>
        <v>3.1245125776858305E-2</v>
      </c>
      <c r="N18" s="76">
        <f t="shared" si="2"/>
        <v>1.2845528455284554</v>
      </c>
      <c r="O18" s="18"/>
      <c r="P18" s="209">
        <f>東大阪工場!P18+松原工場!P18</f>
        <v>1580000</v>
      </c>
      <c r="Q18" s="66">
        <f t="shared" si="4"/>
        <v>2.1675012003566776E-2</v>
      </c>
      <c r="R18" s="22">
        <f>東大阪工場!R18+松原工場!R18</f>
        <v>14220000</v>
      </c>
      <c r="S18" s="87">
        <f t="shared" si="6"/>
        <v>2.2397757074115784E-2</v>
      </c>
      <c r="T18" s="48">
        <f t="shared" si="8"/>
        <v>0</v>
      </c>
      <c r="U18" s="225">
        <f t="shared" si="9"/>
        <v>1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</row>
    <row r="19" spans="1:75" ht="15" customHeight="1" x14ac:dyDescent="0.15">
      <c r="A19" s="3"/>
      <c r="B19" s="148"/>
      <c r="C19" s="234"/>
      <c r="D19" s="175" t="s">
        <v>0</v>
      </c>
      <c r="E19" s="180">
        <f>東大阪工場!E19+松原工場!E19</f>
        <v>0</v>
      </c>
      <c r="F19" s="135">
        <f t="shared" si="10"/>
        <v>0</v>
      </c>
      <c r="G19" s="180">
        <f>東大阪工場!G19+松原工場!G19</f>
        <v>0</v>
      </c>
      <c r="H19" s="103">
        <f t="shared" si="7"/>
        <v>0</v>
      </c>
      <c r="I19" s="87" t="str">
        <f t="shared" si="1"/>
        <v>-</v>
      </c>
      <c r="J19" s="22">
        <f>東大阪工場!J19+松原工場!J19</f>
        <v>0</v>
      </c>
      <c r="K19" s="102">
        <f t="shared" si="19"/>
        <v>0</v>
      </c>
      <c r="L19" s="22">
        <f>東大阪工場!L19+松原工場!L19</f>
        <v>0</v>
      </c>
      <c r="M19" s="128">
        <f t="shared" si="20"/>
        <v>0</v>
      </c>
      <c r="N19" s="76" t="str">
        <f t="shared" si="2"/>
        <v>-</v>
      </c>
      <c r="O19" s="18"/>
      <c r="P19" s="209">
        <f>東大阪工場!P19+松原工場!P19</f>
        <v>0</v>
      </c>
      <c r="Q19" s="66">
        <f t="shared" si="4"/>
        <v>0</v>
      </c>
      <c r="R19" s="22">
        <f>東大阪工場!R19+松原工場!R19</f>
        <v>0</v>
      </c>
      <c r="S19" s="87">
        <f t="shared" si="6"/>
        <v>0</v>
      </c>
      <c r="T19" s="48">
        <f t="shared" si="8"/>
        <v>0</v>
      </c>
      <c r="U19" s="225" t="str">
        <f t="shared" si="9"/>
        <v>-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</row>
    <row r="20" spans="1:75" ht="15" customHeight="1" x14ac:dyDescent="0.15">
      <c r="A20" s="3"/>
      <c r="B20" s="148"/>
      <c r="C20" s="234"/>
      <c r="D20" s="175" t="s">
        <v>38</v>
      </c>
      <c r="E20" s="180">
        <f>東大阪工場!E20+松原工場!E20</f>
        <v>1146113</v>
      </c>
      <c r="F20" s="135">
        <f t="shared" si="10"/>
        <v>1.4722454815929332E-2</v>
      </c>
      <c r="G20" s="180">
        <f>東大阪工場!G20+松原工場!G20</f>
        <v>986751</v>
      </c>
      <c r="H20" s="103">
        <f t="shared" si="7"/>
        <v>2.1671764476927154E-2</v>
      </c>
      <c r="I20" s="87">
        <f t="shared" si="1"/>
        <v>0.86095437360888494</v>
      </c>
      <c r="J20" s="22">
        <f>東大阪工場!J20+松原工場!J20</f>
        <v>12510610</v>
      </c>
      <c r="K20" s="102">
        <f t="shared" si="19"/>
        <v>1.3115426544196696E-2</v>
      </c>
      <c r="L20" s="22">
        <f>東大阪工場!L20+松原工場!L20</f>
        <v>13705601</v>
      </c>
      <c r="M20" s="128">
        <f t="shared" si="20"/>
        <v>3.0114854225909635E-2</v>
      </c>
      <c r="N20" s="76">
        <f t="shared" si="2"/>
        <v>1.0955182041483189</v>
      </c>
      <c r="O20" s="18"/>
      <c r="P20" s="209">
        <f>東大阪工場!P20+松原工場!P20</f>
        <v>1140000</v>
      </c>
      <c r="Q20" s="67">
        <f t="shared" si="4"/>
        <v>1.5638932711434256E-2</v>
      </c>
      <c r="R20" s="22">
        <f>東大阪工場!R20+松原工場!R20</f>
        <v>13411000</v>
      </c>
      <c r="S20" s="87">
        <f t="shared" si="6"/>
        <v>2.1123510557030014E-2</v>
      </c>
      <c r="T20" s="48">
        <f t="shared" si="8"/>
        <v>294601</v>
      </c>
      <c r="U20" s="225">
        <f t="shared" si="9"/>
        <v>1.0219671165461188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</row>
    <row r="21" spans="1:75" ht="15" customHeight="1" x14ac:dyDescent="0.15">
      <c r="A21" s="3"/>
      <c r="B21" s="148"/>
      <c r="C21" s="234"/>
      <c r="D21" s="175" t="s">
        <v>39</v>
      </c>
      <c r="E21" s="180">
        <f>東大阪工場!E21+松原工場!E21</f>
        <v>353238</v>
      </c>
      <c r="F21" s="135">
        <f t="shared" si="10"/>
        <v>4.5375373058932633E-3</v>
      </c>
      <c r="G21" s="180">
        <f>東大阪工場!G21+松原工場!G21</f>
        <v>305103</v>
      </c>
      <c r="H21" s="102">
        <f t="shared" si="7"/>
        <v>6.7009005891090108E-3</v>
      </c>
      <c r="I21" s="76">
        <f t="shared" si="1"/>
        <v>0.86373210130280431</v>
      </c>
      <c r="J21" s="22">
        <f>東大阪工場!J21+松原工場!J21</f>
        <v>3216299</v>
      </c>
      <c r="K21" s="102">
        <f t="shared" si="19"/>
        <v>3.3717886880554417E-3</v>
      </c>
      <c r="L21" s="22">
        <f>東大阪工場!L21+松原工場!L21</f>
        <v>3106753</v>
      </c>
      <c r="M21" s="128">
        <f t="shared" si="20"/>
        <v>6.8263634488489365E-3</v>
      </c>
      <c r="N21" s="76">
        <f t="shared" si="2"/>
        <v>0.96594035566966874</v>
      </c>
      <c r="O21" s="18"/>
      <c r="P21" s="209">
        <f>東大阪工場!P21+松原工場!P21</f>
        <v>389500</v>
      </c>
      <c r="Q21" s="67">
        <f t="shared" si="4"/>
        <v>5.3433020097400372E-3</v>
      </c>
      <c r="R21" s="22">
        <f>東大阪工場!R21+松原工場!R21</f>
        <v>3420500</v>
      </c>
      <c r="S21" s="87">
        <f t="shared" si="6"/>
        <v>5.3875898784819295E-3</v>
      </c>
      <c r="T21" s="48">
        <f t="shared" si="8"/>
        <v>-313747</v>
      </c>
      <c r="U21" s="225">
        <f t="shared" si="9"/>
        <v>0.90827452126882036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</row>
    <row r="22" spans="1:75" ht="15" customHeight="1" x14ac:dyDescent="0.15">
      <c r="A22" s="3"/>
      <c r="B22" s="148"/>
      <c r="C22" s="234"/>
      <c r="D22" s="175" t="s">
        <v>93</v>
      </c>
      <c r="E22" s="180">
        <f>東大阪工場!E22+松原工場!E22</f>
        <v>1751633</v>
      </c>
      <c r="F22" s="135">
        <f t="shared" si="10"/>
        <v>2.2500693820409284E-2</v>
      </c>
      <c r="G22" s="180">
        <f>東大阪工場!G22+松原工場!G22</f>
        <v>1668400</v>
      </c>
      <c r="H22" s="102">
        <f t="shared" si="7"/>
        <v>3.6642650327494239E-2</v>
      </c>
      <c r="I22" s="76">
        <f t="shared" ref="I22:I23" si="21">IF(E22,G22/E22,"-")</f>
        <v>0.95248262621222601</v>
      </c>
      <c r="J22" s="22">
        <f>東大阪工場!J22+松原工場!J22</f>
        <v>19912526</v>
      </c>
      <c r="K22" s="102">
        <f t="shared" si="19"/>
        <v>2.0875182909738763E-2</v>
      </c>
      <c r="L22" s="22">
        <f>東大阪工場!L22+松原工場!L22</f>
        <v>14992046</v>
      </c>
      <c r="M22" s="128">
        <f t="shared" si="20"/>
        <v>3.2941516379918809E-2</v>
      </c>
      <c r="N22" s="76">
        <f t="shared" ref="N22:N23" si="22">IF(J22,L22/J22,"-")</f>
        <v>0.75289523790201207</v>
      </c>
      <c r="O22" s="18"/>
      <c r="P22" s="209">
        <f>東大阪工場!P22+松原工場!P22</f>
        <v>1680000</v>
      </c>
      <c r="Q22" s="67">
        <f t="shared" si="4"/>
        <v>2.3046848206324164E-2</v>
      </c>
      <c r="R22" s="22">
        <f>東大阪工場!R22+松原工場!R22</f>
        <v>15120000</v>
      </c>
      <c r="S22" s="87">
        <f t="shared" si="6"/>
        <v>2.3815336635768684E-2</v>
      </c>
      <c r="T22" s="48">
        <f t="shared" si="8"/>
        <v>-127954</v>
      </c>
      <c r="U22" s="225">
        <f t="shared" si="9"/>
        <v>0.99153743386243387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</row>
    <row r="23" spans="1:75" ht="15" customHeight="1" x14ac:dyDescent="0.15">
      <c r="A23" s="3"/>
      <c r="B23" s="148"/>
      <c r="C23" s="234"/>
      <c r="D23" s="175" t="s">
        <v>90</v>
      </c>
      <c r="E23" s="180">
        <f>東大阪工場!E23+松原工場!E23</f>
        <v>21500</v>
      </c>
      <c r="F23" s="135">
        <f t="shared" si="10"/>
        <v>2.7617938069150305E-4</v>
      </c>
      <c r="G23" s="180">
        <f>東大阪工場!G23+松原工場!G23</f>
        <v>21500</v>
      </c>
      <c r="H23" s="102">
        <f t="shared" si="7"/>
        <v>4.7219910215843088E-4</v>
      </c>
      <c r="I23" s="76">
        <f t="shared" si="21"/>
        <v>1</v>
      </c>
      <c r="J23" s="22">
        <f>東大阪工場!J23+松原工場!J23</f>
        <v>209000</v>
      </c>
      <c r="K23" s="102">
        <f t="shared" si="19"/>
        <v>2.1910395638079276E-4</v>
      </c>
      <c r="L23" s="22">
        <f>東大阪工場!L23+松原工場!L23</f>
        <v>172000</v>
      </c>
      <c r="M23" s="128">
        <f t="shared" si="20"/>
        <v>3.779297913937854E-4</v>
      </c>
      <c r="N23" s="76">
        <f t="shared" si="22"/>
        <v>0.82296650717703346</v>
      </c>
      <c r="O23" s="18"/>
      <c r="P23" s="209">
        <f>東大阪工場!P23+松原工場!P23</f>
        <v>65000</v>
      </c>
      <c r="Q23" s="67">
        <f t="shared" si="4"/>
        <v>8.9169353179230403E-4</v>
      </c>
      <c r="R23" s="22">
        <f>東大阪工場!R23+松原工場!R23</f>
        <v>433000</v>
      </c>
      <c r="S23" s="87">
        <f t="shared" si="6"/>
        <v>6.8201327799522751E-4</v>
      </c>
      <c r="T23" s="48">
        <f t="shared" si="8"/>
        <v>-261000</v>
      </c>
      <c r="U23" s="225">
        <f t="shared" si="9"/>
        <v>0.39722863741339492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</row>
    <row r="24" spans="1:75" ht="15" customHeight="1" x14ac:dyDescent="0.15">
      <c r="A24" s="3"/>
      <c r="B24" s="148"/>
      <c r="C24" s="235"/>
      <c r="D24" s="189" t="s">
        <v>37</v>
      </c>
      <c r="E24" s="181">
        <f>SUM(E17:E23)</f>
        <v>12917149</v>
      </c>
      <c r="F24" s="136">
        <f>E24/$E$10</f>
        <v>0.16592791679627295</v>
      </c>
      <c r="G24" s="62">
        <f>SUM(G17:G23)</f>
        <v>10923511</v>
      </c>
      <c r="H24" s="118">
        <f t="shared" si="7"/>
        <v>0.23991032961012759</v>
      </c>
      <c r="I24" s="117">
        <f t="shared" si="1"/>
        <v>0.84565959562748716</v>
      </c>
      <c r="J24" s="176">
        <f>SUM(J17:J23)</f>
        <v>120374304</v>
      </c>
      <c r="K24" s="118">
        <f t="shared" ref="K24:K59" si="23">J24/$J$10</f>
        <v>0.12619371412911143</v>
      </c>
      <c r="L24" s="64">
        <f>SUM(L17:L23)</f>
        <v>109425417</v>
      </c>
      <c r="M24" s="118">
        <f t="shared" ref="M24:M59" si="24">L24/$L$10</f>
        <v>0.24043677337202315</v>
      </c>
      <c r="N24" s="117">
        <f>IF(J24,L24/J24,"-")</f>
        <v>0.90904298811148265</v>
      </c>
      <c r="O24" s="55"/>
      <c r="P24" s="176">
        <f>SUM(P17:P23)</f>
        <v>12969500</v>
      </c>
      <c r="Q24" s="63">
        <f t="shared" si="4"/>
        <v>0.17792029631661979</v>
      </c>
      <c r="R24" s="64">
        <f>SUM(R17:R23)</f>
        <v>119639500</v>
      </c>
      <c r="S24" s="210">
        <f t="shared" si="6"/>
        <v>0.1884427888515243</v>
      </c>
      <c r="T24" s="48">
        <f t="shared" si="8"/>
        <v>-10214083</v>
      </c>
      <c r="U24" s="225">
        <f t="shared" si="9"/>
        <v>0.91462616443565881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</row>
    <row r="25" spans="1:75" ht="15" customHeight="1" x14ac:dyDescent="0.15">
      <c r="A25" s="3"/>
      <c r="B25" s="148"/>
      <c r="C25" s="288" t="s">
        <v>2</v>
      </c>
      <c r="D25" s="195" t="s">
        <v>40</v>
      </c>
      <c r="E25" s="180">
        <f>東大阪工場!E25+松原工場!E25</f>
        <v>255066</v>
      </c>
      <c r="F25" s="138">
        <f t="shared" si="10"/>
        <v>3.2764637169980892E-3</v>
      </c>
      <c r="G25" s="180">
        <f>東大阪工場!G25+松原工場!G25</f>
        <v>0</v>
      </c>
      <c r="H25" s="101">
        <f t="shared" si="7"/>
        <v>0</v>
      </c>
      <c r="I25" s="76">
        <f t="shared" si="1"/>
        <v>0</v>
      </c>
      <c r="J25" s="22">
        <f>東大阪工場!J25+松原工場!J25</f>
        <v>2566703</v>
      </c>
      <c r="K25" s="102">
        <f t="shared" si="23"/>
        <v>2.6907884313610042E-3</v>
      </c>
      <c r="L25" s="22">
        <f>東大阪工場!L25+松原工場!L25</f>
        <v>0</v>
      </c>
      <c r="M25" s="128">
        <f t="shared" si="24"/>
        <v>0</v>
      </c>
      <c r="N25" s="76">
        <f t="shared" si="2"/>
        <v>0</v>
      </c>
      <c r="O25" s="18"/>
      <c r="P25" s="209">
        <f>東大阪工場!P25+松原工場!P25</f>
        <v>0</v>
      </c>
      <c r="Q25" s="67">
        <f t="shared" si="4"/>
        <v>0</v>
      </c>
      <c r="R25" s="22">
        <f>東大阪工場!R25+松原工場!R25</f>
        <v>0</v>
      </c>
      <c r="S25" s="87">
        <f t="shared" si="6"/>
        <v>0</v>
      </c>
      <c r="T25" s="48">
        <f t="shared" si="8"/>
        <v>0</v>
      </c>
      <c r="U25" s="225" t="str">
        <f t="shared" si="9"/>
        <v>-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</row>
    <row r="26" spans="1:75" ht="15" customHeight="1" x14ac:dyDescent="0.15">
      <c r="A26" s="3"/>
      <c r="B26" s="148"/>
      <c r="C26" s="289"/>
      <c r="D26" s="195" t="s">
        <v>41</v>
      </c>
      <c r="E26" s="180">
        <f>東大阪工場!E26+松原工場!E26</f>
        <v>6336035</v>
      </c>
      <c r="F26" s="138">
        <f t="shared" si="10"/>
        <v>8.1389870806497094E-2</v>
      </c>
      <c r="G26" s="180">
        <f>東大阪工場!G26+松原工場!G26</f>
        <v>625065</v>
      </c>
      <c r="H26" s="101">
        <f t="shared" si="7"/>
        <v>1.3728145664681841E-2</v>
      </c>
      <c r="I26" s="76">
        <f t="shared" si="1"/>
        <v>9.8652390651251143E-2</v>
      </c>
      <c r="J26" s="22">
        <f>東大阪工場!J26+松原工場!J26</f>
        <v>45087987</v>
      </c>
      <c r="K26" s="102">
        <f t="shared" si="23"/>
        <v>4.7267733669596891E-2</v>
      </c>
      <c r="L26" s="22">
        <f>東大阪工場!L26+松原工場!L26</f>
        <v>5635236</v>
      </c>
      <c r="M26" s="128">
        <f t="shared" si="24"/>
        <v>1.2382113755434592E-2</v>
      </c>
      <c r="N26" s="76">
        <f t="shared" si="2"/>
        <v>0.1249830913941667</v>
      </c>
      <c r="O26" s="18"/>
      <c r="P26" s="209">
        <f>東大阪工場!P26+松原工場!P26</f>
        <v>540000</v>
      </c>
      <c r="Q26" s="67">
        <f t="shared" si="4"/>
        <v>7.4079154948899105E-3</v>
      </c>
      <c r="R26" s="22">
        <f>東大阪工場!R26+松原工場!R26</f>
        <v>4320000</v>
      </c>
      <c r="S26" s="87">
        <f t="shared" si="6"/>
        <v>6.8043818959339095E-3</v>
      </c>
      <c r="T26" s="48">
        <f t="shared" si="8"/>
        <v>1315236</v>
      </c>
      <c r="U26" s="225">
        <f t="shared" si="9"/>
        <v>1.3044527777777777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</row>
    <row r="27" spans="1:75" ht="15" customHeight="1" x14ac:dyDescent="0.15">
      <c r="A27" s="3"/>
      <c r="B27" s="148"/>
      <c r="C27" s="289"/>
      <c r="D27" s="195" t="s">
        <v>42</v>
      </c>
      <c r="E27" s="180">
        <f>東大阪工場!E27+松原工場!E27</f>
        <v>795120</v>
      </c>
      <c r="F27" s="134">
        <f t="shared" si="10"/>
        <v>1.0213755775601298E-2</v>
      </c>
      <c r="G27" s="180">
        <f>東大阪工場!G27+松原工場!G27</f>
        <v>520988</v>
      </c>
      <c r="H27" s="101">
        <f t="shared" si="7"/>
        <v>1.1442328643503098E-2</v>
      </c>
      <c r="I27" s="76">
        <f t="shared" si="1"/>
        <v>0.65523191467954522</v>
      </c>
      <c r="J27" s="22">
        <f>東大阪工場!J27+松原工場!J27</f>
        <v>7104315</v>
      </c>
      <c r="K27" s="102">
        <f t="shared" si="23"/>
        <v>7.4477680568201515E-3</v>
      </c>
      <c r="L27" s="22">
        <f>東大阪工場!L27+松原工場!L27</f>
        <v>5514458</v>
      </c>
      <c r="M27" s="128">
        <f t="shared" si="24"/>
        <v>1.2116732334824368E-2</v>
      </c>
      <c r="N27" s="76">
        <f t="shared" si="2"/>
        <v>0.77621248494752837</v>
      </c>
      <c r="O27" s="18"/>
      <c r="P27" s="209">
        <f>東大阪工場!P27+松原工場!P27</f>
        <v>880000</v>
      </c>
      <c r="Q27" s="67">
        <f t="shared" si="4"/>
        <v>1.2072158584265039E-2</v>
      </c>
      <c r="R27" s="22">
        <f>東大阪工場!R27+松原工場!R27</f>
        <v>7920000</v>
      </c>
      <c r="S27" s="87">
        <f t="shared" si="6"/>
        <v>1.24747001425455E-2</v>
      </c>
      <c r="T27" s="48">
        <f t="shared" si="8"/>
        <v>-2405542</v>
      </c>
      <c r="U27" s="225">
        <f t="shared" si="9"/>
        <v>0.69626994949494947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</row>
    <row r="28" spans="1:75" ht="15" customHeight="1" x14ac:dyDescent="0.15">
      <c r="A28" s="3"/>
      <c r="B28" s="148"/>
      <c r="C28" s="289"/>
      <c r="D28" s="195" t="s">
        <v>43</v>
      </c>
      <c r="E28" s="180">
        <f>東大阪工場!E28+松原工場!E28</f>
        <v>327780</v>
      </c>
      <c r="F28" s="134">
        <f t="shared" si="10"/>
        <v>4.210515228049343E-3</v>
      </c>
      <c r="G28" s="180">
        <f>東大阪工場!G28+松原工場!G28</f>
        <v>271390</v>
      </c>
      <c r="H28" s="101">
        <f t="shared" si="7"/>
        <v>5.9604704341756536E-3</v>
      </c>
      <c r="I28" s="76">
        <f t="shared" si="1"/>
        <v>0.82796387821099515</v>
      </c>
      <c r="J28" s="22">
        <f>東大阪工場!J28+松原工場!J28</f>
        <v>2755270</v>
      </c>
      <c r="K28" s="102">
        <f t="shared" si="23"/>
        <v>2.8884715688866358E-3</v>
      </c>
      <c r="L28" s="22">
        <f>東大阪工場!L28+松原工場!L28</f>
        <v>2526920</v>
      </c>
      <c r="M28" s="128">
        <f t="shared" si="24"/>
        <v>5.5523159794696759E-3</v>
      </c>
      <c r="N28" s="76">
        <f t="shared" si="2"/>
        <v>0.91712245986781693</v>
      </c>
      <c r="O28" s="18"/>
      <c r="P28" s="209">
        <f>東大阪工場!P28+松原工場!P28</f>
        <v>297000</v>
      </c>
      <c r="Q28" s="67">
        <f t="shared" si="4"/>
        <v>4.0743535221894507E-3</v>
      </c>
      <c r="R28" s="22">
        <f>東大阪工場!R28+松原工場!R28</f>
        <v>2673000</v>
      </c>
      <c r="S28" s="87">
        <f t="shared" si="6"/>
        <v>4.2102112981091061E-3</v>
      </c>
      <c r="T28" s="48">
        <f t="shared" si="8"/>
        <v>-146080</v>
      </c>
      <c r="U28" s="225">
        <f t="shared" si="9"/>
        <v>0.94534979423868315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</row>
    <row r="29" spans="1:75" ht="15" customHeight="1" x14ac:dyDescent="0.15">
      <c r="A29" s="3"/>
      <c r="B29" s="148"/>
      <c r="C29" s="289"/>
      <c r="D29" s="195" t="s">
        <v>44</v>
      </c>
      <c r="E29" s="180">
        <f>東大阪工場!E29+松原工場!E29</f>
        <v>655222</v>
      </c>
      <c r="F29" s="134">
        <f t="shared" si="10"/>
        <v>8.4166886593231641E-3</v>
      </c>
      <c r="G29" s="180">
        <f>東大阪工場!G29+松原工場!G29</f>
        <v>1441049</v>
      </c>
      <c r="H29" s="101">
        <f t="shared" si="7"/>
        <v>3.1649397393781614E-2</v>
      </c>
      <c r="I29" s="76">
        <f t="shared" si="1"/>
        <v>2.1993293875968756</v>
      </c>
      <c r="J29" s="22">
        <f>東大阪工場!J29+松原工場!J29</f>
        <v>12851096</v>
      </c>
      <c r="K29" s="102">
        <f t="shared" si="23"/>
        <v>1.3472373097748231E-2</v>
      </c>
      <c r="L29" s="22">
        <f>東大阪工場!L29+松原工場!L29</f>
        <v>10979797</v>
      </c>
      <c r="M29" s="128">
        <f t="shared" si="24"/>
        <v>2.412553714974483E-2</v>
      </c>
      <c r="N29" s="76">
        <f t="shared" si="2"/>
        <v>0.8543860383581291</v>
      </c>
      <c r="O29" s="18"/>
      <c r="P29" s="209">
        <f>東大阪工場!P29+松原工場!P29</f>
        <v>1230000</v>
      </c>
      <c r="Q29" s="67">
        <f t="shared" si="4"/>
        <v>1.6873585293915905E-2</v>
      </c>
      <c r="R29" s="22">
        <f>東大阪工場!R29+松原工場!R29</f>
        <v>9840000</v>
      </c>
      <c r="S29" s="87">
        <f t="shared" si="6"/>
        <v>1.5498869874071682E-2</v>
      </c>
      <c r="T29" s="48">
        <f t="shared" si="8"/>
        <v>1139797</v>
      </c>
      <c r="U29" s="225">
        <f>IF(L29,L29/R29,"-")</f>
        <v>1.1158330284552846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</row>
    <row r="30" spans="1:75" ht="15" customHeight="1" x14ac:dyDescent="0.15">
      <c r="A30" s="3"/>
      <c r="B30" s="148"/>
      <c r="C30" s="289"/>
      <c r="D30" s="195" t="s">
        <v>45</v>
      </c>
      <c r="E30" s="180">
        <f>東大阪工場!E30+松原工場!E30</f>
        <v>809919</v>
      </c>
      <c r="F30" s="134">
        <f t="shared" si="10"/>
        <v>1.0403857108385185E-2</v>
      </c>
      <c r="G30" s="180">
        <f>東大阪工場!G30+松原工場!G30</f>
        <v>166117</v>
      </c>
      <c r="H30" s="101">
        <f t="shared" si="7"/>
        <v>3.6483859652675379E-3</v>
      </c>
      <c r="I30" s="87">
        <f t="shared" si="1"/>
        <v>0.20510322637201991</v>
      </c>
      <c r="J30" s="22">
        <f>東大阪工場!J30+松原工場!J30</f>
        <v>11513601</v>
      </c>
      <c r="K30" s="102">
        <f t="shared" si="23"/>
        <v>1.2070217853061492E-2</v>
      </c>
      <c r="L30" s="22">
        <f>東大阪工場!L30+松原工場!L30</f>
        <v>2732857</v>
      </c>
      <c r="M30" s="128">
        <f t="shared" si="24"/>
        <v>6.004814394878176E-3</v>
      </c>
      <c r="N30" s="76">
        <f t="shared" si="2"/>
        <v>0.23735901565461578</v>
      </c>
      <c r="O30" s="18"/>
      <c r="P30" s="209">
        <f>東大阪工場!P30+松原工場!P30</f>
        <v>870000</v>
      </c>
      <c r="Q30" s="67">
        <f t="shared" si="4"/>
        <v>1.1934974963989299E-2</v>
      </c>
      <c r="R30" s="22">
        <f>東大阪工場!R30+松原工場!R30</f>
        <v>6960000</v>
      </c>
      <c r="S30" s="87">
        <f t="shared" si="6"/>
        <v>1.096261527678241E-2</v>
      </c>
      <c r="T30" s="48">
        <f t="shared" si="8"/>
        <v>-4227143</v>
      </c>
      <c r="U30" s="225">
        <f t="shared" si="9"/>
        <v>0.39265186781609196</v>
      </c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</row>
    <row r="31" spans="1:75" ht="15" customHeight="1" x14ac:dyDescent="0.15">
      <c r="A31" s="3"/>
      <c r="B31" s="148"/>
      <c r="C31" s="289"/>
      <c r="D31" s="195" t="s">
        <v>46</v>
      </c>
      <c r="E31" s="180">
        <f>東大阪工場!E31+松原工場!E31</f>
        <v>2680000</v>
      </c>
      <c r="F31" s="134">
        <f t="shared" si="10"/>
        <v>3.4426080942010613E-2</v>
      </c>
      <c r="G31" s="180">
        <f>東大阪工場!G31+松原工場!G31</f>
        <v>2470000</v>
      </c>
      <c r="H31" s="101">
        <f t="shared" si="7"/>
        <v>5.4247989875875549E-2</v>
      </c>
      <c r="I31" s="76">
        <f t="shared" si="1"/>
        <v>0.92164179104477617</v>
      </c>
      <c r="J31" s="22">
        <f>東大阪工場!J31+松原工場!J31</f>
        <v>24120000</v>
      </c>
      <c r="K31" s="102">
        <f t="shared" si="23"/>
        <v>2.5286064248347947E-2</v>
      </c>
      <c r="L31" s="22">
        <f>東大阪工場!L31+松原工場!L31</f>
        <v>22230000</v>
      </c>
      <c r="M31" s="128">
        <f t="shared" si="24"/>
        <v>4.8845228271417733E-2</v>
      </c>
      <c r="N31" s="76">
        <f t="shared" si="2"/>
        <v>0.92164179104477617</v>
      </c>
      <c r="O31" s="18"/>
      <c r="P31" s="209">
        <f>東大阪工場!P31+松原工場!P31</f>
        <v>2470000</v>
      </c>
      <c r="Q31" s="67">
        <f t="shared" si="4"/>
        <v>3.388435420810755E-2</v>
      </c>
      <c r="R31" s="22">
        <f>東大阪工場!R31+松原工場!R31</f>
        <v>22230000</v>
      </c>
      <c r="S31" s="87">
        <f t="shared" si="6"/>
        <v>3.5014215172826574E-2</v>
      </c>
      <c r="T31" s="48">
        <f t="shared" si="8"/>
        <v>0</v>
      </c>
      <c r="U31" s="225">
        <f t="shared" si="9"/>
        <v>1</v>
      </c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</row>
    <row r="32" spans="1:75" ht="15" customHeight="1" x14ac:dyDescent="0.15">
      <c r="A32" s="3"/>
      <c r="B32" s="148"/>
      <c r="C32" s="289"/>
      <c r="D32" s="195" t="s">
        <v>47</v>
      </c>
      <c r="E32" s="180">
        <f>東大阪工場!E32+松原工場!E32</f>
        <v>2150412</v>
      </c>
      <c r="F32" s="134">
        <f t="shared" si="10"/>
        <v>2.7623230436817511E-2</v>
      </c>
      <c r="G32" s="180">
        <f>東大阪工場!G32+松原工場!G32</f>
        <v>2150412</v>
      </c>
      <c r="H32" s="101">
        <f t="shared" si="7"/>
        <v>4.7228958868405377E-2</v>
      </c>
      <c r="I32" s="76">
        <f t="shared" si="1"/>
        <v>1</v>
      </c>
      <c r="J32" s="22">
        <f>東大阪工場!J32+松原工場!J32</f>
        <v>19223708</v>
      </c>
      <c r="K32" s="102">
        <f t="shared" si="23"/>
        <v>2.015306449334496E-2</v>
      </c>
      <c r="L32" s="22">
        <f>東大阪工場!L32+松原工場!L32</f>
        <v>19353708</v>
      </c>
      <c r="M32" s="128">
        <f t="shared" si="24"/>
        <v>4.2525248994978115E-2</v>
      </c>
      <c r="N32" s="76">
        <f t="shared" si="2"/>
        <v>1.0067624830755857</v>
      </c>
      <c r="O32" s="18"/>
      <c r="P32" s="209">
        <f>東大阪工場!P32+松原工場!P32</f>
        <v>2165000</v>
      </c>
      <c r="Q32" s="67">
        <f t="shared" si="4"/>
        <v>2.9700253789697512E-2</v>
      </c>
      <c r="R32" s="22">
        <f>東大阪工場!R32+松原工場!R32</f>
        <v>19485000</v>
      </c>
      <c r="S32" s="87">
        <f t="shared" si="6"/>
        <v>3.0690597509785238E-2</v>
      </c>
      <c r="T32" s="48">
        <f t="shared" si="8"/>
        <v>-131292</v>
      </c>
      <c r="U32" s="225">
        <f t="shared" si="9"/>
        <v>0.99326189376443419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</row>
    <row r="33" spans="1:75" ht="15" customHeight="1" x14ac:dyDescent="0.15">
      <c r="A33" s="3"/>
      <c r="B33" s="148"/>
      <c r="C33" s="289"/>
      <c r="D33" s="195" t="s">
        <v>22</v>
      </c>
      <c r="E33" s="180">
        <f>東大阪工場!E33+松原工場!E33</f>
        <v>50325</v>
      </c>
      <c r="F33" s="134">
        <f t="shared" ref="F33:F36" si="25">E33/$E$10</f>
        <v>6.4645243410697177E-4</v>
      </c>
      <c r="G33" s="180">
        <f>東大阪工場!G33+松原工場!G33</f>
        <v>50325</v>
      </c>
      <c r="H33" s="101">
        <f t="shared" si="7"/>
        <v>1.1052753402847923E-3</v>
      </c>
      <c r="I33" s="76">
        <f t="shared" ref="I33:I36" si="26">IF(E33,G33/E33,"-")</f>
        <v>1</v>
      </c>
      <c r="J33" s="22">
        <f>東大阪工場!J33+松原工場!J33</f>
        <v>401775</v>
      </c>
      <c r="K33" s="102">
        <f t="shared" si="23"/>
        <v>4.2119852667412924E-4</v>
      </c>
      <c r="L33" s="22">
        <f>東大阪工場!L33+松原工場!L33</f>
        <v>401775</v>
      </c>
      <c r="M33" s="128">
        <f t="shared" si="24"/>
        <v>8.8280663916998916E-4</v>
      </c>
      <c r="N33" s="76">
        <f t="shared" ref="N33:N36" si="27">IF(J33,L33/J33,"-")</f>
        <v>1</v>
      </c>
      <c r="O33" s="18"/>
      <c r="P33" s="209">
        <f>東大阪工場!P33+松原工場!P33</f>
        <v>50000</v>
      </c>
      <c r="Q33" s="67">
        <f t="shared" si="4"/>
        <v>6.8591810137869536E-4</v>
      </c>
      <c r="R33" s="22">
        <f>東大阪工場!R33+松原工場!R33</f>
        <v>450000</v>
      </c>
      <c r="S33" s="87">
        <f t="shared" si="6"/>
        <v>7.0878978082644889E-4</v>
      </c>
      <c r="T33" s="48">
        <f t="shared" ref="T33:T36" si="28">L33-R33</f>
        <v>-48225</v>
      </c>
      <c r="U33" s="225">
        <f t="shared" si="9"/>
        <v>0.89283333333333337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</row>
    <row r="34" spans="1:75" ht="15" customHeight="1" x14ac:dyDescent="0.15">
      <c r="A34" s="3"/>
      <c r="B34" s="148"/>
      <c r="C34" s="289"/>
      <c r="D34" s="195" t="s">
        <v>19</v>
      </c>
      <c r="E34" s="180">
        <f>東大阪工場!E34+松原工場!E34</f>
        <v>68119</v>
      </c>
      <c r="F34" s="134">
        <f t="shared" si="25"/>
        <v>8.7502619689881387E-4</v>
      </c>
      <c r="G34" s="180">
        <f>東大阪工場!G34+松原工場!G34</f>
        <v>34516</v>
      </c>
      <c r="H34" s="101">
        <f t="shared" si="7"/>
        <v>7.5806624233025119E-4</v>
      </c>
      <c r="I34" s="76">
        <f t="shared" si="26"/>
        <v>0.50670150765572008</v>
      </c>
      <c r="J34" s="22">
        <f>東大阪工場!J34+松原工場!J34</f>
        <v>613071</v>
      </c>
      <c r="K34" s="102">
        <f t="shared" si="23"/>
        <v>6.42709481542244E-4</v>
      </c>
      <c r="L34" s="22">
        <f>東大阪工場!L34+松原工場!L34</f>
        <v>310644</v>
      </c>
      <c r="M34" s="128">
        <f t="shared" si="24"/>
        <v>6.8256757045192487E-4</v>
      </c>
      <c r="N34" s="76">
        <f t="shared" si="27"/>
        <v>0.50670150765572008</v>
      </c>
      <c r="O34" s="18"/>
      <c r="P34" s="209">
        <f>東大阪工場!P34+松原工場!P34</f>
        <v>66000</v>
      </c>
      <c r="Q34" s="67">
        <f t="shared" si="4"/>
        <v>9.0541189381987788E-4</v>
      </c>
      <c r="R34" s="22">
        <f>東大阪工場!R34+松原工場!R34</f>
        <v>594000</v>
      </c>
      <c r="S34" s="87">
        <f t="shared" si="6"/>
        <v>9.3560251069091252E-4</v>
      </c>
      <c r="T34" s="48">
        <f t="shared" si="28"/>
        <v>-283356</v>
      </c>
      <c r="U34" s="225">
        <f t="shared" si="9"/>
        <v>0.52296969696969697</v>
      </c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</row>
    <row r="35" spans="1:75" ht="15" customHeight="1" x14ac:dyDescent="0.15">
      <c r="A35" s="3"/>
      <c r="B35" s="148"/>
      <c r="C35" s="289"/>
      <c r="D35" s="195" t="s">
        <v>48</v>
      </c>
      <c r="E35" s="180">
        <f>東大阪工場!E35+松原工場!E35</f>
        <v>23833</v>
      </c>
      <c r="F35" s="134">
        <f t="shared" si="25"/>
        <v>3.0614805488467873E-4</v>
      </c>
      <c r="G35" s="180">
        <f>東大阪工場!G35+松原工場!G35</f>
        <v>9933</v>
      </c>
      <c r="H35" s="101">
        <f t="shared" si="7"/>
        <v>2.1815598519719508E-4</v>
      </c>
      <c r="I35" s="76">
        <f t="shared" si="26"/>
        <v>0.41677505979104601</v>
      </c>
      <c r="J35" s="22">
        <f>東大阪工場!J35+松原工場!J35</f>
        <v>163186</v>
      </c>
      <c r="K35" s="102">
        <f t="shared" si="23"/>
        <v>1.710751111289763E-4</v>
      </c>
      <c r="L35" s="22">
        <f>東大阪工場!L35+松原工場!L35</f>
        <v>572297</v>
      </c>
      <c r="M35" s="128">
        <f t="shared" si="24"/>
        <v>1.2574888710772628E-3</v>
      </c>
      <c r="N35" s="76">
        <f t="shared" si="27"/>
        <v>3.507022661257706</v>
      </c>
      <c r="O35" s="18"/>
      <c r="P35" s="209">
        <f>東大阪工場!P35+松原工場!P35</f>
        <v>27000</v>
      </c>
      <c r="Q35" s="67">
        <f t="shared" si="4"/>
        <v>3.7039577474449553E-4</v>
      </c>
      <c r="R35" s="22">
        <f>東大阪工場!R35+松原工場!R35</f>
        <v>243000</v>
      </c>
      <c r="S35" s="87">
        <f t="shared" si="6"/>
        <v>3.8274648164628237E-4</v>
      </c>
      <c r="T35" s="48">
        <f t="shared" si="28"/>
        <v>329297</v>
      </c>
      <c r="U35" s="225">
        <f t="shared" si="9"/>
        <v>2.3551316872427983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</row>
    <row r="36" spans="1:75" ht="15" customHeight="1" x14ac:dyDescent="0.15">
      <c r="A36" s="3"/>
      <c r="B36" s="148"/>
      <c r="C36" s="289"/>
      <c r="D36" s="195" t="s">
        <v>49</v>
      </c>
      <c r="E36" s="180">
        <f>東大阪工場!E36+松原工場!E36</f>
        <v>440000</v>
      </c>
      <c r="F36" s="134">
        <f t="shared" si="25"/>
        <v>5.652043139733086E-3</v>
      </c>
      <c r="G36" s="180">
        <f>東大阪工場!G36+松原工場!G36</f>
        <v>0</v>
      </c>
      <c r="H36" s="101">
        <f t="shared" si="7"/>
        <v>0</v>
      </c>
      <c r="I36" s="76">
        <f t="shared" si="26"/>
        <v>0</v>
      </c>
      <c r="J36" s="22">
        <f>東大阪工場!J36+松原工場!J36</f>
        <v>3909928</v>
      </c>
      <c r="K36" s="102">
        <f t="shared" si="23"/>
        <v>4.0989506888231587E-3</v>
      </c>
      <c r="L36" s="22">
        <f>東大阪工場!L36+松原工場!L36</f>
        <v>462000</v>
      </c>
      <c r="M36" s="128">
        <f t="shared" si="24"/>
        <v>1.0151369978135399E-3</v>
      </c>
      <c r="N36" s="76">
        <f t="shared" si="27"/>
        <v>0.11816074362494655</v>
      </c>
      <c r="O36" s="18"/>
      <c r="P36" s="209">
        <f>東大阪工場!P36+松原工場!P36</f>
        <v>400000</v>
      </c>
      <c r="Q36" s="67">
        <f t="shared" si="4"/>
        <v>5.4873448110295629E-3</v>
      </c>
      <c r="R36" s="22">
        <f>東大阪工場!R36+松原工場!R36</f>
        <v>3600000</v>
      </c>
      <c r="S36" s="87">
        <f t="shared" si="6"/>
        <v>5.6703182466115911E-3</v>
      </c>
      <c r="T36" s="48">
        <f t="shared" si="28"/>
        <v>-3138000</v>
      </c>
      <c r="U36" s="225">
        <f t="shared" si="9"/>
        <v>0.12833333333333333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</row>
    <row r="37" spans="1:75" ht="15" customHeight="1" x14ac:dyDescent="0.15">
      <c r="A37" s="3"/>
      <c r="B37" s="148"/>
      <c r="C37" s="289"/>
      <c r="D37" s="195" t="s">
        <v>94</v>
      </c>
      <c r="E37" s="180">
        <f>東大阪工場!E37+松原工場!E37</f>
        <v>352000</v>
      </c>
      <c r="F37" s="134">
        <f t="shared" ref="F37" si="29">E37/$E$10</f>
        <v>4.5216345117864692E-3</v>
      </c>
      <c r="G37" s="180">
        <f>東大阪工場!G37+松原工場!G37</f>
        <v>167000</v>
      </c>
      <c r="H37" s="101">
        <f t="shared" si="7"/>
        <v>3.6677790725794398E-3</v>
      </c>
      <c r="I37" s="76">
        <f t="shared" ref="I37" si="30">IF(E37,G37/E37,"-")</f>
        <v>0.47443181818181818</v>
      </c>
      <c r="J37" s="22">
        <f>東大阪工場!J37+松原工場!J37</f>
        <v>2333000</v>
      </c>
      <c r="K37" s="102">
        <f t="shared" si="23"/>
        <v>2.4457872260114331E-3</v>
      </c>
      <c r="L37" s="22">
        <f>東大阪工場!L37+松原工場!L37</f>
        <v>2428000</v>
      </c>
      <c r="M37" s="128">
        <f t="shared" si="24"/>
        <v>5.3349624040936686E-3</v>
      </c>
      <c r="N37" s="76">
        <f t="shared" ref="N37" si="31">IF(J37,L37/J37,"-")</f>
        <v>1.0407201028718389</v>
      </c>
      <c r="O37" s="18"/>
      <c r="P37" s="209">
        <f>東大阪工場!P37+松原工場!P37</f>
        <v>167000</v>
      </c>
      <c r="Q37" s="67">
        <f t="shared" si="4"/>
        <v>2.2909664586048427E-3</v>
      </c>
      <c r="R37" s="22">
        <f>東大阪工場!R37+松原工場!R37</f>
        <v>2428000</v>
      </c>
      <c r="S37" s="87">
        <f t="shared" si="6"/>
        <v>3.8243146396591508E-3</v>
      </c>
      <c r="T37" s="48">
        <f t="shared" ref="T37:T39" si="32">L37-R37</f>
        <v>0</v>
      </c>
      <c r="U37" s="225">
        <f t="shared" ref="U37:U39" si="33">IF(L37,L37/R37,"-")</f>
        <v>1</v>
      </c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</row>
    <row r="38" spans="1:75" ht="15" customHeight="1" x14ac:dyDescent="0.15">
      <c r="A38" s="3"/>
      <c r="B38" s="148"/>
      <c r="C38" s="289"/>
      <c r="D38" s="195" t="s">
        <v>18</v>
      </c>
      <c r="E38" s="180">
        <f>東大阪工場!E38+松原工場!E38</f>
        <v>0</v>
      </c>
      <c r="F38" s="134">
        <f t="shared" ref="F38:F39" si="34">E38/$E$10</f>
        <v>0</v>
      </c>
      <c r="G38" s="180">
        <f>東大阪工場!G38+松原工場!G38</f>
        <v>50050</v>
      </c>
      <c r="H38" s="101">
        <f t="shared" ref="H38:H39" si="35">G38/$G$10</f>
        <v>1.0992355843269519E-3</v>
      </c>
      <c r="I38" s="76" t="str">
        <f t="shared" ref="I38:I39" si="36">IF(E38,G38/E38,"-")</f>
        <v>-</v>
      </c>
      <c r="J38" s="22">
        <f>東大阪工場!J38+松原工場!J38</f>
        <v>0</v>
      </c>
      <c r="K38" s="102">
        <f t="shared" ref="K38:K39" si="37">J38/$J$10</f>
        <v>0</v>
      </c>
      <c r="L38" s="22">
        <f>東大阪工場!L38+松原工場!L38</f>
        <v>450450</v>
      </c>
      <c r="M38" s="128">
        <f t="shared" ref="M38:M39" si="38">L38/$L$10</f>
        <v>9.8975857286820153E-4</v>
      </c>
      <c r="N38" s="76" t="str">
        <f t="shared" ref="N38:N39" si="39">IF(J38,L38/J38,"-")</f>
        <v>-</v>
      </c>
      <c r="O38" s="18"/>
      <c r="P38" s="209">
        <f>東大阪工場!P38+松原工場!P38</f>
        <v>75000</v>
      </c>
      <c r="Q38" s="67">
        <f t="shared" ref="Q38:Q39" si="40">P38/$P$10</f>
        <v>1.0288771520680431E-3</v>
      </c>
      <c r="R38" s="22">
        <f>東大阪工場!R38+松原工場!R38</f>
        <v>675000</v>
      </c>
      <c r="S38" s="87">
        <f t="shared" ref="S38:S39" si="41">R38/$R$10</f>
        <v>1.0631846712396732E-3</v>
      </c>
      <c r="T38" s="48">
        <f>L38-R38</f>
        <v>-224550</v>
      </c>
      <c r="U38" s="225">
        <f>IF(L38,L38/R38,"-")</f>
        <v>0.66733333333333333</v>
      </c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</row>
    <row r="39" spans="1:75" ht="15" customHeight="1" x14ac:dyDescent="0.15">
      <c r="A39" s="3"/>
      <c r="B39" s="148"/>
      <c r="C39" s="289"/>
      <c r="D39" s="195" t="s">
        <v>104</v>
      </c>
      <c r="E39" s="180">
        <f>東大阪工場!E39+松原工場!E39</f>
        <v>0</v>
      </c>
      <c r="F39" s="134">
        <f t="shared" si="34"/>
        <v>0</v>
      </c>
      <c r="G39" s="180">
        <f>東大阪工場!G39+松原工場!G39</f>
        <v>0</v>
      </c>
      <c r="H39" s="101">
        <f t="shared" si="35"/>
        <v>0</v>
      </c>
      <c r="I39" s="76" t="str">
        <f t="shared" si="36"/>
        <v>-</v>
      </c>
      <c r="J39" s="22">
        <f>東大阪工場!J39+松原工場!J39</f>
        <v>0</v>
      </c>
      <c r="K39" s="102">
        <f t="shared" si="37"/>
        <v>0</v>
      </c>
      <c r="L39" s="22">
        <f>東大阪工場!L39+松原工場!L39</f>
        <v>0</v>
      </c>
      <c r="M39" s="128">
        <f t="shared" si="38"/>
        <v>0</v>
      </c>
      <c r="N39" s="76" t="str">
        <f t="shared" si="39"/>
        <v>-</v>
      </c>
      <c r="O39" s="18"/>
      <c r="P39" s="209">
        <f>東大阪工場!P39+松原工場!P39</f>
        <v>0</v>
      </c>
      <c r="Q39" s="67">
        <f t="shared" si="40"/>
        <v>0</v>
      </c>
      <c r="R39" s="22">
        <f>東大阪工場!R39+松原工場!R39</f>
        <v>0</v>
      </c>
      <c r="S39" s="87">
        <f t="shared" si="41"/>
        <v>0</v>
      </c>
      <c r="T39" s="48">
        <f t="shared" si="32"/>
        <v>0</v>
      </c>
      <c r="U39" s="225" t="str">
        <f t="shared" si="33"/>
        <v>-</v>
      </c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</row>
    <row r="40" spans="1:75" ht="15" customHeight="1" x14ac:dyDescent="0.15">
      <c r="A40" s="3"/>
      <c r="B40" s="148"/>
      <c r="C40" s="290"/>
      <c r="D40" s="190" t="s">
        <v>3</v>
      </c>
      <c r="E40" s="183">
        <f>SUM(E25:E39)</f>
        <v>14943831</v>
      </c>
      <c r="F40" s="137">
        <f>E40/$E$10</f>
        <v>0.19196176701109233</v>
      </c>
      <c r="G40" s="183">
        <f>SUM(G25:G39)</f>
        <v>7956845</v>
      </c>
      <c r="H40" s="104">
        <f t="shared" si="7"/>
        <v>0.17475418907040929</v>
      </c>
      <c r="I40" s="116">
        <f t="shared" si="1"/>
        <v>0.53245014615060893</v>
      </c>
      <c r="J40" s="183">
        <f>SUM(J25:J39)</f>
        <v>132643640</v>
      </c>
      <c r="K40" s="196">
        <f t="shared" si="23"/>
        <v>0.13905620245334727</v>
      </c>
      <c r="L40" s="183">
        <f>SUM(L25:L39)</f>
        <v>73598142</v>
      </c>
      <c r="M40" s="104">
        <f t="shared" si="24"/>
        <v>0.16171471193622208</v>
      </c>
      <c r="N40" s="116">
        <f>IF(J40,L40/J40,"-")</f>
        <v>0.55485616950801409</v>
      </c>
      <c r="O40" s="55"/>
      <c r="P40" s="211">
        <f>SUM(P25:P39)</f>
        <v>9237000</v>
      </c>
      <c r="Q40" s="60">
        <f t="shared" si="4"/>
        <v>0.12671651004870019</v>
      </c>
      <c r="R40" s="183">
        <f>SUM(R25:R39)</f>
        <v>81418000</v>
      </c>
      <c r="S40" s="210">
        <f t="shared" si="6"/>
        <v>0.12824054750072847</v>
      </c>
      <c r="T40" s="48">
        <f>L40-R40</f>
        <v>-7819858</v>
      </c>
      <c r="U40" s="225">
        <f>IF(L40,L40/R40,"-")</f>
        <v>0.90395418703480801</v>
      </c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</row>
    <row r="41" spans="1:75" ht="15" customHeight="1" x14ac:dyDescent="0.15">
      <c r="A41" s="3"/>
      <c r="B41" s="271" t="s">
        <v>6</v>
      </c>
      <c r="C41" s="272"/>
      <c r="D41" s="191" t="s">
        <v>83</v>
      </c>
      <c r="E41" s="184">
        <f>E16+E24+E40</f>
        <v>73972970</v>
      </c>
      <c r="F41" s="132">
        <f>E41/$E$10</f>
        <v>0.9502236763958668</v>
      </c>
      <c r="G41" s="49">
        <f>G16+G24+G40</f>
        <v>38258991</v>
      </c>
      <c r="H41" s="124">
        <f t="shared" si="7"/>
        <v>0.84027261393895292</v>
      </c>
      <c r="I41" s="119">
        <f t="shared" si="1"/>
        <v>0.51720231051963983</v>
      </c>
      <c r="J41" s="51">
        <f>J40+J24+J16</f>
        <v>777880467</v>
      </c>
      <c r="K41" s="130">
        <f t="shared" si="23"/>
        <v>0.81548654502889328</v>
      </c>
      <c r="L41" s="45">
        <f>L16+L24+L40</f>
        <v>362557557</v>
      </c>
      <c r="M41" s="130">
        <f t="shared" si="24"/>
        <v>0.79663547607703766</v>
      </c>
      <c r="N41" s="127">
        <f>IF(J41,L41/J41,"-")</f>
        <v>0.46608389383815185</v>
      </c>
      <c r="O41" s="46"/>
      <c r="P41" s="212">
        <f>P40+P24+P16</f>
        <v>57805850</v>
      </c>
      <c r="Q41" s="50">
        <f t="shared" si="4"/>
        <v>0.79300157761163315</v>
      </c>
      <c r="R41" s="51">
        <f>R40+R24+R16</f>
        <v>512831550</v>
      </c>
      <c r="S41" s="213">
        <f t="shared" si="6"/>
        <v>0.80775502650086239</v>
      </c>
      <c r="T41" s="48">
        <f t="shared" si="8"/>
        <v>-150273993</v>
      </c>
      <c r="U41" s="225">
        <f t="shared" si="9"/>
        <v>0.70697202034469209</v>
      </c>
    </row>
    <row r="42" spans="1:75" ht="15" customHeight="1" x14ac:dyDescent="0.15">
      <c r="A42" s="3"/>
      <c r="B42" s="251" t="s">
        <v>50</v>
      </c>
      <c r="C42" s="252"/>
      <c r="D42" s="253"/>
      <c r="E42" s="177">
        <f>E10-E41</f>
        <v>3874985</v>
      </c>
      <c r="F42" s="139">
        <f t="shared" si="10"/>
        <v>4.9776323604133213E-2</v>
      </c>
      <c r="G42" s="17">
        <f>G10-G41</f>
        <v>7272650</v>
      </c>
      <c r="H42" s="96">
        <f t="shared" si="7"/>
        <v>0.15972738606104708</v>
      </c>
      <c r="I42" s="112">
        <f t="shared" si="1"/>
        <v>1.8768201683361354</v>
      </c>
      <c r="J42" s="69">
        <f>J10-J41</f>
        <v>176004636</v>
      </c>
      <c r="K42" s="164">
        <f t="shared" si="23"/>
        <v>0.18451345497110672</v>
      </c>
      <c r="L42" s="17">
        <f>L10-L41</f>
        <v>92553429</v>
      </c>
      <c r="M42" s="96">
        <f t="shared" si="24"/>
        <v>0.20336452392296239</v>
      </c>
      <c r="N42" s="112">
        <f t="shared" si="2"/>
        <v>0.52585790410657141</v>
      </c>
      <c r="O42" s="46"/>
      <c r="P42" s="214">
        <f>P10-P41</f>
        <v>15089150</v>
      </c>
      <c r="Q42" s="2">
        <f t="shared" si="4"/>
        <v>0.20699842238836683</v>
      </c>
      <c r="R42" s="69">
        <f>R10-R41</f>
        <v>122053450</v>
      </c>
      <c r="S42" s="204">
        <f t="shared" si="6"/>
        <v>0.19224497349913763</v>
      </c>
      <c r="T42" s="48">
        <f t="shared" si="8"/>
        <v>-29500021</v>
      </c>
      <c r="U42" s="225">
        <f t="shared" si="9"/>
        <v>0.75830244044719752</v>
      </c>
    </row>
    <row r="43" spans="1:75" ht="15" customHeight="1" x14ac:dyDescent="0.15">
      <c r="A43" s="3"/>
      <c r="B43" s="254" t="s">
        <v>51</v>
      </c>
      <c r="C43" s="255"/>
      <c r="D43" s="192" t="s">
        <v>53</v>
      </c>
      <c r="E43" s="180">
        <f>東大阪工場!E43+松原工場!E43</f>
        <v>1571000</v>
      </c>
      <c r="F43" s="141">
        <f t="shared" si="10"/>
        <v>2.0180363119365177E-2</v>
      </c>
      <c r="G43" s="180">
        <f>東大阪工場!G43+松原工場!G43</f>
        <v>1271000</v>
      </c>
      <c r="H43" s="106">
        <f t="shared" si="7"/>
        <v>2.7914653899691427E-2</v>
      </c>
      <c r="I43" s="88">
        <f t="shared" si="1"/>
        <v>0.80903882877148314</v>
      </c>
      <c r="J43" s="22">
        <f>東大阪工場!J43+松原工場!J43</f>
        <v>14139000</v>
      </c>
      <c r="K43" s="166">
        <f t="shared" si="23"/>
        <v>1.4822539900803965E-2</v>
      </c>
      <c r="L43" s="22">
        <f>東大阪工場!L43+松原工場!L43</f>
        <v>11439000</v>
      </c>
      <c r="M43" s="128">
        <f t="shared" si="24"/>
        <v>2.5134528393915764E-2</v>
      </c>
      <c r="N43" s="78">
        <f>IF(J43,L43/J43,"-")</f>
        <v>0.80903882877148314</v>
      </c>
      <c r="O43" s="18"/>
      <c r="P43" s="209">
        <f>東大阪工場!P43+松原工場!P43</f>
        <v>1271000</v>
      </c>
      <c r="Q43" s="33">
        <f t="shared" si="4"/>
        <v>1.7436038137046438E-2</v>
      </c>
      <c r="R43" s="22">
        <f>東大阪工場!R43+松原工場!R43</f>
        <v>11439000</v>
      </c>
      <c r="S43" s="88">
        <f t="shared" si="6"/>
        <v>1.8017436228608331E-2</v>
      </c>
      <c r="T43" s="48">
        <f t="shared" si="8"/>
        <v>0</v>
      </c>
      <c r="U43" s="225">
        <f t="shared" si="9"/>
        <v>1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</row>
    <row r="44" spans="1:75" ht="15" customHeight="1" x14ac:dyDescent="0.15">
      <c r="A44" s="3"/>
      <c r="B44" s="256"/>
      <c r="C44" s="257"/>
      <c r="D44" s="192" t="s">
        <v>7</v>
      </c>
      <c r="E44" s="180">
        <f>東大阪工場!E44+松原工場!E44</f>
        <v>220000</v>
      </c>
      <c r="F44" s="141">
        <f t="shared" si="10"/>
        <v>2.826021569866543E-3</v>
      </c>
      <c r="G44" s="180">
        <f>東大阪工場!G44+松原工場!G44</f>
        <v>300000</v>
      </c>
      <c r="H44" s="106">
        <f t="shared" si="7"/>
        <v>6.5888246812804306E-3</v>
      </c>
      <c r="I44" s="88">
        <f t="shared" si="1"/>
        <v>1.3636363636363635</v>
      </c>
      <c r="J44" s="22">
        <f>東大阪工場!J44+松原工場!J44</f>
        <v>1980000</v>
      </c>
      <c r="K44" s="166">
        <f t="shared" si="23"/>
        <v>2.0757216920285629E-3</v>
      </c>
      <c r="L44" s="22">
        <f>東大阪工場!L44+松原工場!L44</f>
        <v>2700000</v>
      </c>
      <c r="M44" s="128">
        <f t="shared" si="24"/>
        <v>5.9326188183908175E-3</v>
      </c>
      <c r="N44" s="78">
        <f t="shared" si="2"/>
        <v>1.3636363636363635</v>
      </c>
      <c r="O44" s="18"/>
      <c r="P44" s="209">
        <f>東大阪工場!P44+松原工場!P44</f>
        <v>300000</v>
      </c>
      <c r="Q44" s="33">
        <f t="shared" si="4"/>
        <v>4.1155086082721726E-3</v>
      </c>
      <c r="R44" s="22">
        <f>東大阪工場!R44+松原工場!R44</f>
        <v>2700000</v>
      </c>
      <c r="S44" s="88">
        <f t="shared" si="6"/>
        <v>4.2527386849586929E-3</v>
      </c>
      <c r="T44" s="48">
        <f t="shared" si="8"/>
        <v>0</v>
      </c>
      <c r="U44" s="225">
        <f t="shared" si="9"/>
        <v>1</v>
      </c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</row>
    <row r="45" spans="1:75" ht="15" customHeight="1" x14ac:dyDescent="0.15">
      <c r="A45" s="3"/>
      <c r="B45" s="256"/>
      <c r="C45" s="257"/>
      <c r="D45" s="192" t="s">
        <v>8</v>
      </c>
      <c r="E45" s="180">
        <f>東大阪工場!E45+松原工場!E45</f>
        <v>208968</v>
      </c>
      <c r="F45" s="141">
        <f t="shared" si="10"/>
        <v>2.684309433690326E-3</v>
      </c>
      <c r="G45" s="180">
        <f>東大阪工場!G45+松原工場!G45</f>
        <v>214210</v>
      </c>
      <c r="H45" s="106">
        <f t="shared" si="7"/>
        <v>4.704640449923604E-3</v>
      </c>
      <c r="I45" s="88">
        <f t="shared" si="1"/>
        <v>1.0250851805061063</v>
      </c>
      <c r="J45" s="22">
        <f>東大阪工場!J45+松原工場!J45</f>
        <v>1958557</v>
      </c>
      <c r="K45" s="166">
        <f t="shared" si="23"/>
        <v>2.0532420454416091E-3</v>
      </c>
      <c r="L45" s="22">
        <f>東大阪工場!L45+松原工場!L45</f>
        <v>1930249</v>
      </c>
      <c r="M45" s="128">
        <f t="shared" si="24"/>
        <v>4.241270941325947E-3</v>
      </c>
      <c r="N45" s="78">
        <f t="shared" ref="N45:N79" si="42">IF(J45,L45/J45,"-")</f>
        <v>0.98554650183783266</v>
      </c>
      <c r="O45" s="18"/>
      <c r="P45" s="209">
        <f>東大阪工場!P45+松原工場!P45</f>
        <v>211000</v>
      </c>
      <c r="Q45" s="33">
        <f t="shared" si="4"/>
        <v>2.8945743878180945E-3</v>
      </c>
      <c r="R45" s="22">
        <f>東大阪工場!R45+松原工場!R45</f>
        <v>1899000</v>
      </c>
      <c r="S45" s="88">
        <f t="shared" si="6"/>
        <v>2.9910928750876142E-3</v>
      </c>
      <c r="T45" s="48">
        <f t="shared" si="8"/>
        <v>31249</v>
      </c>
      <c r="U45" s="225">
        <f t="shared" si="9"/>
        <v>1.0164555028962612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</row>
    <row r="46" spans="1:75" ht="15" customHeight="1" x14ac:dyDescent="0.15">
      <c r="A46" s="3"/>
      <c r="B46" s="256"/>
      <c r="C46" s="257"/>
      <c r="D46" s="192" t="s">
        <v>9</v>
      </c>
      <c r="E46" s="180">
        <f>東大阪工場!E46+松原工場!E46</f>
        <v>20000</v>
      </c>
      <c r="F46" s="141">
        <f t="shared" si="10"/>
        <v>2.5691105180604938E-4</v>
      </c>
      <c r="G46" s="180">
        <f>東大阪工場!G46+松原工場!G46</f>
        <v>53000</v>
      </c>
      <c r="H46" s="106">
        <f t="shared" si="7"/>
        <v>1.1640256936928761E-3</v>
      </c>
      <c r="I46" s="88">
        <f t="shared" ref="I46:I79" si="43">IF(E46,G46/E46,"-")</f>
        <v>2.65</v>
      </c>
      <c r="J46" s="22">
        <f>東大阪工場!J46+松原工場!J46</f>
        <v>180000</v>
      </c>
      <c r="K46" s="166">
        <f t="shared" si="23"/>
        <v>1.8870197200259662E-4</v>
      </c>
      <c r="L46" s="22">
        <f>東大阪工場!L46+松原工場!L46</f>
        <v>477000</v>
      </c>
      <c r="M46" s="128">
        <f t="shared" si="24"/>
        <v>1.0480959912490444E-3</v>
      </c>
      <c r="N46" s="78">
        <f t="shared" si="42"/>
        <v>2.65</v>
      </c>
      <c r="O46" s="18"/>
      <c r="P46" s="209">
        <f>東大阪工場!P46+松原工場!P46</f>
        <v>53000</v>
      </c>
      <c r="Q46" s="33">
        <f t="shared" si="4"/>
        <v>7.2707318746141711E-4</v>
      </c>
      <c r="R46" s="22">
        <f>東大阪工場!R46+松原工場!R46</f>
        <v>477000</v>
      </c>
      <c r="S46" s="88">
        <f t="shared" si="6"/>
        <v>7.5131716767603586E-4</v>
      </c>
      <c r="T46" s="48">
        <f t="shared" si="8"/>
        <v>0</v>
      </c>
      <c r="U46" s="225">
        <f t="shared" si="9"/>
        <v>1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</row>
    <row r="47" spans="1:75" ht="15" customHeight="1" x14ac:dyDescent="0.15">
      <c r="A47" s="3"/>
      <c r="B47" s="256"/>
      <c r="C47" s="257"/>
      <c r="D47" s="192" t="s">
        <v>0</v>
      </c>
      <c r="E47" s="180">
        <f>東大阪工場!E47+松原工場!E47</f>
        <v>0</v>
      </c>
      <c r="F47" s="141">
        <f t="shared" si="10"/>
        <v>0</v>
      </c>
      <c r="G47" s="180">
        <f>東大阪工場!G47+松原工場!G47</f>
        <v>0</v>
      </c>
      <c r="H47" s="106">
        <f t="shared" si="7"/>
        <v>0</v>
      </c>
      <c r="I47" s="88" t="str">
        <f t="shared" si="43"/>
        <v>-</v>
      </c>
      <c r="J47" s="22">
        <f>東大阪工場!J47+松原工場!J47</f>
        <v>0</v>
      </c>
      <c r="K47" s="166">
        <f t="shared" si="23"/>
        <v>0</v>
      </c>
      <c r="L47" s="22">
        <f>東大阪工場!L47+松原工場!L47</f>
        <v>0</v>
      </c>
      <c r="M47" s="128">
        <f t="shared" si="24"/>
        <v>0</v>
      </c>
      <c r="N47" s="78" t="str">
        <f t="shared" si="42"/>
        <v>-</v>
      </c>
      <c r="O47" s="18"/>
      <c r="P47" s="209">
        <f>東大阪工場!P47+松原工場!P47</f>
        <v>0</v>
      </c>
      <c r="Q47" s="33">
        <f t="shared" si="4"/>
        <v>0</v>
      </c>
      <c r="R47" s="22">
        <f>東大阪工場!R47+松原工場!R47</f>
        <v>0</v>
      </c>
      <c r="S47" s="88">
        <f t="shared" si="6"/>
        <v>0</v>
      </c>
      <c r="T47" s="48">
        <f t="shared" si="8"/>
        <v>0</v>
      </c>
      <c r="U47" s="225" t="str">
        <f t="shared" si="9"/>
        <v>-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</row>
    <row r="48" spans="1:75" ht="15" customHeight="1" x14ac:dyDescent="0.15">
      <c r="A48" s="3"/>
      <c r="B48" s="256"/>
      <c r="C48" s="257"/>
      <c r="D48" s="192" t="s">
        <v>54</v>
      </c>
      <c r="E48" s="180">
        <f>東大阪工場!E48+松原工場!E48</f>
        <v>0</v>
      </c>
      <c r="F48" s="141">
        <f t="shared" si="10"/>
        <v>0</v>
      </c>
      <c r="G48" s="180">
        <f>東大阪工場!G48+松原工場!G48</f>
        <v>0</v>
      </c>
      <c r="H48" s="106">
        <f t="shared" si="7"/>
        <v>0</v>
      </c>
      <c r="I48" s="88" t="str">
        <f t="shared" si="43"/>
        <v>-</v>
      </c>
      <c r="J48" s="22">
        <f>東大阪工場!J48+松原工場!J48</f>
        <v>6437</v>
      </c>
      <c r="K48" s="166">
        <f t="shared" si="23"/>
        <v>6.7481921876706364E-6</v>
      </c>
      <c r="L48" s="22">
        <f>東大阪工場!L48+松原工場!L48</f>
        <v>40518</v>
      </c>
      <c r="M48" s="128">
        <f t="shared" si="24"/>
        <v>8.9028833067984878E-5</v>
      </c>
      <c r="N48" s="78">
        <f t="shared" si="42"/>
        <v>6.2945471492931491</v>
      </c>
      <c r="O48" s="18"/>
      <c r="P48" s="209">
        <f>東大阪工場!P48+松原工場!P48</f>
        <v>0</v>
      </c>
      <c r="Q48" s="33">
        <f t="shared" si="4"/>
        <v>0</v>
      </c>
      <c r="R48" s="22">
        <f>東大阪工場!R48+松原工場!R48</f>
        <v>0</v>
      </c>
      <c r="S48" s="88">
        <f t="shared" si="6"/>
        <v>0</v>
      </c>
      <c r="T48" s="48">
        <f t="shared" si="8"/>
        <v>40518</v>
      </c>
      <c r="U48" s="225" t="e">
        <f t="shared" si="9"/>
        <v>#DIV/0!</v>
      </c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</row>
    <row r="49" spans="1:75" ht="15" customHeight="1" x14ac:dyDescent="0.15">
      <c r="A49" s="3"/>
      <c r="B49" s="256"/>
      <c r="C49" s="257"/>
      <c r="D49" s="193" t="s">
        <v>10</v>
      </c>
      <c r="E49" s="180">
        <f>東大阪工場!E49+松原工場!E49</f>
        <v>155829</v>
      </c>
      <c r="F49" s="141">
        <f t="shared" si="10"/>
        <v>2.0017096145942435E-3</v>
      </c>
      <c r="G49" s="180">
        <f>東大阪工場!G49+松原工場!G49</f>
        <v>160536</v>
      </c>
      <c r="H49" s="106">
        <f t="shared" ref="H49:H83" si="44">G49/$G$10</f>
        <v>3.5258118634467843E-3</v>
      </c>
      <c r="I49" s="88">
        <f t="shared" si="43"/>
        <v>1.0302061875517394</v>
      </c>
      <c r="J49" s="22">
        <f>東大阪工場!J49+松原工場!J49</f>
        <v>1695020</v>
      </c>
      <c r="K49" s="166">
        <f t="shared" si="23"/>
        <v>1.7769645365768962E-3</v>
      </c>
      <c r="L49" s="22">
        <f>東大阪工場!L49+松原工場!L49</f>
        <v>1773542</v>
      </c>
      <c r="M49" s="128">
        <f t="shared" si="24"/>
        <v>3.8969439423727731E-3</v>
      </c>
      <c r="N49" s="78">
        <f t="shared" si="42"/>
        <v>1.0463251171077628</v>
      </c>
      <c r="O49" s="18"/>
      <c r="P49" s="209">
        <f>東大阪工場!P49+松原工場!P49</f>
        <v>169000</v>
      </c>
      <c r="Q49" s="33">
        <f t="shared" si="4"/>
        <v>2.3184031826599906E-3</v>
      </c>
      <c r="R49" s="22">
        <f>東大阪工場!R49+松原工場!R49</f>
        <v>1914000</v>
      </c>
      <c r="S49" s="88">
        <f t="shared" si="6"/>
        <v>3.0147192011151626E-3</v>
      </c>
      <c r="T49" s="48">
        <f t="shared" si="8"/>
        <v>-140458</v>
      </c>
      <c r="U49" s="225">
        <f t="shared" si="9"/>
        <v>0.92661546499477532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</row>
    <row r="50" spans="1:75" ht="15" customHeight="1" x14ac:dyDescent="0.15">
      <c r="A50" s="3"/>
      <c r="B50" s="256"/>
      <c r="C50" s="257"/>
      <c r="D50" s="193" t="s">
        <v>55</v>
      </c>
      <c r="E50" s="180">
        <f>東大阪工場!E50+松原工場!E50</f>
        <v>116356</v>
      </c>
      <c r="F50" s="141">
        <f t="shared" si="10"/>
        <v>1.4946571171972341E-3</v>
      </c>
      <c r="G50" s="180">
        <f>東大阪工場!G50+松原工場!G50</f>
        <v>46000</v>
      </c>
      <c r="H50" s="106">
        <f t="shared" si="44"/>
        <v>1.0102864511296662E-3</v>
      </c>
      <c r="I50" s="88">
        <f t="shared" si="43"/>
        <v>0.39533844408539309</v>
      </c>
      <c r="J50" s="22">
        <f>東大阪工場!J50+松原工場!J50</f>
        <v>1398079</v>
      </c>
      <c r="K50" s="166">
        <f t="shared" si="23"/>
        <v>1.4656681350856571E-3</v>
      </c>
      <c r="L50" s="22">
        <f>東大阪工場!L50+松原工場!L50</f>
        <v>211493</v>
      </c>
      <c r="M50" s="128">
        <f t="shared" si="24"/>
        <v>4.6470642657701081E-4</v>
      </c>
      <c r="N50" s="78">
        <f t="shared" si="42"/>
        <v>0.15127399810740308</v>
      </c>
      <c r="O50" s="18"/>
      <c r="P50" s="209">
        <f>東大阪工場!P50+松原工場!P50</f>
        <v>100000</v>
      </c>
      <c r="Q50" s="35">
        <f t="shared" si="4"/>
        <v>1.3718362027573907E-3</v>
      </c>
      <c r="R50" s="22">
        <f>東大阪工場!R50+松原工場!R50</f>
        <v>900000</v>
      </c>
      <c r="S50" s="89">
        <f t="shared" si="6"/>
        <v>1.4175795616528978E-3</v>
      </c>
      <c r="T50" s="48">
        <f t="shared" si="8"/>
        <v>-688507</v>
      </c>
      <c r="U50" s="225">
        <f t="shared" si="9"/>
        <v>0.23499222222222221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</row>
    <row r="51" spans="1:75" ht="15" customHeight="1" x14ac:dyDescent="0.15">
      <c r="A51" s="3"/>
      <c r="B51" s="256"/>
      <c r="C51" s="257"/>
      <c r="D51" s="193" t="s">
        <v>56</v>
      </c>
      <c r="E51" s="180">
        <f>東大阪工場!E51+松原工場!E51</f>
        <v>0</v>
      </c>
      <c r="F51" s="141">
        <f t="shared" si="10"/>
        <v>0</v>
      </c>
      <c r="G51" s="180">
        <f>東大阪工場!G51+松原工場!G51</f>
        <v>0</v>
      </c>
      <c r="H51" s="106">
        <f t="shared" si="44"/>
        <v>0</v>
      </c>
      <c r="I51" s="88" t="str">
        <f t="shared" si="43"/>
        <v>-</v>
      </c>
      <c r="J51" s="22">
        <f>東大阪工場!J51+松原工場!J51</f>
        <v>0</v>
      </c>
      <c r="K51" s="166">
        <f t="shared" si="23"/>
        <v>0</v>
      </c>
      <c r="L51" s="22">
        <f>東大阪工場!L51+松原工場!L51</f>
        <v>0</v>
      </c>
      <c r="M51" s="128">
        <f t="shared" si="24"/>
        <v>0</v>
      </c>
      <c r="N51" s="78" t="str">
        <f t="shared" si="42"/>
        <v>-</v>
      </c>
      <c r="O51" s="18"/>
      <c r="P51" s="209">
        <f>東大阪工場!P51+松原工場!P51</f>
        <v>0</v>
      </c>
      <c r="Q51" s="25">
        <f t="shared" si="4"/>
        <v>0</v>
      </c>
      <c r="R51" s="22">
        <f>東大阪工場!R51+松原工場!R51</f>
        <v>0</v>
      </c>
      <c r="S51" s="78">
        <f t="shared" si="6"/>
        <v>0</v>
      </c>
      <c r="T51" s="48">
        <f t="shared" si="8"/>
        <v>0</v>
      </c>
      <c r="U51" s="225" t="str">
        <f t="shared" si="9"/>
        <v>-</v>
      </c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</row>
    <row r="52" spans="1:75" ht="15" customHeight="1" x14ac:dyDescent="0.15">
      <c r="A52" s="3"/>
      <c r="B52" s="256"/>
      <c r="C52" s="257"/>
      <c r="D52" s="193" t="s">
        <v>57</v>
      </c>
      <c r="E52" s="180">
        <f>東大阪工場!E52+松原工場!E52</f>
        <v>1250843</v>
      </c>
      <c r="F52" s="141">
        <f t="shared" si="10"/>
        <v>1.606776953871171E-2</v>
      </c>
      <c r="G52" s="180">
        <f>東大阪工場!G52+松原工場!G52</f>
        <v>814237</v>
      </c>
      <c r="H52" s="106">
        <f t="shared" si="44"/>
        <v>1.7882882806705781E-2</v>
      </c>
      <c r="I52" s="88">
        <f t="shared" si="43"/>
        <v>0.65095059891609097</v>
      </c>
      <c r="J52" s="22">
        <f>東大阪工場!J52+松原工場!J52</f>
        <v>15611845</v>
      </c>
      <c r="K52" s="166">
        <f t="shared" si="23"/>
        <v>1.6366588544993767E-2</v>
      </c>
      <c r="L52" s="22">
        <f>東大阪工場!L52+松原工場!L52</f>
        <v>6555673</v>
      </c>
      <c r="M52" s="128">
        <f t="shared" si="24"/>
        <v>1.4404558891487625E-2</v>
      </c>
      <c r="N52" s="78">
        <f t="shared" si="42"/>
        <v>0.41991660819076798</v>
      </c>
      <c r="O52" s="18"/>
      <c r="P52" s="209">
        <f>東大阪工場!P52+松原工場!P52</f>
        <v>1376000</v>
      </c>
      <c r="Q52" s="25">
        <f t="shared" si="4"/>
        <v>1.8876466149941696E-2</v>
      </c>
      <c r="R52" s="22">
        <f>東大阪工場!R52+松原工場!R52</f>
        <v>11008000</v>
      </c>
      <c r="S52" s="78">
        <f t="shared" si="6"/>
        <v>1.7338573127416775E-2</v>
      </c>
      <c r="T52" s="48">
        <f t="shared" si="8"/>
        <v>-4452327</v>
      </c>
      <c r="U52" s="225">
        <f t="shared" si="9"/>
        <v>0.59553715479651159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</row>
    <row r="53" spans="1:75" ht="15" customHeight="1" x14ac:dyDescent="0.15">
      <c r="A53" s="3"/>
      <c r="B53" s="256"/>
      <c r="C53" s="257"/>
      <c r="D53" s="193" t="s">
        <v>58</v>
      </c>
      <c r="E53" s="180">
        <f>東大阪工場!E53+松原工場!E53</f>
        <v>1080411</v>
      </c>
      <c r="F53" s="141">
        <f t="shared" si="10"/>
        <v>1.3878476319641279E-2</v>
      </c>
      <c r="G53" s="180">
        <f>東大阪工場!G53+松原工場!G53</f>
        <v>690753</v>
      </c>
      <c r="H53" s="106">
        <f t="shared" si="44"/>
        <v>1.5170834716895005E-2</v>
      </c>
      <c r="I53" s="88">
        <f t="shared" si="43"/>
        <v>0.63934280565451485</v>
      </c>
      <c r="J53" s="22">
        <f>東大阪工場!J53+松原工場!J53</f>
        <v>11945499</v>
      </c>
      <c r="K53" s="166">
        <f t="shared" si="23"/>
        <v>1.2522995654750256E-2</v>
      </c>
      <c r="L53" s="22">
        <f>東大阪工場!L53+松原工場!L53</f>
        <v>5238378</v>
      </c>
      <c r="M53" s="128">
        <f t="shared" si="24"/>
        <v>1.1510111074312761E-2</v>
      </c>
      <c r="N53" s="78">
        <f t="shared" si="42"/>
        <v>0.43852316257361873</v>
      </c>
      <c r="O53" s="18"/>
      <c r="P53" s="209">
        <f>東大阪工場!P53+松原工場!P53</f>
        <v>1127000</v>
      </c>
      <c r="Q53" s="35">
        <f t="shared" si="4"/>
        <v>1.5460594005075793E-2</v>
      </c>
      <c r="R53" s="22">
        <f>東大阪工場!R53+松原工場!R53</f>
        <v>9016000</v>
      </c>
      <c r="S53" s="89">
        <f t="shared" si="6"/>
        <v>1.4200997030958363E-2</v>
      </c>
      <c r="T53" s="48">
        <f t="shared" si="8"/>
        <v>-3777622</v>
      </c>
      <c r="U53" s="225">
        <f t="shared" si="9"/>
        <v>0.58100909494232478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</row>
    <row r="54" spans="1:75" ht="15" customHeight="1" x14ac:dyDescent="0.15">
      <c r="A54" s="3"/>
      <c r="B54" s="256"/>
      <c r="C54" s="257"/>
      <c r="D54" s="193" t="s">
        <v>88</v>
      </c>
      <c r="E54" s="180">
        <f>東大阪工場!E54+松原工場!E54</f>
        <v>0</v>
      </c>
      <c r="F54" s="141">
        <f t="shared" si="10"/>
        <v>0</v>
      </c>
      <c r="G54" s="180">
        <f>東大阪工場!G54+松原工場!G54</f>
        <v>40700</v>
      </c>
      <c r="H54" s="106">
        <f t="shared" si="44"/>
        <v>8.9388388176037841E-4</v>
      </c>
      <c r="I54" s="88" t="str">
        <f t="shared" si="43"/>
        <v>-</v>
      </c>
      <c r="J54" s="22">
        <f>東大阪工場!J54+松原工場!J54</f>
        <v>0</v>
      </c>
      <c r="K54" s="166">
        <f t="shared" si="23"/>
        <v>0</v>
      </c>
      <c r="L54" s="22">
        <f>東大阪工場!L54+松原工場!L54</f>
        <v>40700</v>
      </c>
      <c r="M54" s="128">
        <f t="shared" si="24"/>
        <v>8.9428735521668987E-5</v>
      </c>
      <c r="N54" s="78" t="str">
        <f t="shared" si="42"/>
        <v>-</v>
      </c>
      <c r="O54" s="18"/>
      <c r="P54" s="209">
        <f>東大阪工場!P54+松原工場!P54</f>
        <v>0</v>
      </c>
      <c r="Q54" s="25">
        <f t="shared" si="4"/>
        <v>0</v>
      </c>
      <c r="R54" s="22">
        <f>東大阪工場!R54+松原工場!R54</f>
        <v>0</v>
      </c>
      <c r="S54" s="89">
        <f t="shared" si="6"/>
        <v>0</v>
      </c>
      <c r="T54" s="48">
        <f t="shared" si="8"/>
        <v>40700</v>
      </c>
      <c r="U54" s="225" t="e">
        <f t="shared" si="9"/>
        <v>#DIV/0!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</row>
    <row r="55" spans="1:75" ht="15" customHeight="1" x14ac:dyDescent="0.15">
      <c r="A55" s="3"/>
      <c r="B55" s="256"/>
      <c r="C55" s="257"/>
      <c r="D55" s="193" t="s">
        <v>59</v>
      </c>
      <c r="E55" s="180">
        <f>東大阪工場!E55+松原工場!E55</f>
        <v>77143</v>
      </c>
      <c r="F55" s="141">
        <f t="shared" si="10"/>
        <v>9.9094446347370332E-4</v>
      </c>
      <c r="G55" s="180">
        <f>東大阪工場!G55+松原工場!G55</f>
        <v>0</v>
      </c>
      <c r="H55" s="106">
        <f t="shared" si="44"/>
        <v>0</v>
      </c>
      <c r="I55" s="88">
        <f t="shared" si="43"/>
        <v>0</v>
      </c>
      <c r="J55" s="22">
        <f>東大阪工場!J55+松原工場!J55</f>
        <v>926685</v>
      </c>
      <c r="K55" s="166">
        <f t="shared" si="23"/>
        <v>9.714849273623681E-4</v>
      </c>
      <c r="L55" s="22">
        <f>東大阪工場!L55+松原工場!L55</f>
        <v>364142</v>
      </c>
      <c r="M55" s="128">
        <f t="shared" si="24"/>
        <v>8.0011691917276635E-4</v>
      </c>
      <c r="N55" s="78">
        <f t="shared" si="42"/>
        <v>0.39295121859099907</v>
      </c>
      <c r="O55" s="18"/>
      <c r="P55" s="209">
        <f>東大阪工場!P55+松原工場!P55</f>
        <v>105000</v>
      </c>
      <c r="Q55" s="25">
        <f t="shared" si="4"/>
        <v>1.4404280128952603E-3</v>
      </c>
      <c r="R55" s="22">
        <f>東大阪工場!R55+松原工場!R55</f>
        <v>945000</v>
      </c>
      <c r="S55" s="89">
        <f t="shared" si="6"/>
        <v>1.4884585397355427E-3</v>
      </c>
      <c r="T55" s="48">
        <f t="shared" si="8"/>
        <v>-580858</v>
      </c>
      <c r="U55" s="225">
        <f t="shared" si="9"/>
        <v>0.38533544973544975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</row>
    <row r="56" spans="1:75" ht="15" customHeight="1" x14ac:dyDescent="0.15">
      <c r="A56" s="3"/>
      <c r="B56" s="256"/>
      <c r="C56" s="257"/>
      <c r="D56" s="193" t="s">
        <v>60</v>
      </c>
      <c r="E56" s="180">
        <f>東大阪工場!E56+松原工場!E56</f>
        <v>1395</v>
      </c>
      <c r="F56" s="141">
        <f t="shared" si="10"/>
        <v>1.7919545863471942E-5</v>
      </c>
      <c r="G56" s="180">
        <f>東大阪工場!G56+松原工場!G56</f>
        <v>0</v>
      </c>
      <c r="H56" s="106">
        <f t="shared" si="44"/>
        <v>0</v>
      </c>
      <c r="I56" s="88">
        <f t="shared" si="43"/>
        <v>0</v>
      </c>
      <c r="J56" s="22">
        <f>東大阪工場!J56+松原工場!J56</f>
        <v>39208</v>
      </c>
      <c r="K56" s="166">
        <f t="shared" si="23"/>
        <v>4.110348287932116E-5</v>
      </c>
      <c r="L56" s="22">
        <f>東大阪工場!L56+松原工場!L56</f>
        <v>73282</v>
      </c>
      <c r="M56" s="128">
        <f t="shared" si="24"/>
        <v>1.6102006379604294E-4</v>
      </c>
      <c r="N56" s="78">
        <f t="shared" si="42"/>
        <v>1.8690573352377067</v>
      </c>
      <c r="O56" s="18"/>
      <c r="P56" s="209">
        <f>東大阪工場!P56+松原工場!P56</f>
        <v>5500</v>
      </c>
      <c r="Q56" s="25">
        <f t="shared" si="4"/>
        <v>7.5450991151656494E-5</v>
      </c>
      <c r="R56" s="22">
        <f>東大阪工場!R56+松原工場!R56</f>
        <v>49500</v>
      </c>
      <c r="S56" s="89">
        <f t="shared" si="6"/>
        <v>7.7966875890909381E-5</v>
      </c>
      <c r="T56" s="48">
        <f t="shared" si="8"/>
        <v>23782</v>
      </c>
      <c r="U56" s="225">
        <f t="shared" si="9"/>
        <v>1.4804444444444445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</row>
    <row r="57" spans="1:75" ht="15" customHeight="1" x14ac:dyDescent="0.15">
      <c r="A57" s="3"/>
      <c r="B57" s="256"/>
      <c r="C57" s="257"/>
      <c r="D57" s="193" t="s">
        <v>43</v>
      </c>
      <c r="E57" s="180">
        <f>東大阪工場!E57+松原工場!E57</f>
        <v>70270</v>
      </c>
      <c r="F57" s="141">
        <f t="shared" si="10"/>
        <v>9.0265698052055445E-4</v>
      </c>
      <c r="G57" s="180">
        <f>東大阪工場!G57+松原工場!G57</f>
        <v>80776</v>
      </c>
      <c r="H57" s="106">
        <f t="shared" si="44"/>
        <v>1.7740630081836937E-3</v>
      </c>
      <c r="I57" s="88">
        <f t="shared" si="43"/>
        <v>1.1495090365732177</v>
      </c>
      <c r="J57" s="22">
        <f>東大阪工場!J57+松原工場!J57</f>
        <v>673820</v>
      </c>
      <c r="K57" s="166">
        <f t="shared" si="23"/>
        <v>7.0639534874883142E-4</v>
      </c>
      <c r="L57" s="22">
        <f>東大阪工場!L57+松原工場!L57</f>
        <v>581826</v>
      </c>
      <c r="M57" s="128">
        <f t="shared" si="24"/>
        <v>1.2784266209737245E-3</v>
      </c>
      <c r="N57" s="78">
        <f t="shared" si="42"/>
        <v>0.86347392478703511</v>
      </c>
      <c r="O57" s="18"/>
      <c r="P57" s="209">
        <f>東大阪工場!P57+松原工場!P57</f>
        <v>75000</v>
      </c>
      <c r="Q57" s="25">
        <f t="shared" si="4"/>
        <v>1.0288771520680431E-3</v>
      </c>
      <c r="R57" s="22">
        <f>東大阪工場!R57+松原工場!R57</f>
        <v>675000</v>
      </c>
      <c r="S57" s="89">
        <f t="shared" si="6"/>
        <v>1.0631846712396732E-3</v>
      </c>
      <c r="T57" s="48">
        <f t="shared" si="8"/>
        <v>-93174</v>
      </c>
      <c r="U57" s="225">
        <f t="shared" si="9"/>
        <v>0.86196444444444442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</row>
    <row r="58" spans="1:75" ht="15" customHeight="1" x14ac:dyDescent="0.15">
      <c r="A58" s="3"/>
      <c r="B58" s="256"/>
      <c r="C58" s="257"/>
      <c r="D58" s="193" t="s">
        <v>61</v>
      </c>
      <c r="E58" s="180">
        <f>東大阪工場!E58+松原工場!E58</f>
        <v>123234</v>
      </c>
      <c r="F58" s="141">
        <f t="shared" si="10"/>
        <v>1.5830088279133344E-3</v>
      </c>
      <c r="G58" s="180">
        <f>東大阪工場!G58+松原工場!G58</f>
        <v>37801</v>
      </c>
      <c r="H58" s="106">
        <f t="shared" si="44"/>
        <v>8.3021387259027185E-4</v>
      </c>
      <c r="I58" s="88">
        <f t="shared" si="43"/>
        <v>0.30674164597432529</v>
      </c>
      <c r="J58" s="22">
        <f>東大阪工場!J58+松原工場!J58</f>
        <v>855024</v>
      </c>
      <c r="K58" s="166">
        <f t="shared" si="23"/>
        <v>8.9635952727526761E-4</v>
      </c>
      <c r="L58" s="22">
        <f>東大阪工場!L58+松原工場!L58</f>
        <v>735244</v>
      </c>
      <c r="M58" s="128">
        <f t="shared" si="24"/>
        <v>1.6155268112996069E-3</v>
      </c>
      <c r="N58" s="78">
        <f t="shared" si="42"/>
        <v>0.85991036508916707</v>
      </c>
      <c r="O58" s="18"/>
      <c r="P58" s="209">
        <f>東大阪工場!P58+松原工場!P58</f>
        <v>92500</v>
      </c>
      <c r="Q58" s="25">
        <f t="shared" si="4"/>
        <v>1.2689484875505865E-3</v>
      </c>
      <c r="R58" s="22">
        <f>東大阪工場!R58+松原工場!R58</f>
        <v>865500</v>
      </c>
      <c r="S58" s="89">
        <f t="shared" si="6"/>
        <v>1.3632390117895366E-3</v>
      </c>
      <c r="T58" s="48">
        <f t="shared" si="8"/>
        <v>-130256</v>
      </c>
      <c r="U58" s="225">
        <f t="shared" si="9"/>
        <v>0.84950202195262858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</row>
    <row r="59" spans="1:75" ht="15" customHeight="1" x14ac:dyDescent="0.15">
      <c r="A59" s="3"/>
      <c r="B59" s="256"/>
      <c r="C59" s="257"/>
      <c r="D59" s="193" t="s">
        <v>44</v>
      </c>
      <c r="E59" s="180">
        <f>東大阪工場!E59+松原工場!E59</f>
        <v>9570</v>
      </c>
      <c r="F59" s="141">
        <f t="shared" si="10"/>
        <v>1.2293193828919461E-4</v>
      </c>
      <c r="G59" s="180">
        <f>東大阪工場!G59+松原工場!G59</f>
        <v>36734</v>
      </c>
      <c r="H59" s="106">
        <f t="shared" si="44"/>
        <v>8.0677961947385121E-4</v>
      </c>
      <c r="I59" s="88">
        <f t="shared" si="43"/>
        <v>3.838453500522466</v>
      </c>
      <c r="J59" s="22">
        <f>東大阪工場!J59+松原工場!J59</f>
        <v>186679</v>
      </c>
      <c r="K59" s="166">
        <f t="shared" si="23"/>
        <v>1.9570386350818188E-4</v>
      </c>
      <c r="L59" s="22">
        <f>東大阪工場!L59+松原工場!L59</f>
        <v>132799</v>
      </c>
      <c r="M59" s="128">
        <f t="shared" si="24"/>
        <v>2.9179475794943786E-4</v>
      </c>
      <c r="N59" s="78">
        <f t="shared" si="42"/>
        <v>0.71137621264309325</v>
      </c>
      <c r="O59" s="18"/>
      <c r="P59" s="209">
        <f>東大阪工場!P59+松原工場!P59</f>
        <v>28000</v>
      </c>
      <c r="Q59" s="35">
        <f t="shared" si="4"/>
        <v>3.8411413677206943E-4</v>
      </c>
      <c r="R59" s="22">
        <f>東大阪工場!R59+松原工場!R59</f>
        <v>252000</v>
      </c>
      <c r="S59" s="89">
        <f t="shared" si="6"/>
        <v>3.9692227726281136E-4</v>
      </c>
      <c r="T59" s="48">
        <f t="shared" si="8"/>
        <v>-119201</v>
      </c>
      <c r="U59" s="225">
        <f t="shared" si="9"/>
        <v>0.52698015873015869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</row>
    <row r="60" spans="1:75" ht="15" customHeight="1" x14ac:dyDescent="0.15">
      <c r="A60" s="3"/>
      <c r="B60" s="256"/>
      <c r="C60" s="257"/>
      <c r="D60" s="193" t="s">
        <v>11</v>
      </c>
      <c r="E60" s="180">
        <f>東大阪工場!E60+松原工場!E60</f>
        <v>28248</v>
      </c>
      <c r="F60" s="141">
        <f t="shared" si="10"/>
        <v>3.6286116957086415E-4</v>
      </c>
      <c r="G60" s="180">
        <f>東大阪工場!G60+松原工場!G60</f>
        <v>24592</v>
      </c>
      <c r="H60" s="106">
        <f t="shared" si="44"/>
        <v>5.4010792187349449E-4</v>
      </c>
      <c r="I60" s="88">
        <f t="shared" si="43"/>
        <v>0.87057490795808556</v>
      </c>
      <c r="J60" s="22">
        <f>東大阪工場!J60+松原工場!J60</f>
        <v>453959</v>
      </c>
      <c r="K60" s="166">
        <f t="shared" ref="K60:K83" si="45">J60/$J$10</f>
        <v>4.7590532504625981E-4</v>
      </c>
      <c r="L60" s="22">
        <f>東大阪工場!L60+松原工場!L60</f>
        <v>291972</v>
      </c>
      <c r="M60" s="128">
        <f t="shared" ref="M60:M83" si="46">L60/$L$10</f>
        <v>6.4154021542340883E-4</v>
      </c>
      <c r="N60" s="78">
        <f t="shared" si="42"/>
        <v>0.64316821563180815</v>
      </c>
      <c r="O60" s="18"/>
      <c r="P60" s="209">
        <f>東大阪工場!P60+松原工場!P60</f>
        <v>57000</v>
      </c>
      <c r="Q60" s="35">
        <f t="shared" si="4"/>
        <v>7.8194663557171272E-4</v>
      </c>
      <c r="R60" s="22">
        <f>東大阪工場!R60+松原工場!R60</f>
        <v>513000</v>
      </c>
      <c r="S60" s="89">
        <f t="shared" si="6"/>
        <v>8.0802035014215171E-4</v>
      </c>
      <c r="T60" s="48">
        <f t="shared" si="8"/>
        <v>-221028</v>
      </c>
      <c r="U60" s="225">
        <f t="shared" si="9"/>
        <v>0.5691461988304094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</row>
    <row r="61" spans="1:75" ht="15" customHeight="1" x14ac:dyDescent="0.15">
      <c r="A61" s="3"/>
      <c r="B61" s="256"/>
      <c r="C61" s="257"/>
      <c r="D61" s="193" t="s">
        <v>45</v>
      </c>
      <c r="E61" s="180">
        <f>東大阪工場!E61+松原工場!E61</f>
        <v>12320</v>
      </c>
      <c r="F61" s="141">
        <f t="shared" si="10"/>
        <v>1.5825720791252641E-4</v>
      </c>
      <c r="G61" s="180">
        <f>東大阪工場!G61+松原工場!G61</f>
        <v>12320</v>
      </c>
      <c r="H61" s="106">
        <f t="shared" si="44"/>
        <v>2.705810669112497E-4</v>
      </c>
      <c r="I61" s="88">
        <f t="shared" si="43"/>
        <v>1</v>
      </c>
      <c r="J61" s="22">
        <f>東大阪工場!J61+松原工場!J61</f>
        <v>616693</v>
      </c>
      <c r="K61" s="166">
        <f t="shared" si="45"/>
        <v>6.4650658455665182E-4</v>
      </c>
      <c r="L61" s="22">
        <f>東大阪工場!L61+松原工場!L61</f>
        <v>236940</v>
      </c>
      <c r="M61" s="128">
        <f t="shared" si="46"/>
        <v>5.2062026030722972E-4</v>
      </c>
      <c r="N61" s="78">
        <f t="shared" si="42"/>
        <v>0.38421062019513763</v>
      </c>
      <c r="O61" s="18"/>
      <c r="P61" s="209">
        <f>東大阪工場!P61+松原工場!P61</f>
        <v>12500</v>
      </c>
      <c r="Q61" s="35">
        <f t="shared" si="4"/>
        <v>1.7147952534467384E-4</v>
      </c>
      <c r="R61" s="22">
        <f>東大阪工場!R61+松原工場!R61</f>
        <v>470000</v>
      </c>
      <c r="S61" s="89">
        <f t="shared" si="6"/>
        <v>7.4029154886317997E-4</v>
      </c>
      <c r="T61" s="48">
        <f t="shared" si="8"/>
        <v>-233060</v>
      </c>
      <c r="U61" s="225">
        <f t="shared" si="9"/>
        <v>0.50412765957446803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</row>
    <row r="62" spans="1:75" ht="15" customHeight="1" x14ac:dyDescent="0.15">
      <c r="A62" s="3"/>
      <c r="B62" s="256"/>
      <c r="C62" s="257"/>
      <c r="D62" s="193" t="s">
        <v>12</v>
      </c>
      <c r="E62" s="180">
        <f>東大阪工場!E62+松原工場!E62</f>
        <v>0</v>
      </c>
      <c r="F62" s="141">
        <f t="shared" si="10"/>
        <v>0</v>
      </c>
      <c r="G62" s="180">
        <f>東大阪工場!G62+松原工場!G62</f>
        <v>0</v>
      </c>
      <c r="H62" s="106">
        <f t="shared" si="44"/>
        <v>0</v>
      </c>
      <c r="I62" s="88" t="str">
        <f t="shared" si="43"/>
        <v>-</v>
      </c>
      <c r="J62" s="22">
        <f>東大阪工場!J62+松原工場!J62</f>
        <v>13918</v>
      </c>
      <c r="K62" s="166">
        <f t="shared" si="45"/>
        <v>1.4590855812956332E-5</v>
      </c>
      <c r="L62" s="22">
        <f>東大阪工場!L62+松原工場!L62</f>
        <v>8560</v>
      </c>
      <c r="M62" s="128">
        <f t="shared" si="46"/>
        <v>1.8808598920527925E-5</v>
      </c>
      <c r="N62" s="78">
        <f t="shared" si="42"/>
        <v>0.61503089524356946</v>
      </c>
      <c r="O62" s="18"/>
      <c r="P62" s="209">
        <f>東大阪工場!P62+松原工場!P62</f>
        <v>0</v>
      </c>
      <c r="Q62" s="25">
        <f t="shared" si="4"/>
        <v>0</v>
      </c>
      <c r="R62" s="22">
        <f>東大阪工場!R62+松原工場!R62</f>
        <v>14000</v>
      </c>
      <c r="S62" s="89">
        <f t="shared" si="6"/>
        <v>2.2051237625711743E-5</v>
      </c>
      <c r="T62" s="48">
        <f t="shared" si="8"/>
        <v>-5440</v>
      </c>
      <c r="U62" s="225">
        <f t="shared" si="9"/>
        <v>0.61142857142857143</v>
      </c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</row>
    <row r="63" spans="1:75" ht="15" customHeight="1" x14ac:dyDescent="0.15">
      <c r="A63" s="3"/>
      <c r="B63" s="256"/>
      <c r="C63" s="257"/>
      <c r="D63" s="193" t="s">
        <v>13</v>
      </c>
      <c r="E63" s="180">
        <f>東大阪工場!E63+松原工場!E63</f>
        <v>0</v>
      </c>
      <c r="F63" s="141">
        <f t="shared" si="10"/>
        <v>0</v>
      </c>
      <c r="G63" s="180">
        <f>東大阪工場!G63+松原工場!G63</f>
        <v>0</v>
      </c>
      <c r="H63" s="106">
        <f t="shared" si="44"/>
        <v>0</v>
      </c>
      <c r="I63" s="88" t="str">
        <f t="shared" si="43"/>
        <v>-</v>
      </c>
      <c r="J63" s="22">
        <f>東大阪工場!J63+松原工場!J63</f>
        <v>0</v>
      </c>
      <c r="K63" s="166">
        <f t="shared" si="45"/>
        <v>0</v>
      </c>
      <c r="L63" s="22">
        <f>東大阪工場!L63+松原工場!L63</f>
        <v>0</v>
      </c>
      <c r="M63" s="128">
        <f t="shared" si="46"/>
        <v>0</v>
      </c>
      <c r="N63" s="78" t="str">
        <f t="shared" si="42"/>
        <v>-</v>
      </c>
      <c r="O63" s="18"/>
      <c r="P63" s="209">
        <f>東大阪工場!P63+松原工場!P63</f>
        <v>0</v>
      </c>
      <c r="Q63" s="25">
        <f t="shared" si="4"/>
        <v>0</v>
      </c>
      <c r="R63" s="22">
        <f>東大阪工場!R63+松原工場!R63</f>
        <v>0</v>
      </c>
      <c r="S63" s="89">
        <f t="shared" si="6"/>
        <v>0</v>
      </c>
      <c r="T63" s="48">
        <f t="shared" si="8"/>
        <v>0</v>
      </c>
      <c r="U63" s="225" t="str">
        <f t="shared" si="9"/>
        <v>-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</row>
    <row r="64" spans="1:75" ht="15" customHeight="1" x14ac:dyDescent="0.15">
      <c r="A64" s="3"/>
      <c r="B64" s="256"/>
      <c r="C64" s="257"/>
      <c r="D64" s="193" t="s">
        <v>14</v>
      </c>
      <c r="E64" s="180">
        <f>東大阪工場!E64+松原工場!E64</f>
        <v>4500</v>
      </c>
      <c r="F64" s="141">
        <f t="shared" si="10"/>
        <v>5.7804986656361109E-5</v>
      </c>
      <c r="G64" s="180">
        <f>東大阪工場!G64+松原工場!G64</f>
        <v>0</v>
      </c>
      <c r="H64" s="106">
        <f t="shared" si="44"/>
        <v>0</v>
      </c>
      <c r="I64" s="88">
        <f t="shared" si="43"/>
        <v>0</v>
      </c>
      <c r="J64" s="22">
        <f>東大阪工場!J64+松原工場!J64</f>
        <v>75000</v>
      </c>
      <c r="K64" s="166">
        <f t="shared" si="45"/>
        <v>7.8625821667748598E-5</v>
      </c>
      <c r="L64" s="22">
        <f>東大阪工場!L64+松原工場!L64</f>
        <v>101844</v>
      </c>
      <c r="M64" s="128">
        <f t="shared" si="46"/>
        <v>2.2377838182970164E-4</v>
      </c>
      <c r="N64" s="78">
        <f t="shared" si="42"/>
        <v>1.35792</v>
      </c>
      <c r="O64" s="18"/>
      <c r="P64" s="209">
        <f>東大阪工場!P64+松原工場!P64</f>
        <v>4500</v>
      </c>
      <c r="Q64" s="25">
        <f t="shared" si="4"/>
        <v>6.173262912408258E-5</v>
      </c>
      <c r="R64" s="22">
        <f>東大阪工場!R64+松原工場!R64</f>
        <v>75500</v>
      </c>
      <c r="S64" s="89">
        <f t="shared" si="6"/>
        <v>1.1891917433865975E-4</v>
      </c>
      <c r="T64" s="48">
        <f t="shared" si="8"/>
        <v>26344</v>
      </c>
      <c r="U64" s="225">
        <f t="shared" si="9"/>
        <v>1.3489271523178807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</row>
    <row r="65" spans="1:75" ht="15" customHeight="1" x14ac:dyDescent="0.15">
      <c r="A65" s="3"/>
      <c r="B65" s="256"/>
      <c r="C65" s="257"/>
      <c r="D65" s="193" t="s">
        <v>15</v>
      </c>
      <c r="E65" s="180">
        <f>東大阪工場!E65+松原工場!E65</f>
        <v>165545</v>
      </c>
      <c r="F65" s="141">
        <f t="shared" ref="F65:F73" si="47">E65/$E$10</f>
        <v>2.126517003561622E-3</v>
      </c>
      <c r="G65" s="180">
        <f>東大阪工場!G65+松原工場!G65</f>
        <v>130925</v>
      </c>
      <c r="H65" s="106">
        <f t="shared" si="44"/>
        <v>2.8754729046554682E-3</v>
      </c>
      <c r="I65" s="88">
        <f t="shared" ref="I65:I73" si="48">IF(E65,G65/E65,"-")</f>
        <v>0.790872572412335</v>
      </c>
      <c r="J65" s="22">
        <f>東大阪工場!J65+松原工場!J65</f>
        <v>2029903</v>
      </c>
      <c r="K65" s="166">
        <f t="shared" si="45"/>
        <v>2.1280372170777049E-3</v>
      </c>
      <c r="L65" s="22">
        <f>東大阪工場!L65+松原工場!L65</f>
        <v>1794295</v>
      </c>
      <c r="M65" s="128">
        <f t="shared" si="46"/>
        <v>3.9425438084239083E-3</v>
      </c>
      <c r="N65" s="78">
        <f t="shared" ref="N65:N73" si="49">IF(J65,L65/J65,"-")</f>
        <v>0.88393139967771861</v>
      </c>
      <c r="O65" s="18"/>
      <c r="P65" s="209">
        <f>東大阪工場!P65+松原工場!P65</f>
        <v>155000</v>
      </c>
      <c r="Q65" s="25">
        <f t="shared" si="4"/>
        <v>2.1263461142739556E-3</v>
      </c>
      <c r="R65" s="22">
        <f>東大阪工場!R65+松原工場!R65</f>
        <v>1810000</v>
      </c>
      <c r="S65" s="89">
        <f t="shared" si="6"/>
        <v>2.8509100073241611E-3</v>
      </c>
      <c r="T65" s="48">
        <f t="shared" ref="T65:T85" si="50">L65-R65</f>
        <v>-15705</v>
      </c>
      <c r="U65" s="225">
        <f t="shared" si="9"/>
        <v>0.99132320441988953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</row>
    <row r="66" spans="1:75" ht="15" customHeight="1" x14ac:dyDescent="0.15">
      <c r="A66" s="3"/>
      <c r="B66" s="256"/>
      <c r="C66" s="257"/>
      <c r="D66" s="193" t="s">
        <v>16</v>
      </c>
      <c r="E66" s="180">
        <f>東大阪工場!E66+松原工場!E66</f>
        <v>-400</v>
      </c>
      <c r="F66" s="141">
        <f t="shared" si="47"/>
        <v>-5.1382210361209875E-6</v>
      </c>
      <c r="G66" s="180">
        <f>東大阪工場!G66+松原工場!G66</f>
        <v>0</v>
      </c>
      <c r="H66" s="106">
        <f t="shared" si="44"/>
        <v>0</v>
      </c>
      <c r="I66" s="88">
        <f t="shared" si="48"/>
        <v>0</v>
      </c>
      <c r="J66" s="22">
        <f>東大阪工場!J66+松原工場!J66</f>
        <v>1160</v>
      </c>
      <c r="K66" s="166">
        <f t="shared" si="45"/>
        <v>1.2160793751278449E-6</v>
      </c>
      <c r="L66" s="22">
        <f>東大阪工場!L66+松原工場!L66</f>
        <v>24305</v>
      </c>
      <c r="M66" s="128">
        <f t="shared" si="46"/>
        <v>5.3404555696662526E-5</v>
      </c>
      <c r="N66" s="78">
        <f t="shared" si="49"/>
        <v>20.952586206896552</v>
      </c>
      <c r="O66" s="18"/>
      <c r="P66" s="209">
        <f>東大阪工場!P66+松原工場!P66</f>
        <v>0</v>
      </c>
      <c r="Q66" s="25">
        <f t="shared" si="4"/>
        <v>0</v>
      </c>
      <c r="R66" s="22">
        <f>東大阪工場!R66+松原工場!R66</f>
        <v>0</v>
      </c>
      <c r="S66" s="89">
        <f t="shared" si="6"/>
        <v>0</v>
      </c>
      <c r="T66" s="48">
        <f t="shared" si="50"/>
        <v>24305</v>
      </c>
      <c r="U66" s="225" t="e">
        <f t="shared" si="9"/>
        <v>#DIV/0!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</row>
    <row r="67" spans="1:75" ht="15" customHeight="1" x14ac:dyDescent="0.15">
      <c r="A67" s="3"/>
      <c r="B67" s="256"/>
      <c r="C67" s="257"/>
      <c r="D67" s="193" t="s">
        <v>47</v>
      </c>
      <c r="E67" s="180">
        <f>東大阪工場!E67+松原工場!E67</f>
        <v>0</v>
      </c>
      <c r="F67" s="141">
        <f t="shared" si="47"/>
        <v>0</v>
      </c>
      <c r="G67" s="180">
        <f>東大阪工場!G67+松原工場!G67</f>
        <v>0</v>
      </c>
      <c r="H67" s="106">
        <f t="shared" si="44"/>
        <v>0</v>
      </c>
      <c r="I67" s="88" t="str">
        <f t="shared" si="48"/>
        <v>-</v>
      </c>
      <c r="J67" s="22">
        <f>東大阪工場!J67+松原工場!J67</f>
        <v>0</v>
      </c>
      <c r="K67" s="166">
        <f t="shared" si="45"/>
        <v>0</v>
      </c>
      <c r="L67" s="22">
        <f>東大阪工場!L67+松原工場!L67</f>
        <v>0</v>
      </c>
      <c r="M67" s="128">
        <f t="shared" si="46"/>
        <v>0</v>
      </c>
      <c r="N67" s="78" t="str">
        <f t="shared" si="49"/>
        <v>-</v>
      </c>
      <c r="O67" s="18"/>
      <c r="P67" s="209">
        <f>東大阪工場!P67+松原工場!P67</f>
        <v>0</v>
      </c>
      <c r="Q67" s="25">
        <f t="shared" si="4"/>
        <v>0</v>
      </c>
      <c r="R67" s="22">
        <f>東大阪工場!R67+松原工場!R67</f>
        <v>0</v>
      </c>
      <c r="S67" s="89">
        <f t="shared" si="6"/>
        <v>0</v>
      </c>
      <c r="T67" s="48">
        <f t="shared" si="50"/>
        <v>0</v>
      </c>
      <c r="U67" s="225" t="str">
        <f t="shared" si="9"/>
        <v>-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</row>
    <row r="68" spans="1:75" ht="15" customHeight="1" x14ac:dyDescent="0.15">
      <c r="A68" s="3"/>
      <c r="B68" s="256"/>
      <c r="C68" s="257"/>
      <c r="D68" s="193" t="s">
        <v>22</v>
      </c>
      <c r="E68" s="180">
        <f>東大阪工場!E68+松原工場!E68</f>
        <v>0</v>
      </c>
      <c r="F68" s="141">
        <f t="shared" si="47"/>
        <v>0</v>
      </c>
      <c r="G68" s="180">
        <f>東大阪工場!G68+松原工場!G68</f>
        <v>0</v>
      </c>
      <c r="H68" s="106">
        <f t="shared" si="44"/>
        <v>0</v>
      </c>
      <c r="I68" s="88" t="str">
        <f t="shared" si="48"/>
        <v>-</v>
      </c>
      <c r="J68" s="22">
        <f>東大阪工場!J68+松原工場!J68</f>
        <v>14850</v>
      </c>
      <c r="K68" s="166">
        <f t="shared" si="45"/>
        <v>1.5567912690214223E-5</v>
      </c>
      <c r="L68" s="22">
        <f>東大阪工場!L68+松原工場!L68</f>
        <v>0</v>
      </c>
      <c r="M68" s="128">
        <f t="shared" si="46"/>
        <v>0</v>
      </c>
      <c r="N68" s="78">
        <f t="shared" si="49"/>
        <v>0</v>
      </c>
      <c r="O68" s="18"/>
      <c r="P68" s="209">
        <f>東大阪工場!P68+松原工場!P68</f>
        <v>0</v>
      </c>
      <c r="Q68" s="25">
        <f t="shared" si="4"/>
        <v>0</v>
      </c>
      <c r="R68" s="22">
        <f>東大阪工場!R68+松原工場!R68</f>
        <v>0</v>
      </c>
      <c r="S68" s="89">
        <f t="shared" si="6"/>
        <v>0</v>
      </c>
      <c r="T68" s="48">
        <f t="shared" si="50"/>
        <v>0</v>
      </c>
      <c r="U68" s="225" t="str">
        <f t="shared" si="9"/>
        <v>-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</row>
    <row r="69" spans="1:75" ht="15" customHeight="1" x14ac:dyDescent="0.15">
      <c r="A69" s="3"/>
      <c r="B69" s="256"/>
      <c r="C69" s="257"/>
      <c r="D69" s="193" t="s">
        <v>17</v>
      </c>
      <c r="E69" s="180">
        <f>東大阪工場!E69+松原工場!E69</f>
        <v>55607</v>
      </c>
      <c r="F69" s="141">
        <f t="shared" si="47"/>
        <v>7.1430264288894932E-4</v>
      </c>
      <c r="G69" s="180">
        <f>東大阪工場!G69+松原工場!G69</f>
        <v>43026</v>
      </c>
      <c r="H69" s="106">
        <f t="shared" si="44"/>
        <v>9.4496923578923941E-4</v>
      </c>
      <c r="I69" s="88">
        <f t="shared" si="48"/>
        <v>0.77375150610534649</v>
      </c>
      <c r="J69" s="22">
        <f>東大阪工場!J69+松原工場!J69</f>
        <v>324482</v>
      </c>
      <c r="K69" s="166">
        <f t="shared" si="45"/>
        <v>3.4016885155192534E-4</v>
      </c>
      <c r="L69" s="22">
        <f>東大阪工場!L69+松原工場!L69</f>
        <v>293162</v>
      </c>
      <c r="M69" s="128">
        <f t="shared" si="46"/>
        <v>6.4415496223595885E-4</v>
      </c>
      <c r="N69" s="78">
        <f t="shared" si="49"/>
        <v>0.90347692630099663</v>
      </c>
      <c r="O69" s="18"/>
      <c r="P69" s="209">
        <f>東大阪工場!P69+松原工場!P69</f>
        <v>54000</v>
      </c>
      <c r="Q69" s="25">
        <f t="shared" si="4"/>
        <v>7.4079154948899107E-4</v>
      </c>
      <c r="R69" s="22">
        <f>東大阪工場!R69+松原工場!R69</f>
        <v>332000</v>
      </c>
      <c r="S69" s="89">
        <f t="shared" si="6"/>
        <v>5.2292934940973562E-4</v>
      </c>
      <c r="T69" s="48">
        <f t="shared" si="50"/>
        <v>-38838</v>
      </c>
      <c r="U69" s="225">
        <f t="shared" si="9"/>
        <v>0.88301807228915663</v>
      </c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</row>
    <row r="70" spans="1:75" ht="15" customHeight="1" x14ac:dyDescent="0.15">
      <c r="A70" s="3"/>
      <c r="B70" s="256"/>
      <c r="C70" s="257"/>
      <c r="D70" s="192" t="s">
        <v>18</v>
      </c>
      <c r="E70" s="180">
        <f>東大阪工場!E70+松原工場!E70</f>
        <v>111760</v>
      </c>
      <c r="F70" s="141">
        <f t="shared" si="47"/>
        <v>1.4356189574922038E-3</v>
      </c>
      <c r="G70" s="180">
        <f>東大阪工場!G70+松原工場!G70</f>
        <v>119680</v>
      </c>
      <c r="H70" s="106">
        <f t="shared" si="44"/>
        <v>2.6285017928521399E-3</v>
      </c>
      <c r="I70" s="88">
        <f t="shared" si="48"/>
        <v>1.0708661417322836</v>
      </c>
      <c r="J70" s="22">
        <f>東大阪工場!J70+松原工場!J70</f>
        <v>1042800</v>
      </c>
      <c r="K70" s="166">
        <f t="shared" si="45"/>
        <v>1.0932134244683765E-3</v>
      </c>
      <c r="L70" s="22">
        <f>東大阪工場!L70+松原工場!L70</f>
        <v>1114080</v>
      </c>
      <c r="M70" s="128">
        <f t="shared" si="46"/>
        <v>2.4479303604417932E-3</v>
      </c>
      <c r="N70" s="78">
        <f t="shared" si="49"/>
        <v>1.0683544303797468</v>
      </c>
      <c r="O70" s="18"/>
      <c r="P70" s="209">
        <f>東大阪工場!P70+松原工場!P70</f>
        <v>120000</v>
      </c>
      <c r="Q70" s="25">
        <f t="shared" si="4"/>
        <v>1.6462034433088689E-3</v>
      </c>
      <c r="R70" s="22">
        <f>東大阪工場!R70+松原工場!R70</f>
        <v>1117000</v>
      </c>
      <c r="S70" s="89">
        <f t="shared" si="6"/>
        <v>1.7593737448514297E-3</v>
      </c>
      <c r="T70" s="48">
        <f t="shared" si="50"/>
        <v>-2920</v>
      </c>
      <c r="U70" s="225">
        <f t="shared" si="9"/>
        <v>0.99738585496866605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</row>
    <row r="71" spans="1:75" ht="15" customHeight="1" x14ac:dyDescent="0.15">
      <c r="A71" s="3"/>
      <c r="B71" s="256"/>
      <c r="C71" s="257"/>
      <c r="D71" s="193" t="s">
        <v>19</v>
      </c>
      <c r="E71" s="180">
        <f>東大阪工場!E71+松原工場!E71</f>
        <v>2250</v>
      </c>
      <c r="F71" s="141">
        <f t="shared" si="47"/>
        <v>2.8902493328180555E-5</v>
      </c>
      <c r="G71" s="180">
        <f>東大阪工場!G71+松原工場!G71</f>
        <v>1550</v>
      </c>
      <c r="H71" s="106">
        <f t="shared" si="44"/>
        <v>3.4042260853282229E-5</v>
      </c>
      <c r="I71" s="88">
        <f t="shared" si="48"/>
        <v>0.68888888888888888</v>
      </c>
      <c r="J71" s="22">
        <f>東大阪工場!J71+松原工場!J71</f>
        <v>229590</v>
      </c>
      <c r="K71" s="166">
        <f t="shared" si="45"/>
        <v>2.4068936528931199E-4</v>
      </c>
      <c r="L71" s="22">
        <f>東大阪工場!L71+松原工場!L71</f>
        <v>333190</v>
      </c>
      <c r="M71" s="128">
        <f t="shared" si="46"/>
        <v>7.3210713485171721E-4</v>
      </c>
      <c r="N71" s="78">
        <f t="shared" si="49"/>
        <v>1.4512391654688792</v>
      </c>
      <c r="O71" s="18"/>
      <c r="P71" s="209">
        <f>東大阪工場!P71+松原工場!P71</f>
        <v>4500</v>
      </c>
      <c r="Q71" s="25">
        <f t="shared" si="4"/>
        <v>6.173262912408258E-5</v>
      </c>
      <c r="R71" s="22">
        <f>東大阪工場!R71+松原工場!R71</f>
        <v>232000</v>
      </c>
      <c r="S71" s="89">
        <f t="shared" si="6"/>
        <v>3.6542050922608034E-4</v>
      </c>
      <c r="T71" s="48">
        <f t="shared" si="50"/>
        <v>101190</v>
      </c>
      <c r="U71" s="225">
        <f t="shared" si="9"/>
        <v>1.4361637931034483</v>
      </c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</row>
    <row r="72" spans="1:75" ht="15" customHeight="1" x14ac:dyDescent="0.15">
      <c r="A72" s="3"/>
      <c r="B72" s="256"/>
      <c r="C72" s="257"/>
      <c r="D72" s="193" t="s">
        <v>20</v>
      </c>
      <c r="E72" s="180">
        <f>東大阪工場!E72+松原工場!E72</f>
        <v>6265</v>
      </c>
      <c r="F72" s="141">
        <f t="shared" si="47"/>
        <v>8.0477386978244962E-5</v>
      </c>
      <c r="G72" s="180">
        <f>東大阪工場!G72+松原工場!G72</f>
        <v>4446</v>
      </c>
      <c r="H72" s="106">
        <f t="shared" si="44"/>
        <v>9.764638177657599E-5</v>
      </c>
      <c r="I72" s="88">
        <f t="shared" si="48"/>
        <v>0.70965682362330407</v>
      </c>
      <c r="J72" s="22">
        <f>東大阪工場!J72+松原工場!J72</f>
        <v>117083</v>
      </c>
      <c r="K72" s="166">
        <f t="shared" si="45"/>
        <v>1.2274329437766677E-4</v>
      </c>
      <c r="L72" s="22">
        <f>東大阪工場!L72+松原工場!L72</f>
        <v>89123</v>
      </c>
      <c r="M72" s="128">
        <f t="shared" si="46"/>
        <v>1.9582695813016477E-4</v>
      </c>
      <c r="N72" s="78">
        <f t="shared" si="49"/>
        <v>0.76119504966562179</v>
      </c>
      <c r="O72" s="18"/>
      <c r="P72" s="209">
        <f>東大阪工場!P72+松原工場!P72</f>
        <v>6500</v>
      </c>
      <c r="Q72" s="25">
        <f t="shared" si="4"/>
        <v>8.9169353179230395E-5</v>
      </c>
      <c r="R72" s="22">
        <f>東大阪工場!R72+松原工場!R72</f>
        <v>52000</v>
      </c>
      <c r="S72" s="89">
        <f t="shared" si="6"/>
        <v>8.1904596895500766E-5</v>
      </c>
      <c r="T72" s="48">
        <f t="shared" si="50"/>
        <v>37123</v>
      </c>
      <c r="U72" s="225">
        <f t="shared" si="9"/>
        <v>1.7139038461538461</v>
      </c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</row>
    <row r="73" spans="1:75" ht="15" customHeight="1" x14ac:dyDescent="0.15">
      <c r="A73" s="3"/>
      <c r="B73" s="256"/>
      <c r="C73" s="257"/>
      <c r="D73" s="193" t="s">
        <v>1</v>
      </c>
      <c r="E73" s="180">
        <f>東大阪工場!E73+松原工場!E73</f>
        <v>185000</v>
      </c>
      <c r="F73" s="141">
        <f t="shared" si="47"/>
        <v>2.3764272292059567E-3</v>
      </c>
      <c r="G73" s="180">
        <f>東大阪工場!G73+松原工場!G73</f>
        <v>240000</v>
      </c>
      <c r="H73" s="106">
        <f t="shared" si="44"/>
        <v>5.271059745024345E-3</v>
      </c>
      <c r="I73" s="88">
        <f t="shared" si="48"/>
        <v>1.2972972972972974</v>
      </c>
      <c r="J73" s="22">
        <f>東大阪工場!J73+松原工場!J73</f>
        <v>1665000</v>
      </c>
      <c r="K73" s="166">
        <f t="shared" si="45"/>
        <v>1.7454932410240188E-3</v>
      </c>
      <c r="L73" s="22">
        <f>東大阪工場!L73+松原工場!L73</f>
        <v>2160000</v>
      </c>
      <c r="M73" s="128">
        <f t="shared" si="46"/>
        <v>4.7460950547126542E-3</v>
      </c>
      <c r="N73" s="78">
        <f t="shared" si="49"/>
        <v>1.2972972972972974</v>
      </c>
      <c r="O73" s="18"/>
      <c r="P73" s="209">
        <f>東大阪工場!P73+松原工場!P73</f>
        <v>240000</v>
      </c>
      <c r="Q73" s="25">
        <f t="shared" si="4"/>
        <v>3.2924068866177379E-3</v>
      </c>
      <c r="R73" s="22">
        <f>東大阪工場!R73+松原工場!R73</f>
        <v>2160000</v>
      </c>
      <c r="S73" s="89">
        <f t="shared" si="6"/>
        <v>3.4021909479669547E-3</v>
      </c>
      <c r="T73" s="48">
        <f t="shared" si="50"/>
        <v>0</v>
      </c>
      <c r="U73" s="225">
        <f t="shared" si="9"/>
        <v>1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</row>
    <row r="74" spans="1:75" ht="15" customHeight="1" x14ac:dyDescent="0.15">
      <c r="A74" s="3"/>
      <c r="B74" s="256"/>
      <c r="C74" s="257"/>
      <c r="D74" s="193" t="s">
        <v>62</v>
      </c>
      <c r="E74" s="180">
        <f>東大阪工場!E74+松原工場!E74</f>
        <v>0</v>
      </c>
      <c r="F74" s="141">
        <f t="shared" ref="F74:F76" si="51">E74/$E$10</f>
        <v>0</v>
      </c>
      <c r="G74" s="180">
        <f>東大阪工場!G74+松原工場!G74</f>
        <v>0</v>
      </c>
      <c r="H74" s="106">
        <f t="shared" si="44"/>
        <v>0</v>
      </c>
      <c r="I74" s="88" t="str">
        <f t="shared" ref="I74:I76" si="52">IF(E74,G74/E74,"-")</f>
        <v>-</v>
      </c>
      <c r="J74" s="22">
        <f>東大阪工場!J74+松原工場!J74</f>
        <v>0</v>
      </c>
      <c r="K74" s="166">
        <f t="shared" si="45"/>
        <v>0</v>
      </c>
      <c r="L74" s="22">
        <f>東大阪工場!L74+松原工場!L74</f>
        <v>0</v>
      </c>
      <c r="M74" s="128">
        <f t="shared" si="46"/>
        <v>0</v>
      </c>
      <c r="N74" s="78" t="str">
        <f t="shared" ref="N74:N76" si="53">IF(J74,L74/J74,"-")</f>
        <v>-</v>
      </c>
      <c r="O74" s="18"/>
      <c r="P74" s="209">
        <f>東大阪工場!P74+松原工場!P74</f>
        <v>0</v>
      </c>
      <c r="Q74" s="25">
        <f t="shared" si="4"/>
        <v>0</v>
      </c>
      <c r="R74" s="22">
        <f>東大阪工場!R74+松原工場!R74</f>
        <v>0</v>
      </c>
      <c r="S74" s="89">
        <f t="shared" si="6"/>
        <v>0</v>
      </c>
      <c r="T74" s="48">
        <f t="shared" si="50"/>
        <v>0</v>
      </c>
      <c r="U74" s="225" t="str">
        <f t="shared" si="9"/>
        <v>-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</row>
    <row r="75" spans="1:75" ht="15" customHeight="1" x14ac:dyDescent="0.15">
      <c r="A75" s="3"/>
      <c r="B75" s="256"/>
      <c r="C75" s="257"/>
      <c r="D75" s="193" t="s">
        <v>21</v>
      </c>
      <c r="E75" s="180">
        <f>東大阪工場!E75+松原工場!E75</f>
        <v>0</v>
      </c>
      <c r="F75" s="141">
        <f t="shared" si="51"/>
        <v>0</v>
      </c>
      <c r="G75" s="180">
        <f>東大阪工場!G75+松原工場!G75</f>
        <v>0</v>
      </c>
      <c r="H75" s="106">
        <f t="shared" si="44"/>
        <v>0</v>
      </c>
      <c r="I75" s="88" t="str">
        <f t="shared" si="52"/>
        <v>-</v>
      </c>
      <c r="J75" s="22">
        <f>東大阪工場!J75+松原工場!J75</f>
        <v>3400</v>
      </c>
      <c r="K75" s="166">
        <f t="shared" si="45"/>
        <v>3.5643705822712694E-6</v>
      </c>
      <c r="L75" s="22">
        <f>東大阪工場!L75+松原工場!L75</f>
        <v>1020000</v>
      </c>
      <c r="M75" s="128">
        <f t="shared" si="46"/>
        <v>2.2412115536143088E-3</v>
      </c>
      <c r="N75" s="78">
        <f t="shared" si="53"/>
        <v>300</v>
      </c>
      <c r="O75" s="18"/>
      <c r="P75" s="209">
        <f>東大阪工場!P75+松原工場!P75</f>
        <v>0</v>
      </c>
      <c r="Q75" s="25">
        <f t="shared" si="4"/>
        <v>0</v>
      </c>
      <c r="R75" s="22">
        <f>東大阪工場!R75+松原工場!R75</f>
        <v>0</v>
      </c>
      <c r="S75" s="89">
        <f t="shared" si="6"/>
        <v>0</v>
      </c>
      <c r="T75" s="48">
        <f t="shared" si="50"/>
        <v>1020000</v>
      </c>
      <c r="U75" s="225" t="e">
        <f t="shared" si="9"/>
        <v>#DIV/0!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</row>
    <row r="76" spans="1:75" ht="15" customHeight="1" x14ac:dyDescent="0.15">
      <c r="A76" s="3"/>
      <c r="B76" s="256"/>
      <c r="C76" s="257"/>
      <c r="D76" s="193" t="s">
        <v>63</v>
      </c>
      <c r="E76" s="180">
        <f>東大阪工場!E76+松原工場!E76</f>
        <v>187000</v>
      </c>
      <c r="F76" s="141">
        <f t="shared" si="51"/>
        <v>2.4021183343865618E-3</v>
      </c>
      <c r="G76" s="180">
        <f>東大阪工場!G76+松原工場!G76</f>
        <v>187000</v>
      </c>
      <c r="H76" s="106">
        <f t="shared" si="44"/>
        <v>4.1070340513314684E-3</v>
      </c>
      <c r="I76" s="88">
        <f t="shared" si="52"/>
        <v>1</v>
      </c>
      <c r="J76" s="22">
        <f>東大阪工場!J76+松原工場!J76</f>
        <v>1683000</v>
      </c>
      <c r="K76" s="166">
        <f t="shared" si="45"/>
        <v>1.7643634382242784E-3</v>
      </c>
      <c r="L76" s="22">
        <f>東大阪工場!L76+松原工場!L76</f>
        <v>1683000</v>
      </c>
      <c r="M76" s="128">
        <f t="shared" si="46"/>
        <v>3.6979990634636098E-3</v>
      </c>
      <c r="N76" s="78">
        <f t="shared" si="53"/>
        <v>1</v>
      </c>
      <c r="O76" s="18"/>
      <c r="P76" s="209">
        <f>東大阪工場!P76+松原工場!P76</f>
        <v>187000</v>
      </c>
      <c r="Q76" s="25">
        <f t="shared" ref="Q76:Q95" si="54">P76/$P$10</f>
        <v>2.5653336991563209E-3</v>
      </c>
      <c r="R76" s="22">
        <f>東大阪工場!R76+松原工場!R76</f>
        <v>1683000</v>
      </c>
      <c r="S76" s="89">
        <f t="shared" ref="S76:S95" si="55">R76/$R$10</f>
        <v>2.6508737802909189E-3</v>
      </c>
      <c r="T76" s="48">
        <f t="shared" si="50"/>
        <v>0</v>
      </c>
      <c r="U76" s="225">
        <f t="shared" ref="U76:U95" si="56">IF(L76,L76/R76,"-")</f>
        <v>1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</row>
    <row r="77" spans="1:75" ht="15" customHeight="1" x14ac:dyDescent="0.15">
      <c r="A77" s="3"/>
      <c r="B77" s="256"/>
      <c r="C77" s="257"/>
      <c r="D77" s="192" t="s">
        <v>98</v>
      </c>
      <c r="E77" s="180">
        <f>東大阪工場!E77+松原工場!E77</f>
        <v>789739</v>
      </c>
      <c r="F77" s="141">
        <f t="shared" ref="F77" si="57">E77/$E$10</f>
        <v>1.0144633857112881E-2</v>
      </c>
      <c r="G77" s="180">
        <f>東大阪工場!G77+松原工場!G77</f>
        <v>271128</v>
      </c>
      <c r="H77" s="106">
        <f t="shared" ref="H77" si="58">G77/$G$10</f>
        <v>5.9547161939540018E-3</v>
      </c>
      <c r="I77" s="88">
        <f t="shared" ref="I77" si="59">IF(E77,G77/E77,"-")</f>
        <v>0.34331342380204094</v>
      </c>
      <c r="J77" s="22">
        <f>東大阪工場!J77+松原工場!J77</f>
        <v>4088396</v>
      </c>
      <c r="K77" s="166">
        <f t="shared" ref="K77" si="60">J77/$J$10</f>
        <v>4.2860465973751554E-3</v>
      </c>
      <c r="L77" s="22">
        <f>東大阪工場!L77+松原工場!L77</f>
        <v>2883869</v>
      </c>
      <c r="M77" s="128">
        <f t="shared" ref="M77" si="61">L77/$L$10</f>
        <v>6.3366279626570036E-3</v>
      </c>
      <c r="N77" s="78">
        <f t="shared" ref="N77" si="62">IF(J77,L77/J77,"-")</f>
        <v>0.70537907776056918</v>
      </c>
      <c r="O77" s="18"/>
      <c r="P77" s="209">
        <f>東大阪工場!P77+松原工場!P77</f>
        <v>493000</v>
      </c>
      <c r="Q77" s="25">
        <f t="shared" ref="Q77" si="63">P77/$P$10</f>
        <v>6.7631524795939363E-3</v>
      </c>
      <c r="R77" s="22">
        <f>東大阪工場!R77+松原工場!R77</f>
        <v>3944000</v>
      </c>
      <c r="S77" s="89">
        <f t="shared" ref="S77" si="64">R77/$R$10</f>
        <v>6.2121486568433651E-3</v>
      </c>
      <c r="T77" s="48">
        <f t="shared" si="50"/>
        <v>-1060131</v>
      </c>
      <c r="U77" s="225">
        <f t="shared" si="56"/>
        <v>0.73120410750507103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</row>
    <row r="78" spans="1:75" ht="15" customHeight="1" x14ac:dyDescent="0.15">
      <c r="A78" s="3"/>
      <c r="B78" s="258"/>
      <c r="C78" s="259"/>
      <c r="D78" s="194" t="s">
        <v>52</v>
      </c>
      <c r="E78" s="185">
        <f>SUM(E43:E77)</f>
        <v>6452853</v>
      </c>
      <c r="F78" s="140">
        <f>E78/$E$10</f>
        <v>8.2890462568991061E-2</v>
      </c>
      <c r="G78" s="27">
        <f>SUM(G43:G77)</f>
        <v>4780414</v>
      </c>
      <c r="H78" s="105">
        <f t="shared" si="44"/>
        <v>0.10499103249979504</v>
      </c>
      <c r="I78" s="114">
        <f>IF(E78,G78/E78,"-")</f>
        <v>0.74082177294291374</v>
      </c>
      <c r="J78" s="32">
        <f>SUM(J43:J77)</f>
        <v>63955087</v>
      </c>
      <c r="K78" s="165">
        <f t="shared" si="45"/>
        <v>6.7046950202764619E-2</v>
      </c>
      <c r="L78" s="27">
        <f>SUM(L43:L77)</f>
        <v>44328186</v>
      </c>
      <c r="M78" s="105">
        <f t="shared" si="46"/>
        <v>9.7400826092121626E-2</v>
      </c>
      <c r="N78" s="126">
        <f>IF(J78,L78/J78,"-")</f>
        <v>0.69311431004698654</v>
      </c>
      <c r="O78" s="18"/>
      <c r="P78" s="215">
        <f>SUM(P43:P77)</f>
        <v>6247000</v>
      </c>
      <c r="Q78" s="1">
        <f t="shared" si="54"/>
        <v>8.5698607586254208E-2</v>
      </c>
      <c r="R78" s="27">
        <f>SUM(R43:R77)</f>
        <v>54542500</v>
      </c>
      <c r="S78" s="216">
        <f t="shared" si="55"/>
        <v>8.5909259157170195E-2</v>
      </c>
      <c r="T78" s="48">
        <f t="shared" si="50"/>
        <v>-10214314</v>
      </c>
      <c r="U78" s="225">
        <f t="shared" si="56"/>
        <v>0.81272743273593984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</row>
    <row r="79" spans="1:75" ht="15" customHeight="1" x14ac:dyDescent="0.15">
      <c r="A79" s="3"/>
      <c r="B79" s="251" t="s">
        <v>64</v>
      </c>
      <c r="C79" s="252"/>
      <c r="D79" s="253"/>
      <c r="E79" s="177">
        <f>E42-E78</f>
        <v>-2577868</v>
      </c>
      <c r="F79" s="142">
        <f t="shared" si="10"/>
        <v>-3.3114138964857841E-2</v>
      </c>
      <c r="G79" s="17">
        <f>G42-G78</f>
        <v>2492236</v>
      </c>
      <c r="H79" s="96">
        <f t="shared" si="44"/>
        <v>5.4736353561252053E-2</v>
      </c>
      <c r="I79" s="112">
        <f t="shared" si="43"/>
        <v>-0.9667818522903423</v>
      </c>
      <c r="J79" s="36">
        <f>J42-J78</f>
        <v>112049549</v>
      </c>
      <c r="K79" s="167">
        <f t="shared" si="45"/>
        <v>0.11746650476834211</v>
      </c>
      <c r="L79" s="17">
        <f>L42-L78</f>
        <v>48225243</v>
      </c>
      <c r="M79" s="99">
        <f t="shared" si="46"/>
        <v>0.10596369783084077</v>
      </c>
      <c r="N79" s="125">
        <f t="shared" si="42"/>
        <v>0.43039212054302867</v>
      </c>
      <c r="O79" s="18"/>
      <c r="P79" s="217">
        <f>P42-P78</f>
        <v>8842150</v>
      </c>
      <c r="Q79" s="2">
        <f t="shared" si="54"/>
        <v>0.12129981480211263</v>
      </c>
      <c r="R79" s="17">
        <f>R42-R78</f>
        <v>67510950</v>
      </c>
      <c r="S79" s="204">
        <f t="shared" si="55"/>
        <v>0.10633571434196744</v>
      </c>
      <c r="T79" s="48">
        <f t="shared" si="50"/>
        <v>-19285707</v>
      </c>
      <c r="U79" s="225">
        <f t="shared" si="56"/>
        <v>0.71433216389341281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</row>
    <row r="80" spans="1:75" ht="15" customHeight="1" x14ac:dyDescent="0.15">
      <c r="A80" s="3"/>
      <c r="B80" s="254" t="s">
        <v>65</v>
      </c>
      <c r="C80" s="255"/>
      <c r="D80" s="192" t="s">
        <v>67</v>
      </c>
      <c r="E80" s="180">
        <f>東大阪工場!E80+松原工場!E80</f>
        <v>514</v>
      </c>
      <c r="F80" s="134">
        <f t="shared" si="10"/>
        <v>6.6026140314154687E-6</v>
      </c>
      <c r="G80" s="180">
        <f>東大阪工場!G80+松原工場!G80</f>
        <v>2946</v>
      </c>
      <c r="H80" s="108">
        <f t="shared" si="44"/>
        <v>6.4702258370173826E-5</v>
      </c>
      <c r="I80" s="78">
        <f t="shared" ref="I80:I95" si="65">IF(E80,G80/E80,"-")</f>
        <v>5.7315175097276265</v>
      </c>
      <c r="J80" s="22">
        <f>東大阪工場!J80+松原工場!J80</f>
        <v>574</v>
      </c>
      <c r="K80" s="169">
        <f t="shared" si="45"/>
        <v>6.0174962183050257E-7</v>
      </c>
      <c r="L80" s="22">
        <f>東大阪工場!L80+松原工場!L80</f>
        <v>4738</v>
      </c>
      <c r="M80" s="128">
        <f t="shared" si="46"/>
        <v>1.0410647393161368E-5</v>
      </c>
      <c r="N80" s="78">
        <f t="shared" ref="N80:N95" si="66">IF(J80,L80/J80,"-")</f>
        <v>8.2543554006968645</v>
      </c>
      <c r="O80" s="18"/>
      <c r="P80" s="209">
        <f>東大阪工場!P80+松原工場!P80</f>
        <v>0</v>
      </c>
      <c r="Q80" s="25">
        <f t="shared" si="54"/>
        <v>0</v>
      </c>
      <c r="R80" s="22">
        <f>東大阪工場!R80+松原工場!R80</f>
        <v>0</v>
      </c>
      <c r="S80" s="78">
        <f t="shared" si="55"/>
        <v>0</v>
      </c>
      <c r="T80" s="48">
        <f t="shared" si="50"/>
        <v>4738</v>
      </c>
      <c r="U80" s="225" t="e">
        <f t="shared" si="56"/>
        <v>#DIV/0!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</row>
    <row r="81" spans="1:75" ht="15" customHeight="1" x14ac:dyDescent="0.15">
      <c r="A81" s="3"/>
      <c r="B81" s="256"/>
      <c r="C81" s="257"/>
      <c r="D81" s="192" t="s">
        <v>68</v>
      </c>
      <c r="E81" s="180">
        <f>東大阪工場!E81+松原工場!E81</f>
        <v>0</v>
      </c>
      <c r="F81" s="134">
        <f t="shared" si="10"/>
        <v>0</v>
      </c>
      <c r="G81" s="180">
        <f>東大阪工場!G81+松原工場!G81</f>
        <v>0</v>
      </c>
      <c r="H81" s="108">
        <f t="shared" si="44"/>
        <v>0</v>
      </c>
      <c r="I81" s="78" t="str">
        <f t="shared" si="65"/>
        <v>-</v>
      </c>
      <c r="J81" s="22">
        <f>東大阪工場!J81+松原工場!J81</f>
        <v>0</v>
      </c>
      <c r="K81" s="169">
        <f t="shared" si="45"/>
        <v>0</v>
      </c>
      <c r="L81" s="22">
        <f>東大阪工場!L81+松原工場!L81</f>
        <v>0</v>
      </c>
      <c r="M81" s="128">
        <f t="shared" si="46"/>
        <v>0</v>
      </c>
      <c r="N81" s="78" t="str">
        <f t="shared" si="66"/>
        <v>-</v>
      </c>
      <c r="O81" s="18"/>
      <c r="P81" s="209">
        <f>東大阪工場!P81+松原工場!P81</f>
        <v>0</v>
      </c>
      <c r="Q81" s="25">
        <f t="shared" si="54"/>
        <v>0</v>
      </c>
      <c r="R81" s="22">
        <f>東大阪工場!R81+松原工場!R81</f>
        <v>0</v>
      </c>
      <c r="S81" s="78">
        <f t="shared" si="55"/>
        <v>0</v>
      </c>
      <c r="T81" s="48">
        <f t="shared" si="50"/>
        <v>0</v>
      </c>
      <c r="U81" s="225" t="str">
        <f t="shared" si="56"/>
        <v>-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</row>
    <row r="82" spans="1:75" ht="15" customHeight="1" x14ac:dyDescent="0.15">
      <c r="A82" s="3"/>
      <c r="B82" s="256"/>
      <c r="C82" s="257"/>
      <c r="D82" s="192" t="s">
        <v>95</v>
      </c>
      <c r="E82" s="180">
        <f>東大阪工場!E82+松原工場!E82</f>
        <v>0</v>
      </c>
      <c r="F82" s="134">
        <f t="shared" si="10"/>
        <v>0</v>
      </c>
      <c r="G82" s="180">
        <f>東大阪工場!G82+松原工場!G82</f>
        <v>0</v>
      </c>
      <c r="H82" s="108">
        <f t="shared" si="44"/>
        <v>0</v>
      </c>
      <c r="I82" s="78" t="str">
        <f t="shared" si="65"/>
        <v>-</v>
      </c>
      <c r="J82" s="22">
        <f>東大阪工場!J82+松原工場!J82</f>
        <v>0</v>
      </c>
      <c r="K82" s="169">
        <f t="shared" si="45"/>
        <v>0</v>
      </c>
      <c r="L82" s="22">
        <f>東大阪工場!L82+松原工場!L82</f>
        <v>0</v>
      </c>
      <c r="M82" s="128">
        <f t="shared" ref="M82" si="67">L82/$L$10</f>
        <v>0</v>
      </c>
      <c r="N82" s="78" t="str">
        <f t="shared" ref="N82" si="68">IF(J82,L82/J82,"-")</f>
        <v>-</v>
      </c>
      <c r="O82" s="18"/>
      <c r="P82" s="209">
        <f>東大阪工場!P82+松原工場!P82</f>
        <v>0</v>
      </c>
      <c r="Q82" s="25">
        <f t="shared" ref="Q82" si="69">P82/$P$10</f>
        <v>0</v>
      </c>
      <c r="R82" s="22">
        <f>東大阪工場!R82+松原工場!R82</f>
        <v>0</v>
      </c>
      <c r="S82" s="78">
        <f t="shared" ref="S82" si="70">R82/$R$10</f>
        <v>0</v>
      </c>
      <c r="T82" s="48">
        <f t="shared" si="50"/>
        <v>0</v>
      </c>
      <c r="U82" s="225" t="str">
        <f t="shared" si="56"/>
        <v>-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</row>
    <row r="83" spans="1:75" ht="15" customHeight="1" x14ac:dyDescent="0.15">
      <c r="A83" s="3"/>
      <c r="B83" s="256"/>
      <c r="C83" s="257"/>
      <c r="D83" s="192" t="s">
        <v>69</v>
      </c>
      <c r="E83" s="180">
        <f>東大阪工場!E83+松原工場!E83</f>
        <v>0</v>
      </c>
      <c r="F83" s="134">
        <f t="shared" si="10"/>
        <v>0</v>
      </c>
      <c r="G83" s="180">
        <f>東大阪工場!G83+松原工場!G83</f>
        <v>0</v>
      </c>
      <c r="H83" s="108">
        <f t="shared" si="44"/>
        <v>0</v>
      </c>
      <c r="I83" s="78" t="str">
        <f t="shared" si="65"/>
        <v>-</v>
      </c>
      <c r="J83" s="22">
        <f>東大阪工場!J83+松原工場!J83</f>
        <v>0</v>
      </c>
      <c r="K83" s="169">
        <f t="shared" si="45"/>
        <v>0</v>
      </c>
      <c r="L83" s="22">
        <f>東大阪工場!L83+松原工場!L83</f>
        <v>0</v>
      </c>
      <c r="M83" s="128">
        <f t="shared" si="46"/>
        <v>0</v>
      </c>
      <c r="N83" s="78" t="str">
        <f t="shared" si="66"/>
        <v>-</v>
      </c>
      <c r="O83" s="18"/>
      <c r="P83" s="209">
        <f>東大阪工場!P83+松原工場!P83</f>
        <v>0</v>
      </c>
      <c r="Q83" s="25">
        <f t="shared" si="54"/>
        <v>0</v>
      </c>
      <c r="R83" s="22">
        <f>東大阪工場!R83+松原工場!R83</f>
        <v>0</v>
      </c>
      <c r="S83" s="78">
        <f t="shared" si="55"/>
        <v>0</v>
      </c>
      <c r="T83" s="48">
        <f t="shared" si="50"/>
        <v>0</v>
      </c>
      <c r="U83" s="225" t="str">
        <f t="shared" si="56"/>
        <v>-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</row>
    <row r="84" spans="1:75" ht="15" customHeight="1" x14ac:dyDescent="0.15">
      <c r="A84" s="3"/>
      <c r="B84" s="256"/>
      <c r="C84" s="257"/>
      <c r="D84" s="192" t="s">
        <v>70</v>
      </c>
      <c r="E84" s="180">
        <f>東大阪工場!E84+松原工場!E84</f>
        <v>960588</v>
      </c>
      <c r="F84" s="135">
        <f t="shared" ref="F84:F95" si="71">E84/$E$10</f>
        <v>1.2339283671613467E-2</v>
      </c>
      <c r="G84" s="180">
        <f>東大阪工場!G84+松原工場!G84</f>
        <v>598076</v>
      </c>
      <c r="H84" s="108">
        <f t="shared" ref="H84:H95" si="72">G84/$G$10</f>
        <v>1.3135393033604916E-2</v>
      </c>
      <c r="I84" s="78">
        <f t="shared" si="65"/>
        <v>0.62261448196313096</v>
      </c>
      <c r="J84" s="22">
        <f>東大阪工場!J84+松原工場!J84</f>
        <v>21841803</v>
      </c>
      <c r="K84" s="169">
        <f t="shared" ref="K84:K95" si="73">J84/$J$10</f>
        <v>2.2897729434401284E-2</v>
      </c>
      <c r="L84" s="22">
        <f>東大阪工場!L84+松原工場!L84</f>
        <v>5847904</v>
      </c>
      <c r="M84" s="128">
        <f t="shared" ref="M84:M95" si="74">L84/$L$10</f>
        <v>1.2849401969830717E-2</v>
      </c>
      <c r="N84" s="78">
        <f t="shared" si="66"/>
        <v>0.26773906897704369</v>
      </c>
      <c r="O84" s="18"/>
      <c r="P84" s="209">
        <f>東大阪工場!P84+松原工場!P84</f>
        <v>1080000</v>
      </c>
      <c r="Q84" s="25">
        <f t="shared" si="54"/>
        <v>1.4815830989779821E-2</v>
      </c>
      <c r="R84" s="22">
        <f>東大阪工場!R84+松原工場!R84</f>
        <v>9720000</v>
      </c>
      <c r="S84" s="78">
        <f t="shared" si="55"/>
        <v>1.5309859265851296E-2</v>
      </c>
      <c r="T84" s="48">
        <f t="shared" si="50"/>
        <v>-3872096</v>
      </c>
      <c r="U84" s="225">
        <f t="shared" si="56"/>
        <v>0.60163621399176959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</row>
    <row r="85" spans="1:75" ht="15" customHeight="1" x14ac:dyDescent="0.15">
      <c r="A85" s="3"/>
      <c r="B85" s="258"/>
      <c r="C85" s="259"/>
      <c r="D85" s="194" t="s">
        <v>66</v>
      </c>
      <c r="E85" s="186">
        <f>SUM(E80:E84)</f>
        <v>961102</v>
      </c>
      <c r="F85" s="140">
        <f>E85/$E$10</f>
        <v>1.2345886285644883E-2</v>
      </c>
      <c r="G85" s="37">
        <f>SUM(G80:G84)</f>
        <v>601022</v>
      </c>
      <c r="H85" s="107">
        <f>G85/$G$10</f>
        <v>1.320009529197509E-2</v>
      </c>
      <c r="I85" s="113">
        <f t="shared" si="65"/>
        <v>0.62534673739103652</v>
      </c>
      <c r="J85" s="70">
        <f>SUM(J80:J84)</f>
        <v>21842377</v>
      </c>
      <c r="K85" s="168">
        <f>J85/$J$10</f>
        <v>2.2898331184023114E-2</v>
      </c>
      <c r="L85" s="37">
        <f>SUM(L80:L84)</f>
        <v>5852642</v>
      </c>
      <c r="M85" s="107">
        <f>L85/$L$10</f>
        <v>1.2859812617223878E-2</v>
      </c>
      <c r="N85" s="113">
        <f>IF(J85,L85/J85,"-")</f>
        <v>0.2679489507941375</v>
      </c>
      <c r="O85" s="18"/>
      <c r="P85" s="218">
        <f>SUM(P80:P84)</f>
        <v>1080000</v>
      </c>
      <c r="Q85" s="29">
        <f t="shared" si="54"/>
        <v>1.4815830989779821E-2</v>
      </c>
      <c r="R85" s="37">
        <f>SUM(R80:R84)</f>
        <v>9720000</v>
      </c>
      <c r="S85" s="219">
        <f t="shared" si="55"/>
        <v>1.5309859265851296E-2</v>
      </c>
      <c r="T85" s="48">
        <f t="shared" si="50"/>
        <v>-3867358</v>
      </c>
      <c r="U85" s="225">
        <f t="shared" si="56"/>
        <v>0.60212366255144034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</row>
    <row r="86" spans="1:75" ht="15" customHeight="1" x14ac:dyDescent="0.15">
      <c r="A86" s="3"/>
      <c r="B86" s="256" t="s">
        <v>71</v>
      </c>
      <c r="C86" s="257"/>
      <c r="D86" s="192" t="s">
        <v>73</v>
      </c>
      <c r="E86" s="180">
        <f>東大阪工場!E86+松原工場!E86</f>
        <v>54935</v>
      </c>
      <c r="F86" s="138">
        <f t="shared" si="71"/>
        <v>7.0567043154826613E-4</v>
      </c>
      <c r="G86" s="180">
        <f>東大阪工場!G86+松原工場!G86</f>
        <v>178646</v>
      </c>
      <c r="H86" s="106">
        <f t="shared" si="72"/>
        <v>3.9235572467067464E-3</v>
      </c>
      <c r="I86" s="89">
        <f t="shared" si="65"/>
        <v>3.2519523072722309</v>
      </c>
      <c r="J86" s="22">
        <f>東大阪工場!J86+松原工場!J86</f>
        <v>407526</v>
      </c>
      <c r="K86" s="169">
        <f t="shared" si="73"/>
        <v>4.2722755467961216E-4</v>
      </c>
      <c r="L86" s="22">
        <f>東大阪工場!L86+松原工場!L86</f>
        <v>1566244</v>
      </c>
      <c r="M86" s="128">
        <f t="shared" si="74"/>
        <v>3.4414550476265585E-3</v>
      </c>
      <c r="N86" s="78">
        <f t="shared" si="66"/>
        <v>3.8432983417008977</v>
      </c>
      <c r="O86" s="18"/>
      <c r="P86" s="209">
        <f>東大阪工場!P86+松原工場!P86</f>
        <v>190000</v>
      </c>
      <c r="Q86" s="21">
        <f t="shared" si="54"/>
        <v>2.6064887852390423E-3</v>
      </c>
      <c r="R86" s="22">
        <f>東大阪工場!R86+松原工場!R86</f>
        <v>1710000</v>
      </c>
      <c r="S86" s="89">
        <f t="shared" si="55"/>
        <v>2.6934011671405056E-3</v>
      </c>
      <c r="T86" s="48">
        <f t="shared" ref="T86:T95" si="75">L86-R86</f>
        <v>-143756</v>
      </c>
      <c r="U86" s="225">
        <f t="shared" si="56"/>
        <v>0.91593216374269004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</row>
    <row r="87" spans="1:75" ht="15" customHeight="1" x14ac:dyDescent="0.15">
      <c r="A87" s="3"/>
      <c r="B87" s="256"/>
      <c r="C87" s="257"/>
      <c r="D87" s="192" t="s">
        <v>74</v>
      </c>
      <c r="E87" s="180">
        <f>東大阪工場!E87+松原工場!E87</f>
        <v>0</v>
      </c>
      <c r="F87" s="138">
        <f t="shared" si="71"/>
        <v>0</v>
      </c>
      <c r="G87" s="180">
        <f>東大阪工場!G87+松原工場!G87</f>
        <v>0</v>
      </c>
      <c r="H87" s="106">
        <f t="shared" si="72"/>
        <v>0</v>
      </c>
      <c r="I87" s="89" t="str">
        <f t="shared" si="65"/>
        <v>-</v>
      </c>
      <c r="J87" s="22">
        <f>東大阪工場!J87+松原工場!J87</f>
        <v>0</v>
      </c>
      <c r="K87" s="169">
        <f t="shared" si="73"/>
        <v>0</v>
      </c>
      <c r="L87" s="22">
        <f>東大阪工場!L87+松原工場!L87</f>
        <v>0</v>
      </c>
      <c r="M87" s="128">
        <f t="shared" si="74"/>
        <v>0</v>
      </c>
      <c r="N87" s="78" t="str">
        <f t="shared" si="66"/>
        <v>-</v>
      </c>
      <c r="O87" s="18"/>
      <c r="P87" s="209">
        <f>東大阪工場!P87+松原工場!P87</f>
        <v>0</v>
      </c>
      <c r="Q87" s="21">
        <f t="shared" si="54"/>
        <v>0</v>
      </c>
      <c r="R87" s="22">
        <f>東大阪工場!R87+松原工場!R87</f>
        <v>0</v>
      </c>
      <c r="S87" s="89">
        <f t="shared" si="55"/>
        <v>0</v>
      </c>
      <c r="T87" s="48">
        <f t="shared" si="75"/>
        <v>0</v>
      </c>
      <c r="U87" s="225" t="str">
        <f t="shared" si="56"/>
        <v>-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</row>
    <row r="88" spans="1:75" ht="15" customHeight="1" x14ac:dyDescent="0.15">
      <c r="A88" s="3"/>
      <c r="B88" s="256"/>
      <c r="C88" s="257"/>
      <c r="D88" s="192" t="s">
        <v>75</v>
      </c>
      <c r="E88" s="180">
        <f>東大阪工場!E88+松原工場!E88</f>
        <v>0</v>
      </c>
      <c r="F88" s="138">
        <f t="shared" si="71"/>
        <v>0</v>
      </c>
      <c r="G88" s="180">
        <f>東大阪工場!G88+松原工場!G88</f>
        <v>0</v>
      </c>
      <c r="H88" s="106">
        <f t="shared" si="72"/>
        <v>0</v>
      </c>
      <c r="I88" s="89" t="str">
        <f t="shared" si="65"/>
        <v>-</v>
      </c>
      <c r="J88" s="22">
        <f>東大阪工場!J88+松原工場!J88</f>
        <v>0</v>
      </c>
      <c r="K88" s="171">
        <f t="shared" si="73"/>
        <v>0</v>
      </c>
      <c r="L88" s="22">
        <f>東大阪工場!L88+松原工場!L88</f>
        <v>0</v>
      </c>
      <c r="M88" s="128">
        <f t="shared" si="74"/>
        <v>0</v>
      </c>
      <c r="N88" s="78" t="str">
        <f t="shared" si="66"/>
        <v>-</v>
      </c>
      <c r="O88" s="18"/>
      <c r="P88" s="209">
        <f>東大阪工場!P88+松原工場!P88</f>
        <v>0</v>
      </c>
      <c r="Q88" s="21">
        <f t="shared" si="54"/>
        <v>0</v>
      </c>
      <c r="R88" s="22">
        <f>東大阪工場!R88+松原工場!R88</f>
        <v>0</v>
      </c>
      <c r="S88" s="89">
        <f t="shared" si="55"/>
        <v>0</v>
      </c>
      <c r="T88" s="48">
        <f t="shared" si="75"/>
        <v>0</v>
      </c>
      <c r="U88" s="225" t="str">
        <f t="shared" si="56"/>
        <v>-</v>
      </c>
    </row>
    <row r="89" spans="1:75" ht="15" customHeight="1" x14ac:dyDescent="0.15">
      <c r="A89" s="3"/>
      <c r="B89" s="258"/>
      <c r="C89" s="259"/>
      <c r="D89" s="194" t="s">
        <v>72</v>
      </c>
      <c r="E89" s="185">
        <f>SUM(E86:E88)</f>
        <v>54935</v>
      </c>
      <c r="F89" s="143">
        <f>E89/$E$10</f>
        <v>7.0567043154826613E-4</v>
      </c>
      <c r="G89" s="27">
        <f>SUM(G86:G88)</f>
        <v>178646</v>
      </c>
      <c r="H89" s="105">
        <f>G89/$G$10</f>
        <v>3.9235572467067464E-3</v>
      </c>
      <c r="I89" s="114">
        <f t="shared" si="65"/>
        <v>3.2519523072722309</v>
      </c>
      <c r="J89" s="28">
        <f>SUM(J86:J88)</f>
        <v>407526</v>
      </c>
      <c r="K89" s="170">
        <f>J89/$J$10</f>
        <v>4.2722755467961216E-4</v>
      </c>
      <c r="L89" s="27">
        <f>SUM(L86:L88)</f>
        <v>1566244</v>
      </c>
      <c r="M89" s="107">
        <f>L89/$L$10</f>
        <v>3.4414550476265585E-3</v>
      </c>
      <c r="N89" s="113">
        <f>IF(J89,L89/J89,"-")</f>
        <v>3.8432983417008977</v>
      </c>
      <c r="O89" s="18"/>
      <c r="P89" s="215">
        <f>SUM(P86:P88)</f>
        <v>190000</v>
      </c>
      <c r="Q89" s="26">
        <f t="shared" si="54"/>
        <v>2.6064887852390423E-3</v>
      </c>
      <c r="R89" s="27">
        <f>SUM(R86:R88)</f>
        <v>1710000</v>
      </c>
      <c r="S89" s="220">
        <f t="shared" si="55"/>
        <v>2.6934011671405056E-3</v>
      </c>
      <c r="T89" s="48">
        <f t="shared" si="75"/>
        <v>-143756</v>
      </c>
      <c r="U89" s="225">
        <f t="shared" si="56"/>
        <v>0.91593216374269004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</row>
    <row r="90" spans="1:75" ht="15" customHeight="1" x14ac:dyDescent="0.15">
      <c r="A90" s="3"/>
      <c r="B90" s="251" t="s">
        <v>76</v>
      </c>
      <c r="C90" s="252"/>
      <c r="D90" s="253"/>
      <c r="E90" s="187">
        <f>E79+E85-E89</f>
        <v>-1671701</v>
      </c>
      <c r="F90" s="144">
        <f t="shared" si="71"/>
        <v>-2.1473923110761226E-2</v>
      </c>
      <c r="G90" s="31">
        <f>G79+G85-G89</f>
        <v>2914612</v>
      </c>
      <c r="H90" s="109">
        <f t="shared" si="72"/>
        <v>6.4012891606520392E-2</v>
      </c>
      <c r="I90" s="115">
        <f t="shared" si="65"/>
        <v>-1.7435007815392825</v>
      </c>
      <c r="J90" s="71">
        <f>J79+J85-J89</f>
        <v>133484400</v>
      </c>
      <c r="K90" s="172">
        <f t="shared" si="73"/>
        <v>0.1399376083976856</v>
      </c>
      <c r="L90" s="17">
        <f>L79+L85-L89</f>
        <v>52511641</v>
      </c>
      <c r="M90" s="131">
        <f t="shared" si="74"/>
        <v>0.11538205540043808</v>
      </c>
      <c r="N90" s="125">
        <f t="shared" si="66"/>
        <v>0.39339159482306546</v>
      </c>
      <c r="O90" s="18"/>
      <c r="P90" s="221">
        <f>P79+P85-P89</f>
        <v>9732150</v>
      </c>
      <c r="Q90" s="2">
        <f t="shared" si="54"/>
        <v>0.13350915700665342</v>
      </c>
      <c r="R90" s="17">
        <f>R79+R85-R89</f>
        <v>75520950</v>
      </c>
      <c r="S90" s="204">
        <f t="shared" si="55"/>
        <v>0.11895217244067824</v>
      </c>
      <c r="T90" s="48">
        <f t="shared" si="75"/>
        <v>-23009309</v>
      </c>
      <c r="U90" s="225">
        <f t="shared" si="56"/>
        <v>0.69532548253166837</v>
      </c>
    </row>
    <row r="91" spans="1:75" ht="15" customHeight="1" x14ac:dyDescent="0.15">
      <c r="A91" s="3"/>
      <c r="B91" s="260" t="s">
        <v>77</v>
      </c>
      <c r="C91" s="261"/>
      <c r="D91" s="262"/>
      <c r="E91" s="180">
        <f>東大阪工場!E91+松原工場!E91</f>
        <v>0</v>
      </c>
      <c r="F91" s="141">
        <f t="shared" si="71"/>
        <v>0</v>
      </c>
      <c r="G91" s="180">
        <f>東大阪工場!G91+松原工場!G91</f>
        <v>0</v>
      </c>
      <c r="H91" s="106">
        <f t="shared" si="72"/>
        <v>0</v>
      </c>
      <c r="I91" s="89" t="str">
        <f t="shared" si="65"/>
        <v>-</v>
      </c>
      <c r="J91" s="22">
        <f>東大阪工場!J91+松原工場!J91</f>
        <v>0</v>
      </c>
      <c r="K91" s="103">
        <f t="shared" si="73"/>
        <v>0</v>
      </c>
      <c r="L91" s="22">
        <f>東大阪工場!L91+松原工場!L91</f>
        <v>0</v>
      </c>
      <c r="M91" s="128">
        <f t="shared" si="74"/>
        <v>0</v>
      </c>
      <c r="N91" s="78" t="str">
        <f t="shared" si="66"/>
        <v>-</v>
      </c>
      <c r="O91" s="18"/>
      <c r="P91" s="209">
        <f>東大阪工場!P91+松原工場!P91</f>
        <v>0</v>
      </c>
      <c r="Q91" s="21">
        <f t="shared" si="54"/>
        <v>0</v>
      </c>
      <c r="R91" s="22">
        <f>東大阪工場!R91+松原工場!R91</f>
        <v>0</v>
      </c>
      <c r="S91" s="89">
        <f t="shared" si="55"/>
        <v>0</v>
      </c>
      <c r="T91" s="48">
        <f t="shared" si="75"/>
        <v>0</v>
      </c>
      <c r="U91" s="225" t="str">
        <f t="shared" si="56"/>
        <v>-</v>
      </c>
    </row>
    <row r="92" spans="1:75" ht="15" customHeight="1" x14ac:dyDescent="0.15">
      <c r="A92" s="3"/>
      <c r="B92" s="260" t="s">
        <v>78</v>
      </c>
      <c r="C92" s="261"/>
      <c r="D92" s="262"/>
      <c r="E92" s="180">
        <f>東大阪工場!E92+松原工場!E92</f>
        <v>0</v>
      </c>
      <c r="F92" s="141">
        <f t="shared" si="71"/>
        <v>0</v>
      </c>
      <c r="G92" s="180">
        <f>東大阪工場!G92+松原工場!G92</f>
        <v>0</v>
      </c>
      <c r="H92" s="110">
        <f t="shared" si="72"/>
        <v>0</v>
      </c>
      <c r="I92" s="89" t="str">
        <f t="shared" si="65"/>
        <v>-</v>
      </c>
      <c r="J92" s="22">
        <f>東大阪工場!J92+松原工場!J92</f>
        <v>0</v>
      </c>
      <c r="K92" s="103">
        <f t="shared" si="73"/>
        <v>0</v>
      </c>
      <c r="L92" s="22">
        <f>東大阪工場!L92+松原工場!L92</f>
        <v>0</v>
      </c>
      <c r="M92" s="128">
        <f t="shared" si="74"/>
        <v>0</v>
      </c>
      <c r="N92" s="78" t="str">
        <f t="shared" si="66"/>
        <v>-</v>
      </c>
      <c r="O92" s="18"/>
      <c r="P92" s="209">
        <f>東大阪工場!P92+松原工場!P92</f>
        <v>0</v>
      </c>
      <c r="Q92" s="21">
        <f t="shared" si="54"/>
        <v>0</v>
      </c>
      <c r="R92" s="22">
        <f>東大阪工場!R92+松原工場!R92</f>
        <v>0</v>
      </c>
      <c r="S92" s="89">
        <f t="shared" si="55"/>
        <v>0</v>
      </c>
      <c r="T92" s="48">
        <f t="shared" si="75"/>
        <v>0</v>
      </c>
      <c r="U92" s="225" t="str">
        <f t="shared" si="56"/>
        <v>-</v>
      </c>
    </row>
    <row r="93" spans="1:75" ht="15" customHeight="1" x14ac:dyDescent="0.15">
      <c r="A93" s="3"/>
      <c r="B93" s="251" t="s">
        <v>79</v>
      </c>
      <c r="C93" s="252"/>
      <c r="D93" s="253"/>
      <c r="E93" s="177">
        <f>E90+E91-E92</f>
        <v>-1671701</v>
      </c>
      <c r="F93" s="142">
        <f t="shared" si="71"/>
        <v>-2.1473923110761226E-2</v>
      </c>
      <c r="G93" s="17">
        <f>G90+G91-G92</f>
        <v>2914612</v>
      </c>
      <c r="H93" s="96">
        <f t="shared" si="72"/>
        <v>6.4012891606520392E-2</v>
      </c>
      <c r="I93" s="112">
        <f t="shared" si="65"/>
        <v>-1.7435007815392825</v>
      </c>
      <c r="J93" s="19">
        <f>J90+J91-J92</f>
        <v>133484400</v>
      </c>
      <c r="K93" s="167">
        <f t="shared" si="73"/>
        <v>0.1399376083976856</v>
      </c>
      <c r="L93" s="17">
        <f>L90+L91-L92</f>
        <v>52511641</v>
      </c>
      <c r="M93" s="99">
        <f t="shared" si="74"/>
        <v>0.11538205540043808</v>
      </c>
      <c r="N93" s="125">
        <f t="shared" si="66"/>
        <v>0.39339159482306546</v>
      </c>
      <c r="O93" s="18"/>
      <c r="P93" s="217">
        <f>P90+P91-P92</f>
        <v>9732150</v>
      </c>
      <c r="Q93" s="2">
        <f t="shared" si="54"/>
        <v>0.13350915700665342</v>
      </c>
      <c r="R93" s="17">
        <f>R90+R91-R92</f>
        <v>75520950</v>
      </c>
      <c r="S93" s="204">
        <f t="shared" si="55"/>
        <v>0.11895217244067824</v>
      </c>
      <c r="T93" s="48">
        <f t="shared" si="75"/>
        <v>-23009309</v>
      </c>
      <c r="U93" s="225">
        <f t="shared" si="56"/>
        <v>0.69532548253166837</v>
      </c>
    </row>
    <row r="94" spans="1:75" ht="15" customHeight="1" x14ac:dyDescent="0.15">
      <c r="A94" s="3"/>
      <c r="B94" s="245" t="s">
        <v>80</v>
      </c>
      <c r="C94" s="246"/>
      <c r="D94" s="247"/>
      <c r="E94" s="182"/>
      <c r="F94" s="138">
        <f t="shared" si="71"/>
        <v>0</v>
      </c>
      <c r="G94" s="174"/>
      <c r="H94" s="111">
        <f t="shared" si="72"/>
        <v>0</v>
      </c>
      <c r="I94" s="89" t="str">
        <f t="shared" si="65"/>
        <v>-</v>
      </c>
      <c r="J94" s="22">
        <f>東大阪工場!J94+松原工場!J94</f>
        <v>0</v>
      </c>
      <c r="K94" s="169">
        <f t="shared" si="73"/>
        <v>0</v>
      </c>
      <c r="L94" s="22">
        <f>東大阪工場!L94+松原工場!L94</f>
        <v>0</v>
      </c>
      <c r="M94" s="128">
        <f t="shared" si="74"/>
        <v>0</v>
      </c>
      <c r="N94" s="79" t="str">
        <f t="shared" si="66"/>
        <v>-</v>
      </c>
      <c r="O94" s="18"/>
      <c r="P94" s="206"/>
      <c r="Q94" s="21">
        <f t="shared" si="54"/>
        <v>0</v>
      </c>
      <c r="R94" s="22">
        <f>東大阪工場!R94+松原工場!R94</f>
        <v>0</v>
      </c>
      <c r="S94" s="89">
        <f t="shared" si="55"/>
        <v>0</v>
      </c>
      <c r="T94" s="48">
        <f t="shared" si="75"/>
        <v>0</v>
      </c>
      <c r="U94" s="225" t="str">
        <f t="shared" si="56"/>
        <v>-</v>
      </c>
    </row>
    <row r="95" spans="1:75" ht="15" customHeight="1" thickBot="1" x14ac:dyDescent="0.2">
      <c r="A95" s="3"/>
      <c r="B95" s="248" t="s">
        <v>81</v>
      </c>
      <c r="C95" s="249"/>
      <c r="D95" s="250"/>
      <c r="E95" s="188">
        <f>E93-E94</f>
        <v>-1671701</v>
      </c>
      <c r="F95" s="151">
        <f t="shared" si="71"/>
        <v>-2.1473923110761226E-2</v>
      </c>
      <c r="G95" s="152">
        <f>G93-G94</f>
        <v>2914612</v>
      </c>
      <c r="H95" s="153">
        <f t="shared" si="72"/>
        <v>6.4012891606520392E-2</v>
      </c>
      <c r="I95" s="154">
        <f t="shared" si="65"/>
        <v>-1.7435007815392825</v>
      </c>
      <c r="J95" s="155">
        <f>J93-J94</f>
        <v>133484400</v>
      </c>
      <c r="K95" s="173">
        <f t="shared" si="73"/>
        <v>0.1399376083976856</v>
      </c>
      <c r="L95" s="152">
        <f>L93-L94</f>
        <v>52511641</v>
      </c>
      <c r="M95" s="156">
        <f t="shared" si="74"/>
        <v>0.11538205540043808</v>
      </c>
      <c r="N95" s="157">
        <f t="shared" si="66"/>
        <v>0.39339159482306546</v>
      </c>
      <c r="O95" s="18"/>
      <c r="P95" s="222">
        <f>P93-P94</f>
        <v>9732150</v>
      </c>
      <c r="Q95" s="223">
        <f t="shared" si="54"/>
        <v>0.13350915700665342</v>
      </c>
      <c r="R95" s="152">
        <f>R93-R94</f>
        <v>75520950</v>
      </c>
      <c r="S95" s="224">
        <f t="shared" si="55"/>
        <v>0.11895217244067824</v>
      </c>
      <c r="T95" s="48">
        <f t="shared" si="75"/>
        <v>-23009309</v>
      </c>
      <c r="U95" s="225">
        <f t="shared" si="56"/>
        <v>0.69532548253166837</v>
      </c>
    </row>
    <row r="96" spans="1:75" ht="14.85" customHeight="1" x14ac:dyDescent="0.15">
      <c r="A96" s="3"/>
      <c r="B96" s="122"/>
      <c r="C96" s="122"/>
      <c r="D96" s="122"/>
      <c r="E96" s="149"/>
      <c r="F96" s="149"/>
      <c r="G96" s="122"/>
      <c r="H96" s="122"/>
      <c r="I96" s="150"/>
      <c r="L96" s="122"/>
      <c r="M96" s="122"/>
      <c r="N96" s="38"/>
      <c r="O96" s="4"/>
    </row>
    <row r="97" spans="1:17" ht="14.85" customHeight="1" thickBot="1" x14ac:dyDescent="0.2">
      <c r="A97" s="3"/>
      <c r="J97" s="40"/>
      <c r="K97" s="40"/>
      <c r="N97" s="39"/>
      <c r="O97" s="4"/>
    </row>
    <row r="98" spans="1:17" ht="14.25" customHeight="1" x14ac:dyDescent="0.15">
      <c r="A98" s="3"/>
      <c r="B98" s="40"/>
      <c r="C98" s="40"/>
      <c r="D98" s="40"/>
      <c r="E98" s="236" t="s">
        <v>108</v>
      </c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8"/>
    </row>
    <row r="99" spans="1:17" ht="14.85" customHeight="1" x14ac:dyDescent="0.15">
      <c r="A99" s="3"/>
      <c r="B99" s="40"/>
      <c r="C99" s="40"/>
      <c r="D99" s="40"/>
      <c r="E99" s="239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1"/>
    </row>
    <row r="100" spans="1:17" ht="14.85" customHeight="1" x14ac:dyDescent="0.15">
      <c r="A100" s="3"/>
      <c r="B100" s="40"/>
      <c r="C100" s="40"/>
      <c r="D100" s="40"/>
      <c r="E100" s="239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1"/>
    </row>
    <row r="101" spans="1:17" ht="284.25" customHeight="1" thickBot="1" x14ac:dyDescent="0.2">
      <c r="A101" s="3"/>
      <c r="B101" s="40"/>
      <c r="C101" s="40"/>
      <c r="D101" s="40"/>
      <c r="E101" s="242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4"/>
    </row>
    <row r="102" spans="1:17" x14ac:dyDescent="0.15">
      <c r="A102" s="3"/>
      <c r="B102" s="40"/>
      <c r="C102" s="40"/>
      <c r="D102" s="40"/>
      <c r="G102" s="40"/>
      <c r="H102" s="40"/>
      <c r="J102" s="40"/>
      <c r="K102" s="40"/>
      <c r="L102" s="40"/>
      <c r="M102" s="40"/>
      <c r="N102" s="40"/>
      <c r="O102" s="3"/>
    </row>
    <row r="103" spans="1:17" x14ac:dyDescent="0.15">
      <c r="A103" s="3"/>
      <c r="B103" s="40"/>
      <c r="C103" s="40"/>
      <c r="D103" s="40"/>
      <c r="G103" s="40"/>
      <c r="H103" s="40"/>
      <c r="J103" s="40"/>
      <c r="K103" s="40"/>
      <c r="L103" s="40"/>
      <c r="M103" s="40"/>
      <c r="N103" s="40"/>
      <c r="O103" s="3"/>
    </row>
    <row r="104" spans="1:17" ht="14.85" customHeight="1" x14ac:dyDescent="0.15">
      <c r="A104" s="3"/>
      <c r="B104" s="40"/>
      <c r="C104" s="40"/>
      <c r="D104" s="40"/>
      <c r="G104" s="40"/>
      <c r="H104" s="40"/>
      <c r="L104" s="40"/>
      <c r="M104" s="40"/>
      <c r="O104" s="41"/>
    </row>
    <row r="105" spans="1:17" ht="14.85" customHeight="1" x14ac:dyDescent="0.15">
      <c r="A105" s="3"/>
      <c r="O105" s="10"/>
    </row>
    <row r="106" spans="1:17" ht="14.85" customHeight="1" x14ac:dyDescent="0.15">
      <c r="A106" s="3"/>
      <c r="O106" s="10"/>
    </row>
    <row r="107" spans="1:17" ht="14.85" customHeight="1" x14ac:dyDescent="0.15">
      <c r="A107" s="3"/>
      <c r="O107" s="10"/>
    </row>
    <row r="108" spans="1:17" ht="14.85" customHeight="1" x14ac:dyDescent="0.15">
      <c r="A108" s="3"/>
      <c r="O108" s="10"/>
    </row>
    <row r="109" spans="1:17" ht="14.85" customHeight="1" x14ac:dyDescent="0.15">
      <c r="A109" s="3"/>
      <c r="O109" s="10"/>
    </row>
    <row r="110" spans="1:17" ht="14.85" customHeight="1" x14ac:dyDescent="0.15">
      <c r="A110" s="3"/>
      <c r="O110" s="10"/>
    </row>
    <row r="111" spans="1:17" ht="14.85" customHeight="1" x14ac:dyDescent="0.15">
      <c r="A111" s="3"/>
      <c r="O111" s="10"/>
    </row>
    <row r="112" spans="1:17" ht="14.85" customHeight="1" x14ac:dyDescent="0.15">
      <c r="A112" s="3"/>
      <c r="O112" s="13"/>
    </row>
    <row r="113" spans="1:15" ht="14.85" customHeight="1" x14ac:dyDescent="0.15">
      <c r="A113" s="3"/>
      <c r="O113" s="4"/>
    </row>
    <row r="114" spans="1:15" ht="14.85" customHeight="1" x14ac:dyDescent="0.15">
      <c r="A114" s="3"/>
      <c r="O114" s="4"/>
    </row>
    <row r="115" spans="1:15" ht="14.85" customHeight="1" x14ac:dyDescent="0.15">
      <c r="A115" s="3"/>
      <c r="O115" s="4"/>
    </row>
    <row r="116" spans="1:15" ht="14.85" customHeight="1" x14ac:dyDescent="0.15">
      <c r="A116" s="3"/>
      <c r="O116" s="4"/>
    </row>
    <row r="117" spans="1:15" ht="14.85" customHeight="1" x14ac:dyDescent="0.15">
      <c r="A117" s="3"/>
      <c r="O117" s="4"/>
    </row>
    <row r="118" spans="1:15" ht="14.85" customHeight="1" x14ac:dyDescent="0.15">
      <c r="A118" s="3"/>
      <c r="O118" s="4"/>
    </row>
    <row r="119" spans="1:15" ht="14.85" customHeight="1" x14ac:dyDescent="0.15">
      <c r="A119" s="3"/>
      <c r="O119" s="4"/>
    </row>
    <row r="120" spans="1:15" ht="14.85" customHeight="1" x14ac:dyDescent="0.15">
      <c r="A120" s="3"/>
      <c r="O120" s="4"/>
    </row>
    <row r="121" spans="1:15" ht="14.85" customHeight="1" x14ac:dyDescent="0.15">
      <c r="A121" s="3"/>
      <c r="O121" s="4"/>
    </row>
    <row r="122" spans="1:15" ht="14.85" customHeight="1" x14ac:dyDescent="0.15">
      <c r="A122" s="3"/>
      <c r="O122" s="4"/>
    </row>
    <row r="123" spans="1:15" ht="14.85" customHeight="1" x14ac:dyDescent="0.15">
      <c r="A123" s="3"/>
      <c r="O123" s="4"/>
    </row>
    <row r="124" spans="1:15" ht="14.85" customHeight="1" x14ac:dyDescent="0.15">
      <c r="A124" s="3"/>
      <c r="O124" s="4"/>
    </row>
    <row r="125" spans="1:15" ht="14.85" customHeight="1" x14ac:dyDescent="0.15">
      <c r="A125" s="3"/>
      <c r="O125" s="4"/>
    </row>
    <row r="126" spans="1:15" ht="14.85" customHeight="1" x14ac:dyDescent="0.15">
      <c r="A126" s="3"/>
      <c r="O126" s="4"/>
    </row>
    <row r="127" spans="1:15" ht="14.85" customHeight="1" x14ac:dyDescent="0.15">
      <c r="A127" s="3"/>
      <c r="O127" s="4"/>
    </row>
    <row r="128" spans="1:15" ht="14.85" customHeight="1" x14ac:dyDescent="0.15">
      <c r="A128" s="3"/>
      <c r="O128" s="4"/>
    </row>
    <row r="129" spans="1:15" ht="14.85" customHeight="1" x14ac:dyDescent="0.15">
      <c r="A129" s="3"/>
      <c r="O129" s="4"/>
    </row>
    <row r="130" spans="1:15" ht="14.85" customHeight="1" x14ac:dyDescent="0.15">
      <c r="A130" s="3"/>
      <c r="O130" s="4"/>
    </row>
    <row r="131" spans="1:15" ht="14.85" customHeight="1" x14ac:dyDescent="0.15">
      <c r="A131" s="3"/>
      <c r="O131" s="4"/>
    </row>
    <row r="132" spans="1:15" ht="14.85" customHeight="1" x14ac:dyDescent="0.15">
      <c r="A132" s="3"/>
      <c r="O132" s="4"/>
    </row>
    <row r="133" spans="1:15" ht="14.85" customHeight="1" x14ac:dyDescent="0.15">
      <c r="A133" s="3"/>
      <c r="O133" s="4"/>
    </row>
    <row r="134" spans="1:15" ht="14.85" customHeight="1" x14ac:dyDescent="0.15">
      <c r="A134" s="3"/>
      <c r="O134" s="4"/>
    </row>
    <row r="135" spans="1:15" ht="14.85" customHeight="1" x14ac:dyDescent="0.15">
      <c r="A135" s="3"/>
      <c r="O135" s="4"/>
    </row>
    <row r="136" spans="1:15" ht="14.85" customHeight="1" x14ac:dyDescent="0.15">
      <c r="A136" s="3"/>
      <c r="O136" s="4"/>
    </row>
    <row r="137" spans="1:15" ht="14.85" customHeight="1" x14ac:dyDescent="0.15">
      <c r="A137" s="3"/>
      <c r="O137" s="4"/>
    </row>
    <row r="138" spans="1:15" ht="14.85" customHeight="1" x14ac:dyDescent="0.15">
      <c r="A138" s="3"/>
      <c r="O138" s="4"/>
    </row>
    <row r="139" spans="1:15" ht="14.85" customHeight="1" x14ac:dyDescent="0.15">
      <c r="A139" s="3"/>
      <c r="O139" s="4"/>
    </row>
    <row r="140" spans="1:15" ht="14.85" customHeight="1" x14ac:dyDescent="0.15">
      <c r="A140" s="3"/>
      <c r="O140" s="4"/>
    </row>
    <row r="141" spans="1:15" ht="14.85" customHeight="1" x14ac:dyDescent="0.15">
      <c r="A141" s="3"/>
      <c r="O141" s="4"/>
    </row>
    <row r="142" spans="1:15" ht="14.85" customHeight="1" x14ac:dyDescent="0.15">
      <c r="A142" s="3"/>
      <c r="O142" s="4"/>
    </row>
    <row r="143" spans="1:15" ht="14.85" customHeight="1" x14ac:dyDescent="0.15">
      <c r="A143" s="3"/>
      <c r="O143" s="4"/>
    </row>
    <row r="144" spans="1:15" ht="14.85" customHeight="1" x14ac:dyDescent="0.15">
      <c r="A144" s="3"/>
      <c r="O144" s="4"/>
    </row>
    <row r="145" spans="1:15" ht="14.85" customHeight="1" x14ac:dyDescent="0.15">
      <c r="A145" s="3"/>
      <c r="O145" s="4"/>
    </row>
    <row r="146" spans="1:15" ht="14.85" customHeight="1" x14ac:dyDescent="0.15">
      <c r="A146" s="3"/>
      <c r="O146" s="4"/>
    </row>
    <row r="147" spans="1:15" ht="14.85" customHeight="1" x14ac:dyDescent="0.15">
      <c r="A147" s="3"/>
      <c r="O147" s="4"/>
    </row>
    <row r="148" spans="1:15" ht="14.85" customHeight="1" x14ac:dyDescent="0.15">
      <c r="A148" s="3"/>
      <c r="O148" s="4"/>
    </row>
    <row r="149" spans="1:15" ht="14.85" customHeight="1" x14ac:dyDescent="0.15">
      <c r="A149" s="3"/>
      <c r="O149" s="4"/>
    </row>
    <row r="150" spans="1:15" ht="14.85" customHeight="1" x14ac:dyDescent="0.15">
      <c r="A150" s="3"/>
      <c r="O150" s="4"/>
    </row>
    <row r="151" spans="1:15" ht="14.85" customHeight="1" x14ac:dyDescent="0.15">
      <c r="A151" s="3"/>
      <c r="O151" s="4"/>
    </row>
    <row r="152" spans="1:15" ht="14.85" customHeight="1" x14ac:dyDescent="0.15">
      <c r="A152" s="3"/>
      <c r="O152" s="4"/>
    </row>
    <row r="153" spans="1:15" ht="14.85" customHeight="1" x14ac:dyDescent="0.15">
      <c r="A153" s="3"/>
      <c r="O153" s="4"/>
    </row>
    <row r="154" spans="1:15" ht="14.85" customHeight="1" x14ac:dyDescent="0.15">
      <c r="A154" s="3"/>
      <c r="O154" s="4"/>
    </row>
    <row r="155" spans="1:15" ht="14.85" customHeight="1" x14ac:dyDescent="0.15">
      <c r="A155" s="3"/>
      <c r="O155" s="4"/>
    </row>
    <row r="156" spans="1:15" ht="14.85" customHeight="1" x14ac:dyDescent="0.15">
      <c r="A156" s="3"/>
      <c r="O156" s="4"/>
    </row>
    <row r="157" spans="1:15" ht="14.85" customHeight="1" x14ac:dyDescent="0.15">
      <c r="A157" s="3"/>
      <c r="O157" s="4"/>
    </row>
    <row r="158" spans="1:15" ht="14.85" customHeight="1" x14ac:dyDescent="0.15">
      <c r="A158" s="3"/>
      <c r="O158" s="4"/>
    </row>
    <row r="159" spans="1:15" ht="14.85" customHeight="1" x14ac:dyDescent="0.15">
      <c r="A159" s="3"/>
      <c r="O159" s="4"/>
    </row>
    <row r="160" spans="1:15" ht="14.85" customHeight="1" x14ac:dyDescent="0.15">
      <c r="A160" s="3"/>
      <c r="O160" s="4"/>
    </row>
    <row r="161" spans="1:15" ht="14.85" customHeight="1" x14ac:dyDescent="0.15">
      <c r="A161" s="3"/>
      <c r="O161" s="4"/>
    </row>
    <row r="162" spans="1:15" ht="14.85" customHeight="1" x14ac:dyDescent="0.15">
      <c r="A162" s="3"/>
      <c r="O162" s="10"/>
    </row>
    <row r="163" spans="1:15" ht="14.85" customHeight="1" x14ac:dyDescent="0.15">
      <c r="A163" s="3"/>
      <c r="O163" s="10"/>
    </row>
    <row r="164" spans="1:15" ht="14.85" customHeight="1" x14ac:dyDescent="0.15">
      <c r="A164" s="3"/>
      <c r="O164" s="10"/>
    </row>
    <row r="165" spans="1:15" ht="14.85" customHeight="1" x14ac:dyDescent="0.15">
      <c r="A165" s="3"/>
      <c r="O165" s="10"/>
    </row>
    <row r="166" spans="1:15" ht="14.85" customHeight="1" x14ac:dyDescent="0.15">
      <c r="A166" s="3"/>
      <c r="O166" s="10"/>
    </row>
    <row r="167" spans="1:15" ht="14.85" customHeight="1" x14ac:dyDescent="0.15">
      <c r="A167" s="3"/>
      <c r="O167" s="10"/>
    </row>
    <row r="168" spans="1:15" ht="14.85" customHeight="1" x14ac:dyDescent="0.15">
      <c r="A168" s="3"/>
      <c r="O168" s="10"/>
    </row>
    <row r="169" spans="1:15" ht="14.85" customHeight="1" x14ac:dyDescent="0.15">
      <c r="O169" s="4"/>
    </row>
    <row r="170" spans="1:15" ht="14.85" customHeight="1" x14ac:dyDescent="0.15">
      <c r="O170" s="4"/>
    </row>
    <row r="171" spans="1:15" ht="14.85" customHeight="1" x14ac:dyDescent="0.15">
      <c r="O171" s="4"/>
    </row>
    <row r="172" spans="1:15" ht="14.85" customHeight="1" x14ac:dyDescent="0.15">
      <c r="O172" s="4"/>
    </row>
    <row r="173" spans="1:15" ht="14.85" customHeight="1" x14ac:dyDescent="0.15">
      <c r="O173" s="4"/>
    </row>
    <row r="174" spans="1:15" ht="14.85" customHeight="1" x14ac:dyDescent="0.15">
      <c r="O174" s="4"/>
    </row>
    <row r="175" spans="1:15" ht="14.85" customHeight="1" x14ac:dyDescent="0.15">
      <c r="O175" s="4"/>
    </row>
    <row r="176" spans="1:15" ht="14.85" customHeight="1" x14ac:dyDescent="0.15">
      <c r="O176" s="4"/>
    </row>
    <row r="177" spans="15:15" ht="14.85" customHeight="1" x14ac:dyDescent="0.15">
      <c r="O177" s="4"/>
    </row>
    <row r="178" spans="15:15" ht="14.85" customHeight="1" x14ac:dyDescent="0.15">
      <c r="O178" s="4"/>
    </row>
    <row r="179" spans="15:15" ht="14.85" customHeight="1" x14ac:dyDescent="0.15">
      <c r="O179" s="4"/>
    </row>
    <row r="180" spans="15:15" ht="14.85" customHeight="1" x14ac:dyDescent="0.15">
      <c r="O180" s="4"/>
    </row>
    <row r="181" spans="15:15" ht="14.85" customHeight="1" x14ac:dyDescent="0.15">
      <c r="O181" s="4"/>
    </row>
    <row r="182" spans="15:15" ht="14.85" customHeight="1" x14ac:dyDescent="0.15">
      <c r="O182" s="4"/>
    </row>
    <row r="183" spans="15:15" ht="14.85" customHeight="1" x14ac:dyDescent="0.15">
      <c r="O183" s="4"/>
    </row>
    <row r="184" spans="15:15" ht="14.85" customHeight="1" x14ac:dyDescent="0.15">
      <c r="O184" s="4"/>
    </row>
    <row r="185" spans="15:15" ht="14.85" customHeight="1" x14ac:dyDescent="0.15">
      <c r="O185" s="4"/>
    </row>
    <row r="186" spans="15:15" ht="14.85" customHeight="1" x14ac:dyDescent="0.15">
      <c r="O186" s="4"/>
    </row>
    <row r="187" spans="15:15" ht="14.85" customHeight="1" x14ac:dyDescent="0.15">
      <c r="O187" s="4"/>
    </row>
    <row r="188" spans="15:15" ht="14.85" customHeight="1" x14ac:dyDescent="0.15">
      <c r="O188" s="4"/>
    </row>
    <row r="189" spans="15:15" ht="14.85" customHeight="1" x14ac:dyDescent="0.15">
      <c r="O189" s="4"/>
    </row>
    <row r="190" spans="15:15" ht="14.85" customHeight="1" x14ac:dyDescent="0.15">
      <c r="O190" s="4"/>
    </row>
    <row r="191" spans="15:15" ht="14.85" customHeight="1" x14ac:dyDescent="0.15">
      <c r="O191" s="4"/>
    </row>
    <row r="192" spans="15:15" ht="14.85" customHeight="1" x14ac:dyDescent="0.15">
      <c r="O192" s="4"/>
    </row>
    <row r="193" spans="15:15" ht="14.85" customHeight="1" x14ac:dyDescent="0.15">
      <c r="O193" s="4"/>
    </row>
    <row r="194" spans="15:15" ht="14.85" customHeight="1" x14ac:dyDescent="0.15">
      <c r="O194" s="4"/>
    </row>
    <row r="195" spans="15:15" ht="14.85" customHeight="1" x14ac:dyDescent="0.15">
      <c r="O195" s="4"/>
    </row>
    <row r="196" spans="15:15" ht="14.85" customHeight="1" x14ac:dyDescent="0.15">
      <c r="O196" s="4"/>
    </row>
    <row r="197" spans="15:15" ht="14.85" customHeight="1" x14ac:dyDescent="0.15">
      <c r="O197" s="4"/>
    </row>
    <row r="198" spans="15:15" ht="14.85" customHeight="1" x14ac:dyDescent="0.15">
      <c r="O198" s="4"/>
    </row>
    <row r="199" spans="15:15" ht="14.85" customHeight="1" x14ac:dyDescent="0.15">
      <c r="O199" s="4"/>
    </row>
    <row r="200" spans="15:15" ht="14.85" customHeight="1" x14ac:dyDescent="0.15">
      <c r="O200" s="4"/>
    </row>
    <row r="201" spans="15:15" ht="14.85" customHeight="1" x14ac:dyDescent="0.15">
      <c r="O201" s="4"/>
    </row>
    <row r="202" spans="15:15" ht="14.85" customHeight="1" x14ac:dyDescent="0.15">
      <c r="O202" s="4"/>
    </row>
    <row r="203" spans="15:15" ht="14.85" customHeight="1" x14ac:dyDescent="0.15">
      <c r="O203" s="4"/>
    </row>
    <row r="204" spans="15:15" x14ac:dyDescent="0.15">
      <c r="O204" s="4"/>
    </row>
    <row r="205" spans="15:15" x14ac:dyDescent="0.15">
      <c r="O205" s="4"/>
    </row>
    <row r="206" spans="15:15" x14ac:dyDescent="0.15">
      <c r="O206" s="4"/>
    </row>
    <row r="207" spans="15:15" x14ac:dyDescent="0.15">
      <c r="O207" s="4"/>
    </row>
    <row r="208" spans="15:15" x14ac:dyDescent="0.15">
      <c r="O208" s="4"/>
    </row>
    <row r="209" spans="15:15" x14ac:dyDescent="0.15">
      <c r="O209" s="4"/>
    </row>
    <row r="210" spans="15:15" x14ac:dyDescent="0.15">
      <c r="O210" s="4"/>
    </row>
    <row r="211" spans="15:15" x14ac:dyDescent="0.15">
      <c r="O211" s="4"/>
    </row>
    <row r="212" spans="15:15" x14ac:dyDescent="0.15">
      <c r="O212" s="4"/>
    </row>
    <row r="213" spans="15:15" x14ac:dyDescent="0.15">
      <c r="O213" s="4"/>
    </row>
    <row r="214" spans="15:15" x14ac:dyDescent="0.15">
      <c r="O214" s="4"/>
    </row>
    <row r="215" spans="15:15" x14ac:dyDescent="0.15">
      <c r="O215" s="4"/>
    </row>
    <row r="216" spans="15:15" x14ac:dyDescent="0.15">
      <c r="O216" s="4"/>
    </row>
    <row r="217" spans="15:15" x14ac:dyDescent="0.15">
      <c r="O217" s="4"/>
    </row>
    <row r="218" spans="15:15" x14ac:dyDescent="0.15">
      <c r="O218" s="4"/>
    </row>
    <row r="219" spans="15:15" x14ac:dyDescent="0.15">
      <c r="O219" s="4"/>
    </row>
    <row r="220" spans="15:15" x14ac:dyDescent="0.15">
      <c r="O220" s="4"/>
    </row>
    <row r="221" spans="15:15" x14ac:dyDescent="0.15">
      <c r="O221" s="4"/>
    </row>
    <row r="222" spans="15:15" x14ac:dyDescent="0.15">
      <c r="O222" s="4"/>
    </row>
    <row r="223" spans="15:15" x14ac:dyDescent="0.15">
      <c r="O223" s="4"/>
    </row>
    <row r="224" spans="15:15" x14ac:dyDescent="0.15">
      <c r="O224" s="4"/>
    </row>
    <row r="225" spans="15:15" x14ac:dyDescent="0.15">
      <c r="O225" s="4"/>
    </row>
    <row r="226" spans="15:15" x14ac:dyDescent="0.15">
      <c r="O226" s="4"/>
    </row>
    <row r="227" spans="15:15" x14ac:dyDescent="0.15">
      <c r="O227" s="4"/>
    </row>
    <row r="228" spans="15:15" x14ac:dyDescent="0.15">
      <c r="O228" s="4"/>
    </row>
    <row r="229" spans="15:15" x14ac:dyDescent="0.15">
      <c r="O229" s="4"/>
    </row>
    <row r="230" spans="15:15" x14ac:dyDescent="0.15">
      <c r="O230" s="4"/>
    </row>
    <row r="231" spans="15:15" x14ac:dyDescent="0.15">
      <c r="O231" s="4"/>
    </row>
    <row r="232" spans="15:15" x14ac:dyDescent="0.15">
      <c r="O232" s="4"/>
    </row>
    <row r="233" spans="15:15" x14ac:dyDescent="0.15">
      <c r="O233" s="4"/>
    </row>
    <row r="234" spans="15:15" x14ac:dyDescent="0.15">
      <c r="O234" s="4"/>
    </row>
    <row r="235" spans="15:15" x14ac:dyDescent="0.15">
      <c r="O235" s="4"/>
    </row>
    <row r="236" spans="15:15" x14ac:dyDescent="0.15">
      <c r="O236" s="4"/>
    </row>
    <row r="237" spans="15:15" x14ac:dyDescent="0.15">
      <c r="O237" s="4"/>
    </row>
    <row r="238" spans="15:15" x14ac:dyDescent="0.15">
      <c r="O238" s="4"/>
    </row>
    <row r="239" spans="15:15" x14ac:dyDescent="0.15">
      <c r="O239" s="4"/>
    </row>
    <row r="240" spans="15:15" x14ac:dyDescent="0.15">
      <c r="O240" s="4"/>
    </row>
    <row r="241" spans="15:15" x14ac:dyDescent="0.15">
      <c r="O241" s="4"/>
    </row>
    <row r="242" spans="15:15" x14ac:dyDescent="0.15">
      <c r="O242" s="4"/>
    </row>
    <row r="243" spans="15:15" x14ac:dyDescent="0.15">
      <c r="O243" s="4"/>
    </row>
    <row r="244" spans="15:15" x14ac:dyDescent="0.15">
      <c r="O244" s="4"/>
    </row>
    <row r="245" spans="15:15" x14ac:dyDescent="0.15">
      <c r="O245" s="4"/>
    </row>
    <row r="246" spans="15:15" x14ac:dyDescent="0.15">
      <c r="O246" s="4"/>
    </row>
    <row r="247" spans="15:15" x14ac:dyDescent="0.15">
      <c r="O247" s="4"/>
    </row>
    <row r="248" spans="15:15" x14ac:dyDescent="0.15">
      <c r="O248" s="4"/>
    </row>
    <row r="249" spans="15:15" x14ac:dyDescent="0.15">
      <c r="O249" s="4"/>
    </row>
    <row r="250" spans="15:15" x14ac:dyDescent="0.15">
      <c r="O250" s="4"/>
    </row>
    <row r="251" spans="15:15" x14ac:dyDescent="0.15">
      <c r="O251" s="4"/>
    </row>
    <row r="252" spans="15:15" x14ac:dyDescent="0.15">
      <c r="O252" s="4"/>
    </row>
    <row r="253" spans="15:15" x14ac:dyDescent="0.15">
      <c r="O253" s="4"/>
    </row>
    <row r="254" spans="15:15" x14ac:dyDescent="0.15">
      <c r="O254" s="4"/>
    </row>
    <row r="255" spans="15:15" x14ac:dyDescent="0.15">
      <c r="O255" s="4"/>
    </row>
    <row r="256" spans="15:15" x14ac:dyDescent="0.15">
      <c r="O256" s="4"/>
    </row>
    <row r="257" spans="15:15" x14ac:dyDescent="0.15">
      <c r="O257" s="4"/>
    </row>
    <row r="258" spans="15:15" x14ac:dyDescent="0.15">
      <c r="O258" s="4"/>
    </row>
    <row r="259" spans="15:15" x14ac:dyDescent="0.15">
      <c r="O259" s="4"/>
    </row>
    <row r="260" spans="15:15" x14ac:dyDescent="0.15">
      <c r="O260" s="4"/>
    </row>
    <row r="261" spans="15:15" x14ac:dyDescent="0.15">
      <c r="O261" s="4"/>
    </row>
    <row r="262" spans="15:15" x14ac:dyDescent="0.15">
      <c r="O262" s="4"/>
    </row>
    <row r="263" spans="15:15" x14ac:dyDescent="0.15">
      <c r="O263" s="4"/>
    </row>
    <row r="264" spans="15:15" x14ac:dyDescent="0.15">
      <c r="O264" s="4"/>
    </row>
    <row r="265" spans="15:15" x14ac:dyDescent="0.15">
      <c r="O265" s="4"/>
    </row>
    <row r="266" spans="15:15" x14ac:dyDescent="0.15">
      <c r="O266" s="4"/>
    </row>
    <row r="267" spans="15:15" x14ac:dyDescent="0.15">
      <c r="O267" s="4"/>
    </row>
    <row r="268" spans="15:15" x14ac:dyDescent="0.15">
      <c r="O268" s="4"/>
    </row>
    <row r="269" spans="15:15" x14ac:dyDescent="0.15">
      <c r="O269" s="4"/>
    </row>
    <row r="270" spans="15:15" x14ac:dyDescent="0.15">
      <c r="O270" s="4"/>
    </row>
    <row r="271" spans="15:15" x14ac:dyDescent="0.15">
      <c r="O271" s="4"/>
    </row>
    <row r="272" spans="15:15" x14ac:dyDescent="0.15">
      <c r="O272" s="4"/>
    </row>
    <row r="273" spans="15:15" x14ac:dyDescent="0.15">
      <c r="O273" s="4"/>
    </row>
    <row r="274" spans="15:15" x14ac:dyDescent="0.15">
      <c r="O274" s="4"/>
    </row>
    <row r="275" spans="15:15" x14ac:dyDescent="0.15">
      <c r="O275" s="4"/>
    </row>
    <row r="276" spans="15:15" x14ac:dyDescent="0.15">
      <c r="O276" s="4"/>
    </row>
    <row r="277" spans="15:15" x14ac:dyDescent="0.15">
      <c r="O277" s="4"/>
    </row>
    <row r="278" spans="15:15" x14ac:dyDescent="0.15">
      <c r="O278" s="4"/>
    </row>
    <row r="279" spans="15:15" x14ac:dyDescent="0.15">
      <c r="O279" s="4"/>
    </row>
    <row r="280" spans="15:15" x14ac:dyDescent="0.15">
      <c r="O280" s="4"/>
    </row>
    <row r="281" spans="15:15" x14ac:dyDescent="0.15">
      <c r="O281" s="4"/>
    </row>
    <row r="282" spans="15:15" x14ac:dyDescent="0.15">
      <c r="O282" s="4"/>
    </row>
    <row r="283" spans="15:15" x14ac:dyDescent="0.15">
      <c r="O283" s="4"/>
    </row>
    <row r="284" spans="15:15" x14ac:dyDescent="0.15">
      <c r="O284" s="4"/>
    </row>
    <row r="285" spans="15:15" x14ac:dyDescent="0.15">
      <c r="O285" s="4"/>
    </row>
    <row r="286" spans="15:15" x14ac:dyDescent="0.15">
      <c r="O286" s="4"/>
    </row>
    <row r="287" spans="15:15" x14ac:dyDescent="0.15">
      <c r="O287" s="4"/>
    </row>
    <row r="288" spans="15:15" x14ac:dyDescent="0.15">
      <c r="O288" s="4"/>
    </row>
    <row r="289" spans="15:15" x14ac:dyDescent="0.15">
      <c r="O289" s="4"/>
    </row>
    <row r="290" spans="15:15" x14ac:dyDescent="0.15">
      <c r="O290" s="4"/>
    </row>
    <row r="291" spans="15:15" x14ac:dyDescent="0.15">
      <c r="O291" s="4"/>
    </row>
    <row r="292" spans="15:15" x14ac:dyDescent="0.15">
      <c r="O292" s="4"/>
    </row>
    <row r="293" spans="15:15" x14ac:dyDescent="0.15">
      <c r="O293" s="4"/>
    </row>
    <row r="294" spans="15:15" x14ac:dyDescent="0.15">
      <c r="O294" s="4"/>
    </row>
    <row r="295" spans="15:15" x14ac:dyDescent="0.15">
      <c r="O295" s="4"/>
    </row>
    <row r="296" spans="15:15" x14ac:dyDescent="0.15">
      <c r="O296" s="4"/>
    </row>
    <row r="297" spans="15:15" x14ac:dyDescent="0.15">
      <c r="O297" s="4"/>
    </row>
    <row r="298" spans="15:15" x14ac:dyDescent="0.15">
      <c r="O298" s="4"/>
    </row>
    <row r="299" spans="15:15" x14ac:dyDescent="0.15">
      <c r="O299" s="4"/>
    </row>
    <row r="300" spans="15:15" x14ac:dyDescent="0.15">
      <c r="O300" s="4"/>
    </row>
    <row r="301" spans="15:15" x14ac:dyDescent="0.15">
      <c r="O301" s="4"/>
    </row>
    <row r="302" spans="15:15" x14ac:dyDescent="0.15">
      <c r="O302" s="4"/>
    </row>
    <row r="303" spans="15:15" x14ac:dyDescent="0.15">
      <c r="O303" s="4"/>
    </row>
    <row r="304" spans="15:15" x14ac:dyDescent="0.15">
      <c r="O304" s="4"/>
    </row>
    <row r="305" spans="15:15" x14ac:dyDescent="0.15">
      <c r="O305" s="4"/>
    </row>
    <row r="306" spans="15:15" x14ac:dyDescent="0.15">
      <c r="O306" s="4"/>
    </row>
    <row r="307" spans="15:15" x14ac:dyDescent="0.15">
      <c r="O307" s="4"/>
    </row>
    <row r="308" spans="15:15" x14ac:dyDescent="0.15">
      <c r="O308" s="4"/>
    </row>
    <row r="309" spans="15:15" x14ac:dyDescent="0.15">
      <c r="O309" s="4"/>
    </row>
    <row r="310" spans="15:15" x14ac:dyDescent="0.15">
      <c r="O310" s="4"/>
    </row>
    <row r="311" spans="15:15" x14ac:dyDescent="0.15">
      <c r="O311" s="4"/>
    </row>
    <row r="312" spans="15:15" x14ac:dyDescent="0.15">
      <c r="O312" s="4"/>
    </row>
    <row r="313" spans="15:15" x14ac:dyDescent="0.15">
      <c r="O313" s="4"/>
    </row>
    <row r="314" spans="15:15" x14ac:dyDescent="0.15">
      <c r="O314" s="4"/>
    </row>
    <row r="315" spans="15:15" x14ac:dyDescent="0.15">
      <c r="O315" s="4"/>
    </row>
    <row r="316" spans="15:15" x14ac:dyDescent="0.15">
      <c r="O316" s="4"/>
    </row>
    <row r="317" spans="15:15" x14ac:dyDescent="0.15">
      <c r="O317" s="4"/>
    </row>
    <row r="318" spans="15:15" x14ac:dyDescent="0.15">
      <c r="O318" s="4"/>
    </row>
    <row r="319" spans="15:15" x14ac:dyDescent="0.15">
      <c r="O319" s="4"/>
    </row>
    <row r="320" spans="15:15" x14ac:dyDescent="0.15">
      <c r="O320" s="4"/>
    </row>
    <row r="321" spans="15:15" x14ac:dyDescent="0.15">
      <c r="O321" s="4"/>
    </row>
    <row r="322" spans="15:15" x14ac:dyDescent="0.15">
      <c r="O322" s="4"/>
    </row>
    <row r="323" spans="15:15" x14ac:dyDescent="0.15">
      <c r="O323" s="4"/>
    </row>
    <row r="324" spans="15:15" x14ac:dyDescent="0.15">
      <c r="O324" s="4"/>
    </row>
    <row r="325" spans="15:15" x14ac:dyDescent="0.15">
      <c r="O325" s="4"/>
    </row>
    <row r="326" spans="15:15" x14ac:dyDescent="0.15">
      <c r="O326" s="4"/>
    </row>
    <row r="327" spans="15:15" x14ac:dyDescent="0.15">
      <c r="O327" s="4"/>
    </row>
    <row r="328" spans="15:15" x14ac:dyDescent="0.15">
      <c r="O328" s="4"/>
    </row>
    <row r="329" spans="15:15" x14ac:dyDescent="0.15">
      <c r="O329" s="4"/>
    </row>
    <row r="330" spans="15:15" x14ac:dyDescent="0.15">
      <c r="O330" s="4"/>
    </row>
    <row r="331" spans="15:15" x14ac:dyDescent="0.15">
      <c r="O331" s="4"/>
    </row>
    <row r="332" spans="15:15" x14ac:dyDescent="0.15">
      <c r="O332" s="4"/>
    </row>
    <row r="333" spans="15:15" x14ac:dyDescent="0.15">
      <c r="O333" s="4"/>
    </row>
    <row r="334" spans="15:15" x14ac:dyDescent="0.15">
      <c r="O334" s="4"/>
    </row>
    <row r="335" spans="15:15" x14ac:dyDescent="0.15">
      <c r="O335" s="4"/>
    </row>
    <row r="336" spans="15:15" x14ac:dyDescent="0.15">
      <c r="O336" s="4"/>
    </row>
    <row r="337" spans="15:15" x14ac:dyDescent="0.15">
      <c r="O337" s="4"/>
    </row>
    <row r="338" spans="15:15" x14ac:dyDescent="0.15">
      <c r="O338" s="4"/>
    </row>
    <row r="339" spans="15:15" x14ac:dyDescent="0.15">
      <c r="O339" s="4"/>
    </row>
    <row r="340" spans="15:15" x14ac:dyDescent="0.15">
      <c r="O340" s="4"/>
    </row>
    <row r="341" spans="15:15" x14ac:dyDescent="0.15">
      <c r="O341" s="4"/>
    </row>
    <row r="342" spans="15:15" x14ac:dyDescent="0.15">
      <c r="O342" s="4"/>
    </row>
    <row r="343" spans="15:15" x14ac:dyDescent="0.15">
      <c r="O343" s="4"/>
    </row>
    <row r="344" spans="15:15" x14ac:dyDescent="0.15">
      <c r="O344" s="4"/>
    </row>
    <row r="345" spans="15:15" x14ac:dyDescent="0.15">
      <c r="O345" s="4"/>
    </row>
    <row r="346" spans="15:15" x14ac:dyDescent="0.15">
      <c r="O346" s="4"/>
    </row>
    <row r="347" spans="15:15" x14ac:dyDescent="0.15">
      <c r="O347" s="4"/>
    </row>
    <row r="348" spans="15:15" x14ac:dyDescent="0.15">
      <c r="O348" s="4"/>
    </row>
    <row r="349" spans="15:15" x14ac:dyDescent="0.15">
      <c r="O349" s="4"/>
    </row>
    <row r="350" spans="15:15" x14ac:dyDescent="0.15">
      <c r="O350" s="4"/>
    </row>
    <row r="351" spans="15:15" x14ac:dyDescent="0.15">
      <c r="O351" s="4"/>
    </row>
    <row r="352" spans="15:15" x14ac:dyDescent="0.15">
      <c r="O352" s="4"/>
    </row>
    <row r="353" spans="15:15" x14ac:dyDescent="0.15">
      <c r="O353" s="4"/>
    </row>
    <row r="354" spans="15:15" x14ac:dyDescent="0.15">
      <c r="O354" s="4"/>
    </row>
    <row r="355" spans="15:15" x14ac:dyDescent="0.15">
      <c r="O355" s="4"/>
    </row>
    <row r="356" spans="15:15" x14ac:dyDescent="0.15">
      <c r="O356" s="4"/>
    </row>
    <row r="357" spans="15:15" x14ac:dyDescent="0.15">
      <c r="O357" s="4"/>
    </row>
    <row r="358" spans="15:15" x14ac:dyDescent="0.15">
      <c r="O358" s="4"/>
    </row>
    <row r="359" spans="15:15" x14ac:dyDescent="0.15">
      <c r="O359" s="4"/>
    </row>
    <row r="360" spans="15:15" x14ac:dyDescent="0.15">
      <c r="O360" s="4"/>
    </row>
    <row r="361" spans="15:15" x14ac:dyDescent="0.15">
      <c r="O361" s="4"/>
    </row>
    <row r="362" spans="15:15" x14ac:dyDescent="0.15">
      <c r="O362" s="4"/>
    </row>
    <row r="363" spans="15:15" x14ac:dyDescent="0.15">
      <c r="O363" s="4"/>
    </row>
    <row r="364" spans="15:15" x14ac:dyDescent="0.15">
      <c r="O364" s="4"/>
    </row>
    <row r="365" spans="15:15" x14ac:dyDescent="0.15">
      <c r="O365" s="4"/>
    </row>
    <row r="366" spans="15:15" x14ac:dyDescent="0.15">
      <c r="O366" s="4"/>
    </row>
    <row r="367" spans="15:15" x14ac:dyDescent="0.15">
      <c r="O367" s="4"/>
    </row>
    <row r="368" spans="15:15" x14ac:dyDescent="0.15">
      <c r="O368" s="4"/>
    </row>
    <row r="369" spans="15:15" x14ac:dyDescent="0.15">
      <c r="O369" s="4"/>
    </row>
    <row r="370" spans="15:15" x14ac:dyDescent="0.15">
      <c r="O370" s="4"/>
    </row>
    <row r="371" spans="15:15" x14ac:dyDescent="0.15">
      <c r="O371" s="4"/>
    </row>
    <row r="372" spans="15:15" x14ac:dyDescent="0.15">
      <c r="O372" s="4"/>
    </row>
    <row r="373" spans="15:15" x14ac:dyDescent="0.15">
      <c r="O373" s="4"/>
    </row>
    <row r="374" spans="15:15" x14ac:dyDescent="0.15">
      <c r="O374" s="4"/>
    </row>
    <row r="375" spans="15:15" x14ac:dyDescent="0.15">
      <c r="O375" s="4"/>
    </row>
    <row r="376" spans="15:15" x14ac:dyDescent="0.15">
      <c r="O376" s="4"/>
    </row>
    <row r="377" spans="15:15" x14ac:dyDescent="0.15">
      <c r="O377" s="4"/>
    </row>
    <row r="378" spans="15:15" x14ac:dyDescent="0.15">
      <c r="O378" s="4"/>
    </row>
    <row r="379" spans="15:15" x14ac:dyDescent="0.15">
      <c r="O379" s="4"/>
    </row>
    <row r="380" spans="15:15" x14ac:dyDescent="0.15">
      <c r="O380" s="4"/>
    </row>
    <row r="381" spans="15:15" x14ac:dyDescent="0.15">
      <c r="O381" s="4"/>
    </row>
    <row r="382" spans="15:15" x14ac:dyDescent="0.15">
      <c r="O382" s="4"/>
    </row>
    <row r="383" spans="15:15" x14ac:dyDescent="0.15">
      <c r="O383" s="4"/>
    </row>
    <row r="384" spans="15:15" x14ac:dyDescent="0.15">
      <c r="O384" s="4"/>
    </row>
    <row r="385" spans="15:15" x14ac:dyDescent="0.15">
      <c r="O385" s="4"/>
    </row>
    <row r="386" spans="15:15" x14ac:dyDescent="0.15">
      <c r="O386" s="4"/>
    </row>
    <row r="387" spans="15:15" x14ac:dyDescent="0.15">
      <c r="O387" s="4"/>
    </row>
    <row r="388" spans="15:15" x14ac:dyDescent="0.15">
      <c r="O388" s="4"/>
    </row>
    <row r="389" spans="15:15" x14ac:dyDescent="0.15">
      <c r="O389" s="4"/>
    </row>
    <row r="390" spans="15:15" x14ac:dyDescent="0.15">
      <c r="O390" s="4"/>
    </row>
    <row r="391" spans="15:15" x14ac:dyDescent="0.15">
      <c r="O391" s="4"/>
    </row>
    <row r="392" spans="15:15" x14ac:dyDescent="0.15">
      <c r="O392" s="4"/>
    </row>
    <row r="393" spans="15:15" x14ac:dyDescent="0.15">
      <c r="O393" s="4"/>
    </row>
    <row r="394" spans="15:15" x14ac:dyDescent="0.15">
      <c r="O394" s="4"/>
    </row>
    <row r="395" spans="15:15" x14ac:dyDescent="0.15">
      <c r="O395" s="4"/>
    </row>
    <row r="396" spans="15:15" x14ac:dyDescent="0.15">
      <c r="O396" s="4"/>
    </row>
    <row r="397" spans="15:15" x14ac:dyDescent="0.15">
      <c r="O397" s="4"/>
    </row>
    <row r="398" spans="15:15" x14ac:dyDescent="0.15">
      <c r="O398" s="4"/>
    </row>
    <row r="399" spans="15:15" x14ac:dyDescent="0.15">
      <c r="O399" s="4"/>
    </row>
    <row r="400" spans="15:15" x14ac:dyDescent="0.15">
      <c r="O400" s="4"/>
    </row>
    <row r="401" spans="15:15" x14ac:dyDescent="0.15">
      <c r="O401" s="4"/>
    </row>
    <row r="402" spans="15:15" x14ac:dyDescent="0.15">
      <c r="O402" s="4"/>
    </row>
    <row r="403" spans="15:15" x14ac:dyDescent="0.15">
      <c r="O403" s="4"/>
    </row>
    <row r="404" spans="15:15" x14ac:dyDescent="0.15">
      <c r="O404" s="4"/>
    </row>
    <row r="405" spans="15:15" x14ac:dyDescent="0.15">
      <c r="O405" s="4"/>
    </row>
    <row r="406" spans="15:15" x14ac:dyDescent="0.15">
      <c r="O406" s="4"/>
    </row>
    <row r="407" spans="15:15" x14ac:dyDescent="0.15">
      <c r="O407" s="4"/>
    </row>
    <row r="408" spans="15:15" x14ac:dyDescent="0.15">
      <c r="O408" s="4"/>
    </row>
    <row r="409" spans="15:15" x14ac:dyDescent="0.15">
      <c r="O409" s="4"/>
    </row>
    <row r="410" spans="15:15" x14ac:dyDescent="0.15">
      <c r="O410" s="4"/>
    </row>
    <row r="411" spans="15:15" x14ac:dyDescent="0.15">
      <c r="O411" s="4"/>
    </row>
    <row r="412" spans="15:15" x14ac:dyDescent="0.15">
      <c r="O412" s="4"/>
    </row>
    <row r="413" spans="15:15" x14ac:dyDescent="0.15">
      <c r="O413" s="4"/>
    </row>
    <row r="414" spans="15:15" x14ac:dyDescent="0.15">
      <c r="O414" s="4"/>
    </row>
    <row r="415" spans="15:15" x14ac:dyDescent="0.15">
      <c r="O415" s="4"/>
    </row>
    <row r="416" spans="15:15" x14ac:dyDescent="0.15">
      <c r="O416" s="4"/>
    </row>
    <row r="417" spans="15:15" x14ac:dyDescent="0.15">
      <c r="O417" s="4"/>
    </row>
    <row r="418" spans="15:15" x14ac:dyDescent="0.15">
      <c r="O418" s="4"/>
    </row>
    <row r="419" spans="15:15" x14ac:dyDescent="0.15">
      <c r="O419" s="4"/>
    </row>
    <row r="420" spans="15:15" x14ac:dyDescent="0.15">
      <c r="O420" s="4"/>
    </row>
    <row r="421" spans="15:15" x14ac:dyDescent="0.15">
      <c r="O421" s="4"/>
    </row>
    <row r="422" spans="15:15" x14ac:dyDescent="0.15">
      <c r="O422" s="4"/>
    </row>
    <row r="423" spans="15:15" x14ac:dyDescent="0.15">
      <c r="O423" s="4"/>
    </row>
    <row r="424" spans="15:15" x14ac:dyDescent="0.15">
      <c r="O424" s="4"/>
    </row>
    <row r="425" spans="15:15" x14ac:dyDescent="0.15">
      <c r="O425" s="4"/>
    </row>
    <row r="426" spans="15:15" x14ac:dyDescent="0.15">
      <c r="O426" s="4"/>
    </row>
    <row r="427" spans="15:15" x14ac:dyDescent="0.15">
      <c r="O427" s="4"/>
    </row>
    <row r="428" spans="15:15" x14ac:dyDescent="0.15">
      <c r="O428" s="4"/>
    </row>
    <row r="429" spans="15:15" x14ac:dyDescent="0.15">
      <c r="O429" s="4"/>
    </row>
    <row r="430" spans="15:15" x14ac:dyDescent="0.15">
      <c r="O430" s="4"/>
    </row>
    <row r="431" spans="15:15" x14ac:dyDescent="0.15">
      <c r="O431" s="4"/>
    </row>
    <row r="432" spans="15:15" x14ac:dyDescent="0.15">
      <c r="O432" s="4"/>
    </row>
    <row r="433" spans="15:15" x14ac:dyDescent="0.15">
      <c r="O433" s="4"/>
    </row>
    <row r="434" spans="15:15" x14ac:dyDescent="0.15">
      <c r="O434" s="4"/>
    </row>
    <row r="435" spans="15:15" x14ac:dyDescent="0.15">
      <c r="O435" s="4"/>
    </row>
    <row r="436" spans="15:15" x14ac:dyDescent="0.15">
      <c r="O436" s="4"/>
    </row>
    <row r="437" spans="15:15" x14ac:dyDescent="0.15">
      <c r="O437" s="4"/>
    </row>
    <row r="438" spans="15:15" x14ac:dyDescent="0.15">
      <c r="O438" s="4"/>
    </row>
    <row r="439" spans="15:15" x14ac:dyDescent="0.15">
      <c r="O439" s="4"/>
    </row>
    <row r="440" spans="15:15" x14ac:dyDescent="0.15">
      <c r="O440" s="4"/>
    </row>
    <row r="441" spans="15:15" x14ac:dyDescent="0.15">
      <c r="O441" s="4"/>
    </row>
    <row r="442" spans="15:15" x14ac:dyDescent="0.15">
      <c r="O442" s="4"/>
    </row>
    <row r="443" spans="15:15" x14ac:dyDescent="0.15">
      <c r="O443" s="4"/>
    </row>
    <row r="444" spans="15:15" x14ac:dyDescent="0.15">
      <c r="O444" s="4"/>
    </row>
    <row r="445" spans="15:15" x14ac:dyDescent="0.15">
      <c r="O445" s="4"/>
    </row>
    <row r="446" spans="15:15" x14ac:dyDescent="0.15">
      <c r="O446" s="4"/>
    </row>
    <row r="447" spans="15:15" x14ac:dyDescent="0.15">
      <c r="O447" s="4"/>
    </row>
    <row r="448" spans="15:15" x14ac:dyDescent="0.15">
      <c r="O448" s="4"/>
    </row>
    <row r="449" spans="15:15" x14ac:dyDescent="0.15">
      <c r="O449" s="4"/>
    </row>
    <row r="450" spans="15:15" x14ac:dyDescent="0.15">
      <c r="O450" s="4"/>
    </row>
    <row r="451" spans="15:15" x14ac:dyDescent="0.15">
      <c r="O451" s="4"/>
    </row>
    <row r="452" spans="15:15" x14ac:dyDescent="0.15">
      <c r="O452" s="4"/>
    </row>
    <row r="453" spans="15:15" x14ac:dyDescent="0.15">
      <c r="O453" s="4"/>
    </row>
    <row r="454" spans="15:15" x14ac:dyDescent="0.15">
      <c r="O454" s="4"/>
    </row>
    <row r="455" spans="15:15" x14ac:dyDescent="0.15">
      <c r="O455" s="4"/>
    </row>
    <row r="456" spans="15:15" x14ac:dyDescent="0.15">
      <c r="O456" s="4"/>
    </row>
    <row r="457" spans="15:15" x14ac:dyDescent="0.15">
      <c r="O457" s="4"/>
    </row>
    <row r="458" spans="15:15" x14ac:dyDescent="0.15">
      <c r="O458" s="4"/>
    </row>
    <row r="459" spans="15:15" x14ac:dyDescent="0.15">
      <c r="O459" s="4"/>
    </row>
    <row r="460" spans="15:15" x14ac:dyDescent="0.15">
      <c r="O460" s="4"/>
    </row>
    <row r="461" spans="15:15" x14ac:dyDescent="0.15">
      <c r="O461" s="4"/>
    </row>
    <row r="462" spans="15:15" x14ac:dyDescent="0.15">
      <c r="O462" s="4"/>
    </row>
    <row r="463" spans="15:15" x14ac:dyDescent="0.15">
      <c r="O463" s="4"/>
    </row>
    <row r="464" spans="15:15" x14ac:dyDescent="0.15">
      <c r="O464" s="4"/>
    </row>
    <row r="465" spans="15:15" x14ac:dyDescent="0.15">
      <c r="O465" s="4"/>
    </row>
    <row r="466" spans="15:15" x14ac:dyDescent="0.15">
      <c r="O466" s="4"/>
    </row>
    <row r="467" spans="15:15" x14ac:dyDescent="0.15">
      <c r="O467" s="4"/>
    </row>
    <row r="468" spans="15:15" x14ac:dyDescent="0.15">
      <c r="O468" s="4"/>
    </row>
    <row r="469" spans="15:15" x14ac:dyDescent="0.15">
      <c r="O469" s="4"/>
    </row>
    <row r="470" spans="15:15" x14ac:dyDescent="0.15">
      <c r="O470" s="4"/>
    </row>
    <row r="471" spans="15:15" x14ac:dyDescent="0.15">
      <c r="O471" s="4"/>
    </row>
    <row r="472" spans="15:15" x14ac:dyDescent="0.15">
      <c r="O472" s="4"/>
    </row>
    <row r="473" spans="15:15" x14ac:dyDescent="0.15">
      <c r="O473" s="4"/>
    </row>
    <row r="474" spans="15:15" x14ac:dyDescent="0.15">
      <c r="O474" s="4"/>
    </row>
    <row r="475" spans="15:15" x14ac:dyDescent="0.15">
      <c r="O475" s="4"/>
    </row>
    <row r="476" spans="15:15" x14ac:dyDescent="0.15">
      <c r="O476" s="4"/>
    </row>
    <row r="477" spans="15:15" x14ac:dyDescent="0.15">
      <c r="O477" s="4"/>
    </row>
    <row r="478" spans="15:15" x14ac:dyDescent="0.15">
      <c r="O478" s="4"/>
    </row>
    <row r="479" spans="15:15" x14ac:dyDescent="0.15">
      <c r="O479" s="4"/>
    </row>
    <row r="480" spans="15:15" x14ac:dyDescent="0.15">
      <c r="O480" s="4"/>
    </row>
    <row r="481" spans="15:15" x14ac:dyDescent="0.15">
      <c r="O481" s="4"/>
    </row>
    <row r="482" spans="15:15" x14ac:dyDescent="0.15">
      <c r="O482" s="4"/>
    </row>
    <row r="483" spans="15:15" x14ac:dyDescent="0.15">
      <c r="O483" s="4"/>
    </row>
    <row r="484" spans="15:15" x14ac:dyDescent="0.15">
      <c r="O484" s="4"/>
    </row>
    <row r="485" spans="15:15" x14ac:dyDescent="0.15">
      <c r="O485" s="4"/>
    </row>
    <row r="486" spans="15:15" x14ac:dyDescent="0.15">
      <c r="O486" s="4"/>
    </row>
    <row r="487" spans="15:15" x14ac:dyDescent="0.15">
      <c r="O487" s="4"/>
    </row>
    <row r="488" spans="15:15" x14ac:dyDescent="0.15">
      <c r="O488" s="4"/>
    </row>
    <row r="489" spans="15:15" x14ac:dyDescent="0.15">
      <c r="O489" s="4"/>
    </row>
    <row r="490" spans="15:15" x14ac:dyDescent="0.15">
      <c r="O490" s="4"/>
    </row>
    <row r="491" spans="15:15" x14ac:dyDescent="0.15">
      <c r="O491" s="4"/>
    </row>
    <row r="492" spans="15:15" x14ac:dyDescent="0.15">
      <c r="O492" s="4"/>
    </row>
    <row r="493" spans="15:15" x14ac:dyDescent="0.15">
      <c r="O493" s="4"/>
    </row>
    <row r="494" spans="15:15" x14ac:dyDescent="0.15">
      <c r="O494" s="4"/>
    </row>
    <row r="495" spans="15:15" x14ac:dyDescent="0.15">
      <c r="O495" s="4"/>
    </row>
    <row r="496" spans="15:15" x14ac:dyDescent="0.15">
      <c r="O496" s="4"/>
    </row>
    <row r="497" spans="15:15" x14ac:dyDescent="0.15">
      <c r="O497" s="4"/>
    </row>
    <row r="498" spans="15:15" x14ac:dyDescent="0.15">
      <c r="O498" s="4"/>
    </row>
    <row r="499" spans="15:15" x14ac:dyDescent="0.15">
      <c r="O499" s="4"/>
    </row>
    <row r="500" spans="15:15" x14ac:dyDescent="0.15">
      <c r="O500" s="4"/>
    </row>
    <row r="501" spans="15:15" x14ac:dyDescent="0.15">
      <c r="O501" s="4"/>
    </row>
    <row r="502" spans="15:15" x14ac:dyDescent="0.15">
      <c r="O502" s="4"/>
    </row>
    <row r="503" spans="15:15" x14ac:dyDescent="0.15">
      <c r="O503" s="4"/>
    </row>
    <row r="504" spans="15:15" x14ac:dyDescent="0.15">
      <c r="O504" s="4"/>
    </row>
    <row r="505" spans="15:15" x14ac:dyDescent="0.15">
      <c r="O505" s="4"/>
    </row>
    <row r="506" spans="15:15" x14ac:dyDescent="0.15">
      <c r="O506" s="4"/>
    </row>
    <row r="507" spans="15:15" x14ac:dyDescent="0.15">
      <c r="O507" s="4"/>
    </row>
    <row r="508" spans="15:15" x14ac:dyDescent="0.15">
      <c r="O508" s="4"/>
    </row>
    <row r="509" spans="15:15" x14ac:dyDescent="0.15">
      <c r="O509" s="4"/>
    </row>
    <row r="510" spans="15:15" x14ac:dyDescent="0.15">
      <c r="O510" s="4"/>
    </row>
    <row r="511" spans="15:15" x14ac:dyDescent="0.15">
      <c r="O511" s="4"/>
    </row>
    <row r="512" spans="15:15" x14ac:dyDescent="0.15">
      <c r="O512" s="4"/>
    </row>
    <row r="513" spans="15:15" x14ac:dyDescent="0.15">
      <c r="O513" s="4"/>
    </row>
    <row r="514" spans="15:15" x14ac:dyDescent="0.15">
      <c r="O514" s="4"/>
    </row>
    <row r="515" spans="15:15" x14ac:dyDescent="0.15">
      <c r="O515" s="4"/>
    </row>
    <row r="516" spans="15:15" x14ac:dyDescent="0.15">
      <c r="O516" s="4"/>
    </row>
    <row r="517" spans="15:15" x14ac:dyDescent="0.15">
      <c r="O517" s="4"/>
    </row>
    <row r="518" spans="15:15" x14ac:dyDescent="0.15">
      <c r="O518" s="4"/>
    </row>
    <row r="519" spans="15:15" x14ac:dyDescent="0.15">
      <c r="O519" s="4"/>
    </row>
    <row r="520" spans="15:15" x14ac:dyDescent="0.15">
      <c r="O520" s="4"/>
    </row>
    <row r="521" spans="15:15" x14ac:dyDescent="0.15">
      <c r="O521" s="4"/>
    </row>
    <row r="522" spans="15:15" x14ac:dyDescent="0.15">
      <c r="O522" s="4"/>
    </row>
    <row r="523" spans="15:15" x14ac:dyDescent="0.15">
      <c r="O523" s="4"/>
    </row>
    <row r="524" spans="15:15" x14ac:dyDescent="0.15">
      <c r="O524" s="4"/>
    </row>
    <row r="525" spans="15:15" x14ac:dyDescent="0.15">
      <c r="O525" s="4"/>
    </row>
    <row r="526" spans="15:15" x14ac:dyDescent="0.15">
      <c r="O526" s="4"/>
    </row>
    <row r="527" spans="15:15" x14ac:dyDescent="0.15">
      <c r="O527" s="4"/>
    </row>
    <row r="528" spans="15:15" x14ac:dyDescent="0.15">
      <c r="O528" s="4"/>
    </row>
    <row r="529" spans="15:15" x14ac:dyDescent="0.15">
      <c r="O529" s="4"/>
    </row>
    <row r="530" spans="15:15" x14ac:dyDescent="0.15">
      <c r="O530" s="4"/>
    </row>
    <row r="531" spans="15:15" x14ac:dyDescent="0.15">
      <c r="O531" s="4"/>
    </row>
    <row r="532" spans="15:15" x14ac:dyDescent="0.15">
      <c r="O532" s="4"/>
    </row>
    <row r="533" spans="15:15" x14ac:dyDescent="0.15">
      <c r="O533" s="4"/>
    </row>
    <row r="534" spans="15:15" x14ac:dyDescent="0.15">
      <c r="O534" s="4"/>
    </row>
    <row r="535" spans="15:15" x14ac:dyDescent="0.15">
      <c r="O535" s="4"/>
    </row>
    <row r="536" spans="15:15" x14ac:dyDescent="0.15">
      <c r="O536" s="4"/>
    </row>
    <row r="537" spans="15:15" x14ac:dyDescent="0.15">
      <c r="O537" s="4"/>
    </row>
    <row r="538" spans="15:15" x14ac:dyDescent="0.15">
      <c r="O538" s="4"/>
    </row>
    <row r="539" spans="15:15" x14ac:dyDescent="0.15">
      <c r="O539" s="4"/>
    </row>
    <row r="540" spans="15:15" x14ac:dyDescent="0.15">
      <c r="O540" s="4"/>
    </row>
    <row r="541" spans="15:15" x14ac:dyDescent="0.15">
      <c r="O541" s="4"/>
    </row>
    <row r="542" spans="15:15" x14ac:dyDescent="0.15">
      <c r="O542" s="4"/>
    </row>
    <row r="543" spans="15:15" x14ac:dyDescent="0.15">
      <c r="O543" s="4"/>
    </row>
    <row r="544" spans="15:15" x14ac:dyDescent="0.15">
      <c r="O544" s="4"/>
    </row>
    <row r="545" spans="15:15" x14ac:dyDescent="0.15">
      <c r="O545" s="4"/>
    </row>
    <row r="546" spans="15:15" x14ac:dyDescent="0.15">
      <c r="O546" s="4"/>
    </row>
    <row r="547" spans="15:15" x14ac:dyDescent="0.15">
      <c r="O547" s="4"/>
    </row>
    <row r="548" spans="15:15" x14ac:dyDescent="0.15">
      <c r="O548" s="4"/>
    </row>
    <row r="549" spans="15:15" x14ac:dyDescent="0.15">
      <c r="O549" s="4"/>
    </row>
    <row r="550" spans="15:15" x14ac:dyDescent="0.15">
      <c r="O550" s="4"/>
    </row>
    <row r="551" spans="15:15" x14ac:dyDescent="0.15">
      <c r="O551" s="4"/>
    </row>
    <row r="552" spans="15:15" x14ac:dyDescent="0.15">
      <c r="O552" s="4"/>
    </row>
    <row r="553" spans="15:15" x14ac:dyDescent="0.15">
      <c r="O553" s="4"/>
    </row>
    <row r="554" spans="15:15" x14ac:dyDescent="0.15">
      <c r="O554" s="4"/>
    </row>
    <row r="555" spans="15:15" x14ac:dyDescent="0.15">
      <c r="O555" s="4"/>
    </row>
    <row r="556" spans="15:15" x14ac:dyDescent="0.15">
      <c r="O556" s="4"/>
    </row>
    <row r="557" spans="15:15" x14ac:dyDescent="0.15">
      <c r="O557" s="4"/>
    </row>
    <row r="558" spans="15:15" x14ac:dyDescent="0.15">
      <c r="O558" s="4"/>
    </row>
    <row r="559" spans="15:15" x14ac:dyDescent="0.15">
      <c r="O559" s="4"/>
    </row>
    <row r="560" spans="15:15" x14ac:dyDescent="0.15">
      <c r="O560" s="4"/>
    </row>
    <row r="561" spans="15:15" x14ac:dyDescent="0.15">
      <c r="O561" s="4"/>
    </row>
    <row r="562" spans="15:15" x14ac:dyDescent="0.15">
      <c r="O562" s="4"/>
    </row>
    <row r="563" spans="15:15" x14ac:dyDescent="0.15">
      <c r="O563" s="4"/>
    </row>
    <row r="564" spans="15:15" x14ac:dyDescent="0.15">
      <c r="O564" s="4"/>
    </row>
    <row r="565" spans="15:15" x14ac:dyDescent="0.15">
      <c r="O565" s="4"/>
    </row>
    <row r="566" spans="15:15" x14ac:dyDescent="0.15">
      <c r="O566" s="4"/>
    </row>
    <row r="567" spans="15:15" x14ac:dyDescent="0.15">
      <c r="O567" s="4"/>
    </row>
    <row r="568" spans="15:15" x14ac:dyDescent="0.15">
      <c r="O568" s="4"/>
    </row>
    <row r="569" spans="15:15" x14ac:dyDescent="0.15">
      <c r="O569" s="4"/>
    </row>
    <row r="570" spans="15:15" x14ac:dyDescent="0.15">
      <c r="O570" s="4"/>
    </row>
    <row r="571" spans="15:15" x14ac:dyDescent="0.15">
      <c r="O571" s="4"/>
    </row>
    <row r="572" spans="15:15" x14ac:dyDescent="0.15">
      <c r="O572" s="4"/>
    </row>
    <row r="573" spans="15:15" x14ac:dyDescent="0.15">
      <c r="O573" s="4"/>
    </row>
    <row r="574" spans="15:15" x14ac:dyDescent="0.15">
      <c r="O574" s="4"/>
    </row>
    <row r="575" spans="15:15" x14ac:dyDescent="0.15">
      <c r="O575" s="4"/>
    </row>
    <row r="576" spans="15:15" x14ac:dyDescent="0.15">
      <c r="O576" s="4"/>
    </row>
    <row r="577" spans="15:15" x14ac:dyDescent="0.15">
      <c r="O577" s="4"/>
    </row>
    <row r="578" spans="15:15" x14ac:dyDescent="0.15">
      <c r="O578" s="4"/>
    </row>
    <row r="579" spans="15:15" x14ac:dyDescent="0.15">
      <c r="O579" s="4"/>
    </row>
    <row r="580" spans="15:15" x14ac:dyDescent="0.15">
      <c r="O580" s="4"/>
    </row>
    <row r="581" spans="15:15" x14ac:dyDescent="0.15">
      <c r="O581" s="4"/>
    </row>
    <row r="582" spans="15:15" x14ac:dyDescent="0.15">
      <c r="O582" s="4"/>
    </row>
    <row r="583" spans="15:15" x14ac:dyDescent="0.15">
      <c r="O583" s="4"/>
    </row>
    <row r="584" spans="15:15" x14ac:dyDescent="0.15">
      <c r="O584" s="4"/>
    </row>
    <row r="585" spans="15:15" x14ac:dyDescent="0.15">
      <c r="O585" s="4"/>
    </row>
    <row r="586" spans="15:15" x14ac:dyDescent="0.15">
      <c r="O586" s="4"/>
    </row>
    <row r="587" spans="15:15" x14ac:dyDescent="0.15">
      <c r="O587" s="4"/>
    </row>
    <row r="588" spans="15:15" x14ac:dyDescent="0.15">
      <c r="O588" s="4"/>
    </row>
    <row r="589" spans="15:15" x14ac:dyDescent="0.15">
      <c r="O589" s="4"/>
    </row>
    <row r="590" spans="15:15" x14ac:dyDescent="0.15">
      <c r="O590" s="4"/>
    </row>
    <row r="591" spans="15:15" x14ac:dyDescent="0.15">
      <c r="O591" s="4"/>
    </row>
    <row r="592" spans="15:15" x14ac:dyDescent="0.15">
      <c r="O592" s="4"/>
    </row>
    <row r="593" spans="15:15" x14ac:dyDescent="0.15">
      <c r="O593" s="4"/>
    </row>
    <row r="594" spans="15:15" x14ac:dyDescent="0.15">
      <c r="O594" s="4"/>
    </row>
    <row r="595" spans="15:15" x14ac:dyDescent="0.15">
      <c r="O595" s="4"/>
    </row>
    <row r="596" spans="15:15" x14ac:dyDescent="0.15">
      <c r="O596" s="4"/>
    </row>
    <row r="597" spans="15:15" x14ac:dyDescent="0.15">
      <c r="O597" s="4"/>
    </row>
    <row r="598" spans="15:15" x14ac:dyDescent="0.15">
      <c r="O598" s="4"/>
    </row>
    <row r="599" spans="15:15" x14ac:dyDescent="0.15">
      <c r="O599" s="4"/>
    </row>
    <row r="600" spans="15:15" x14ac:dyDescent="0.15">
      <c r="O600" s="4"/>
    </row>
    <row r="601" spans="15:15" x14ac:dyDescent="0.15">
      <c r="O601" s="4"/>
    </row>
    <row r="602" spans="15:15" x14ac:dyDescent="0.15">
      <c r="O602" s="4"/>
    </row>
    <row r="603" spans="15:15" x14ac:dyDescent="0.15">
      <c r="O603" s="4"/>
    </row>
    <row r="604" spans="15:15" x14ac:dyDescent="0.15">
      <c r="O604" s="4"/>
    </row>
    <row r="605" spans="15:15" x14ac:dyDescent="0.15">
      <c r="O605" s="4"/>
    </row>
    <row r="606" spans="15:15" x14ac:dyDescent="0.15">
      <c r="O606" s="4"/>
    </row>
    <row r="607" spans="15:15" x14ac:dyDescent="0.15">
      <c r="O607" s="4"/>
    </row>
    <row r="608" spans="15:15" x14ac:dyDescent="0.15">
      <c r="O608" s="4"/>
    </row>
    <row r="609" spans="15:15" x14ac:dyDescent="0.15">
      <c r="O609" s="4"/>
    </row>
    <row r="610" spans="15:15" x14ac:dyDescent="0.15">
      <c r="O610" s="4"/>
    </row>
    <row r="611" spans="15:15" x14ac:dyDescent="0.15">
      <c r="O611" s="4"/>
    </row>
    <row r="612" spans="15:15" x14ac:dyDescent="0.15">
      <c r="O612" s="4"/>
    </row>
    <row r="613" spans="15:15" x14ac:dyDescent="0.15">
      <c r="O613" s="4"/>
    </row>
    <row r="614" spans="15:15" x14ac:dyDescent="0.15">
      <c r="O614" s="4"/>
    </row>
    <row r="615" spans="15:15" x14ac:dyDescent="0.15">
      <c r="O615" s="4"/>
    </row>
    <row r="616" spans="15:15" x14ac:dyDescent="0.15">
      <c r="O616" s="4"/>
    </row>
    <row r="617" spans="15:15" x14ac:dyDescent="0.15">
      <c r="O617" s="4"/>
    </row>
    <row r="618" spans="15:15" x14ac:dyDescent="0.15">
      <c r="O618" s="4"/>
    </row>
    <row r="619" spans="15:15" x14ac:dyDescent="0.15">
      <c r="O619" s="4"/>
    </row>
    <row r="620" spans="15:15" x14ac:dyDescent="0.15">
      <c r="O620" s="4"/>
    </row>
    <row r="621" spans="15:15" x14ac:dyDescent="0.15">
      <c r="O621" s="4"/>
    </row>
    <row r="622" spans="15:15" x14ac:dyDescent="0.15">
      <c r="O622" s="4"/>
    </row>
    <row r="623" spans="15:15" x14ac:dyDescent="0.15">
      <c r="O623" s="4"/>
    </row>
    <row r="624" spans="15:15" x14ac:dyDescent="0.15">
      <c r="O624" s="4"/>
    </row>
    <row r="625" spans="15:15" x14ac:dyDescent="0.15">
      <c r="O625" s="4"/>
    </row>
    <row r="626" spans="15:15" x14ac:dyDescent="0.15">
      <c r="O626" s="4"/>
    </row>
    <row r="627" spans="15:15" x14ac:dyDescent="0.15">
      <c r="O627" s="4"/>
    </row>
    <row r="628" spans="15:15" x14ac:dyDescent="0.15">
      <c r="O628" s="4"/>
    </row>
    <row r="629" spans="15:15" x14ac:dyDescent="0.15">
      <c r="O629" s="4"/>
    </row>
    <row r="630" spans="15:15" x14ac:dyDescent="0.15">
      <c r="O630" s="4"/>
    </row>
    <row r="631" spans="15:15" x14ac:dyDescent="0.15">
      <c r="O631" s="4"/>
    </row>
    <row r="632" spans="15:15" x14ac:dyDescent="0.15">
      <c r="O632" s="4"/>
    </row>
    <row r="633" spans="15:15" x14ac:dyDescent="0.15">
      <c r="O633" s="4"/>
    </row>
    <row r="634" spans="15:15" x14ac:dyDescent="0.15">
      <c r="O634" s="4"/>
    </row>
    <row r="635" spans="15:15" x14ac:dyDescent="0.15">
      <c r="O635" s="4"/>
    </row>
    <row r="636" spans="15:15" x14ac:dyDescent="0.15">
      <c r="O636" s="4"/>
    </row>
    <row r="637" spans="15:15" x14ac:dyDescent="0.15">
      <c r="O637" s="4"/>
    </row>
    <row r="638" spans="15:15" x14ac:dyDescent="0.15">
      <c r="O638" s="4"/>
    </row>
    <row r="639" spans="15:15" x14ac:dyDescent="0.15">
      <c r="O639" s="4"/>
    </row>
    <row r="640" spans="15:15" x14ac:dyDescent="0.15">
      <c r="O640" s="4"/>
    </row>
    <row r="641" spans="15:15" x14ac:dyDescent="0.15">
      <c r="O641" s="4"/>
    </row>
    <row r="642" spans="15:15" x14ac:dyDescent="0.15">
      <c r="O642" s="4"/>
    </row>
    <row r="643" spans="15:15" x14ac:dyDescent="0.15">
      <c r="O643" s="4"/>
    </row>
    <row r="644" spans="15:15" x14ac:dyDescent="0.15">
      <c r="O644" s="4"/>
    </row>
    <row r="645" spans="15:15" x14ac:dyDescent="0.15">
      <c r="O645" s="4"/>
    </row>
    <row r="646" spans="15:15" x14ac:dyDescent="0.15">
      <c r="O646" s="4"/>
    </row>
    <row r="647" spans="15:15" x14ac:dyDescent="0.15">
      <c r="O647" s="4"/>
    </row>
    <row r="648" spans="15:15" x14ac:dyDescent="0.15">
      <c r="O648" s="4"/>
    </row>
    <row r="649" spans="15:15" x14ac:dyDescent="0.15">
      <c r="O649" s="4"/>
    </row>
    <row r="650" spans="15:15" x14ac:dyDescent="0.15">
      <c r="O650" s="4"/>
    </row>
    <row r="651" spans="15:15" x14ac:dyDescent="0.15">
      <c r="O651" s="4"/>
    </row>
    <row r="652" spans="15:15" x14ac:dyDescent="0.15">
      <c r="O652" s="4"/>
    </row>
    <row r="653" spans="15:15" x14ac:dyDescent="0.15">
      <c r="O653" s="4"/>
    </row>
    <row r="654" spans="15:15" x14ac:dyDescent="0.15">
      <c r="O654" s="4"/>
    </row>
    <row r="655" spans="15:15" x14ac:dyDescent="0.15">
      <c r="O655" s="4"/>
    </row>
    <row r="656" spans="15:15" x14ac:dyDescent="0.15">
      <c r="O656" s="4"/>
    </row>
    <row r="657" spans="15:15" x14ac:dyDescent="0.15">
      <c r="O657" s="4"/>
    </row>
    <row r="658" spans="15:15" x14ac:dyDescent="0.15">
      <c r="O658" s="4"/>
    </row>
    <row r="659" spans="15:15" x14ac:dyDescent="0.15">
      <c r="O659" s="4"/>
    </row>
    <row r="660" spans="15:15" x14ac:dyDescent="0.15">
      <c r="O660" s="4"/>
    </row>
    <row r="661" spans="15:15" x14ac:dyDescent="0.15">
      <c r="O661" s="4"/>
    </row>
    <row r="662" spans="15:15" x14ac:dyDescent="0.15">
      <c r="O662" s="4"/>
    </row>
    <row r="663" spans="15:15" x14ac:dyDescent="0.15">
      <c r="O663" s="4"/>
    </row>
    <row r="664" spans="15:15" x14ac:dyDescent="0.15">
      <c r="O664" s="4"/>
    </row>
    <row r="665" spans="15:15" x14ac:dyDescent="0.15">
      <c r="O665" s="4"/>
    </row>
    <row r="666" spans="15:15" x14ac:dyDescent="0.15">
      <c r="O666" s="4"/>
    </row>
    <row r="667" spans="15:15" x14ac:dyDescent="0.15">
      <c r="O667" s="4"/>
    </row>
    <row r="668" spans="15:15" x14ac:dyDescent="0.15">
      <c r="O668" s="4"/>
    </row>
    <row r="669" spans="15:15" x14ac:dyDescent="0.15">
      <c r="O669" s="4"/>
    </row>
    <row r="670" spans="15:15" x14ac:dyDescent="0.15">
      <c r="O670" s="4"/>
    </row>
    <row r="671" spans="15:15" x14ac:dyDescent="0.15">
      <c r="O671" s="4"/>
    </row>
    <row r="672" spans="15:15" x14ac:dyDescent="0.15">
      <c r="O672" s="4"/>
    </row>
    <row r="673" spans="15:15" x14ac:dyDescent="0.15">
      <c r="O673" s="4"/>
    </row>
    <row r="674" spans="15:15" x14ac:dyDescent="0.15">
      <c r="O674" s="4"/>
    </row>
    <row r="675" spans="15:15" x14ac:dyDescent="0.15">
      <c r="O675" s="4"/>
    </row>
    <row r="676" spans="15:15" x14ac:dyDescent="0.15">
      <c r="O676" s="4"/>
    </row>
    <row r="677" spans="15:15" x14ac:dyDescent="0.15">
      <c r="O677" s="4"/>
    </row>
    <row r="678" spans="15:15" x14ac:dyDescent="0.15">
      <c r="O678" s="4"/>
    </row>
    <row r="679" spans="15:15" x14ac:dyDescent="0.15">
      <c r="O679" s="4"/>
    </row>
    <row r="680" spans="15:15" x14ac:dyDescent="0.15">
      <c r="O680" s="4"/>
    </row>
    <row r="681" spans="15:15" x14ac:dyDescent="0.15">
      <c r="O681" s="4"/>
    </row>
    <row r="682" spans="15:15" x14ac:dyDescent="0.15">
      <c r="O682" s="4"/>
    </row>
    <row r="683" spans="15:15" x14ac:dyDescent="0.15">
      <c r="O683" s="4"/>
    </row>
    <row r="684" spans="15:15" x14ac:dyDescent="0.15">
      <c r="O684" s="4"/>
    </row>
    <row r="685" spans="15:15" x14ac:dyDescent="0.15">
      <c r="O685" s="4"/>
    </row>
    <row r="686" spans="15:15" x14ac:dyDescent="0.15">
      <c r="O686" s="4"/>
    </row>
    <row r="687" spans="15:15" x14ac:dyDescent="0.15">
      <c r="O687" s="4"/>
    </row>
    <row r="688" spans="15:15" x14ac:dyDescent="0.15">
      <c r="O688" s="4"/>
    </row>
    <row r="689" spans="15:15" x14ac:dyDescent="0.15">
      <c r="O689" s="4"/>
    </row>
    <row r="690" spans="15:15" x14ac:dyDescent="0.15">
      <c r="O690" s="4"/>
    </row>
    <row r="691" spans="15:15" x14ac:dyDescent="0.15">
      <c r="O691" s="4"/>
    </row>
    <row r="692" spans="15:15" x14ac:dyDescent="0.15">
      <c r="O692" s="4"/>
    </row>
    <row r="693" spans="15:15" x14ac:dyDescent="0.15">
      <c r="O693" s="4"/>
    </row>
    <row r="694" spans="15:15" x14ac:dyDescent="0.15">
      <c r="O694" s="4"/>
    </row>
    <row r="695" spans="15:15" x14ac:dyDescent="0.15">
      <c r="O695" s="4"/>
    </row>
    <row r="696" spans="15:15" x14ac:dyDescent="0.15">
      <c r="O696" s="4"/>
    </row>
    <row r="697" spans="15:15" x14ac:dyDescent="0.15">
      <c r="O697" s="4"/>
    </row>
    <row r="698" spans="15:15" x14ac:dyDescent="0.15">
      <c r="O698" s="4"/>
    </row>
    <row r="699" spans="15:15" x14ac:dyDescent="0.15">
      <c r="O699" s="4"/>
    </row>
    <row r="700" spans="15:15" x14ac:dyDescent="0.15">
      <c r="O700" s="4"/>
    </row>
    <row r="701" spans="15:15" x14ac:dyDescent="0.15">
      <c r="O701" s="4"/>
    </row>
    <row r="702" spans="15:15" x14ac:dyDescent="0.15">
      <c r="O702" s="4"/>
    </row>
    <row r="703" spans="15:15" x14ac:dyDescent="0.15">
      <c r="O703" s="4"/>
    </row>
    <row r="704" spans="15:15" x14ac:dyDescent="0.15">
      <c r="O704" s="4"/>
    </row>
    <row r="705" spans="15:15" x14ac:dyDescent="0.15">
      <c r="O705" s="4"/>
    </row>
    <row r="706" spans="15:15" x14ac:dyDescent="0.15">
      <c r="O706" s="4"/>
    </row>
    <row r="707" spans="15:15" x14ac:dyDescent="0.15">
      <c r="O707" s="4"/>
    </row>
    <row r="708" spans="15:15" x14ac:dyDescent="0.15">
      <c r="O708" s="4"/>
    </row>
    <row r="709" spans="15:15" x14ac:dyDescent="0.15">
      <c r="O709" s="4"/>
    </row>
    <row r="710" spans="15:15" x14ac:dyDescent="0.15">
      <c r="O710" s="4"/>
    </row>
    <row r="711" spans="15:15" x14ac:dyDescent="0.15">
      <c r="O711" s="4"/>
    </row>
    <row r="712" spans="15:15" x14ac:dyDescent="0.15">
      <c r="O712" s="4"/>
    </row>
    <row r="713" spans="15:15" x14ac:dyDescent="0.15">
      <c r="O713" s="4"/>
    </row>
    <row r="714" spans="15:15" x14ac:dyDescent="0.15">
      <c r="O714" s="4"/>
    </row>
    <row r="715" spans="15:15" x14ac:dyDescent="0.15">
      <c r="O715" s="4"/>
    </row>
    <row r="716" spans="15:15" x14ac:dyDescent="0.15">
      <c r="O716" s="4"/>
    </row>
    <row r="717" spans="15:15" x14ac:dyDescent="0.15">
      <c r="O717" s="4"/>
    </row>
    <row r="718" spans="15:15" x14ac:dyDescent="0.15">
      <c r="O718" s="4"/>
    </row>
    <row r="719" spans="15:15" x14ac:dyDescent="0.15">
      <c r="O719" s="4"/>
    </row>
    <row r="720" spans="15:15" x14ac:dyDescent="0.15">
      <c r="O720" s="4"/>
    </row>
    <row r="721" spans="15:15" x14ac:dyDescent="0.15">
      <c r="O721" s="4"/>
    </row>
    <row r="722" spans="15:15" x14ac:dyDescent="0.15">
      <c r="O722" s="4"/>
    </row>
    <row r="723" spans="15:15" x14ac:dyDescent="0.15">
      <c r="O723" s="4"/>
    </row>
    <row r="724" spans="15:15" x14ac:dyDescent="0.15">
      <c r="O724" s="4"/>
    </row>
    <row r="725" spans="15:15" x14ac:dyDescent="0.15">
      <c r="O725" s="4"/>
    </row>
    <row r="726" spans="15:15" x14ac:dyDescent="0.15">
      <c r="O726" s="4"/>
    </row>
    <row r="727" spans="15:15" x14ac:dyDescent="0.15">
      <c r="O727" s="4"/>
    </row>
    <row r="728" spans="15:15" x14ac:dyDescent="0.15">
      <c r="O728" s="4"/>
    </row>
    <row r="729" spans="15:15" x14ac:dyDescent="0.15">
      <c r="O729" s="4"/>
    </row>
    <row r="730" spans="15:15" x14ac:dyDescent="0.15">
      <c r="O730" s="4"/>
    </row>
    <row r="731" spans="15:15" x14ac:dyDescent="0.15">
      <c r="O731" s="4"/>
    </row>
    <row r="732" spans="15:15" x14ac:dyDescent="0.15">
      <c r="O732" s="4"/>
    </row>
    <row r="733" spans="15:15" x14ac:dyDescent="0.15">
      <c r="O733" s="4"/>
    </row>
    <row r="734" spans="15:15" x14ac:dyDescent="0.15">
      <c r="O734" s="4"/>
    </row>
    <row r="735" spans="15:15" x14ac:dyDescent="0.15">
      <c r="O735" s="4"/>
    </row>
    <row r="736" spans="15:15" x14ac:dyDescent="0.15">
      <c r="O736" s="4"/>
    </row>
    <row r="737" spans="15:15" x14ac:dyDescent="0.15">
      <c r="O737" s="4"/>
    </row>
    <row r="738" spans="15:15" x14ac:dyDescent="0.15">
      <c r="O738" s="4"/>
    </row>
    <row r="739" spans="15:15" x14ac:dyDescent="0.15">
      <c r="O739" s="4"/>
    </row>
    <row r="740" spans="15:15" x14ac:dyDescent="0.15">
      <c r="O740" s="4"/>
    </row>
    <row r="741" spans="15:15" x14ac:dyDescent="0.15">
      <c r="O741" s="4"/>
    </row>
    <row r="742" spans="15:15" x14ac:dyDescent="0.15">
      <c r="O742" s="4"/>
    </row>
    <row r="743" spans="15:15" x14ac:dyDescent="0.15">
      <c r="O743" s="4"/>
    </row>
    <row r="744" spans="15:15" x14ac:dyDescent="0.15">
      <c r="O744" s="4"/>
    </row>
    <row r="745" spans="15:15" x14ac:dyDescent="0.15">
      <c r="O745" s="4"/>
    </row>
    <row r="746" spans="15:15" x14ac:dyDescent="0.15">
      <c r="O746" s="4"/>
    </row>
    <row r="747" spans="15:15" x14ac:dyDescent="0.15">
      <c r="O747" s="4"/>
    </row>
    <row r="748" spans="15:15" x14ac:dyDescent="0.15">
      <c r="O748" s="4"/>
    </row>
    <row r="749" spans="15:15" x14ac:dyDescent="0.15">
      <c r="O749" s="4"/>
    </row>
    <row r="750" spans="15:15" x14ac:dyDescent="0.15">
      <c r="O750" s="4"/>
    </row>
    <row r="751" spans="15:15" x14ac:dyDescent="0.15">
      <c r="O751" s="4"/>
    </row>
    <row r="752" spans="15:15" x14ac:dyDescent="0.15">
      <c r="O752" s="4"/>
    </row>
    <row r="753" spans="15:15" x14ac:dyDescent="0.15">
      <c r="O753" s="4"/>
    </row>
    <row r="754" spans="15:15" x14ac:dyDescent="0.15">
      <c r="O754" s="4"/>
    </row>
    <row r="755" spans="15:15" x14ac:dyDescent="0.15">
      <c r="O755" s="4"/>
    </row>
    <row r="756" spans="15:15" x14ac:dyDescent="0.15">
      <c r="O756" s="4"/>
    </row>
    <row r="757" spans="15:15" x14ac:dyDescent="0.15">
      <c r="O757" s="4"/>
    </row>
    <row r="758" spans="15:15" x14ac:dyDescent="0.15">
      <c r="O758" s="4"/>
    </row>
    <row r="759" spans="15:15" x14ac:dyDescent="0.15">
      <c r="O759" s="4"/>
    </row>
    <row r="760" spans="15:15" x14ac:dyDescent="0.15">
      <c r="O760" s="4"/>
    </row>
    <row r="761" spans="15:15" x14ac:dyDescent="0.15">
      <c r="O761" s="4"/>
    </row>
    <row r="762" spans="15:15" x14ac:dyDescent="0.15">
      <c r="O762" s="4"/>
    </row>
    <row r="763" spans="15:15" x14ac:dyDescent="0.15">
      <c r="O763" s="4"/>
    </row>
    <row r="764" spans="15:15" x14ac:dyDescent="0.15">
      <c r="O764" s="4"/>
    </row>
    <row r="765" spans="15:15" x14ac:dyDescent="0.15">
      <c r="O765" s="4"/>
    </row>
    <row r="766" spans="15:15" x14ac:dyDescent="0.15">
      <c r="O766" s="4"/>
    </row>
    <row r="767" spans="15:15" x14ac:dyDescent="0.15">
      <c r="O767" s="4"/>
    </row>
    <row r="768" spans="15:15" x14ac:dyDescent="0.15">
      <c r="O768" s="4"/>
    </row>
    <row r="769" spans="15:15" x14ac:dyDescent="0.15">
      <c r="O769" s="4"/>
    </row>
    <row r="770" spans="15:15" x14ac:dyDescent="0.15">
      <c r="O770" s="4"/>
    </row>
    <row r="771" spans="15:15" x14ac:dyDescent="0.15">
      <c r="O771" s="4"/>
    </row>
    <row r="772" spans="15:15" x14ac:dyDescent="0.15">
      <c r="O772" s="4"/>
    </row>
    <row r="773" spans="15:15" x14ac:dyDescent="0.15">
      <c r="O773" s="4"/>
    </row>
    <row r="774" spans="15:15" x14ac:dyDescent="0.15">
      <c r="O774" s="4"/>
    </row>
    <row r="775" spans="15:15" x14ac:dyDescent="0.15">
      <c r="O775" s="4"/>
    </row>
    <row r="776" spans="15:15" x14ac:dyDescent="0.15">
      <c r="O776" s="4"/>
    </row>
    <row r="777" spans="15:15" x14ac:dyDescent="0.15">
      <c r="O777" s="4"/>
    </row>
    <row r="778" spans="15:15" x14ac:dyDescent="0.15">
      <c r="O778" s="4"/>
    </row>
    <row r="779" spans="15:15" x14ac:dyDescent="0.15">
      <c r="O779" s="4"/>
    </row>
    <row r="780" spans="15:15" x14ac:dyDescent="0.15">
      <c r="O780" s="4"/>
    </row>
    <row r="781" spans="15:15" x14ac:dyDescent="0.15">
      <c r="O781" s="4"/>
    </row>
    <row r="782" spans="15:15" x14ac:dyDescent="0.15">
      <c r="O782" s="4"/>
    </row>
    <row r="783" spans="15:15" x14ac:dyDescent="0.15">
      <c r="O783" s="4"/>
    </row>
    <row r="784" spans="15:15" x14ac:dyDescent="0.15">
      <c r="O784" s="4"/>
    </row>
    <row r="785" spans="15:15" x14ac:dyDescent="0.15">
      <c r="O785" s="4"/>
    </row>
    <row r="786" spans="15:15" x14ac:dyDescent="0.15">
      <c r="O786" s="4"/>
    </row>
    <row r="787" spans="15:15" x14ac:dyDescent="0.15">
      <c r="O787" s="4"/>
    </row>
    <row r="788" spans="15:15" x14ac:dyDescent="0.15">
      <c r="O788" s="4"/>
    </row>
    <row r="789" spans="15:15" x14ac:dyDescent="0.15">
      <c r="O789" s="4"/>
    </row>
    <row r="790" spans="15:15" x14ac:dyDescent="0.15">
      <c r="O790" s="4"/>
    </row>
    <row r="791" spans="15:15" x14ac:dyDescent="0.15">
      <c r="O791" s="4"/>
    </row>
    <row r="792" spans="15:15" x14ac:dyDescent="0.15">
      <c r="O792" s="4"/>
    </row>
    <row r="793" spans="15:15" x14ac:dyDescent="0.15">
      <c r="O793" s="4"/>
    </row>
    <row r="794" spans="15:15" x14ac:dyDescent="0.15">
      <c r="O794" s="4"/>
    </row>
    <row r="795" spans="15:15" x14ac:dyDescent="0.15">
      <c r="O795" s="4"/>
    </row>
    <row r="796" spans="15:15" x14ac:dyDescent="0.15">
      <c r="O796" s="4"/>
    </row>
    <row r="797" spans="15:15" x14ac:dyDescent="0.15">
      <c r="O797" s="4"/>
    </row>
    <row r="798" spans="15:15" x14ac:dyDescent="0.15">
      <c r="O798" s="4"/>
    </row>
    <row r="799" spans="15:15" x14ac:dyDescent="0.15">
      <c r="O799" s="4"/>
    </row>
    <row r="800" spans="15:15" x14ac:dyDescent="0.15">
      <c r="O800" s="4"/>
    </row>
    <row r="801" spans="15:15" x14ac:dyDescent="0.15">
      <c r="O801" s="4"/>
    </row>
    <row r="802" spans="15:15" x14ac:dyDescent="0.15">
      <c r="O802" s="4"/>
    </row>
    <row r="803" spans="15:15" x14ac:dyDescent="0.15">
      <c r="O803" s="4"/>
    </row>
    <row r="804" spans="15:15" x14ac:dyDescent="0.15">
      <c r="O804" s="4"/>
    </row>
    <row r="805" spans="15:15" x14ac:dyDescent="0.15">
      <c r="O805" s="4"/>
    </row>
    <row r="806" spans="15:15" x14ac:dyDescent="0.15">
      <c r="O806" s="4"/>
    </row>
    <row r="807" spans="15:15" x14ac:dyDescent="0.15">
      <c r="O807" s="4"/>
    </row>
    <row r="808" spans="15:15" x14ac:dyDescent="0.15">
      <c r="O808" s="4"/>
    </row>
    <row r="809" spans="15:15" x14ac:dyDescent="0.15">
      <c r="O809" s="4"/>
    </row>
    <row r="810" spans="15:15" x14ac:dyDescent="0.15">
      <c r="O810" s="4"/>
    </row>
    <row r="811" spans="15:15" x14ac:dyDescent="0.15">
      <c r="O811" s="4"/>
    </row>
    <row r="812" spans="15:15" x14ac:dyDescent="0.15">
      <c r="O812" s="4"/>
    </row>
    <row r="813" spans="15:15" x14ac:dyDescent="0.15">
      <c r="O813" s="4"/>
    </row>
    <row r="814" spans="15:15" x14ac:dyDescent="0.15">
      <c r="O814" s="4"/>
    </row>
    <row r="815" spans="15:15" x14ac:dyDescent="0.15">
      <c r="O815" s="4"/>
    </row>
    <row r="816" spans="15:15" x14ac:dyDescent="0.15">
      <c r="O816" s="4"/>
    </row>
    <row r="817" spans="15:15" x14ac:dyDescent="0.15">
      <c r="O817" s="4"/>
    </row>
    <row r="818" spans="15:15" x14ac:dyDescent="0.15">
      <c r="O818" s="4"/>
    </row>
    <row r="819" spans="15:15" x14ac:dyDescent="0.15">
      <c r="O819" s="4"/>
    </row>
    <row r="820" spans="15:15" x14ac:dyDescent="0.15">
      <c r="O820" s="4"/>
    </row>
    <row r="821" spans="15:15" x14ac:dyDescent="0.15">
      <c r="O821" s="4"/>
    </row>
    <row r="822" spans="15:15" x14ac:dyDescent="0.15">
      <c r="O822" s="4"/>
    </row>
    <row r="823" spans="15:15" x14ac:dyDescent="0.15">
      <c r="O823" s="4"/>
    </row>
    <row r="824" spans="15:15" x14ac:dyDescent="0.15">
      <c r="O824" s="4"/>
    </row>
    <row r="825" spans="15:15" x14ac:dyDescent="0.15">
      <c r="O825" s="4"/>
    </row>
    <row r="826" spans="15:15" x14ac:dyDescent="0.15">
      <c r="O826" s="4"/>
    </row>
    <row r="827" spans="15:15" x14ac:dyDescent="0.15">
      <c r="O827" s="4"/>
    </row>
    <row r="828" spans="15:15" x14ac:dyDescent="0.15">
      <c r="O828" s="4"/>
    </row>
    <row r="829" spans="15:15" x14ac:dyDescent="0.15">
      <c r="O829" s="4"/>
    </row>
    <row r="830" spans="15:15" x14ac:dyDescent="0.15">
      <c r="O830" s="4"/>
    </row>
    <row r="831" spans="15:15" x14ac:dyDescent="0.15">
      <c r="O831" s="4"/>
    </row>
    <row r="832" spans="15:15" x14ac:dyDescent="0.15">
      <c r="O832" s="4"/>
    </row>
    <row r="833" spans="15:15" x14ac:dyDescent="0.15">
      <c r="O833" s="4"/>
    </row>
    <row r="834" spans="15:15" x14ac:dyDescent="0.15">
      <c r="O834" s="4"/>
    </row>
    <row r="835" spans="15:15" x14ac:dyDescent="0.15">
      <c r="O835" s="4"/>
    </row>
    <row r="836" spans="15:15" x14ac:dyDescent="0.15">
      <c r="O836" s="4"/>
    </row>
    <row r="837" spans="15:15" x14ac:dyDescent="0.15">
      <c r="O837" s="4"/>
    </row>
    <row r="838" spans="15:15" x14ac:dyDescent="0.15">
      <c r="O838" s="4"/>
    </row>
    <row r="839" spans="15:15" x14ac:dyDescent="0.15">
      <c r="O839" s="4"/>
    </row>
    <row r="840" spans="15:15" x14ac:dyDescent="0.15">
      <c r="O840" s="4"/>
    </row>
    <row r="841" spans="15:15" x14ac:dyDescent="0.15">
      <c r="O841" s="4"/>
    </row>
    <row r="842" spans="15:15" x14ac:dyDescent="0.15">
      <c r="O842" s="4"/>
    </row>
    <row r="843" spans="15:15" x14ac:dyDescent="0.15">
      <c r="O843" s="4"/>
    </row>
    <row r="844" spans="15:15" x14ac:dyDescent="0.15">
      <c r="O844" s="4"/>
    </row>
    <row r="845" spans="15:15" x14ac:dyDescent="0.15">
      <c r="O845" s="4"/>
    </row>
    <row r="846" spans="15:15" x14ac:dyDescent="0.15">
      <c r="O846" s="4"/>
    </row>
    <row r="847" spans="15:15" x14ac:dyDescent="0.15">
      <c r="O847" s="4"/>
    </row>
    <row r="848" spans="15:15" x14ac:dyDescent="0.15">
      <c r="O848" s="4"/>
    </row>
    <row r="849" spans="15:15" x14ac:dyDescent="0.15">
      <c r="O849" s="4"/>
    </row>
    <row r="850" spans="15:15" x14ac:dyDescent="0.15">
      <c r="O850" s="4"/>
    </row>
    <row r="851" spans="15:15" x14ac:dyDescent="0.15">
      <c r="O851" s="4"/>
    </row>
    <row r="852" spans="15:15" x14ac:dyDescent="0.15">
      <c r="O852" s="4"/>
    </row>
    <row r="853" spans="15:15" x14ac:dyDescent="0.15">
      <c r="O853" s="4"/>
    </row>
    <row r="854" spans="15:15" x14ac:dyDescent="0.15">
      <c r="O854" s="4"/>
    </row>
    <row r="855" spans="15:15" x14ac:dyDescent="0.15">
      <c r="O855" s="4"/>
    </row>
    <row r="856" spans="15:15" x14ac:dyDescent="0.15">
      <c r="O856" s="4"/>
    </row>
    <row r="857" spans="15:15" x14ac:dyDescent="0.15">
      <c r="O857" s="4"/>
    </row>
    <row r="858" spans="15:15" x14ac:dyDescent="0.15">
      <c r="O858" s="4"/>
    </row>
    <row r="859" spans="15:15" x14ac:dyDescent="0.15">
      <c r="O859" s="4"/>
    </row>
    <row r="860" spans="15:15" x14ac:dyDescent="0.15">
      <c r="O860" s="4"/>
    </row>
    <row r="861" spans="15:15" x14ac:dyDescent="0.15">
      <c r="O861" s="4"/>
    </row>
    <row r="862" spans="15:15" x14ac:dyDescent="0.15">
      <c r="O862" s="4"/>
    </row>
    <row r="863" spans="15:15" x14ac:dyDescent="0.15">
      <c r="O863" s="4"/>
    </row>
    <row r="864" spans="15:15" x14ac:dyDescent="0.15">
      <c r="O864" s="4"/>
    </row>
    <row r="865" spans="15:15" x14ac:dyDescent="0.15">
      <c r="O865" s="4"/>
    </row>
    <row r="866" spans="15:15" x14ac:dyDescent="0.15">
      <c r="O866" s="4"/>
    </row>
    <row r="867" spans="15:15" x14ac:dyDescent="0.15">
      <c r="O867" s="4"/>
    </row>
    <row r="868" spans="15:15" x14ac:dyDescent="0.15">
      <c r="O868" s="4"/>
    </row>
    <row r="869" spans="15:15" x14ac:dyDescent="0.15">
      <c r="O869" s="4"/>
    </row>
    <row r="870" spans="15:15" x14ac:dyDescent="0.15">
      <c r="O870" s="4"/>
    </row>
    <row r="871" spans="15:15" x14ac:dyDescent="0.15">
      <c r="O871" s="4"/>
    </row>
    <row r="872" spans="15:15" x14ac:dyDescent="0.15">
      <c r="O872" s="4"/>
    </row>
    <row r="873" spans="15:15" x14ac:dyDescent="0.15">
      <c r="O873" s="4"/>
    </row>
    <row r="874" spans="15:15" x14ac:dyDescent="0.15">
      <c r="O874" s="4"/>
    </row>
    <row r="875" spans="15:15" x14ac:dyDescent="0.15">
      <c r="O875" s="4"/>
    </row>
    <row r="876" spans="15:15" x14ac:dyDescent="0.15">
      <c r="O876" s="4"/>
    </row>
    <row r="877" spans="15:15" x14ac:dyDescent="0.15">
      <c r="O877" s="4"/>
    </row>
    <row r="878" spans="15:15" x14ac:dyDescent="0.15">
      <c r="O878" s="4"/>
    </row>
    <row r="879" spans="15:15" x14ac:dyDescent="0.15">
      <c r="O879" s="4"/>
    </row>
    <row r="880" spans="15:15" x14ac:dyDescent="0.15">
      <c r="O880" s="4"/>
    </row>
    <row r="881" spans="15:15" x14ac:dyDescent="0.15">
      <c r="O881" s="4"/>
    </row>
    <row r="882" spans="15:15" x14ac:dyDescent="0.15">
      <c r="O882" s="4"/>
    </row>
    <row r="883" spans="15:15" x14ac:dyDescent="0.15">
      <c r="O883" s="4"/>
    </row>
    <row r="884" spans="15:15" x14ac:dyDescent="0.15">
      <c r="O884" s="4"/>
    </row>
    <row r="885" spans="15:15" x14ac:dyDescent="0.15">
      <c r="O885" s="4"/>
    </row>
    <row r="886" spans="15:15" x14ac:dyDescent="0.15">
      <c r="O886" s="4"/>
    </row>
    <row r="887" spans="15:15" x14ac:dyDescent="0.15">
      <c r="O887" s="4"/>
    </row>
    <row r="888" spans="15:15" x14ac:dyDescent="0.15">
      <c r="O888" s="4"/>
    </row>
    <row r="889" spans="15:15" x14ac:dyDescent="0.15">
      <c r="O889" s="4"/>
    </row>
    <row r="890" spans="15:15" x14ac:dyDescent="0.15">
      <c r="O890" s="4"/>
    </row>
    <row r="891" spans="15:15" x14ac:dyDescent="0.15">
      <c r="O891" s="4"/>
    </row>
    <row r="892" spans="15:15" x14ac:dyDescent="0.15">
      <c r="O892" s="4"/>
    </row>
    <row r="893" spans="15:15" x14ac:dyDescent="0.15">
      <c r="O893" s="4"/>
    </row>
    <row r="894" spans="15:15" x14ac:dyDescent="0.15">
      <c r="O894" s="4"/>
    </row>
    <row r="895" spans="15:15" x14ac:dyDescent="0.15">
      <c r="O895" s="4"/>
    </row>
    <row r="896" spans="15:15" x14ac:dyDescent="0.15">
      <c r="O896" s="4"/>
    </row>
    <row r="897" spans="15:15" x14ac:dyDescent="0.15">
      <c r="O897" s="4"/>
    </row>
    <row r="898" spans="15:15" x14ac:dyDescent="0.15">
      <c r="O898" s="4"/>
    </row>
    <row r="899" spans="15:15" x14ac:dyDescent="0.15">
      <c r="O899" s="4"/>
    </row>
    <row r="900" spans="15:15" x14ac:dyDescent="0.15">
      <c r="O900" s="4"/>
    </row>
    <row r="901" spans="15:15" x14ac:dyDescent="0.15">
      <c r="O901" s="4"/>
    </row>
    <row r="902" spans="15:15" x14ac:dyDescent="0.15">
      <c r="O902" s="4"/>
    </row>
    <row r="903" spans="15:15" x14ac:dyDescent="0.15">
      <c r="O903" s="4"/>
    </row>
    <row r="904" spans="15:15" x14ac:dyDescent="0.15">
      <c r="O904" s="4"/>
    </row>
    <row r="905" spans="15:15" x14ac:dyDescent="0.15">
      <c r="O905" s="4"/>
    </row>
    <row r="906" spans="15:15" x14ac:dyDescent="0.15">
      <c r="O906" s="4"/>
    </row>
    <row r="907" spans="15:15" x14ac:dyDescent="0.15">
      <c r="O907" s="4"/>
    </row>
    <row r="908" spans="15:15" x14ac:dyDescent="0.15">
      <c r="O908" s="4"/>
    </row>
    <row r="909" spans="15:15" x14ac:dyDescent="0.15">
      <c r="O909" s="4"/>
    </row>
    <row r="910" spans="15:15" x14ac:dyDescent="0.15">
      <c r="O910" s="4"/>
    </row>
    <row r="911" spans="15:15" x14ac:dyDescent="0.15">
      <c r="O911" s="4"/>
    </row>
    <row r="912" spans="15:15" x14ac:dyDescent="0.15">
      <c r="O912" s="4"/>
    </row>
    <row r="913" spans="15:15" x14ac:dyDescent="0.15">
      <c r="O913" s="4"/>
    </row>
    <row r="914" spans="15:15" x14ac:dyDescent="0.15">
      <c r="O914" s="4"/>
    </row>
    <row r="915" spans="15:15" x14ac:dyDescent="0.15">
      <c r="O915" s="4"/>
    </row>
    <row r="916" spans="15:15" x14ac:dyDescent="0.15">
      <c r="O916" s="4"/>
    </row>
    <row r="917" spans="15:15" x14ac:dyDescent="0.15">
      <c r="O917" s="4"/>
    </row>
    <row r="918" spans="15:15" x14ac:dyDescent="0.15">
      <c r="O918" s="4"/>
    </row>
    <row r="919" spans="15:15" x14ac:dyDescent="0.15">
      <c r="O919" s="4"/>
    </row>
    <row r="920" spans="15:15" x14ac:dyDescent="0.15">
      <c r="O920" s="4"/>
    </row>
    <row r="921" spans="15:15" x14ac:dyDescent="0.15">
      <c r="O921" s="4"/>
    </row>
    <row r="922" spans="15:15" x14ac:dyDescent="0.15">
      <c r="O922" s="4"/>
    </row>
    <row r="923" spans="15:15" x14ac:dyDescent="0.15">
      <c r="O923" s="4"/>
    </row>
    <row r="924" spans="15:15" x14ac:dyDescent="0.15">
      <c r="O924" s="4"/>
    </row>
    <row r="925" spans="15:15" x14ac:dyDescent="0.15">
      <c r="O925" s="4"/>
    </row>
    <row r="926" spans="15:15" x14ac:dyDescent="0.15">
      <c r="O926" s="4"/>
    </row>
    <row r="927" spans="15:15" x14ac:dyDescent="0.15">
      <c r="O927" s="4"/>
    </row>
    <row r="928" spans="15:15" x14ac:dyDescent="0.15">
      <c r="O928" s="4"/>
    </row>
    <row r="929" spans="15:15" x14ac:dyDescent="0.15">
      <c r="O929" s="4"/>
    </row>
    <row r="930" spans="15:15" x14ac:dyDescent="0.15">
      <c r="O930" s="4"/>
    </row>
    <row r="931" spans="15:15" x14ac:dyDescent="0.15">
      <c r="O931" s="4"/>
    </row>
    <row r="932" spans="15:15" x14ac:dyDescent="0.15">
      <c r="O932" s="4"/>
    </row>
    <row r="933" spans="15:15" x14ac:dyDescent="0.15">
      <c r="O933" s="4"/>
    </row>
    <row r="934" spans="15:15" x14ac:dyDescent="0.15">
      <c r="O934" s="4"/>
    </row>
    <row r="935" spans="15:15" x14ac:dyDescent="0.15">
      <c r="O935" s="4"/>
    </row>
    <row r="936" spans="15:15" x14ac:dyDescent="0.15">
      <c r="O936" s="4"/>
    </row>
    <row r="937" spans="15:15" x14ac:dyDescent="0.15">
      <c r="O937" s="4"/>
    </row>
    <row r="938" spans="15:15" x14ac:dyDescent="0.15">
      <c r="O938" s="4"/>
    </row>
    <row r="939" spans="15:15" x14ac:dyDescent="0.15">
      <c r="O939" s="4"/>
    </row>
    <row r="940" spans="15:15" x14ac:dyDescent="0.15">
      <c r="O940" s="4"/>
    </row>
    <row r="941" spans="15:15" x14ac:dyDescent="0.15">
      <c r="O941" s="4"/>
    </row>
    <row r="942" spans="15:15" x14ac:dyDescent="0.15">
      <c r="O942" s="4"/>
    </row>
    <row r="943" spans="15:15" x14ac:dyDescent="0.15">
      <c r="O943" s="4"/>
    </row>
    <row r="944" spans="15:15" x14ac:dyDescent="0.15">
      <c r="O944" s="4"/>
    </row>
    <row r="945" spans="15:15" x14ac:dyDescent="0.15">
      <c r="O945" s="4"/>
    </row>
    <row r="946" spans="15:15" x14ac:dyDescent="0.15">
      <c r="O946" s="4"/>
    </row>
    <row r="947" spans="15:15" x14ac:dyDescent="0.15">
      <c r="O947" s="4"/>
    </row>
    <row r="948" spans="15:15" x14ac:dyDescent="0.15">
      <c r="O948" s="4"/>
    </row>
    <row r="949" spans="15:15" x14ac:dyDescent="0.15">
      <c r="O949" s="4"/>
    </row>
    <row r="950" spans="15:15" x14ac:dyDescent="0.15">
      <c r="O950" s="4"/>
    </row>
    <row r="951" spans="15:15" x14ac:dyDescent="0.15">
      <c r="O951" s="4"/>
    </row>
    <row r="952" spans="15:15" x14ac:dyDescent="0.15">
      <c r="O952" s="4"/>
    </row>
    <row r="953" spans="15:15" x14ac:dyDescent="0.15">
      <c r="O953" s="4"/>
    </row>
    <row r="954" spans="15:15" x14ac:dyDescent="0.15">
      <c r="O954" s="4"/>
    </row>
    <row r="955" spans="15:15" x14ac:dyDescent="0.15">
      <c r="O955" s="4"/>
    </row>
    <row r="956" spans="15:15" x14ac:dyDescent="0.15">
      <c r="O956" s="4"/>
    </row>
    <row r="957" spans="15:15" x14ac:dyDescent="0.15">
      <c r="O957" s="4"/>
    </row>
    <row r="958" spans="15:15" x14ac:dyDescent="0.15">
      <c r="O958" s="4"/>
    </row>
    <row r="959" spans="15:15" x14ac:dyDescent="0.15">
      <c r="O959" s="4"/>
    </row>
    <row r="960" spans="15:15" x14ac:dyDescent="0.15">
      <c r="O960" s="4"/>
    </row>
    <row r="961" spans="15:15" x14ac:dyDescent="0.15">
      <c r="O961" s="4"/>
    </row>
    <row r="962" spans="15:15" x14ac:dyDescent="0.15">
      <c r="O962" s="4"/>
    </row>
    <row r="963" spans="15:15" x14ac:dyDescent="0.15">
      <c r="O963" s="4"/>
    </row>
    <row r="964" spans="15:15" x14ac:dyDescent="0.15">
      <c r="O964" s="4"/>
    </row>
    <row r="965" spans="15:15" x14ac:dyDescent="0.15">
      <c r="O965" s="4"/>
    </row>
    <row r="966" spans="15:15" x14ac:dyDescent="0.15">
      <c r="O966" s="4"/>
    </row>
    <row r="967" spans="15:15" x14ac:dyDescent="0.15">
      <c r="O967" s="4"/>
    </row>
    <row r="968" spans="15:15" x14ac:dyDescent="0.15">
      <c r="O968" s="4"/>
    </row>
    <row r="969" spans="15:15" x14ac:dyDescent="0.15">
      <c r="O969" s="4"/>
    </row>
    <row r="970" spans="15:15" x14ac:dyDescent="0.15">
      <c r="O970" s="4"/>
    </row>
    <row r="971" spans="15:15" x14ac:dyDescent="0.15">
      <c r="O971" s="4"/>
    </row>
    <row r="972" spans="15:15" x14ac:dyDescent="0.15">
      <c r="O972" s="4"/>
    </row>
    <row r="973" spans="15:15" x14ac:dyDescent="0.15">
      <c r="O973" s="4"/>
    </row>
    <row r="974" spans="15:15" x14ac:dyDescent="0.15">
      <c r="O974" s="4"/>
    </row>
    <row r="975" spans="15:15" x14ac:dyDescent="0.15">
      <c r="O975" s="4"/>
    </row>
    <row r="976" spans="15:15" x14ac:dyDescent="0.15">
      <c r="O976" s="4"/>
    </row>
    <row r="977" spans="15:15" x14ac:dyDescent="0.15">
      <c r="O977" s="4"/>
    </row>
    <row r="978" spans="15:15" x14ac:dyDescent="0.15">
      <c r="O978" s="4"/>
    </row>
    <row r="979" spans="15:15" x14ac:dyDescent="0.15">
      <c r="O979" s="4"/>
    </row>
    <row r="980" spans="15:15" x14ac:dyDescent="0.15">
      <c r="O980" s="4"/>
    </row>
    <row r="981" spans="15:15" x14ac:dyDescent="0.15">
      <c r="O981" s="4"/>
    </row>
    <row r="982" spans="15:15" x14ac:dyDescent="0.15">
      <c r="O982" s="4"/>
    </row>
    <row r="983" spans="15:15" x14ac:dyDescent="0.15">
      <c r="O983" s="4"/>
    </row>
    <row r="984" spans="15:15" x14ac:dyDescent="0.15">
      <c r="O984" s="4"/>
    </row>
    <row r="985" spans="15:15" x14ac:dyDescent="0.15">
      <c r="O985" s="4"/>
    </row>
    <row r="986" spans="15:15" x14ac:dyDescent="0.15">
      <c r="O986" s="4"/>
    </row>
    <row r="987" spans="15:15" x14ac:dyDescent="0.15">
      <c r="O987" s="4"/>
    </row>
    <row r="988" spans="15:15" x14ac:dyDescent="0.15">
      <c r="O988" s="4"/>
    </row>
    <row r="989" spans="15:15" x14ac:dyDescent="0.15">
      <c r="O989" s="4"/>
    </row>
    <row r="990" spans="15:15" x14ac:dyDescent="0.15">
      <c r="O990" s="4"/>
    </row>
    <row r="991" spans="15:15" x14ac:dyDescent="0.15">
      <c r="O991" s="4"/>
    </row>
    <row r="992" spans="15:15" x14ac:dyDescent="0.15">
      <c r="O992" s="4"/>
    </row>
    <row r="993" spans="15:15" x14ac:dyDescent="0.15">
      <c r="O993" s="4"/>
    </row>
    <row r="994" spans="15:15" x14ac:dyDescent="0.15">
      <c r="O994" s="4"/>
    </row>
    <row r="995" spans="15:15" x14ac:dyDescent="0.15">
      <c r="O995" s="4"/>
    </row>
    <row r="996" spans="15:15" x14ac:dyDescent="0.15">
      <c r="O996" s="4"/>
    </row>
    <row r="997" spans="15:15" x14ac:dyDescent="0.15">
      <c r="O997" s="4"/>
    </row>
    <row r="998" spans="15:15" x14ac:dyDescent="0.15">
      <c r="O998" s="4"/>
    </row>
    <row r="999" spans="15:15" x14ac:dyDescent="0.15">
      <c r="O999" s="4"/>
    </row>
    <row r="1000" spans="15:15" x14ac:dyDescent="0.15">
      <c r="O1000" s="4"/>
    </row>
    <row r="1001" spans="15:15" x14ac:dyDescent="0.15">
      <c r="O1001" s="4"/>
    </row>
    <row r="1002" spans="15:15" x14ac:dyDescent="0.15">
      <c r="O1002" s="4"/>
    </row>
    <row r="1003" spans="15:15" x14ac:dyDescent="0.15">
      <c r="O1003" s="4"/>
    </row>
    <row r="1004" spans="15:15" x14ac:dyDescent="0.15">
      <c r="O1004" s="4"/>
    </row>
    <row r="1005" spans="15:15" x14ac:dyDescent="0.15">
      <c r="O1005" s="4"/>
    </row>
    <row r="1006" spans="15:15" x14ac:dyDescent="0.15">
      <c r="O1006" s="4"/>
    </row>
    <row r="1007" spans="15:15" x14ac:dyDescent="0.15">
      <c r="O1007" s="4"/>
    </row>
    <row r="1008" spans="15:15" x14ac:dyDescent="0.15">
      <c r="O1008" s="4"/>
    </row>
    <row r="1009" spans="15:15" x14ac:dyDescent="0.15">
      <c r="O1009" s="4"/>
    </row>
    <row r="1010" spans="15:15" x14ac:dyDescent="0.15">
      <c r="O1010" s="4"/>
    </row>
    <row r="1011" spans="15:15" x14ac:dyDescent="0.15">
      <c r="O1011" s="4"/>
    </row>
    <row r="1012" spans="15:15" x14ac:dyDescent="0.15">
      <c r="O1012" s="4"/>
    </row>
    <row r="1013" spans="15:15" x14ac:dyDescent="0.15">
      <c r="O1013" s="4"/>
    </row>
    <row r="1014" spans="15:15" x14ac:dyDescent="0.15">
      <c r="O1014" s="4"/>
    </row>
    <row r="1015" spans="15:15" x14ac:dyDescent="0.15">
      <c r="O1015" s="4"/>
    </row>
    <row r="1016" spans="15:15" x14ac:dyDescent="0.15">
      <c r="O1016" s="4"/>
    </row>
    <row r="1017" spans="15:15" x14ac:dyDescent="0.15">
      <c r="O1017" s="4"/>
    </row>
    <row r="1018" spans="15:15" x14ac:dyDescent="0.15">
      <c r="O1018" s="4"/>
    </row>
    <row r="1019" spans="15:15" x14ac:dyDescent="0.15">
      <c r="O1019" s="4"/>
    </row>
    <row r="1020" spans="15:15" x14ac:dyDescent="0.15">
      <c r="O1020" s="4"/>
    </row>
    <row r="1021" spans="15:15" x14ac:dyDescent="0.15">
      <c r="O1021" s="4"/>
    </row>
    <row r="1022" spans="15:15" x14ac:dyDescent="0.15">
      <c r="O1022" s="4"/>
    </row>
    <row r="1023" spans="15:15" x14ac:dyDescent="0.15">
      <c r="O1023" s="4"/>
    </row>
    <row r="1024" spans="15:15" x14ac:dyDescent="0.15">
      <c r="O1024" s="4"/>
    </row>
    <row r="1025" spans="15:15" x14ac:dyDescent="0.15">
      <c r="O1025" s="4"/>
    </row>
    <row r="1026" spans="15:15" x14ac:dyDescent="0.15">
      <c r="O1026" s="4"/>
    </row>
    <row r="1027" spans="15:15" x14ac:dyDescent="0.15">
      <c r="O1027" s="4"/>
    </row>
    <row r="1028" spans="15:15" x14ac:dyDescent="0.15">
      <c r="O1028" s="4"/>
    </row>
    <row r="1029" spans="15:15" x14ac:dyDescent="0.15">
      <c r="O1029" s="4"/>
    </row>
    <row r="1030" spans="15:15" x14ac:dyDescent="0.15">
      <c r="O1030" s="4"/>
    </row>
    <row r="1031" spans="15:15" x14ac:dyDescent="0.15">
      <c r="O1031" s="4"/>
    </row>
    <row r="1032" spans="15:15" x14ac:dyDescent="0.15">
      <c r="O1032" s="4"/>
    </row>
    <row r="1033" spans="15:15" x14ac:dyDescent="0.15">
      <c r="O1033" s="4"/>
    </row>
    <row r="1034" spans="15:15" x14ac:dyDescent="0.15">
      <c r="O1034" s="4"/>
    </row>
    <row r="1035" spans="15:15" x14ac:dyDescent="0.15">
      <c r="O1035" s="4"/>
    </row>
    <row r="1036" spans="15:15" x14ac:dyDescent="0.15">
      <c r="O1036" s="4"/>
    </row>
    <row r="1037" spans="15:15" x14ac:dyDescent="0.15">
      <c r="O1037" s="4"/>
    </row>
    <row r="1038" spans="15:15" x14ac:dyDescent="0.15">
      <c r="O1038" s="4"/>
    </row>
    <row r="1039" spans="15:15" x14ac:dyDescent="0.15">
      <c r="O1039" s="4"/>
    </row>
    <row r="1040" spans="15:15" x14ac:dyDescent="0.15">
      <c r="O1040" s="4"/>
    </row>
    <row r="1041" spans="15:15" x14ac:dyDescent="0.15">
      <c r="O1041" s="4"/>
    </row>
    <row r="1042" spans="15:15" x14ac:dyDescent="0.15">
      <c r="O1042" s="4"/>
    </row>
    <row r="1043" spans="15:15" x14ac:dyDescent="0.15">
      <c r="O1043" s="4"/>
    </row>
    <row r="1044" spans="15:15" x14ac:dyDescent="0.15">
      <c r="O1044" s="4"/>
    </row>
    <row r="1045" spans="15:15" x14ac:dyDescent="0.15">
      <c r="O1045" s="4"/>
    </row>
    <row r="1046" spans="15:15" x14ac:dyDescent="0.15">
      <c r="O1046" s="4"/>
    </row>
    <row r="1047" spans="15:15" x14ac:dyDescent="0.15">
      <c r="O1047" s="4"/>
    </row>
    <row r="1048" spans="15:15" x14ac:dyDescent="0.15">
      <c r="O1048" s="4"/>
    </row>
    <row r="1049" spans="15:15" x14ac:dyDescent="0.15">
      <c r="O1049" s="4"/>
    </row>
    <row r="1050" spans="15:15" x14ac:dyDescent="0.15">
      <c r="O1050" s="4"/>
    </row>
    <row r="1051" spans="15:15" x14ac:dyDescent="0.15">
      <c r="O1051" s="4"/>
    </row>
    <row r="1052" spans="15:15" x14ac:dyDescent="0.15">
      <c r="O1052" s="4"/>
    </row>
    <row r="1053" spans="15:15" x14ac:dyDescent="0.15">
      <c r="O1053" s="4"/>
    </row>
    <row r="1054" spans="15:15" x14ac:dyDescent="0.15">
      <c r="O1054" s="4"/>
    </row>
    <row r="1055" spans="15:15" x14ac:dyDescent="0.15">
      <c r="O1055" s="4"/>
    </row>
    <row r="1056" spans="15:15" x14ac:dyDescent="0.15">
      <c r="O1056" s="4"/>
    </row>
    <row r="1057" spans="15:15" x14ac:dyDescent="0.15">
      <c r="O1057" s="4"/>
    </row>
    <row r="1058" spans="15:15" x14ac:dyDescent="0.15">
      <c r="O1058" s="4"/>
    </row>
    <row r="1059" spans="15:15" x14ac:dyDescent="0.15">
      <c r="O1059" s="4"/>
    </row>
    <row r="1060" spans="15:15" x14ac:dyDescent="0.15">
      <c r="O1060" s="4"/>
    </row>
    <row r="1061" spans="15:15" x14ac:dyDescent="0.15">
      <c r="O1061" s="4"/>
    </row>
    <row r="1062" spans="15:15" x14ac:dyDescent="0.15">
      <c r="O1062" s="4"/>
    </row>
    <row r="1063" spans="15:15" x14ac:dyDescent="0.15">
      <c r="O1063" s="4"/>
    </row>
    <row r="1064" spans="15:15" x14ac:dyDescent="0.15">
      <c r="O1064" s="4"/>
    </row>
    <row r="1065" spans="15:15" x14ac:dyDescent="0.15">
      <c r="O1065" s="4"/>
    </row>
    <row r="1066" spans="15:15" x14ac:dyDescent="0.15">
      <c r="O1066" s="4"/>
    </row>
    <row r="1067" spans="15:15" x14ac:dyDescent="0.15">
      <c r="O1067" s="4"/>
    </row>
    <row r="1068" spans="15:15" x14ac:dyDescent="0.15">
      <c r="O1068" s="4"/>
    </row>
    <row r="1069" spans="15:15" x14ac:dyDescent="0.15">
      <c r="O1069" s="4"/>
    </row>
    <row r="1070" spans="15:15" x14ac:dyDescent="0.15">
      <c r="O1070" s="4"/>
    </row>
    <row r="1071" spans="15:15" x14ac:dyDescent="0.15">
      <c r="O1071" s="4"/>
    </row>
    <row r="1072" spans="15:15" x14ac:dyDescent="0.15">
      <c r="O1072" s="4"/>
    </row>
    <row r="1073" spans="15:15" x14ac:dyDescent="0.15">
      <c r="O1073" s="4"/>
    </row>
    <row r="1074" spans="15:15" x14ac:dyDescent="0.15">
      <c r="O1074" s="4"/>
    </row>
    <row r="1075" spans="15:15" x14ac:dyDescent="0.15">
      <c r="O1075" s="4"/>
    </row>
    <row r="1076" spans="15:15" x14ac:dyDescent="0.15">
      <c r="O1076" s="4"/>
    </row>
    <row r="1077" spans="15:15" x14ac:dyDescent="0.15">
      <c r="O1077" s="4"/>
    </row>
    <row r="1078" spans="15:15" x14ac:dyDescent="0.15">
      <c r="O1078" s="4"/>
    </row>
    <row r="1079" spans="15:15" x14ac:dyDescent="0.15">
      <c r="O1079" s="4"/>
    </row>
    <row r="1080" spans="15:15" x14ac:dyDescent="0.15">
      <c r="O1080" s="4"/>
    </row>
    <row r="1081" spans="15:15" x14ac:dyDescent="0.15">
      <c r="O1081" s="4"/>
    </row>
    <row r="1082" spans="15:15" x14ac:dyDescent="0.15">
      <c r="O1082" s="4"/>
    </row>
    <row r="1083" spans="15:15" x14ac:dyDescent="0.15">
      <c r="O1083" s="4"/>
    </row>
    <row r="1084" spans="15:15" x14ac:dyDescent="0.15">
      <c r="O1084" s="4"/>
    </row>
    <row r="1085" spans="15:15" x14ac:dyDescent="0.15">
      <c r="O1085" s="4"/>
    </row>
    <row r="1086" spans="15:15" x14ac:dyDescent="0.15">
      <c r="O1086" s="4"/>
    </row>
    <row r="1087" spans="15:15" x14ac:dyDescent="0.15">
      <c r="O1087" s="4"/>
    </row>
    <row r="1088" spans="15:15" x14ac:dyDescent="0.15">
      <c r="O1088" s="4"/>
    </row>
    <row r="1089" spans="15:15" x14ac:dyDescent="0.15">
      <c r="O1089" s="4"/>
    </row>
    <row r="1090" spans="15:15" x14ac:dyDescent="0.15">
      <c r="O1090" s="4"/>
    </row>
    <row r="1091" spans="15:15" x14ac:dyDescent="0.15">
      <c r="O1091" s="4"/>
    </row>
    <row r="1092" spans="15:15" x14ac:dyDescent="0.15">
      <c r="O1092" s="4"/>
    </row>
    <row r="1093" spans="15:15" x14ac:dyDescent="0.15">
      <c r="O1093" s="4"/>
    </row>
    <row r="1094" spans="15:15" x14ac:dyDescent="0.15">
      <c r="O1094" s="4"/>
    </row>
    <row r="1095" spans="15:15" x14ac:dyDescent="0.15">
      <c r="O1095" s="4"/>
    </row>
    <row r="1096" spans="15:15" x14ac:dyDescent="0.15">
      <c r="O1096" s="4"/>
    </row>
    <row r="1097" spans="15:15" x14ac:dyDescent="0.15">
      <c r="O1097" s="4"/>
    </row>
    <row r="1098" spans="15:15" x14ac:dyDescent="0.15">
      <c r="O1098" s="4"/>
    </row>
    <row r="1099" spans="15:15" x14ac:dyDescent="0.15">
      <c r="O1099" s="4"/>
    </row>
    <row r="1100" spans="15:15" x14ac:dyDescent="0.15">
      <c r="O1100" s="4"/>
    </row>
    <row r="1101" spans="15:15" x14ac:dyDescent="0.15">
      <c r="O1101" s="4"/>
    </row>
    <row r="1102" spans="15:15" x14ac:dyDescent="0.15">
      <c r="O1102" s="4"/>
    </row>
    <row r="1103" spans="15:15" x14ac:dyDescent="0.15">
      <c r="O1103" s="4"/>
    </row>
    <row r="1104" spans="15:15" x14ac:dyDescent="0.15">
      <c r="O1104" s="4"/>
    </row>
    <row r="1105" spans="15:15" x14ac:dyDescent="0.15">
      <c r="O1105" s="4"/>
    </row>
    <row r="1106" spans="15:15" x14ac:dyDescent="0.15">
      <c r="O1106" s="4"/>
    </row>
    <row r="1107" spans="15:15" x14ac:dyDescent="0.15">
      <c r="O1107" s="4"/>
    </row>
    <row r="1108" spans="15:15" x14ac:dyDescent="0.15">
      <c r="O1108" s="4"/>
    </row>
    <row r="1109" spans="15:15" x14ac:dyDescent="0.15">
      <c r="O1109" s="4"/>
    </row>
    <row r="1110" spans="15:15" x14ac:dyDescent="0.15">
      <c r="O1110" s="4"/>
    </row>
    <row r="1111" spans="15:15" x14ac:dyDescent="0.15">
      <c r="O1111" s="4"/>
    </row>
    <row r="1112" spans="15:15" x14ac:dyDescent="0.15">
      <c r="O1112" s="4"/>
    </row>
    <row r="1113" spans="15:15" x14ac:dyDescent="0.15">
      <c r="O1113" s="4"/>
    </row>
    <row r="1114" spans="15:15" x14ac:dyDescent="0.15">
      <c r="O1114" s="4"/>
    </row>
    <row r="1115" spans="15:15" x14ac:dyDescent="0.15">
      <c r="O1115" s="4"/>
    </row>
    <row r="1116" spans="15:15" x14ac:dyDescent="0.15">
      <c r="O1116" s="4"/>
    </row>
    <row r="1117" spans="15:15" x14ac:dyDescent="0.15">
      <c r="O1117" s="4"/>
    </row>
    <row r="1118" spans="15:15" x14ac:dyDescent="0.15">
      <c r="O1118" s="4"/>
    </row>
    <row r="1119" spans="15:15" x14ac:dyDescent="0.15">
      <c r="O1119" s="4"/>
    </row>
    <row r="1120" spans="15:15" x14ac:dyDescent="0.15">
      <c r="O1120" s="4"/>
    </row>
    <row r="1121" spans="15:15" x14ac:dyDescent="0.15">
      <c r="O1121" s="4"/>
    </row>
    <row r="1122" spans="15:15" x14ac:dyDescent="0.15">
      <c r="O1122" s="4"/>
    </row>
    <row r="1123" spans="15:15" x14ac:dyDescent="0.15">
      <c r="O1123" s="4"/>
    </row>
    <row r="1124" spans="15:15" x14ac:dyDescent="0.15">
      <c r="O1124" s="4"/>
    </row>
    <row r="1125" spans="15:15" x14ac:dyDescent="0.15">
      <c r="O1125" s="4"/>
    </row>
    <row r="1126" spans="15:15" x14ac:dyDescent="0.15">
      <c r="O1126" s="4"/>
    </row>
    <row r="1127" spans="15:15" x14ac:dyDescent="0.15">
      <c r="O1127" s="4"/>
    </row>
    <row r="1128" spans="15:15" x14ac:dyDescent="0.15">
      <c r="O1128" s="4"/>
    </row>
    <row r="1129" spans="15:15" x14ac:dyDescent="0.15">
      <c r="O1129" s="4"/>
    </row>
    <row r="1130" spans="15:15" x14ac:dyDescent="0.15">
      <c r="O1130" s="4"/>
    </row>
    <row r="1131" spans="15:15" x14ac:dyDescent="0.15">
      <c r="O1131" s="4"/>
    </row>
    <row r="1132" spans="15:15" x14ac:dyDescent="0.15">
      <c r="O1132" s="4"/>
    </row>
    <row r="1133" spans="15:15" x14ac:dyDescent="0.15">
      <c r="O1133" s="4"/>
    </row>
    <row r="1134" spans="15:15" x14ac:dyDescent="0.15">
      <c r="O1134" s="4"/>
    </row>
    <row r="1135" spans="15:15" x14ac:dyDescent="0.15">
      <c r="O1135" s="4"/>
    </row>
    <row r="1136" spans="15:15" x14ac:dyDescent="0.15">
      <c r="O1136" s="4"/>
    </row>
    <row r="1137" spans="15:15" x14ac:dyDescent="0.15">
      <c r="O1137" s="4"/>
    </row>
    <row r="1138" spans="15:15" x14ac:dyDescent="0.15">
      <c r="O1138" s="4"/>
    </row>
    <row r="1139" spans="15:15" x14ac:dyDescent="0.15">
      <c r="O1139" s="4"/>
    </row>
    <row r="1140" spans="15:15" x14ac:dyDescent="0.15">
      <c r="O1140" s="4"/>
    </row>
    <row r="1141" spans="15:15" x14ac:dyDescent="0.15">
      <c r="O1141" s="4"/>
    </row>
    <row r="1142" spans="15:15" x14ac:dyDescent="0.15">
      <c r="O1142" s="4"/>
    </row>
    <row r="1143" spans="15:15" x14ac:dyDescent="0.15">
      <c r="O1143" s="4"/>
    </row>
    <row r="1144" spans="15:15" x14ac:dyDescent="0.15">
      <c r="O1144" s="4"/>
    </row>
    <row r="1145" spans="15:15" x14ac:dyDescent="0.15">
      <c r="O1145" s="4"/>
    </row>
    <row r="1146" spans="15:15" x14ac:dyDescent="0.15">
      <c r="O1146" s="4"/>
    </row>
    <row r="1147" spans="15:15" x14ac:dyDescent="0.15">
      <c r="O1147" s="4"/>
    </row>
    <row r="1148" spans="15:15" x14ac:dyDescent="0.15">
      <c r="O1148" s="4"/>
    </row>
    <row r="1149" spans="15:15" x14ac:dyDescent="0.15">
      <c r="O1149" s="4"/>
    </row>
    <row r="1150" spans="15:15" x14ac:dyDescent="0.15">
      <c r="O1150" s="4"/>
    </row>
    <row r="1151" spans="15:15" x14ac:dyDescent="0.15">
      <c r="O1151" s="4"/>
    </row>
    <row r="1152" spans="15:15" x14ac:dyDescent="0.15">
      <c r="O1152" s="4"/>
    </row>
    <row r="1153" spans="15:15" x14ac:dyDescent="0.15">
      <c r="O1153" s="4"/>
    </row>
    <row r="1154" spans="15:15" x14ac:dyDescent="0.15">
      <c r="O1154" s="4"/>
    </row>
    <row r="1155" spans="15:15" x14ac:dyDescent="0.15">
      <c r="O1155" s="4"/>
    </row>
    <row r="1156" spans="15:15" x14ac:dyDescent="0.15">
      <c r="O1156" s="4"/>
    </row>
    <row r="1157" spans="15:15" x14ac:dyDescent="0.15">
      <c r="O1157" s="4"/>
    </row>
    <row r="1158" spans="15:15" x14ac:dyDescent="0.15">
      <c r="O1158" s="4"/>
    </row>
    <row r="1159" spans="15:15" x14ac:dyDescent="0.15">
      <c r="O1159" s="4"/>
    </row>
    <row r="1160" spans="15:15" x14ac:dyDescent="0.15">
      <c r="O1160" s="4"/>
    </row>
    <row r="1161" spans="15:15" x14ac:dyDescent="0.15">
      <c r="O1161" s="4"/>
    </row>
    <row r="1162" spans="15:15" x14ac:dyDescent="0.15">
      <c r="O1162" s="4"/>
    </row>
    <row r="1163" spans="15:15" x14ac:dyDescent="0.15">
      <c r="O1163" s="4"/>
    </row>
    <row r="1164" spans="15:15" x14ac:dyDescent="0.15">
      <c r="O1164" s="4"/>
    </row>
    <row r="1165" spans="15:15" x14ac:dyDescent="0.15">
      <c r="O1165" s="4"/>
    </row>
    <row r="1166" spans="15:15" x14ac:dyDescent="0.15">
      <c r="O1166" s="4"/>
    </row>
    <row r="1167" spans="15:15" x14ac:dyDescent="0.15">
      <c r="O1167" s="4"/>
    </row>
    <row r="1168" spans="15:15" x14ac:dyDescent="0.15">
      <c r="O1168" s="4"/>
    </row>
    <row r="1169" spans="15:15" x14ac:dyDescent="0.15">
      <c r="O1169" s="4"/>
    </row>
    <row r="1170" spans="15:15" x14ac:dyDescent="0.15">
      <c r="O1170" s="4"/>
    </row>
    <row r="1171" spans="15:15" x14ac:dyDescent="0.15">
      <c r="O1171" s="4"/>
    </row>
    <row r="1172" spans="15:15" x14ac:dyDescent="0.15">
      <c r="O1172" s="4"/>
    </row>
    <row r="1173" spans="15:15" x14ac:dyDescent="0.15">
      <c r="O1173" s="4"/>
    </row>
    <row r="1174" spans="15:15" x14ac:dyDescent="0.15">
      <c r="O1174" s="4"/>
    </row>
    <row r="1175" spans="15:15" x14ac:dyDescent="0.15">
      <c r="O1175" s="4"/>
    </row>
    <row r="1176" spans="15:15" x14ac:dyDescent="0.15">
      <c r="O1176" s="4"/>
    </row>
    <row r="1177" spans="15:15" x14ac:dyDescent="0.15">
      <c r="O1177" s="4"/>
    </row>
    <row r="1178" spans="15:15" x14ac:dyDescent="0.15">
      <c r="O1178" s="4"/>
    </row>
    <row r="1179" spans="15:15" x14ac:dyDescent="0.15">
      <c r="O1179" s="4"/>
    </row>
    <row r="1180" spans="15:15" x14ac:dyDescent="0.15">
      <c r="O1180" s="4"/>
    </row>
    <row r="1181" spans="15:15" x14ac:dyDescent="0.15">
      <c r="O1181" s="4"/>
    </row>
    <row r="1182" spans="15:15" x14ac:dyDescent="0.15">
      <c r="O1182" s="4"/>
    </row>
    <row r="1183" spans="15:15" x14ac:dyDescent="0.15">
      <c r="O1183" s="4"/>
    </row>
    <row r="1184" spans="15:15" x14ac:dyDescent="0.15">
      <c r="O1184" s="4"/>
    </row>
    <row r="1185" spans="15:15" x14ac:dyDescent="0.15">
      <c r="O1185" s="4"/>
    </row>
    <row r="1186" spans="15:15" x14ac:dyDescent="0.15">
      <c r="O1186" s="4"/>
    </row>
    <row r="1187" spans="15:15" x14ac:dyDescent="0.15">
      <c r="O1187" s="4"/>
    </row>
    <row r="1188" spans="15:15" x14ac:dyDescent="0.15">
      <c r="O1188" s="4"/>
    </row>
    <row r="1189" spans="15:15" x14ac:dyDescent="0.15">
      <c r="O1189" s="4"/>
    </row>
    <row r="1190" spans="15:15" x14ac:dyDescent="0.15">
      <c r="O1190" s="4"/>
    </row>
    <row r="1191" spans="15:15" x14ac:dyDescent="0.15">
      <c r="O1191" s="4"/>
    </row>
    <row r="1192" spans="15:15" x14ac:dyDescent="0.15">
      <c r="O1192" s="4"/>
    </row>
    <row r="1193" spans="15:15" x14ac:dyDescent="0.15">
      <c r="O1193" s="4"/>
    </row>
    <row r="1194" spans="15:15" x14ac:dyDescent="0.15">
      <c r="O1194" s="4"/>
    </row>
    <row r="1195" spans="15:15" x14ac:dyDescent="0.15">
      <c r="O1195" s="4"/>
    </row>
    <row r="1196" spans="15:15" x14ac:dyDescent="0.15">
      <c r="O1196" s="4"/>
    </row>
    <row r="1197" spans="15:15" x14ac:dyDescent="0.15">
      <c r="O1197" s="4"/>
    </row>
    <row r="1198" spans="15:15" x14ac:dyDescent="0.15">
      <c r="O1198" s="4"/>
    </row>
    <row r="1199" spans="15:15" x14ac:dyDescent="0.15">
      <c r="O1199" s="4"/>
    </row>
    <row r="1200" spans="15:15" x14ac:dyDescent="0.15">
      <c r="O1200" s="4"/>
    </row>
    <row r="1201" spans="15:15" x14ac:dyDescent="0.15">
      <c r="O1201" s="4"/>
    </row>
    <row r="1202" spans="15:15" x14ac:dyDescent="0.15">
      <c r="O1202" s="4"/>
    </row>
    <row r="1203" spans="15:15" x14ac:dyDescent="0.15">
      <c r="O1203" s="4"/>
    </row>
    <row r="1204" spans="15:15" x14ac:dyDescent="0.15">
      <c r="O1204" s="4"/>
    </row>
    <row r="1205" spans="15:15" x14ac:dyDescent="0.15">
      <c r="O1205" s="4"/>
    </row>
    <row r="1206" spans="15:15" x14ac:dyDescent="0.15">
      <c r="O1206" s="4"/>
    </row>
    <row r="1207" spans="15:15" x14ac:dyDescent="0.15">
      <c r="O1207" s="4"/>
    </row>
    <row r="1208" spans="15:15" x14ac:dyDescent="0.15">
      <c r="O1208" s="4"/>
    </row>
    <row r="1209" spans="15:15" x14ac:dyDescent="0.15">
      <c r="O1209" s="4"/>
    </row>
    <row r="1210" spans="15:15" x14ac:dyDescent="0.15">
      <c r="O1210" s="4"/>
    </row>
    <row r="1211" spans="15:15" x14ac:dyDescent="0.15">
      <c r="O1211" s="4"/>
    </row>
    <row r="1212" spans="15:15" x14ac:dyDescent="0.15">
      <c r="O1212" s="4"/>
    </row>
    <row r="1213" spans="15:15" x14ac:dyDescent="0.15">
      <c r="O1213" s="4"/>
    </row>
    <row r="1214" spans="15:15" x14ac:dyDescent="0.15">
      <c r="O1214" s="4"/>
    </row>
    <row r="1215" spans="15:15" x14ac:dyDescent="0.15">
      <c r="O1215" s="4"/>
    </row>
    <row r="1216" spans="15:15" x14ac:dyDescent="0.15">
      <c r="O1216" s="4"/>
    </row>
    <row r="1217" spans="15:15" x14ac:dyDescent="0.15">
      <c r="O1217" s="4"/>
    </row>
    <row r="1218" spans="15:15" x14ac:dyDescent="0.15">
      <c r="O1218" s="4"/>
    </row>
    <row r="1219" spans="15:15" x14ac:dyDescent="0.15">
      <c r="O1219" s="4"/>
    </row>
    <row r="1220" spans="15:15" x14ac:dyDescent="0.15">
      <c r="O1220" s="4"/>
    </row>
    <row r="1221" spans="15:15" x14ac:dyDescent="0.15">
      <c r="O1221" s="4"/>
    </row>
    <row r="1222" spans="15:15" x14ac:dyDescent="0.15">
      <c r="O1222" s="4"/>
    </row>
    <row r="1223" spans="15:15" x14ac:dyDescent="0.15">
      <c r="O1223" s="4"/>
    </row>
    <row r="1224" spans="15:15" x14ac:dyDescent="0.15">
      <c r="O1224" s="4"/>
    </row>
    <row r="1225" spans="15:15" x14ac:dyDescent="0.15">
      <c r="O1225" s="4"/>
    </row>
    <row r="1226" spans="15:15" x14ac:dyDescent="0.15">
      <c r="O1226" s="4"/>
    </row>
    <row r="1227" spans="15:15" x14ac:dyDescent="0.15">
      <c r="O1227" s="4"/>
    </row>
    <row r="1228" spans="15:15" x14ac:dyDescent="0.15">
      <c r="O1228" s="4"/>
    </row>
    <row r="1229" spans="15:15" x14ac:dyDescent="0.15">
      <c r="O1229" s="4"/>
    </row>
    <row r="1230" spans="15:15" x14ac:dyDescent="0.15">
      <c r="O1230" s="4"/>
    </row>
    <row r="1231" spans="15:15" x14ac:dyDescent="0.15">
      <c r="O1231" s="4"/>
    </row>
    <row r="1232" spans="15:15" x14ac:dyDescent="0.15">
      <c r="O1232" s="4"/>
    </row>
    <row r="1233" spans="15:15" x14ac:dyDescent="0.15">
      <c r="O1233" s="4"/>
    </row>
    <row r="1234" spans="15:15" x14ac:dyDescent="0.15">
      <c r="O1234" s="4"/>
    </row>
    <row r="1235" spans="15:15" x14ac:dyDescent="0.15">
      <c r="O1235" s="4"/>
    </row>
    <row r="1236" spans="15:15" x14ac:dyDescent="0.15">
      <c r="O1236" s="4"/>
    </row>
    <row r="1237" spans="15:15" x14ac:dyDescent="0.15">
      <c r="O1237" s="4"/>
    </row>
    <row r="1238" spans="15:15" x14ac:dyDescent="0.15">
      <c r="O1238" s="4"/>
    </row>
    <row r="1239" spans="15:15" x14ac:dyDescent="0.15">
      <c r="O1239" s="4"/>
    </row>
    <row r="1240" spans="15:15" x14ac:dyDescent="0.15">
      <c r="O1240" s="4"/>
    </row>
    <row r="1241" spans="15:15" x14ac:dyDescent="0.15">
      <c r="O1241" s="4"/>
    </row>
    <row r="1242" spans="15:15" x14ac:dyDescent="0.15">
      <c r="O1242" s="4"/>
    </row>
    <row r="1243" spans="15:15" x14ac:dyDescent="0.15">
      <c r="O1243" s="4"/>
    </row>
    <row r="1244" spans="15:15" x14ac:dyDescent="0.15">
      <c r="O1244" s="4"/>
    </row>
    <row r="1245" spans="15:15" x14ac:dyDescent="0.15">
      <c r="O1245" s="4"/>
    </row>
    <row r="1246" spans="15:15" x14ac:dyDescent="0.15">
      <c r="O1246" s="4"/>
    </row>
    <row r="1247" spans="15:15" x14ac:dyDescent="0.15">
      <c r="O1247" s="4"/>
    </row>
    <row r="1248" spans="15:15" x14ac:dyDescent="0.15">
      <c r="O1248" s="4"/>
    </row>
    <row r="1249" spans="15:15" x14ac:dyDescent="0.15">
      <c r="O1249" s="4"/>
    </row>
    <row r="1250" spans="15:15" x14ac:dyDescent="0.15">
      <c r="O1250" s="4"/>
    </row>
    <row r="1251" spans="15:15" x14ac:dyDescent="0.15">
      <c r="O1251" s="4"/>
    </row>
    <row r="1252" spans="15:15" x14ac:dyDescent="0.15">
      <c r="O1252" s="4"/>
    </row>
    <row r="1253" spans="15:15" x14ac:dyDescent="0.15">
      <c r="O1253" s="4"/>
    </row>
    <row r="1254" spans="15:15" x14ac:dyDescent="0.15">
      <c r="O1254" s="4"/>
    </row>
    <row r="1255" spans="15:15" x14ac:dyDescent="0.15">
      <c r="O1255" s="4"/>
    </row>
    <row r="1256" spans="15:15" x14ac:dyDescent="0.15">
      <c r="O1256" s="4"/>
    </row>
    <row r="1257" spans="15:15" x14ac:dyDescent="0.15">
      <c r="O1257" s="4"/>
    </row>
    <row r="1258" spans="15:15" x14ac:dyDescent="0.15">
      <c r="O1258" s="4"/>
    </row>
    <row r="1259" spans="15:15" x14ac:dyDescent="0.15">
      <c r="O1259" s="4"/>
    </row>
    <row r="1260" spans="15:15" x14ac:dyDescent="0.15">
      <c r="O1260" s="4"/>
    </row>
    <row r="1261" spans="15:15" x14ac:dyDescent="0.15">
      <c r="O1261" s="4"/>
    </row>
    <row r="1262" spans="15:15" x14ac:dyDescent="0.15">
      <c r="O1262" s="4"/>
    </row>
    <row r="1263" spans="15:15" x14ac:dyDescent="0.15">
      <c r="O1263" s="4"/>
    </row>
    <row r="1264" spans="15:15" x14ac:dyDescent="0.15">
      <c r="O1264" s="4"/>
    </row>
    <row r="1265" spans="15:15" x14ac:dyDescent="0.15">
      <c r="O1265" s="4"/>
    </row>
    <row r="1266" spans="15:15" x14ac:dyDescent="0.15">
      <c r="O1266" s="4"/>
    </row>
    <row r="1267" spans="15:15" x14ac:dyDescent="0.15">
      <c r="O1267" s="4"/>
    </row>
    <row r="1268" spans="15:15" x14ac:dyDescent="0.15">
      <c r="O1268" s="4"/>
    </row>
    <row r="1269" spans="15:15" x14ac:dyDescent="0.15">
      <c r="O1269" s="4"/>
    </row>
    <row r="1270" spans="15:15" x14ac:dyDescent="0.15">
      <c r="O1270" s="4"/>
    </row>
    <row r="1271" spans="15:15" x14ac:dyDescent="0.15">
      <c r="O1271" s="4"/>
    </row>
    <row r="1272" spans="15:15" x14ac:dyDescent="0.15">
      <c r="O1272" s="4"/>
    </row>
    <row r="1273" spans="15:15" x14ac:dyDescent="0.15">
      <c r="O1273" s="4"/>
    </row>
    <row r="1274" spans="15:15" x14ac:dyDescent="0.15">
      <c r="O1274" s="4"/>
    </row>
    <row r="1275" spans="15:15" x14ac:dyDescent="0.15">
      <c r="O1275" s="4"/>
    </row>
    <row r="1276" spans="15:15" x14ac:dyDescent="0.15">
      <c r="O1276" s="4"/>
    </row>
    <row r="1277" spans="15:15" x14ac:dyDescent="0.15">
      <c r="O1277" s="4"/>
    </row>
    <row r="1278" spans="15:15" x14ac:dyDescent="0.15">
      <c r="O1278" s="4"/>
    </row>
    <row r="1279" spans="15:15" x14ac:dyDescent="0.15">
      <c r="O1279" s="4"/>
    </row>
    <row r="1280" spans="15:15" x14ac:dyDescent="0.15">
      <c r="O1280" s="4"/>
    </row>
    <row r="1281" spans="15:15" x14ac:dyDescent="0.15">
      <c r="O1281" s="4"/>
    </row>
    <row r="1282" spans="15:15" x14ac:dyDescent="0.15">
      <c r="O1282" s="4"/>
    </row>
    <row r="1283" spans="15:15" x14ac:dyDescent="0.15">
      <c r="O1283" s="4"/>
    </row>
    <row r="1284" spans="15:15" x14ac:dyDescent="0.15">
      <c r="O1284" s="4"/>
    </row>
    <row r="1285" spans="15:15" x14ac:dyDescent="0.15">
      <c r="O1285" s="4"/>
    </row>
    <row r="1286" spans="15:15" x14ac:dyDescent="0.15">
      <c r="O1286" s="4"/>
    </row>
    <row r="1287" spans="15:15" x14ac:dyDescent="0.15">
      <c r="O1287" s="4"/>
    </row>
    <row r="1288" spans="15:15" x14ac:dyDescent="0.15">
      <c r="O1288" s="4"/>
    </row>
    <row r="1289" spans="15:15" x14ac:dyDescent="0.15">
      <c r="O1289" s="4"/>
    </row>
    <row r="1290" spans="15:15" x14ac:dyDescent="0.15">
      <c r="O1290" s="4"/>
    </row>
    <row r="1291" spans="15:15" x14ac:dyDescent="0.15">
      <c r="O1291" s="4"/>
    </row>
    <row r="1292" spans="15:15" x14ac:dyDescent="0.15">
      <c r="O1292" s="4"/>
    </row>
    <row r="1293" spans="15:15" x14ac:dyDescent="0.15">
      <c r="O1293" s="4"/>
    </row>
    <row r="1294" spans="15:15" x14ac:dyDescent="0.15">
      <c r="O1294" s="4"/>
    </row>
    <row r="1295" spans="15:15" x14ac:dyDescent="0.15">
      <c r="O1295" s="4"/>
    </row>
    <row r="1296" spans="15:15" x14ac:dyDescent="0.15">
      <c r="O1296" s="4"/>
    </row>
    <row r="1297" spans="15:15" x14ac:dyDescent="0.15">
      <c r="O1297" s="4"/>
    </row>
    <row r="1298" spans="15:15" x14ac:dyDescent="0.15">
      <c r="O1298" s="4"/>
    </row>
    <row r="1299" spans="15:15" x14ac:dyDescent="0.15">
      <c r="O1299" s="4"/>
    </row>
    <row r="1300" spans="15:15" x14ac:dyDescent="0.15">
      <c r="O1300" s="4"/>
    </row>
    <row r="1301" spans="15:15" x14ac:dyDescent="0.15">
      <c r="O1301" s="4"/>
    </row>
    <row r="1302" spans="15:15" x14ac:dyDescent="0.15">
      <c r="O1302" s="4"/>
    </row>
    <row r="1303" spans="15:15" x14ac:dyDescent="0.15">
      <c r="O1303" s="4"/>
    </row>
    <row r="1304" spans="15:15" x14ac:dyDescent="0.15">
      <c r="O1304" s="4"/>
    </row>
    <row r="1305" spans="15:15" x14ac:dyDescent="0.15">
      <c r="O1305" s="4"/>
    </row>
    <row r="1306" spans="15:15" x14ac:dyDescent="0.15">
      <c r="O1306" s="4"/>
    </row>
    <row r="1307" spans="15:15" x14ac:dyDescent="0.15">
      <c r="O1307" s="4"/>
    </row>
    <row r="1308" spans="15:15" x14ac:dyDescent="0.15">
      <c r="O1308" s="4"/>
    </row>
    <row r="1309" spans="15:15" x14ac:dyDescent="0.15">
      <c r="O1309" s="4"/>
    </row>
    <row r="1310" spans="15:15" x14ac:dyDescent="0.15">
      <c r="O1310" s="4"/>
    </row>
    <row r="1311" spans="15:15" x14ac:dyDescent="0.15">
      <c r="O1311" s="4"/>
    </row>
    <row r="1312" spans="15:15" x14ac:dyDescent="0.15">
      <c r="O1312" s="4"/>
    </row>
    <row r="1313" spans="15:15" x14ac:dyDescent="0.15">
      <c r="O1313" s="4"/>
    </row>
    <row r="1314" spans="15:15" x14ac:dyDescent="0.15">
      <c r="O1314" s="4"/>
    </row>
    <row r="1315" spans="15:15" x14ac:dyDescent="0.15">
      <c r="O1315" s="4"/>
    </row>
    <row r="1316" spans="15:15" x14ac:dyDescent="0.15">
      <c r="O1316" s="4"/>
    </row>
    <row r="1317" spans="15:15" x14ac:dyDescent="0.15">
      <c r="O1317" s="4"/>
    </row>
    <row r="1318" spans="15:15" x14ac:dyDescent="0.15">
      <c r="O1318" s="4"/>
    </row>
    <row r="1319" spans="15:15" x14ac:dyDescent="0.15">
      <c r="O1319" s="4"/>
    </row>
    <row r="1320" spans="15:15" x14ac:dyDescent="0.15">
      <c r="O1320" s="4"/>
    </row>
    <row r="1321" spans="15:15" x14ac:dyDescent="0.15">
      <c r="O1321" s="4"/>
    </row>
    <row r="1322" spans="15:15" x14ac:dyDescent="0.15">
      <c r="O1322" s="4"/>
    </row>
    <row r="1323" spans="15:15" x14ac:dyDescent="0.15">
      <c r="O1323" s="4"/>
    </row>
    <row r="1324" spans="15:15" x14ac:dyDescent="0.15">
      <c r="O1324" s="4"/>
    </row>
    <row r="1325" spans="15:15" x14ac:dyDescent="0.15">
      <c r="O1325" s="4"/>
    </row>
    <row r="1326" spans="15:15" x14ac:dyDescent="0.15">
      <c r="O1326" s="4"/>
    </row>
    <row r="1327" spans="15:15" x14ac:dyDescent="0.15">
      <c r="O1327" s="4"/>
    </row>
    <row r="1328" spans="15:15" x14ac:dyDescent="0.15">
      <c r="O1328" s="4"/>
    </row>
    <row r="1329" spans="15:15" x14ac:dyDescent="0.15">
      <c r="O1329" s="4"/>
    </row>
    <row r="1330" spans="15:15" x14ac:dyDescent="0.15">
      <c r="O1330" s="4"/>
    </row>
    <row r="1331" spans="15:15" x14ac:dyDescent="0.15">
      <c r="O1331" s="4"/>
    </row>
    <row r="1332" spans="15:15" x14ac:dyDescent="0.15">
      <c r="O1332" s="4"/>
    </row>
    <row r="1333" spans="15:15" x14ac:dyDescent="0.15">
      <c r="O1333" s="4"/>
    </row>
    <row r="1334" spans="15:15" x14ac:dyDescent="0.15">
      <c r="O1334" s="4"/>
    </row>
    <row r="1335" spans="15:15" x14ac:dyDescent="0.15">
      <c r="O1335" s="4"/>
    </row>
    <row r="1336" spans="15:15" x14ac:dyDescent="0.15">
      <c r="O1336" s="4"/>
    </row>
    <row r="1337" spans="15:15" x14ac:dyDescent="0.15">
      <c r="O1337" s="4"/>
    </row>
    <row r="1338" spans="15:15" x14ac:dyDescent="0.15">
      <c r="O1338" s="4"/>
    </row>
    <row r="1339" spans="15:15" x14ac:dyDescent="0.15">
      <c r="O1339" s="4"/>
    </row>
    <row r="1340" spans="15:15" x14ac:dyDescent="0.15">
      <c r="O1340" s="4"/>
    </row>
    <row r="1341" spans="15:15" x14ac:dyDescent="0.15">
      <c r="O1341" s="4"/>
    </row>
    <row r="1342" spans="15:15" x14ac:dyDescent="0.15">
      <c r="O1342" s="4"/>
    </row>
    <row r="1343" spans="15:15" x14ac:dyDescent="0.15">
      <c r="O1343" s="4"/>
    </row>
    <row r="1344" spans="15:15" x14ac:dyDescent="0.15">
      <c r="O1344" s="4"/>
    </row>
    <row r="1345" spans="15:15" x14ac:dyDescent="0.15">
      <c r="O1345" s="4"/>
    </row>
    <row r="1346" spans="15:15" x14ac:dyDescent="0.15">
      <c r="O1346" s="4"/>
    </row>
    <row r="1347" spans="15:15" x14ac:dyDescent="0.15">
      <c r="O1347" s="4"/>
    </row>
    <row r="1348" spans="15:15" x14ac:dyDescent="0.15">
      <c r="O1348" s="4"/>
    </row>
    <row r="1349" spans="15:15" x14ac:dyDescent="0.15">
      <c r="O1349" s="4"/>
    </row>
    <row r="1350" spans="15:15" x14ac:dyDescent="0.15">
      <c r="O1350" s="4"/>
    </row>
    <row r="1351" spans="15:15" x14ac:dyDescent="0.15">
      <c r="O1351" s="4"/>
    </row>
    <row r="1352" spans="15:15" x14ac:dyDescent="0.15">
      <c r="O1352" s="4"/>
    </row>
    <row r="1353" spans="15:15" x14ac:dyDescent="0.15">
      <c r="O1353" s="4"/>
    </row>
    <row r="1354" spans="15:15" x14ac:dyDescent="0.15">
      <c r="O1354" s="4"/>
    </row>
    <row r="1355" spans="15:15" x14ac:dyDescent="0.15">
      <c r="O1355" s="4"/>
    </row>
    <row r="1356" spans="15:15" x14ac:dyDescent="0.15">
      <c r="O1356" s="4"/>
    </row>
    <row r="1357" spans="15:15" x14ac:dyDescent="0.15">
      <c r="O1357" s="4"/>
    </row>
    <row r="1358" spans="15:15" x14ac:dyDescent="0.15">
      <c r="O1358" s="4"/>
    </row>
    <row r="1359" spans="15:15" x14ac:dyDescent="0.15">
      <c r="O1359" s="4"/>
    </row>
    <row r="1360" spans="15:15" x14ac:dyDescent="0.15">
      <c r="O1360" s="4"/>
    </row>
    <row r="1361" spans="15:15" x14ac:dyDescent="0.15">
      <c r="O1361" s="4"/>
    </row>
    <row r="1362" spans="15:15" x14ac:dyDescent="0.15">
      <c r="O1362" s="4"/>
    </row>
    <row r="1363" spans="15:15" x14ac:dyDescent="0.15">
      <c r="O1363" s="4"/>
    </row>
    <row r="1364" spans="15:15" x14ac:dyDescent="0.15">
      <c r="O1364" s="4"/>
    </row>
    <row r="1365" spans="15:15" x14ac:dyDescent="0.15">
      <c r="O1365" s="4"/>
    </row>
    <row r="1366" spans="15:15" x14ac:dyDescent="0.15">
      <c r="O1366" s="4"/>
    </row>
    <row r="1367" spans="15:15" x14ac:dyDescent="0.15">
      <c r="O1367" s="4"/>
    </row>
    <row r="1368" spans="15:15" x14ac:dyDescent="0.15">
      <c r="O1368" s="4"/>
    </row>
    <row r="1369" spans="15:15" x14ac:dyDescent="0.15">
      <c r="O1369" s="4"/>
    </row>
    <row r="1370" spans="15:15" x14ac:dyDescent="0.15">
      <c r="O1370" s="4"/>
    </row>
    <row r="1371" spans="15:15" x14ac:dyDescent="0.15">
      <c r="O1371" s="4"/>
    </row>
    <row r="1372" spans="15:15" x14ac:dyDescent="0.15">
      <c r="O1372" s="4"/>
    </row>
    <row r="1373" spans="15:15" x14ac:dyDescent="0.15">
      <c r="O1373" s="4"/>
    </row>
    <row r="1374" spans="15:15" x14ac:dyDescent="0.15">
      <c r="O1374" s="4"/>
    </row>
    <row r="1375" spans="15:15" x14ac:dyDescent="0.15">
      <c r="O1375" s="4"/>
    </row>
    <row r="1376" spans="15:15" x14ac:dyDescent="0.15">
      <c r="O1376" s="4"/>
    </row>
    <row r="1377" spans="15:15" x14ac:dyDescent="0.15">
      <c r="O1377" s="4"/>
    </row>
    <row r="1378" spans="15:15" x14ac:dyDescent="0.15">
      <c r="O1378" s="4"/>
    </row>
    <row r="1379" spans="15:15" x14ac:dyDescent="0.15">
      <c r="O1379" s="4"/>
    </row>
    <row r="1380" spans="15:15" x14ac:dyDescent="0.15">
      <c r="O1380" s="4"/>
    </row>
    <row r="1381" spans="15:15" x14ac:dyDescent="0.15">
      <c r="O1381" s="4"/>
    </row>
    <row r="1382" spans="15:15" x14ac:dyDescent="0.15">
      <c r="O1382" s="4"/>
    </row>
    <row r="1383" spans="15:15" x14ac:dyDescent="0.15">
      <c r="O1383" s="4"/>
    </row>
    <row r="1384" spans="15:15" x14ac:dyDescent="0.15">
      <c r="O1384" s="4"/>
    </row>
    <row r="1385" spans="15:15" x14ac:dyDescent="0.15">
      <c r="O1385" s="4"/>
    </row>
    <row r="1386" spans="15:15" x14ac:dyDescent="0.15">
      <c r="O1386" s="4"/>
    </row>
    <row r="1387" spans="15:15" x14ac:dyDescent="0.15">
      <c r="O1387" s="4"/>
    </row>
    <row r="1388" spans="15:15" x14ac:dyDescent="0.15">
      <c r="O1388" s="4"/>
    </row>
    <row r="1389" spans="15:15" x14ac:dyDescent="0.15">
      <c r="O1389" s="4"/>
    </row>
    <row r="1390" spans="15:15" x14ac:dyDescent="0.15">
      <c r="O1390" s="4"/>
    </row>
    <row r="1391" spans="15:15" x14ac:dyDescent="0.15">
      <c r="O1391" s="4"/>
    </row>
    <row r="1392" spans="15:15" x14ac:dyDescent="0.15">
      <c r="O1392" s="4"/>
    </row>
    <row r="1393" spans="15:15" x14ac:dyDescent="0.15">
      <c r="O1393" s="4"/>
    </row>
    <row r="1394" spans="15:15" x14ac:dyDescent="0.15">
      <c r="O1394" s="4"/>
    </row>
    <row r="1395" spans="15:15" x14ac:dyDescent="0.15">
      <c r="O1395" s="4"/>
    </row>
    <row r="1396" spans="15:15" x14ac:dyDescent="0.15">
      <c r="O1396" s="4"/>
    </row>
    <row r="1397" spans="15:15" x14ac:dyDescent="0.15">
      <c r="O1397" s="4"/>
    </row>
    <row r="1398" spans="15:15" x14ac:dyDescent="0.15">
      <c r="O1398" s="4"/>
    </row>
    <row r="1399" spans="15:15" x14ac:dyDescent="0.15">
      <c r="O1399" s="4"/>
    </row>
    <row r="1400" spans="15:15" x14ac:dyDescent="0.15">
      <c r="O1400" s="4"/>
    </row>
    <row r="1401" spans="15:15" x14ac:dyDescent="0.15">
      <c r="O1401" s="4"/>
    </row>
    <row r="1402" spans="15:15" x14ac:dyDescent="0.15">
      <c r="O1402" s="4"/>
    </row>
    <row r="1403" spans="15:15" x14ac:dyDescent="0.15">
      <c r="O1403" s="4"/>
    </row>
    <row r="1404" spans="15:15" x14ac:dyDescent="0.15">
      <c r="O1404" s="4"/>
    </row>
    <row r="1405" spans="15:15" x14ac:dyDescent="0.15">
      <c r="O1405" s="4"/>
    </row>
    <row r="1406" spans="15:15" x14ac:dyDescent="0.15">
      <c r="O1406" s="4"/>
    </row>
    <row r="1407" spans="15:15" x14ac:dyDescent="0.15">
      <c r="O1407" s="4"/>
    </row>
    <row r="1408" spans="15:15" x14ac:dyDescent="0.15">
      <c r="O1408" s="4"/>
    </row>
    <row r="1409" spans="15:15" x14ac:dyDescent="0.15">
      <c r="O1409" s="4"/>
    </row>
    <row r="1410" spans="15:15" x14ac:dyDescent="0.15">
      <c r="O1410" s="4"/>
    </row>
    <row r="1411" spans="15:15" x14ac:dyDescent="0.15">
      <c r="O1411" s="4"/>
    </row>
    <row r="1412" spans="15:15" x14ac:dyDescent="0.15">
      <c r="O1412" s="4"/>
    </row>
    <row r="1413" spans="15:15" x14ac:dyDescent="0.15">
      <c r="O1413" s="4"/>
    </row>
    <row r="1414" spans="15:15" x14ac:dyDescent="0.15">
      <c r="O1414" s="4"/>
    </row>
    <row r="1415" spans="15:15" x14ac:dyDescent="0.15">
      <c r="O1415" s="4"/>
    </row>
    <row r="1416" spans="15:15" x14ac:dyDescent="0.15">
      <c r="O1416" s="4"/>
    </row>
    <row r="1417" spans="15:15" x14ac:dyDescent="0.15">
      <c r="O1417" s="4"/>
    </row>
    <row r="1418" spans="15:15" x14ac:dyDescent="0.15">
      <c r="O1418" s="4"/>
    </row>
    <row r="1419" spans="15:15" x14ac:dyDescent="0.15">
      <c r="O1419" s="4"/>
    </row>
    <row r="1420" spans="15:15" x14ac:dyDescent="0.15">
      <c r="O1420" s="4"/>
    </row>
    <row r="1421" spans="15:15" x14ac:dyDescent="0.15">
      <c r="O1421" s="4"/>
    </row>
    <row r="1422" spans="15:15" x14ac:dyDescent="0.15">
      <c r="O1422" s="4"/>
    </row>
    <row r="1423" spans="15:15" x14ac:dyDescent="0.15">
      <c r="O1423" s="4"/>
    </row>
    <row r="1424" spans="15:15" x14ac:dyDescent="0.15">
      <c r="O1424" s="4"/>
    </row>
    <row r="1425" spans="15:15" x14ac:dyDescent="0.15">
      <c r="O1425" s="4"/>
    </row>
    <row r="1426" spans="15:15" x14ac:dyDescent="0.15">
      <c r="O1426" s="4"/>
    </row>
    <row r="1427" spans="15:15" x14ac:dyDescent="0.15">
      <c r="O1427" s="4"/>
    </row>
    <row r="1428" spans="15:15" x14ac:dyDescent="0.15">
      <c r="O1428" s="4"/>
    </row>
    <row r="1429" spans="15:15" x14ac:dyDescent="0.15">
      <c r="O1429" s="4"/>
    </row>
    <row r="1430" spans="15:15" x14ac:dyDescent="0.15">
      <c r="O1430" s="4"/>
    </row>
    <row r="1431" spans="15:15" x14ac:dyDescent="0.15">
      <c r="O1431" s="4"/>
    </row>
    <row r="1432" spans="15:15" x14ac:dyDescent="0.15">
      <c r="O1432" s="4"/>
    </row>
    <row r="1433" spans="15:15" x14ac:dyDescent="0.15">
      <c r="O1433" s="4"/>
    </row>
    <row r="1434" spans="15:15" x14ac:dyDescent="0.15">
      <c r="O1434" s="4"/>
    </row>
    <row r="1435" spans="15:15" x14ac:dyDescent="0.15">
      <c r="O1435" s="4"/>
    </row>
    <row r="1436" spans="15:15" x14ac:dyDescent="0.15">
      <c r="O1436" s="4"/>
    </row>
    <row r="1437" spans="15:15" x14ac:dyDescent="0.15">
      <c r="O1437" s="4"/>
    </row>
    <row r="1438" spans="15:15" x14ac:dyDescent="0.15">
      <c r="O1438" s="4"/>
    </row>
    <row r="1439" spans="15:15" x14ac:dyDescent="0.15">
      <c r="O1439" s="4"/>
    </row>
    <row r="1440" spans="15:15" x14ac:dyDescent="0.15">
      <c r="O1440" s="4"/>
    </row>
    <row r="1441" spans="15:15" x14ac:dyDescent="0.15">
      <c r="O1441" s="4"/>
    </row>
    <row r="1442" spans="15:15" x14ac:dyDescent="0.15">
      <c r="O1442" s="4"/>
    </row>
    <row r="1443" spans="15:15" x14ac:dyDescent="0.15">
      <c r="O1443" s="4"/>
    </row>
    <row r="1444" spans="15:15" x14ac:dyDescent="0.15">
      <c r="O1444" s="4"/>
    </row>
    <row r="1445" spans="15:15" x14ac:dyDescent="0.15">
      <c r="O1445" s="4"/>
    </row>
    <row r="1446" spans="15:15" x14ac:dyDescent="0.15">
      <c r="O1446" s="4"/>
    </row>
    <row r="1447" spans="15:15" x14ac:dyDescent="0.15">
      <c r="O1447" s="4"/>
    </row>
    <row r="1448" spans="15:15" x14ac:dyDescent="0.15">
      <c r="O1448" s="4"/>
    </row>
    <row r="1449" spans="15:15" x14ac:dyDescent="0.15">
      <c r="O1449" s="4"/>
    </row>
    <row r="1450" spans="15:15" x14ac:dyDescent="0.15">
      <c r="O1450" s="4"/>
    </row>
    <row r="1451" spans="15:15" x14ac:dyDescent="0.15">
      <c r="O1451" s="4"/>
    </row>
    <row r="1452" spans="15:15" x14ac:dyDescent="0.15">
      <c r="O1452" s="4"/>
    </row>
    <row r="1453" spans="15:15" x14ac:dyDescent="0.15">
      <c r="O1453" s="4"/>
    </row>
    <row r="1454" spans="15:15" x14ac:dyDescent="0.15">
      <c r="O1454" s="4"/>
    </row>
    <row r="1455" spans="15:15" x14ac:dyDescent="0.15">
      <c r="O1455" s="4"/>
    </row>
    <row r="1456" spans="15:15" x14ac:dyDescent="0.15">
      <c r="O1456" s="4"/>
    </row>
    <row r="1457" spans="15:15" x14ac:dyDescent="0.15">
      <c r="O1457" s="4"/>
    </row>
    <row r="1458" spans="15:15" x14ac:dyDescent="0.15">
      <c r="O1458" s="4"/>
    </row>
    <row r="1459" spans="15:15" x14ac:dyDescent="0.15">
      <c r="O1459" s="4"/>
    </row>
    <row r="1460" spans="15:15" x14ac:dyDescent="0.15">
      <c r="O1460" s="4"/>
    </row>
    <row r="1461" spans="15:15" x14ac:dyDescent="0.15">
      <c r="O1461" s="4"/>
    </row>
    <row r="1462" spans="15:15" x14ac:dyDescent="0.15">
      <c r="O1462" s="4"/>
    </row>
    <row r="1463" spans="15:15" x14ac:dyDescent="0.15">
      <c r="O1463" s="4"/>
    </row>
    <row r="1464" spans="15:15" x14ac:dyDescent="0.15">
      <c r="O1464" s="4"/>
    </row>
    <row r="1465" spans="15:15" x14ac:dyDescent="0.15">
      <c r="O1465" s="4"/>
    </row>
    <row r="1466" spans="15:15" x14ac:dyDescent="0.15">
      <c r="O1466" s="4"/>
    </row>
    <row r="1467" spans="15:15" x14ac:dyDescent="0.15">
      <c r="O1467" s="4"/>
    </row>
    <row r="1468" spans="15:15" x14ac:dyDescent="0.15">
      <c r="O1468" s="4"/>
    </row>
    <row r="1469" spans="15:15" x14ac:dyDescent="0.15">
      <c r="O1469" s="4"/>
    </row>
    <row r="1470" spans="15:15" x14ac:dyDescent="0.15">
      <c r="O1470" s="4"/>
    </row>
    <row r="1471" spans="15:15" x14ac:dyDescent="0.15">
      <c r="O1471" s="4"/>
    </row>
    <row r="1472" spans="15:15" x14ac:dyDescent="0.15">
      <c r="O1472" s="4"/>
    </row>
    <row r="1473" spans="15:15" x14ac:dyDescent="0.15">
      <c r="O1473" s="4"/>
    </row>
    <row r="1474" spans="15:15" x14ac:dyDescent="0.15">
      <c r="O1474" s="4"/>
    </row>
    <row r="1475" spans="15:15" x14ac:dyDescent="0.15">
      <c r="O1475" s="4"/>
    </row>
    <row r="1476" spans="15:15" x14ac:dyDescent="0.15">
      <c r="O1476" s="4"/>
    </row>
    <row r="1477" spans="15:15" x14ac:dyDescent="0.15">
      <c r="O1477" s="4"/>
    </row>
    <row r="1478" spans="15:15" x14ac:dyDescent="0.15">
      <c r="O1478" s="4"/>
    </row>
    <row r="1479" spans="15:15" x14ac:dyDescent="0.15">
      <c r="O1479" s="4"/>
    </row>
    <row r="1480" spans="15:15" x14ac:dyDescent="0.15">
      <c r="O1480" s="4"/>
    </row>
    <row r="1481" spans="15:15" x14ac:dyDescent="0.15">
      <c r="O1481" s="4"/>
    </row>
    <row r="1482" spans="15:15" x14ac:dyDescent="0.15">
      <c r="O1482" s="4"/>
    </row>
    <row r="1483" spans="15:15" x14ac:dyDescent="0.15">
      <c r="O1483" s="4"/>
    </row>
    <row r="1484" spans="15:15" x14ac:dyDescent="0.15">
      <c r="O1484" s="4"/>
    </row>
    <row r="1485" spans="15:15" x14ac:dyDescent="0.15">
      <c r="O1485" s="4"/>
    </row>
    <row r="1486" spans="15:15" x14ac:dyDescent="0.15">
      <c r="O1486" s="4"/>
    </row>
    <row r="1487" spans="15:15" x14ac:dyDescent="0.15">
      <c r="O1487" s="4"/>
    </row>
    <row r="1488" spans="15:15" x14ac:dyDescent="0.15">
      <c r="O1488" s="4"/>
    </row>
    <row r="1489" spans="15:15" x14ac:dyDescent="0.15">
      <c r="O1489" s="4"/>
    </row>
    <row r="1490" spans="15:15" x14ac:dyDescent="0.15">
      <c r="O1490" s="4"/>
    </row>
    <row r="1491" spans="15:15" x14ac:dyDescent="0.15">
      <c r="O1491" s="4"/>
    </row>
    <row r="1492" spans="15:15" x14ac:dyDescent="0.15">
      <c r="O1492" s="4"/>
    </row>
    <row r="1493" spans="15:15" x14ac:dyDescent="0.15">
      <c r="O1493" s="4"/>
    </row>
    <row r="1494" spans="15:15" x14ac:dyDescent="0.15">
      <c r="O1494" s="4"/>
    </row>
    <row r="1495" spans="15:15" x14ac:dyDescent="0.15">
      <c r="O1495" s="4"/>
    </row>
    <row r="1496" spans="15:15" x14ac:dyDescent="0.15">
      <c r="O1496" s="4"/>
    </row>
    <row r="1497" spans="15:15" x14ac:dyDescent="0.15">
      <c r="O1497" s="4"/>
    </row>
    <row r="1498" spans="15:15" x14ac:dyDescent="0.15">
      <c r="O1498" s="4"/>
    </row>
    <row r="1499" spans="15:15" x14ac:dyDescent="0.15">
      <c r="O1499" s="4"/>
    </row>
    <row r="1500" spans="15:15" x14ac:dyDescent="0.15">
      <c r="O1500" s="4"/>
    </row>
    <row r="1501" spans="15:15" x14ac:dyDescent="0.15">
      <c r="O1501" s="4"/>
    </row>
    <row r="1502" spans="15:15" x14ac:dyDescent="0.15">
      <c r="O1502" s="4"/>
    </row>
    <row r="1503" spans="15:15" x14ac:dyDescent="0.15">
      <c r="O1503" s="4"/>
    </row>
    <row r="1504" spans="15:15" x14ac:dyDescent="0.15">
      <c r="O1504" s="4"/>
    </row>
    <row r="1505" spans="15:15" x14ac:dyDescent="0.15">
      <c r="O1505" s="4"/>
    </row>
    <row r="1506" spans="15:15" x14ac:dyDescent="0.15">
      <c r="O1506" s="4"/>
    </row>
    <row r="1507" spans="15:15" x14ac:dyDescent="0.15">
      <c r="O1507" s="4"/>
    </row>
    <row r="1508" spans="15:15" x14ac:dyDescent="0.15">
      <c r="O1508" s="4"/>
    </row>
    <row r="1509" spans="15:15" x14ac:dyDescent="0.15">
      <c r="O1509" s="4"/>
    </row>
    <row r="1510" spans="15:15" x14ac:dyDescent="0.15">
      <c r="O1510" s="4"/>
    </row>
    <row r="1511" spans="15:15" x14ac:dyDescent="0.15">
      <c r="O1511" s="4"/>
    </row>
    <row r="1512" spans="15:15" x14ac:dyDescent="0.15">
      <c r="O1512" s="4"/>
    </row>
    <row r="1513" spans="15:15" x14ac:dyDescent="0.15">
      <c r="O1513" s="4"/>
    </row>
    <row r="1514" spans="15:15" x14ac:dyDescent="0.15">
      <c r="O1514" s="4"/>
    </row>
    <row r="1515" spans="15:15" x14ac:dyDescent="0.15">
      <c r="O1515" s="4"/>
    </row>
    <row r="1516" spans="15:15" x14ac:dyDescent="0.15">
      <c r="O1516" s="4"/>
    </row>
    <row r="1517" spans="15:15" x14ac:dyDescent="0.15">
      <c r="O1517" s="4"/>
    </row>
    <row r="1518" spans="15:15" x14ac:dyDescent="0.15">
      <c r="O1518" s="4"/>
    </row>
    <row r="1519" spans="15:15" x14ac:dyDescent="0.15">
      <c r="O1519" s="4"/>
    </row>
    <row r="1520" spans="15:15" x14ac:dyDescent="0.15">
      <c r="O1520" s="4"/>
    </row>
    <row r="1521" spans="15:15" x14ac:dyDescent="0.15">
      <c r="O1521" s="4"/>
    </row>
    <row r="1522" spans="15:15" x14ac:dyDescent="0.15">
      <c r="O1522" s="4"/>
    </row>
    <row r="1523" spans="15:15" x14ac:dyDescent="0.15">
      <c r="O1523" s="4"/>
    </row>
    <row r="1524" spans="15:15" x14ac:dyDescent="0.15">
      <c r="O1524" s="4"/>
    </row>
    <row r="1525" spans="15:15" x14ac:dyDescent="0.15">
      <c r="O1525" s="4"/>
    </row>
    <row r="1526" spans="15:15" x14ac:dyDescent="0.15">
      <c r="O1526" s="4"/>
    </row>
    <row r="1527" spans="15:15" x14ac:dyDescent="0.15">
      <c r="O1527" s="4"/>
    </row>
    <row r="1528" spans="15:15" x14ac:dyDescent="0.15">
      <c r="O1528" s="4"/>
    </row>
    <row r="1529" spans="15:15" x14ac:dyDescent="0.15">
      <c r="O1529" s="4"/>
    </row>
    <row r="1530" spans="15:15" x14ac:dyDescent="0.15">
      <c r="O1530" s="4"/>
    </row>
    <row r="1531" spans="15:15" x14ac:dyDescent="0.15">
      <c r="O1531" s="4"/>
    </row>
    <row r="1532" spans="15:15" x14ac:dyDescent="0.15">
      <c r="O1532" s="4"/>
    </row>
    <row r="1533" spans="15:15" x14ac:dyDescent="0.15">
      <c r="O1533" s="4"/>
    </row>
    <row r="1534" spans="15:15" x14ac:dyDescent="0.15">
      <c r="O1534" s="4"/>
    </row>
    <row r="1535" spans="15:15" x14ac:dyDescent="0.15">
      <c r="O1535" s="4"/>
    </row>
    <row r="1536" spans="15:15" x14ac:dyDescent="0.15">
      <c r="O1536" s="4"/>
    </row>
    <row r="1537" spans="15:15" x14ac:dyDescent="0.15">
      <c r="O1537" s="4"/>
    </row>
    <row r="1538" spans="15:15" x14ac:dyDescent="0.15">
      <c r="O1538" s="4"/>
    </row>
    <row r="1539" spans="15:15" x14ac:dyDescent="0.15">
      <c r="O1539" s="4"/>
    </row>
    <row r="1540" spans="15:15" x14ac:dyDescent="0.15">
      <c r="O1540" s="4"/>
    </row>
    <row r="1541" spans="15:15" x14ac:dyDescent="0.15">
      <c r="O1541" s="4"/>
    </row>
    <row r="1542" spans="15:15" x14ac:dyDescent="0.15">
      <c r="O1542" s="4"/>
    </row>
    <row r="1543" spans="15:15" x14ac:dyDescent="0.15">
      <c r="O1543" s="4"/>
    </row>
    <row r="1544" spans="15:15" x14ac:dyDescent="0.15">
      <c r="O1544" s="4"/>
    </row>
    <row r="1545" spans="15:15" x14ac:dyDescent="0.15">
      <c r="O1545" s="4"/>
    </row>
    <row r="1546" spans="15:15" x14ac:dyDescent="0.15">
      <c r="O1546" s="4"/>
    </row>
    <row r="1547" spans="15:15" x14ac:dyDescent="0.15">
      <c r="O1547" s="4"/>
    </row>
    <row r="1548" spans="15:15" x14ac:dyDescent="0.15">
      <c r="O1548" s="4"/>
    </row>
    <row r="1549" spans="15:15" x14ac:dyDescent="0.15">
      <c r="O1549" s="4"/>
    </row>
    <row r="1550" spans="15:15" x14ac:dyDescent="0.15">
      <c r="O1550" s="4"/>
    </row>
    <row r="1551" spans="15:15" x14ac:dyDescent="0.15">
      <c r="O1551" s="4"/>
    </row>
    <row r="1552" spans="15:15" x14ac:dyDescent="0.15">
      <c r="O1552" s="4"/>
    </row>
    <row r="1553" spans="15:15" x14ac:dyDescent="0.15">
      <c r="O1553" s="4"/>
    </row>
    <row r="1554" spans="15:15" x14ac:dyDescent="0.15">
      <c r="O1554" s="4"/>
    </row>
    <row r="1555" spans="15:15" x14ac:dyDescent="0.15">
      <c r="O1555" s="4"/>
    </row>
    <row r="1556" spans="15:15" x14ac:dyDescent="0.15">
      <c r="O1556" s="4"/>
    </row>
    <row r="1557" spans="15:15" x14ac:dyDescent="0.15">
      <c r="O1557" s="4"/>
    </row>
    <row r="1558" spans="15:15" x14ac:dyDescent="0.15">
      <c r="O1558" s="4"/>
    </row>
    <row r="1559" spans="15:15" x14ac:dyDescent="0.15">
      <c r="O1559" s="4"/>
    </row>
    <row r="1560" spans="15:15" x14ac:dyDescent="0.15">
      <c r="O1560" s="4"/>
    </row>
    <row r="1561" spans="15:15" x14ac:dyDescent="0.15">
      <c r="O1561" s="4"/>
    </row>
    <row r="1562" spans="15:15" x14ac:dyDescent="0.15">
      <c r="O1562" s="4"/>
    </row>
    <row r="1563" spans="15:15" x14ac:dyDescent="0.15">
      <c r="O1563" s="4"/>
    </row>
    <row r="1564" spans="15:15" x14ac:dyDescent="0.15">
      <c r="O1564" s="4"/>
    </row>
    <row r="1565" spans="15:15" x14ac:dyDescent="0.15">
      <c r="O1565" s="4"/>
    </row>
    <row r="1566" spans="15:15" x14ac:dyDescent="0.15">
      <c r="O1566" s="4"/>
    </row>
    <row r="1567" spans="15:15" x14ac:dyDescent="0.15">
      <c r="O1567" s="4"/>
    </row>
    <row r="1568" spans="15:15" x14ac:dyDescent="0.15">
      <c r="O1568" s="4"/>
    </row>
    <row r="1569" spans="15:15" x14ac:dyDescent="0.15">
      <c r="O1569" s="4"/>
    </row>
    <row r="1570" spans="15:15" x14ac:dyDescent="0.15">
      <c r="O1570" s="4"/>
    </row>
    <row r="1571" spans="15:15" x14ac:dyDescent="0.15">
      <c r="O1571" s="4"/>
    </row>
    <row r="1572" spans="15:15" x14ac:dyDescent="0.15">
      <c r="O1572" s="4"/>
    </row>
    <row r="1573" spans="15:15" x14ac:dyDescent="0.15">
      <c r="O1573" s="4"/>
    </row>
    <row r="1574" spans="15:15" x14ac:dyDescent="0.15">
      <c r="O1574" s="4"/>
    </row>
    <row r="1575" spans="15:15" x14ac:dyDescent="0.15">
      <c r="O1575" s="4"/>
    </row>
    <row r="1576" spans="15:15" x14ac:dyDescent="0.15">
      <c r="O1576" s="4"/>
    </row>
    <row r="1577" spans="15:15" x14ac:dyDescent="0.15">
      <c r="O1577" s="4"/>
    </row>
    <row r="1578" spans="15:15" x14ac:dyDescent="0.15">
      <c r="O1578" s="4"/>
    </row>
    <row r="1579" spans="15:15" x14ac:dyDescent="0.15">
      <c r="O1579" s="4"/>
    </row>
    <row r="1580" spans="15:15" x14ac:dyDescent="0.15">
      <c r="O1580" s="4"/>
    </row>
    <row r="1581" spans="15:15" x14ac:dyDescent="0.15">
      <c r="O1581" s="4"/>
    </row>
    <row r="1582" spans="15:15" x14ac:dyDescent="0.15">
      <c r="O1582" s="4"/>
    </row>
    <row r="1583" spans="15:15" x14ac:dyDescent="0.15">
      <c r="O1583" s="4"/>
    </row>
    <row r="1584" spans="15:15" x14ac:dyDescent="0.15">
      <c r="O1584" s="4"/>
    </row>
    <row r="1585" spans="15:15" x14ac:dyDescent="0.15">
      <c r="O1585" s="4"/>
    </row>
    <row r="1586" spans="15:15" x14ac:dyDescent="0.15">
      <c r="O1586" s="4"/>
    </row>
    <row r="1587" spans="15:15" x14ac:dyDescent="0.15">
      <c r="O1587" s="4"/>
    </row>
    <row r="1588" spans="15:15" x14ac:dyDescent="0.15">
      <c r="O1588" s="4"/>
    </row>
    <row r="1589" spans="15:15" x14ac:dyDescent="0.15">
      <c r="O1589" s="4"/>
    </row>
    <row r="1590" spans="15:15" x14ac:dyDescent="0.15">
      <c r="O1590" s="4"/>
    </row>
    <row r="1591" spans="15:15" x14ac:dyDescent="0.15">
      <c r="O1591" s="4"/>
    </row>
  </sheetData>
  <mergeCells count="27">
    <mergeCell ref="I1:N1"/>
    <mergeCell ref="L5:L6"/>
    <mergeCell ref="J5:J6"/>
    <mergeCell ref="B43:C78"/>
    <mergeCell ref="B7:D7"/>
    <mergeCell ref="B41:C41"/>
    <mergeCell ref="B1:C1"/>
    <mergeCell ref="G5:G6"/>
    <mergeCell ref="E5:E6"/>
    <mergeCell ref="D1:G1"/>
    <mergeCell ref="B9:D9"/>
    <mergeCell ref="B8:D8"/>
    <mergeCell ref="B42:D42"/>
    <mergeCell ref="C25:C40"/>
    <mergeCell ref="C11:C16"/>
    <mergeCell ref="B10:D10"/>
    <mergeCell ref="C17:C24"/>
    <mergeCell ref="E98:Q101"/>
    <mergeCell ref="B94:D94"/>
    <mergeCell ref="B95:D95"/>
    <mergeCell ref="B79:D79"/>
    <mergeCell ref="B90:D90"/>
    <mergeCell ref="B93:D93"/>
    <mergeCell ref="B80:C85"/>
    <mergeCell ref="B92:D92"/>
    <mergeCell ref="B91:D91"/>
    <mergeCell ref="B86:C89"/>
  </mergeCells>
  <phoneticPr fontId="2"/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E3C7-4030-42DF-B8F9-D6CE238124E0}">
  <dimension ref="A1:BW1587"/>
  <sheetViews>
    <sheetView showZeros="0" zoomScale="90" zoomScaleNormal="90" workbookViewId="0">
      <pane xSplit="4" ySplit="1" topLeftCell="E75" activePane="bottomRight" state="frozen"/>
      <selection activeCell="E7" sqref="E7"/>
      <selection pane="topRight" activeCell="E7" sqref="E7"/>
      <selection pane="bottomLeft" activeCell="E7" sqref="E7"/>
      <selection pane="bottomRight" activeCell="P7" sqref="P7"/>
    </sheetView>
  </sheetViews>
  <sheetFormatPr defaultColWidth="9" defaultRowHeight="18.75" x14ac:dyDescent="0.15"/>
  <cols>
    <col min="1" max="1" width="1" style="4" customWidth="1"/>
    <col min="2" max="2" width="2" style="4" customWidth="1"/>
    <col min="3" max="3" width="7.375" style="4" customWidth="1"/>
    <col min="4" max="4" width="17.75" style="4" customWidth="1"/>
    <col min="5" max="5" width="10" style="11" bestFit="1" customWidth="1"/>
    <col min="6" max="6" width="7.375" style="11" bestFit="1" customWidth="1"/>
    <col min="7" max="7" width="10" style="4" bestFit="1" customWidth="1"/>
    <col min="8" max="9" width="7.375" style="4" bestFit="1" customWidth="1"/>
    <col min="10" max="10" width="9" style="4" bestFit="1" customWidth="1"/>
    <col min="11" max="11" width="7.375" style="4" bestFit="1" customWidth="1"/>
    <col min="12" max="12" width="11" style="4" bestFit="1" customWidth="1"/>
    <col min="13" max="13" width="7.375" style="4" bestFit="1" customWidth="1"/>
    <col min="14" max="14" width="7.125" style="4" customWidth="1"/>
    <col min="15" max="15" width="1.5" style="42" customWidth="1"/>
    <col min="16" max="16" width="12.375" style="4" customWidth="1"/>
    <col min="17" max="17" width="7.75" style="4" customWidth="1"/>
    <col min="18" max="18" width="12.375" style="4" customWidth="1"/>
    <col min="19" max="19" width="8.375" style="4" customWidth="1"/>
    <col min="20" max="20" width="11.375" style="4" customWidth="1"/>
    <col min="21" max="16384" width="9" style="4"/>
  </cols>
  <sheetData>
    <row r="1" spans="1:75" ht="19.5" thickBot="1" x14ac:dyDescent="0.2">
      <c r="A1" s="3"/>
      <c r="B1" s="273" t="s">
        <v>23</v>
      </c>
      <c r="C1" s="274"/>
      <c r="D1" s="279" t="s">
        <v>24</v>
      </c>
      <c r="E1" s="280"/>
      <c r="F1" s="280"/>
      <c r="G1" s="281"/>
      <c r="H1" s="6"/>
      <c r="I1" s="263">
        <f>全社!I1</f>
        <v>46093</v>
      </c>
      <c r="J1" s="263"/>
      <c r="K1" s="263"/>
      <c r="L1" s="263"/>
      <c r="M1" s="263"/>
      <c r="N1" s="263"/>
      <c r="O1" s="4"/>
    </row>
    <row r="2" spans="1:75" ht="9.75" customHeight="1" x14ac:dyDescent="0.15">
      <c r="A2" s="3"/>
      <c r="B2" s="5"/>
      <c r="C2" s="5"/>
      <c r="D2" s="6"/>
      <c r="E2" s="90"/>
      <c r="F2" s="90"/>
      <c r="G2" s="3"/>
      <c r="H2" s="3"/>
      <c r="I2" s="3"/>
      <c r="J2" s="3"/>
      <c r="K2" s="3"/>
      <c r="L2" s="3"/>
      <c r="M2" s="3"/>
      <c r="N2" s="3"/>
      <c r="O2" s="4"/>
    </row>
    <row r="3" spans="1:75" ht="14.85" customHeight="1" x14ac:dyDescent="0.15">
      <c r="A3" s="3"/>
      <c r="B3" s="7" t="s">
        <v>25</v>
      </c>
      <c r="C3" s="7"/>
      <c r="D3" s="8"/>
      <c r="E3" s="198" t="s">
        <v>97</v>
      </c>
      <c r="F3" s="91"/>
      <c r="G3" s="8"/>
      <c r="H3" s="8"/>
      <c r="I3" s="8"/>
      <c r="J3" s="91" t="s">
        <v>26</v>
      </c>
      <c r="K3" s="9"/>
      <c r="L3" s="9" t="s">
        <v>27</v>
      </c>
      <c r="M3" s="9"/>
      <c r="N3" s="9"/>
      <c r="O3" s="10"/>
    </row>
    <row r="4" spans="1:75" ht="6.75" customHeight="1" thickBot="1" x14ac:dyDescent="0.2">
      <c r="A4" s="3"/>
      <c r="J4" s="11"/>
      <c r="K4" s="11"/>
      <c r="N4" s="12"/>
      <c r="O4" s="10"/>
    </row>
    <row r="5" spans="1:75" ht="15" customHeight="1" x14ac:dyDescent="0.15">
      <c r="A5" s="3"/>
      <c r="B5" s="161"/>
      <c r="C5" s="162"/>
      <c r="D5" s="163"/>
      <c r="E5" s="277" t="s">
        <v>109</v>
      </c>
      <c r="F5" s="95" t="s">
        <v>89</v>
      </c>
      <c r="G5" s="275" t="s">
        <v>110</v>
      </c>
      <c r="H5" s="95" t="s">
        <v>89</v>
      </c>
      <c r="I5" s="85" t="s">
        <v>28</v>
      </c>
      <c r="J5" s="266" t="s">
        <v>106</v>
      </c>
      <c r="K5" s="123" t="s">
        <v>89</v>
      </c>
      <c r="L5" s="264" t="s">
        <v>107</v>
      </c>
      <c r="M5" s="123" t="s">
        <v>89</v>
      </c>
      <c r="N5" s="72" t="s">
        <v>84</v>
      </c>
      <c r="O5" s="10"/>
      <c r="P5" s="92" t="s">
        <v>111</v>
      </c>
      <c r="Q5" s="93" t="s">
        <v>86</v>
      </c>
      <c r="R5" s="92" t="s">
        <v>105</v>
      </c>
      <c r="S5" s="93" t="s">
        <v>86</v>
      </c>
    </row>
    <row r="6" spans="1:75" ht="15" customHeight="1" thickBot="1" x14ac:dyDescent="0.2">
      <c r="A6" s="3"/>
      <c r="B6" s="158"/>
      <c r="C6" s="159"/>
      <c r="D6" s="160"/>
      <c r="E6" s="278"/>
      <c r="F6" s="94" t="s">
        <v>87</v>
      </c>
      <c r="G6" s="276"/>
      <c r="H6" s="94" t="s">
        <v>87</v>
      </c>
      <c r="I6" s="86" t="s">
        <v>29</v>
      </c>
      <c r="J6" s="267"/>
      <c r="K6" s="121" t="s">
        <v>87</v>
      </c>
      <c r="L6" s="265"/>
      <c r="M6" s="121" t="s">
        <v>87</v>
      </c>
      <c r="N6" s="73" t="s">
        <v>29</v>
      </c>
      <c r="O6" s="13"/>
      <c r="P6" s="14" t="s">
        <v>85</v>
      </c>
      <c r="Q6" s="15" t="s">
        <v>87</v>
      </c>
      <c r="R6" s="14" t="s">
        <v>85</v>
      </c>
      <c r="S6" s="15" t="s">
        <v>87</v>
      </c>
      <c r="T6" s="4" t="s">
        <v>30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</row>
    <row r="7" spans="1:75" ht="15" customHeight="1" x14ac:dyDescent="0.15">
      <c r="A7" s="3"/>
      <c r="B7" s="268" t="s">
        <v>31</v>
      </c>
      <c r="C7" s="269"/>
      <c r="D7" s="270"/>
      <c r="E7" s="17">
        <f>[2]東大阪工場!L5</f>
        <v>42614877</v>
      </c>
      <c r="F7" s="139">
        <f t="shared" ref="F7:F9" si="0">E7/$E$10</f>
        <v>1</v>
      </c>
      <c r="G7" s="17">
        <f>[3]東大阪工場!L5</f>
        <v>26245909</v>
      </c>
      <c r="H7" s="96">
        <f>G7/$G$10</f>
        <v>1</v>
      </c>
      <c r="I7" s="120">
        <f t="shared" ref="I7:I74" si="1">IF(E7,G7/E7,"-")</f>
        <v>0.61588606720606043</v>
      </c>
      <c r="J7" s="47">
        <f>E7+[4]東大阪工場!J7</f>
        <v>413806064</v>
      </c>
      <c r="K7" s="99">
        <f>J7/$J$10</f>
        <v>0.99050689649230383</v>
      </c>
      <c r="L7" s="47">
        <f>G7+[4]東大阪工場!L7</f>
        <v>318922952</v>
      </c>
      <c r="M7" s="99">
        <f>L7/$L$10</f>
        <v>1.0009524558857719</v>
      </c>
      <c r="N7" s="112">
        <f t="shared" ref="N7:N74" si="2">IF(J7,L7/J7,"-")</f>
        <v>0.77070632778353876</v>
      </c>
      <c r="O7" s="46"/>
      <c r="P7" s="47">
        <f>[5]東大阪工場!L5</f>
        <v>42545000</v>
      </c>
      <c r="Q7" s="99">
        <f>P7/$P$10</f>
        <v>1</v>
      </c>
      <c r="R7" s="47">
        <f>P7+[4]東大阪工場!R7</f>
        <v>387735000</v>
      </c>
      <c r="S7" s="16">
        <f>R7/$R$10</f>
        <v>1</v>
      </c>
      <c r="T7" s="48">
        <f>L7-R7</f>
        <v>-68812048</v>
      </c>
      <c r="U7" s="225">
        <f>IF(L7,L7/R7,"-")</f>
        <v>0.82252814938037577</v>
      </c>
    </row>
    <row r="8" spans="1:75" s="57" customFormat="1" ht="15" customHeight="1" x14ac:dyDescent="0.15">
      <c r="A8" s="52"/>
      <c r="B8" s="285" t="s">
        <v>4</v>
      </c>
      <c r="C8" s="286"/>
      <c r="D8" s="287"/>
      <c r="E8" s="53"/>
      <c r="F8" s="145">
        <f t="shared" si="0"/>
        <v>0</v>
      </c>
      <c r="G8" s="53"/>
      <c r="H8" s="97">
        <f t="shared" ref="H8:H75" si="3">G8/$G$10</f>
        <v>0</v>
      </c>
      <c r="I8" s="75" t="str">
        <f t="shared" si="1"/>
        <v>-</v>
      </c>
      <c r="J8" s="81">
        <v>22108193</v>
      </c>
      <c r="K8" s="128"/>
      <c r="L8" s="80">
        <v>28385258</v>
      </c>
      <c r="M8" s="128"/>
      <c r="N8" s="74">
        <f t="shared" si="2"/>
        <v>1.2839248327531789</v>
      </c>
      <c r="O8" s="55"/>
      <c r="P8" s="56"/>
      <c r="Q8" s="54">
        <f t="shared" ref="Q8:Q75" si="4">P8/$P$10</f>
        <v>0</v>
      </c>
      <c r="R8" s="56">
        <f t="shared" ref="R8:R9" si="5">P8</f>
        <v>0</v>
      </c>
      <c r="S8" s="54">
        <f t="shared" ref="S8:S75" si="6">R8/$R$10</f>
        <v>0</v>
      </c>
      <c r="T8" s="48">
        <f t="shared" ref="T8:T80" si="7">L8-R8</f>
        <v>28385258</v>
      </c>
      <c r="U8" s="225" t="e">
        <f t="shared" ref="U8:U75" si="8">IF(L8,L8/R8,"-")</f>
        <v>#DIV/0!</v>
      </c>
    </row>
    <row r="9" spans="1:75" s="57" customFormat="1" ht="15" customHeight="1" x14ac:dyDescent="0.15">
      <c r="A9" s="52"/>
      <c r="B9" s="282" t="s">
        <v>5</v>
      </c>
      <c r="C9" s="283"/>
      <c r="D9" s="284"/>
      <c r="E9" s="58"/>
      <c r="F9" s="146">
        <f t="shared" si="0"/>
        <v>0</v>
      </c>
      <c r="G9" s="58"/>
      <c r="H9" s="98">
        <f t="shared" si="3"/>
        <v>0</v>
      </c>
      <c r="I9" s="75" t="str">
        <f t="shared" si="1"/>
        <v>-</v>
      </c>
      <c r="J9" s="82">
        <v>26074146</v>
      </c>
      <c r="K9" s="98"/>
      <c r="L9" s="80">
        <v>28081787</v>
      </c>
      <c r="M9" s="129"/>
      <c r="N9" s="75">
        <f t="shared" si="2"/>
        <v>1.0769973827714243</v>
      </c>
      <c r="O9" s="55"/>
      <c r="P9" s="58"/>
      <c r="Q9" s="54">
        <f t="shared" si="4"/>
        <v>0</v>
      </c>
      <c r="R9" s="58">
        <f t="shared" si="5"/>
        <v>0</v>
      </c>
      <c r="S9" s="54">
        <f t="shared" si="6"/>
        <v>0</v>
      </c>
      <c r="T9" s="48">
        <f t="shared" si="7"/>
        <v>28081787</v>
      </c>
      <c r="U9" s="225" t="e">
        <f t="shared" si="8"/>
        <v>#DIV/0!</v>
      </c>
    </row>
    <row r="10" spans="1:75" ht="15" customHeight="1" x14ac:dyDescent="0.15">
      <c r="A10" s="3"/>
      <c r="B10" s="291" t="s">
        <v>82</v>
      </c>
      <c r="C10" s="292"/>
      <c r="D10" s="293"/>
      <c r="E10" s="43">
        <f>E7-E8+E9</f>
        <v>42614877</v>
      </c>
      <c r="F10" s="147">
        <f>E10/$E$10</f>
        <v>1</v>
      </c>
      <c r="G10" s="43">
        <f>G7-G8+G9</f>
        <v>26245909</v>
      </c>
      <c r="H10" s="99">
        <f t="shared" si="3"/>
        <v>1</v>
      </c>
      <c r="I10" s="112">
        <f t="shared" si="1"/>
        <v>0.61588606720606043</v>
      </c>
      <c r="J10" s="47">
        <f>J7-J8+J9</f>
        <v>417772017</v>
      </c>
      <c r="K10" s="99">
        <f>J10/$J$10</f>
        <v>1</v>
      </c>
      <c r="L10" s="43">
        <f>L7-L8+L9</f>
        <v>318619481</v>
      </c>
      <c r="M10" s="99">
        <f>L10/$L$10</f>
        <v>1</v>
      </c>
      <c r="N10" s="112">
        <f t="shared" si="2"/>
        <v>0.76266352947234373</v>
      </c>
      <c r="O10" s="46"/>
      <c r="P10" s="43">
        <f>P7-P8+P9</f>
        <v>42545000</v>
      </c>
      <c r="Q10" s="2">
        <f t="shared" si="4"/>
        <v>1</v>
      </c>
      <c r="R10" s="43">
        <f>R7-R8+R9</f>
        <v>387735000</v>
      </c>
      <c r="S10" s="2">
        <f t="shared" si="6"/>
        <v>1</v>
      </c>
      <c r="T10" s="48">
        <f>L10-R10</f>
        <v>-69115519</v>
      </c>
      <c r="U10" s="225">
        <f t="shared" si="8"/>
        <v>0.82174547306794588</v>
      </c>
    </row>
    <row r="11" spans="1:75" ht="15" customHeight="1" x14ac:dyDescent="0.15">
      <c r="A11" s="3"/>
      <c r="B11" s="148"/>
      <c r="C11" s="233" t="s">
        <v>32</v>
      </c>
      <c r="D11" s="175" t="s">
        <v>34</v>
      </c>
      <c r="E11" s="20"/>
      <c r="F11" s="134">
        <f t="shared" ref="F11:F83" si="9">E11/$E$10</f>
        <v>0</v>
      </c>
      <c r="G11" s="20"/>
      <c r="H11" s="101">
        <f t="shared" si="3"/>
        <v>0</v>
      </c>
      <c r="I11" s="87" t="str">
        <f t="shared" si="1"/>
        <v>-</v>
      </c>
      <c r="J11" s="84">
        <v>10684923</v>
      </c>
      <c r="K11" s="102"/>
      <c r="L11" s="83">
        <v>13953925</v>
      </c>
      <c r="M11" s="102"/>
      <c r="N11" s="76">
        <f t="shared" si="2"/>
        <v>1.3059453025538883</v>
      </c>
      <c r="O11" s="18"/>
      <c r="P11" s="22"/>
      <c r="Q11" s="67">
        <f t="shared" si="4"/>
        <v>0</v>
      </c>
      <c r="R11" s="22">
        <f>P11+[4]東大阪工場!R11</f>
        <v>0</v>
      </c>
      <c r="S11" s="66">
        <f t="shared" si="6"/>
        <v>0</v>
      </c>
      <c r="T11" s="48">
        <f t="shared" ref="T11:T13" si="10">L11-R11</f>
        <v>13953925</v>
      </c>
      <c r="U11" s="225" t="e">
        <f t="shared" si="8"/>
        <v>#DIV/0!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</row>
    <row r="12" spans="1:75" ht="15" customHeight="1" x14ac:dyDescent="0.15">
      <c r="A12" s="3"/>
      <c r="B12" s="148"/>
      <c r="C12" s="234"/>
      <c r="D12" s="227" t="s">
        <v>101</v>
      </c>
      <c r="E12" s="20">
        <f>[2]東大阪工場!L11</f>
        <v>21559478</v>
      </c>
      <c r="F12" s="135">
        <f t="shared" si="9"/>
        <v>0.50591435474517499</v>
      </c>
      <c r="G12" s="20">
        <f>[3]東大阪工場!L11</f>
        <v>16271693</v>
      </c>
      <c r="H12" s="102">
        <f t="shared" si="3"/>
        <v>0.61997063999574187</v>
      </c>
      <c r="I12" s="87">
        <f t="shared" si="1"/>
        <v>0.75473501723928571</v>
      </c>
      <c r="J12" s="22">
        <f>E12+[4]東大阪工場!J12</f>
        <v>218590123</v>
      </c>
      <c r="K12" s="102">
        <f t="shared" ref="K12:K13" si="11">J12/$J$10</f>
        <v>0.52322825394023453</v>
      </c>
      <c r="L12" s="68">
        <f>G12+[4]東大阪工場!L12</f>
        <v>151956202</v>
      </c>
      <c r="M12" s="128">
        <f t="shared" ref="M12:M13" si="12">L12/$L$10</f>
        <v>0.47692062495073867</v>
      </c>
      <c r="N12" s="76">
        <f t="shared" si="2"/>
        <v>0.69516499608722027</v>
      </c>
      <c r="O12" s="18"/>
      <c r="P12" s="22"/>
      <c r="Q12" s="67">
        <f t="shared" si="4"/>
        <v>0</v>
      </c>
      <c r="R12" s="22">
        <f>P12+[4]東大阪工場!R12</f>
        <v>0</v>
      </c>
      <c r="S12" s="66">
        <f t="shared" si="6"/>
        <v>0</v>
      </c>
      <c r="T12" s="48"/>
      <c r="U12" s="225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</row>
    <row r="13" spans="1:75" ht="15" customHeight="1" x14ac:dyDescent="0.15">
      <c r="A13" s="3"/>
      <c r="B13" s="148"/>
      <c r="C13" s="234"/>
      <c r="D13" s="227" t="s">
        <v>102</v>
      </c>
      <c r="E13" s="20">
        <f>[2]東大阪工場!L12</f>
        <v>1104400</v>
      </c>
      <c r="F13" s="135">
        <f t="shared" si="9"/>
        <v>2.5915832163495391E-2</v>
      </c>
      <c r="G13" s="20">
        <f>[3]東大阪工場!L12</f>
        <v>0</v>
      </c>
      <c r="H13" s="102">
        <f t="shared" si="3"/>
        <v>0</v>
      </c>
      <c r="I13" s="87">
        <f t="shared" si="1"/>
        <v>0</v>
      </c>
      <c r="J13" s="22">
        <f>E13+[4]東大阪工場!J13</f>
        <v>9111300</v>
      </c>
      <c r="K13" s="102">
        <f t="shared" si="11"/>
        <v>2.1809263495979912E-2</v>
      </c>
      <c r="L13" s="68">
        <f>G13+[4]東大阪工場!L13</f>
        <v>0</v>
      </c>
      <c r="M13" s="128">
        <f t="shared" si="12"/>
        <v>0</v>
      </c>
      <c r="N13" s="76">
        <f t="shared" si="2"/>
        <v>0</v>
      </c>
      <c r="O13" s="18"/>
      <c r="P13" s="22"/>
      <c r="Q13" s="67">
        <f t="shared" si="4"/>
        <v>0</v>
      </c>
      <c r="R13" s="22">
        <f>P13+[4]東大阪工場!R13</f>
        <v>0</v>
      </c>
      <c r="S13" s="66">
        <f t="shared" si="6"/>
        <v>0</v>
      </c>
      <c r="T13" s="48">
        <f t="shared" si="10"/>
        <v>0</v>
      </c>
      <c r="U13" s="225" t="str">
        <f t="shared" si="8"/>
        <v>-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</row>
    <row r="14" spans="1:75" ht="15" customHeight="1" x14ac:dyDescent="0.15">
      <c r="A14" s="3"/>
      <c r="B14" s="148"/>
      <c r="C14" s="234"/>
      <c r="D14" s="175" t="s">
        <v>100</v>
      </c>
      <c r="E14" s="20">
        <f>SUM(E12:E13)</f>
        <v>22663878</v>
      </c>
      <c r="F14" s="135">
        <f t="shared" si="9"/>
        <v>0.53183018690867045</v>
      </c>
      <c r="G14" s="20">
        <f>SUM(G12:G13)</f>
        <v>16271693</v>
      </c>
      <c r="H14" s="102">
        <f t="shared" si="3"/>
        <v>0.61997063999574187</v>
      </c>
      <c r="I14" s="76">
        <f t="shared" si="1"/>
        <v>0.71795713866797195</v>
      </c>
      <c r="J14" s="22">
        <f>SUM(J12:J13)</f>
        <v>227701423</v>
      </c>
      <c r="K14" s="102">
        <f>J14/$J$10</f>
        <v>0.54503751743621454</v>
      </c>
      <c r="L14" s="22">
        <f>SUM(L12:L13)</f>
        <v>151956202</v>
      </c>
      <c r="M14" s="128">
        <f>L14/$L$10</f>
        <v>0.47692062495073867</v>
      </c>
      <c r="N14" s="76">
        <f t="shared" si="2"/>
        <v>0.66734849522657569</v>
      </c>
      <c r="O14" s="18"/>
      <c r="P14" s="22">
        <f>[5]東大阪工場!L11</f>
        <v>22548850</v>
      </c>
      <c r="Q14" s="67">
        <f t="shared" si="4"/>
        <v>0.53</v>
      </c>
      <c r="R14" s="22">
        <f>P14+[4]東大阪工場!R14</f>
        <v>205499550</v>
      </c>
      <c r="S14" s="66">
        <f t="shared" si="6"/>
        <v>0.53</v>
      </c>
      <c r="T14" s="48">
        <f t="shared" si="7"/>
        <v>-53543348</v>
      </c>
      <c r="U14" s="225">
        <f t="shared" si="8"/>
        <v>0.73944785767170784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</row>
    <row r="15" spans="1:75" ht="15" customHeight="1" x14ac:dyDescent="0.15">
      <c r="A15" s="3"/>
      <c r="B15" s="148"/>
      <c r="C15" s="234"/>
      <c r="D15" s="175" t="s">
        <v>35</v>
      </c>
      <c r="E15" s="20"/>
      <c r="F15" s="135">
        <f t="shared" si="9"/>
        <v>0</v>
      </c>
      <c r="G15" s="20"/>
      <c r="H15" s="102">
        <f t="shared" si="3"/>
        <v>0</v>
      </c>
      <c r="I15" s="76" t="str">
        <f t="shared" si="1"/>
        <v>-</v>
      </c>
      <c r="J15" s="84">
        <v>11480608</v>
      </c>
      <c r="K15" s="102"/>
      <c r="L15" s="83">
        <v>7699484</v>
      </c>
      <c r="M15" s="102"/>
      <c r="N15" s="77">
        <f t="shared" si="2"/>
        <v>0.67065124077052363</v>
      </c>
      <c r="O15" s="18"/>
      <c r="P15" s="22"/>
      <c r="Q15" s="67">
        <f t="shared" si="4"/>
        <v>0</v>
      </c>
      <c r="R15" s="22">
        <f>P15+[4]東大阪工場!R15</f>
        <v>0</v>
      </c>
      <c r="S15" s="66">
        <f t="shared" si="6"/>
        <v>0</v>
      </c>
      <c r="T15" s="48">
        <f t="shared" si="7"/>
        <v>7699484</v>
      </c>
      <c r="U15" s="225" t="e">
        <f t="shared" si="8"/>
        <v>#DIV/0!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</row>
    <row r="16" spans="1:75" ht="15" customHeight="1" x14ac:dyDescent="0.15">
      <c r="A16" s="3"/>
      <c r="B16" s="148"/>
      <c r="C16" s="235"/>
      <c r="D16" s="189" t="s">
        <v>33</v>
      </c>
      <c r="E16" s="176">
        <f>E11+E14-E15</f>
        <v>22663878</v>
      </c>
      <c r="F16" s="133">
        <f>E16/$E$10</f>
        <v>0.53183018690867045</v>
      </c>
      <c r="G16" s="61">
        <f>G11+G14-G15</f>
        <v>16271693</v>
      </c>
      <c r="H16" s="100">
        <f t="shared" si="3"/>
        <v>0.61997063999574187</v>
      </c>
      <c r="I16" s="116">
        <f t="shared" si="1"/>
        <v>0.71795713866797195</v>
      </c>
      <c r="J16" s="61">
        <f>J11+J14-J15</f>
        <v>226905738</v>
      </c>
      <c r="K16" s="100">
        <f t="shared" ref="K16:K82" si="13">J16/$J$10</f>
        <v>0.5431329260140465</v>
      </c>
      <c r="L16" s="59">
        <f>L11+L14-L15</f>
        <v>158210643</v>
      </c>
      <c r="M16" s="100">
        <f t="shared" ref="M16:M82" si="14">L16/$L$10</f>
        <v>0.49655043848370339</v>
      </c>
      <c r="N16" s="116">
        <f>IF(J16,L16/J16,"-")</f>
        <v>0.69725271998189842</v>
      </c>
      <c r="O16" s="18"/>
      <c r="P16" s="59">
        <f>P11+P14-P15</f>
        <v>22548850</v>
      </c>
      <c r="Q16" s="60">
        <f t="shared" si="4"/>
        <v>0.53</v>
      </c>
      <c r="R16" s="59">
        <f>R11+R14-R15</f>
        <v>205499550</v>
      </c>
      <c r="S16" s="60">
        <f t="shared" si="6"/>
        <v>0.53</v>
      </c>
      <c r="T16" s="48">
        <f t="shared" si="7"/>
        <v>-47288907</v>
      </c>
      <c r="U16" s="225">
        <f t="shared" si="8"/>
        <v>0.76988316032808835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</row>
    <row r="17" spans="1:75" ht="15" customHeight="1" x14ac:dyDescent="0.15">
      <c r="A17" s="3"/>
      <c r="B17" s="148"/>
      <c r="C17" s="233" t="s">
        <v>36</v>
      </c>
      <c r="D17" s="175" t="s">
        <v>91</v>
      </c>
      <c r="E17" s="23">
        <f>[2]東大阪工場!L17</f>
        <v>3542843</v>
      </c>
      <c r="F17" s="135">
        <f t="shared" si="9"/>
        <v>8.3136295336485422E-2</v>
      </c>
      <c r="G17" s="23">
        <f>[3]東大阪工場!L17</f>
        <v>3411149</v>
      </c>
      <c r="H17" s="102">
        <f t="shared" si="3"/>
        <v>0.12996878865959643</v>
      </c>
      <c r="I17" s="76">
        <f t="shared" si="1"/>
        <v>0.96282815806401811</v>
      </c>
      <c r="J17" s="22">
        <f>E17+[4]東大阪工場!J17</f>
        <v>34040332</v>
      </c>
      <c r="K17" s="102">
        <f t="shared" si="13"/>
        <v>8.1480641629475145E-2</v>
      </c>
      <c r="L17" s="68">
        <f>G17+[4]東大阪工場!L17</f>
        <v>32144580</v>
      </c>
      <c r="M17" s="128">
        <f t="shared" si="14"/>
        <v>0.10088705153593543</v>
      </c>
      <c r="N17" s="76">
        <f t="shared" si="2"/>
        <v>0.94430865127872432</v>
      </c>
      <c r="O17" s="18"/>
      <c r="P17" s="22">
        <f>[5]東大阪工場!L15</f>
        <v>3600000</v>
      </c>
      <c r="Q17" s="67">
        <f t="shared" si="4"/>
        <v>8.4616288635562351E-2</v>
      </c>
      <c r="R17" s="22">
        <f>P17+[4]東大阪工場!R17</f>
        <v>32400000</v>
      </c>
      <c r="S17" s="66">
        <f t="shared" si="6"/>
        <v>8.3562226778598786E-2</v>
      </c>
      <c r="T17" s="48">
        <f t="shared" si="7"/>
        <v>-255420</v>
      </c>
      <c r="U17" s="225">
        <f t="shared" si="8"/>
        <v>0.99211666666666665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</row>
    <row r="18" spans="1:75" ht="15" customHeight="1" x14ac:dyDescent="0.15">
      <c r="A18" s="3"/>
      <c r="B18" s="148"/>
      <c r="C18" s="234"/>
      <c r="D18" s="175" t="s">
        <v>92</v>
      </c>
      <c r="E18" s="23">
        <f>[2]東大阪工場!L18</f>
        <v>830000</v>
      </c>
      <c r="F18" s="135">
        <f t="shared" si="9"/>
        <v>1.9476766294550141E-2</v>
      </c>
      <c r="G18" s="23">
        <f>[3]東大阪工場!L18</f>
        <v>950000</v>
      </c>
      <c r="H18" s="103">
        <f t="shared" si="3"/>
        <v>3.6196117269171359E-2</v>
      </c>
      <c r="I18" s="87">
        <f t="shared" si="1"/>
        <v>1.1445783132530121</v>
      </c>
      <c r="J18" s="22">
        <f>E18+[4]東大阪工場!J18</f>
        <v>7470000</v>
      </c>
      <c r="K18" s="102">
        <f t="shared" si="13"/>
        <v>1.7880565705768656E-2</v>
      </c>
      <c r="L18" s="68">
        <f>G18+[4]東大阪工場!L18</f>
        <v>8550000</v>
      </c>
      <c r="M18" s="128">
        <f t="shared" si="14"/>
        <v>2.683451737842734E-2</v>
      </c>
      <c r="N18" s="76">
        <f t="shared" si="2"/>
        <v>1.1445783132530121</v>
      </c>
      <c r="O18" s="18"/>
      <c r="P18" s="22">
        <f>[5]東大阪工場!L16</f>
        <v>950000</v>
      </c>
      <c r="Q18" s="66">
        <f t="shared" si="4"/>
        <v>2.2329298389940064E-2</v>
      </c>
      <c r="R18" s="22">
        <f>P18+[4]東大阪工場!R18</f>
        <v>8550000</v>
      </c>
      <c r="S18" s="66">
        <f t="shared" si="6"/>
        <v>2.2051143177685792E-2</v>
      </c>
      <c r="T18" s="48">
        <f t="shared" si="7"/>
        <v>0</v>
      </c>
      <c r="U18" s="225">
        <f t="shared" si="8"/>
        <v>1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</row>
    <row r="19" spans="1:75" ht="15" customHeight="1" x14ac:dyDescent="0.15">
      <c r="A19" s="3"/>
      <c r="B19" s="148"/>
      <c r="C19" s="234"/>
      <c r="D19" s="175" t="s">
        <v>0</v>
      </c>
      <c r="E19" s="23">
        <f>[2]東大阪工場!L19</f>
        <v>0</v>
      </c>
      <c r="F19" s="135">
        <f t="shared" si="9"/>
        <v>0</v>
      </c>
      <c r="G19" s="23">
        <f>[3]東大阪工場!L19</f>
        <v>0</v>
      </c>
      <c r="H19" s="103">
        <f t="shared" si="3"/>
        <v>0</v>
      </c>
      <c r="I19" s="87" t="str">
        <f t="shared" si="1"/>
        <v>-</v>
      </c>
      <c r="J19" s="22">
        <f>E19+[4]東大阪工場!J19</f>
        <v>0</v>
      </c>
      <c r="K19" s="102">
        <f t="shared" si="13"/>
        <v>0</v>
      </c>
      <c r="L19" s="68">
        <f>G19+[4]東大阪工場!L19</f>
        <v>0</v>
      </c>
      <c r="M19" s="128">
        <f t="shared" si="14"/>
        <v>0</v>
      </c>
      <c r="N19" s="76" t="str">
        <f t="shared" si="2"/>
        <v>-</v>
      </c>
      <c r="O19" s="18"/>
      <c r="P19" s="22">
        <f>[5]東大阪工場!L17</f>
        <v>0</v>
      </c>
      <c r="Q19" s="66">
        <f t="shared" si="4"/>
        <v>0</v>
      </c>
      <c r="R19" s="22">
        <f>P19+[4]東大阪工場!R19</f>
        <v>0</v>
      </c>
      <c r="S19" s="66">
        <f t="shared" si="6"/>
        <v>0</v>
      </c>
      <c r="T19" s="48">
        <f t="shared" si="7"/>
        <v>0</v>
      </c>
      <c r="U19" s="225" t="str">
        <f t="shared" si="8"/>
        <v>-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</row>
    <row r="20" spans="1:75" ht="15" customHeight="1" x14ac:dyDescent="0.15">
      <c r="A20" s="3"/>
      <c r="B20" s="148"/>
      <c r="C20" s="234"/>
      <c r="D20" s="175" t="s">
        <v>38</v>
      </c>
      <c r="E20" s="23">
        <f>[2]東大阪工場!L20</f>
        <v>540479</v>
      </c>
      <c r="F20" s="135">
        <f t="shared" si="9"/>
        <v>1.2682871289291766E-2</v>
      </c>
      <c r="G20" s="23">
        <f>[3]東大阪工場!L20</f>
        <v>567959</v>
      </c>
      <c r="H20" s="103">
        <f t="shared" si="3"/>
        <v>2.1639905861138207E-2</v>
      </c>
      <c r="I20" s="87">
        <f t="shared" si="1"/>
        <v>1.0508437885653281</v>
      </c>
      <c r="J20" s="22">
        <f>E20+[4]東大阪工場!J20</f>
        <v>6795470</v>
      </c>
      <c r="K20" s="102">
        <f t="shared" si="13"/>
        <v>1.6265976952688048E-2</v>
      </c>
      <c r="L20" s="68">
        <f>G20+[4]東大阪工場!L20</f>
        <v>7427975</v>
      </c>
      <c r="M20" s="128">
        <f t="shared" si="14"/>
        <v>2.3312996985265944E-2</v>
      </c>
      <c r="N20" s="76">
        <f t="shared" si="2"/>
        <v>1.0930774471817255</v>
      </c>
      <c r="O20" s="18"/>
      <c r="P20" s="22">
        <f>[5]東大阪工場!L18</f>
        <v>585000</v>
      </c>
      <c r="Q20" s="67">
        <f t="shared" si="4"/>
        <v>1.3750146903278882E-2</v>
      </c>
      <c r="R20" s="22">
        <f>P20+[4]東大阪工場!R20</f>
        <v>6791000</v>
      </c>
      <c r="S20" s="66">
        <f t="shared" si="6"/>
        <v>1.751453956955137E-2</v>
      </c>
      <c r="T20" s="48">
        <f t="shared" si="7"/>
        <v>636975</v>
      </c>
      <c r="U20" s="225">
        <f t="shared" si="8"/>
        <v>1.0937969371226623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</row>
    <row r="21" spans="1:75" ht="15" customHeight="1" x14ac:dyDescent="0.15">
      <c r="A21" s="3"/>
      <c r="B21" s="148"/>
      <c r="C21" s="234"/>
      <c r="D21" s="175" t="s">
        <v>39</v>
      </c>
      <c r="E21" s="23">
        <f>[2]東大阪工場!L21</f>
        <v>173064</v>
      </c>
      <c r="F21" s="135">
        <f t="shared" si="9"/>
        <v>4.0611169662650905E-3</v>
      </c>
      <c r="G21" s="23">
        <f>[3]東大阪工場!L21</f>
        <v>185064</v>
      </c>
      <c r="H21" s="102">
        <f t="shared" si="3"/>
        <v>7.0511560487388717E-3</v>
      </c>
      <c r="I21" s="76">
        <f t="shared" si="1"/>
        <v>1.069338510608792</v>
      </c>
      <c r="J21" s="22">
        <f>E21+[4]東大阪工場!J21</f>
        <v>1506957</v>
      </c>
      <c r="K21" s="102">
        <f t="shared" si="13"/>
        <v>3.6071276645606447E-3</v>
      </c>
      <c r="L21" s="68">
        <f>G21+[4]東大阪工場!L21</f>
        <v>1631976</v>
      </c>
      <c r="M21" s="128">
        <f t="shared" si="14"/>
        <v>5.122022027272086E-3</v>
      </c>
      <c r="N21" s="76">
        <f t="shared" si="2"/>
        <v>1.0829612258345793</v>
      </c>
      <c r="O21" s="18"/>
      <c r="P21" s="22">
        <f>[5]東大阪工場!L19</f>
        <v>195000</v>
      </c>
      <c r="Q21" s="67">
        <f t="shared" si="4"/>
        <v>4.58338230109296E-3</v>
      </c>
      <c r="R21" s="22">
        <f>P21+[4]東大阪工場!R21</f>
        <v>1685000</v>
      </c>
      <c r="S21" s="66">
        <f t="shared" si="6"/>
        <v>4.3457516087018191E-3</v>
      </c>
      <c r="T21" s="48">
        <f t="shared" si="7"/>
        <v>-53024</v>
      </c>
      <c r="U21" s="225">
        <f t="shared" si="8"/>
        <v>0.96853175074183973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</row>
    <row r="22" spans="1:75" ht="15" customHeight="1" x14ac:dyDescent="0.15">
      <c r="A22" s="3"/>
      <c r="B22" s="148"/>
      <c r="C22" s="234"/>
      <c r="D22" s="175" t="s">
        <v>93</v>
      </c>
      <c r="E22" s="23">
        <f>[2]東大阪工場!L22</f>
        <v>1327783</v>
      </c>
      <c r="F22" s="135">
        <f t="shared" si="9"/>
        <v>3.1157733952863458E-2</v>
      </c>
      <c r="G22" s="23">
        <f>[3]東大阪工場!L22</f>
        <v>1331084</v>
      </c>
      <c r="H22" s="102">
        <f t="shared" si="3"/>
        <v>5.0715865851702832E-2</v>
      </c>
      <c r="I22" s="76">
        <f t="shared" si="1"/>
        <v>1.0024860990086482</v>
      </c>
      <c r="J22" s="22">
        <f>E22+[4]東大阪工場!J22</f>
        <v>13315843</v>
      </c>
      <c r="K22" s="102">
        <f t="shared" si="13"/>
        <v>3.1873467963748278E-2</v>
      </c>
      <c r="L22" s="68">
        <f>G22+[4]東大阪工場!L22</f>
        <v>11972621</v>
      </c>
      <c r="M22" s="128">
        <f t="shared" si="14"/>
        <v>3.7576550443254288E-2</v>
      </c>
      <c r="N22" s="76">
        <f t="shared" si="2"/>
        <v>0.89912602604281233</v>
      </c>
      <c r="O22" s="18"/>
      <c r="P22" s="22">
        <f>[5]東大阪工場!L20</f>
        <v>1345000</v>
      </c>
      <c r="Q22" s="67">
        <f t="shared" si="4"/>
        <v>3.1613585615230935E-2</v>
      </c>
      <c r="R22" s="22">
        <f>P22+[4]東大阪工場!R22</f>
        <v>12105000</v>
      </c>
      <c r="S22" s="66">
        <f t="shared" si="6"/>
        <v>3.1219776393670934E-2</v>
      </c>
      <c r="T22" s="48">
        <f t="shared" si="7"/>
        <v>-132379</v>
      </c>
      <c r="U22" s="225">
        <f t="shared" si="8"/>
        <v>0.98906410574142911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</row>
    <row r="23" spans="1:75" ht="15" customHeight="1" x14ac:dyDescent="0.15">
      <c r="A23" s="3"/>
      <c r="B23" s="148"/>
      <c r="C23" s="234"/>
      <c r="D23" s="175" t="s">
        <v>90</v>
      </c>
      <c r="E23" s="23">
        <f>[2]東大阪工場!L23</f>
        <v>0</v>
      </c>
      <c r="F23" s="135">
        <f t="shared" si="9"/>
        <v>0</v>
      </c>
      <c r="G23" s="23">
        <f>[3]東大阪工場!L23</f>
        <v>0</v>
      </c>
      <c r="H23" s="102">
        <f t="shared" si="3"/>
        <v>0</v>
      </c>
      <c r="I23" s="76" t="str">
        <f t="shared" si="1"/>
        <v>-</v>
      </c>
      <c r="J23" s="22">
        <f>E23+[4]東大阪工場!J23</f>
        <v>0</v>
      </c>
      <c r="K23" s="102">
        <f t="shared" si="13"/>
        <v>0</v>
      </c>
      <c r="L23" s="68">
        <f>G23+[4]東大阪工場!L23</f>
        <v>0</v>
      </c>
      <c r="M23" s="128">
        <f t="shared" si="14"/>
        <v>0</v>
      </c>
      <c r="N23" s="76" t="str">
        <f t="shared" si="2"/>
        <v>-</v>
      </c>
      <c r="O23" s="18"/>
      <c r="P23" s="22">
        <f>[5]東大阪工場!L21</f>
        <v>0</v>
      </c>
      <c r="Q23" s="67">
        <f t="shared" si="4"/>
        <v>0</v>
      </c>
      <c r="R23" s="22">
        <f>P23+[4]東大阪工場!R23</f>
        <v>0</v>
      </c>
      <c r="S23" s="66">
        <f t="shared" si="6"/>
        <v>0</v>
      </c>
      <c r="T23" s="48">
        <f t="shared" si="7"/>
        <v>0</v>
      </c>
      <c r="U23" s="225" t="str">
        <f t="shared" si="8"/>
        <v>-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</row>
    <row r="24" spans="1:75" ht="15" customHeight="1" x14ac:dyDescent="0.15">
      <c r="A24" s="3"/>
      <c r="B24" s="148"/>
      <c r="C24" s="235"/>
      <c r="D24" s="189" t="s">
        <v>37</v>
      </c>
      <c r="E24" s="62">
        <f>SUM(E17:E23)</f>
        <v>6414169</v>
      </c>
      <c r="F24" s="136">
        <f>E24/$E$10</f>
        <v>0.15051478383945588</v>
      </c>
      <c r="G24" s="62">
        <f>SUM(G17:G23)</f>
        <v>6445256</v>
      </c>
      <c r="H24" s="118">
        <f t="shared" si="3"/>
        <v>0.24557183369034771</v>
      </c>
      <c r="I24" s="117">
        <f t="shared" si="1"/>
        <v>1.0048466138014138</v>
      </c>
      <c r="J24" s="176">
        <f>SUM(J17:J23)</f>
        <v>63128602</v>
      </c>
      <c r="K24" s="118">
        <f t="shared" si="13"/>
        <v>0.15110777991624078</v>
      </c>
      <c r="L24" s="62">
        <f>SUM(L17:L23)</f>
        <v>61727152</v>
      </c>
      <c r="M24" s="118">
        <f t="shared" si="14"/>
        <v>0.1937331383701551</v>
      </c>
      <c r="N24" s="117">
        <f>IF(J24,L24/J24,"-")</f>
        <v>0.97780007863947316</v>
      </c>
      <c r="O24" s="55"/>
      <c r="P24" s="64">
        <f>SUM(P17:P23)</f>
        <v>6675000</v>
      </c>
      <c r="Q24" s="63">
        <f t="shared" si="4"/>
        <v>0.15689270184510518</v>
      </c>
      <c r="R24" s="64">
        <f>SUM(R17:R23)</f>
        <v>61531000</v>
      </c>
      <c r="S24" s="63">
        <f t="shared" si="6"/>
        <v>0.15869343752820869</v>
      </c>
      <c r="T24" s="48">
        <f t="shared" si="7"/>
        <v>196152</v>
      </c>
      <c r="U24" s="225">
        <f t="shared" si="8"/>
        <v>1.003187856527604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</row>
    <row r="25" spans="1:75" ht="15" customHeight="1" x14ac:dyDescent="0.15">
      <c r="A25" s="3"/>
      <c r="B25" s="148"/>
      <c r="C25" s="288" t="s">
        <v>2</v>
      </c>
      <c r="D25" s="195" t="s">
        <v>40</v>
      </c>
      <c r="E25" s="23">
        <f>[2]東大阪工場!L25</f>
        <v>0</v>
      </c>
      <c r="F25" s="138">
        <f t="shared" si="9"/>
        <v>0</v>
      </c>
      <c r="G25" s="23">
        <f>[3]東大阪工場!L25</f>
        <v>0</v>
      </c>
      <c r="H25" s="101">
        <f t="shared" si="3"/>
        <v>0</v>
      </c>
      <c r="I25" s="76" t="str">
        <f t="shared" si="1"/>
        <v>-</v>
      </c>
      <c r="J25" s="22">
        <f>E25+[4]東大阪工場!J25</f>
        <v>231518</v>
      </c>
      <c r="K25" s="102">
        <f t="shared" si="13"/>
        <v>5.5417306707739597E-4</v>
      </c>
      <c r="L25" s="68">
        <f>G25+[4]東大阪工場!L25</f>
        <v>0</v>
      </c>
      <c r="M25" s="128">
        <f t="shared" si="14"/>
        <v>0</v>
      </c>
      <c r="N25" s="76">
        <f t="shared" si="2"/>
        <v>0</v>
      </c>
      <c r="O25" s="18"/>
      <c r="P25" s="22">
        <f>[5]東大阪工場!L23</f>
        <v>0</v>
      </c>
      <c r="Q25" s="67">
        <f t="shared" si="4"/>
        <v>0</v>
      </c>
      <c r="R25" s="22">
        <f>P25+[4]東大阪工場!R25</f>
        <v>0</v>
      </c>
      <c r="S25" s="66">
        <f t="shared" si="6"/>
        <v>0</v>
      </c>
      <c r="T25" s="48">
        <f t="shared" si="7"/>
        <v>0</v>
      </c>
      <c r="U25" s="225" t="str">
        <f t="shared" si="8"/>
        <v>-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</row>
    <row r="26" spans="1:75" ht="15" customHeight="1" x14ac:dyDescent="0.15">
      <c r="A26" s="3"/>
      <c r="B26" s="148"/>
      <c r="C26" s="289"/>
      <c r="D26" s="195" t="s">
        <v>41</v>
      </c>
      <c r="E26" s="23">
        <f>[2]東大阪工場!L26</f>
        <v>0</v>
      </c>
      <c r="F26" s="138">
        <f t="shared" si="9"/>
        <v>0</v>
      </c>
      <c r="G26" s="23">
        <f>[3]東大阪工場!L26</f>
        <v>0</v>
      </c>
      <c r="H26" s="101">
        <f t="shared" si="3"/>
        <v>0</v>
      </c>
      <c r="I26" s="76" t="str">
        <f t="shared" si="1"/>
        <v>-</v>
      </c>
      <c r="J26" s="22">
        <f>E26+[4]東大阪工場!J26</f>
        <v>381106</v>
      </c>
      <c r="K26" s="102">
        <f t="shared" si="13"/>
        <v>9.1223438739794775E-4</v>
      </c>
      <c r="L26" s="68">
        <f>G26+[4]東大阪工場!L26</f>
        <v>437734</v>
      </c>
      <c r="M26" s="128">
        <f t="shared" si="14"/>
        <v>1.3738456877343292E-3</v>
      </c>
      <c r="N26" s="76">
        <f t="shared" si="2"/>
        <v>1.1485885816544479</v>
      </c>
      <c r="O26" s="18"/>
      <c r="P26" s="22">
        <f>[5]東大阪工場!L24</f>
        <v>40000</v>
      </c>
      <c r="Q26" s="67">
        <f t="shared" si="4"/>
        <v>9.4018098483958162E-4</v>
      </c>
      <c r="R26" s="22">
        <f>P26+[4]東大阪工場!R26</f>
        <v>320000</v>
      </c>
      <c r="S26" s="66">
        <f t="shared" si="6"/>
        <v>8.2530594349233366E-4</v>
      </c>
      <c r="T26" s="48">
        <f t="shared" si="7"/>
        <v>117734</v>
      </c>
      <c r="U26" s="225">
        <f t="shared" si="8"/>
        <v>1.3679187500000001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</row>
    <row r="27" spans="1:75" ht="15" customHeight="1" x14ac:dyDescent="0.15">
      <c r="A27" s="3"/>
      <c r="B27" s="148"/>
      <c r="C27" s="289"/>
      <c r="D27" s="195" t="s">
        <v>42</v>
      </c>
      <c r="E27" s="23">
        <f>[2]東大阪工場!L27</f>
        <v>219287</v>
      </c>
      <c r="F27" s="134">
        <f t="shared" si="9"/>
        <v>5.1457851210036341E-3</v>
      </c>
      <c r="G27" s="23">
        <f>[3]東大阪工場!L27</f>
        <v>149590</v>
      </c>
      <c r="H27" s="101">
        <f t="shared" si="3"/>
        <v>5.6995549287319411E-3</v>
      </c>
      <c r="I27" s="76">
        <f t="shared" si="1"/>
        <v>0.68216538144076033</v>
      </c>
      <c r="J27" s="22">
        <f>E27+[4]東大阪工場!J27</f>
        <v>2564982</v>
      </c>
      <c r="K27" s="102">
        <f t="shared" si="13"/>
        <v>6.1396692349550063E-3</v>
      </c>
      <c r="L27" s="68">
        <f>G27+[4]東大阪工場!L27</f>
        <v>1881385</v>
      </c>
      <c r="M27" s="128">
        <f t="shared" si="14"/>
        <v>5.9048021611710555E-3</v>
      </c>
      <c r="N27" s="76">
        <f t="shared" si="2"/>
        <v>0.73348857808748757</v>
      </c>
      <c r="O27" s="18"/>
      <c r="P27" s="22">
        <f>[5]東大阪工場!L25</f>
        <v>280000</v>
      </c>
      <c r="Q27" s="67">
        <f t="shared" si="4"/>
        <v>6.581266893877071E-3</v>
      </c>
      <c r="R27" s="22">
        <f>P27+[4]東大阪工場!R27</f>
        <v>2520000</v>
      </c>
      <c r="S27" s="66">
        <f t="shared" si="6"/>
        <v>6.4992843050021279E-3</v>
      </c>
      <c r="T27" s="48">
        <f t="shared" si="7"/>
        <v>-638615</v>
      </c>
      <c r="U27" s="225">
        <f t="shared" si="8"/>
        <v>0.74658134920634922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</row>
    <row r="28" spans="1:75" ht="15" customHeight="1" x14ac:dyDescent="0.15">
      <c r="A28" s="3"/>
      <c r="B28" s="148"/>
      <c r="C28" s="289"/>
      <c r="D28" s="195" t="s">
        <v>43</v>
      </c>
      <c r="E28" s="23">
        <f>[2]東大阪工場!L28</f>
        <v>192490</v>
      </c>
      <c r="F28" s="134">
        <f t="shared" si="9"/>
        <v>4.5169671614915139E-3</v>
      </c>
      <c r="G28" s="23">
        <f>[3]東大阪工場!L28</f>
        <v>195490</v>
      </c>
      <c r="H28" s="101">
        <f t="shared" si="3"/>
        <v>7.4483989104740097E-3</v>
      </c>
      <c r="I28" s="76">
        <f t="shared" si="1"/>
        <v>1.0155852252065043</v>
      </c>
      <c r="J28" s="22">
        <f>E28+[4]東大阪工場!J28</f>
        <v>1702490</v>
      </c>
      <c r="K28" s="102">
        <f t="shared" si="13"/>
        <v>4.0751652353967979E-3</v>
      </c>
      <c r="L28" s="68">
        <f>G28+[4]東大阪工場!L28</f>
        <v>1724380</v>
      </c>
      <c r="M28" s="128">
        <f t="shared" si="14"/>
        <v>5.4120356815219343E-3</v>
      </c>
      <c r="N28" s="76">
        <f t="shared" si="2"/>
        <v>1.0128576379303256</v>
      </c>
      <c r="O28" s="18"/>
      <c r="P28" s="22">
        <f>[5]東大阪工場!L26</f>
        <v>177000</v>
      </c>
      <c r="Q28" s="67">
        <f t="shared" si="4"/>
        <v>4.1603008579151482E-3</v>
      </c>
      <c r="R28" s="22">
        <f>P28+[4]東大阪工場!R28</f>
        <v>1593000</v>
      </c>
      <c r="S28" s="66">
        <f t="shared" si="6"/>
        <v>4.1084761499477736E-3</v>
      </c>
      <c r="T28" s="48">
        <f t="shared" si="7"/>
        <v>131380</v>
      </c>
      <c r="U28" s="225">
        <f t="shared" si="8"/>
        <v>1.0824733207784056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</row>
    <row r="29" spans="1:75" ht="15" customHeight="1" x14ac:dyDescent="0.15">
      <c r="A29" s="3"/>
      <c r="B29" s="148"/>
      <c r="C29" s="289"/>
      <c r="D29" s="195" t="s">
        <v>44</v>
      </c>
      <c r="E29" s="23">
        <f>[2]東大阪工場!L29</f>
        <v>409031</v>
      </c>
      <c r="F29" s="134">
        <f t="shared" si="9"/>
        <v>9.5983146918387219E-3</v>
      </c>
      <c r="G29" s="23">
        <f>[3]東大阪工場!L29</f>
        <v>288295</v>
      </c>
      <c r="H29" s="101">
        <f t="shared" si="3"/>
        <v>1.0984378555911323E-2</v>
      </c>
      <c r="I29" s="76">
        <f t="shared" si="1"/>
        <v>0.7048243287183612</v>
      </c>
      <c r="J29" s="22">
        <f>E29+[4]東大阪工場!J29</f>
        <v>3492148</v>
      </c>
      <c r="K29" s="102">
        <f t="shared" si="13"/>
        <v>8.3589801563947255E-3</v>
      </c>
      <c r="L29" s="68">
        <f>G29+[4]東大阪工場!L29</f>
        <v>2595968</v>
      </c>
      <c r="M29" s="128">
        <f t="shared" si="14"/>
        <v>8.1475495216188614E-3</v>
      </c>
      <c r="N29" s="76">
        <f t="shared" si="2"/>
        <v>0.74337284674074522</v>
      </c>
      <c r="O29" s="18"/>
      <c r="P29" s="22">
        <f>[5]東大阪工場!L27</f>
        <v>380000</v>
      </c>
      <c r="Q29" s="67">
        <f t="shared" si="4"/>
        <v>8.9317193559760259E-3</v>
      </c>
      <c r="R29" s="22">
        <f>P29+[4]東大阪工場!R29</f>
        <v>3040000</v>
      </c>
      <c r="S29" s="66">
        <f t="shared" si="6"/>
        <v>7.8404064631771696E-3</v>
      </c>
      <c r="T29" s="48">
        <f t="shared" si="7"/>
        <v>-444032</v>
      </c>
      <c r="U29" s="225">
        <f>IF(L29,L29/R29,"-")</f>
        <v>0.85393684210526311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</row>
    <row r="30" spans="1:75" ht="15" customHeight="1" x14ac:dyDescent="0.15">
      <c r="A30" s="3"/>
      <c r="B30" s="148"/>
      <c r="C30" s="289"/>
      <c r="D30" s="195" t="s">
        <v>45</v>
      </c>
      <c r="E30" s="23">
        <f>[2]東大阪工場!L30</f>
        <v>38500</v>
      </c>
      <c r="F30" s="134">
        <f t="shared" si="9"/>
        <v>9.0344036426527759E-4</v>
      </c>
      <c r="G30" s="23">
        <f>[3]東大阪工場!L30</f>
        <v>102317</v>
      </c>
      <c r="H30" s="101">
        <f t="shared" si="3"/>
        <v>3.898398032241901E-3</v>
      </c>
      <c r="I30" s="87">
        <f t="shared" si="1"/>
        <v>2.6575844155844157</v>
      </c>
      <c r="J30" s="22">
        <f>E30+[4]東大阪工場!J30</f>
        <v>2281224</v>
      </c>
      <c r="K30" s="102">
        <f t="shared" si="13"/>
        <v>5.4604518904386072E-3</v>
      </c>
      <c r="L30" s="68">
        <f>G30+[4]東大阪工場!L30</f>
        <v>415817</v>
      </c>
      <c r="M30" s="128">
        <f t="shared" si="14"/>
        <v>1.3050583055842716E-3</v>
      </c>
      <c r="N30" s="76">
        <f t="shared" si="2"/>
        <v>0.1822780226755461</v>
      </c>
      <c r="O30" s="18"/>
      <c r="P30" s="22">
        <f>[5]東大阪工場!L28</f>
        <v>270000</v>
      </c>
      <c r="Q30" s="67">
        <f t="shared" si="4"/>
        <v>6.3462216476671759E-3</v>
      </c>
      <c r="R30" s="22">
        <f>P30+[4]東大阪工場!R30</f>
        <v>2160000</v>
      </c>
      <c r="S30" s="66">
        <f t="shared" si="6"/>
        <v>5.5708151185732526E-3</v>
      </c>
      <c r="T30" s="48">
        <f t="shared" si="7"/>
        <v>-1744183</v>
      </c>
      <c r="U30" s="225">
        <f t="shared" si="8"/>
        <v>0.19250787037037037</v>
      </c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</row>
    <row r="31" spans="1:75" ht="15" customHeight="1" x14ac:dyDescent="0.15">
      <c r="A31" s="3"/>
      <c r="B31" s="148"/>
      <c r="C31" s="289"/>
      <c r="D31" s="195" t="s">
        <v>46</v>
      </c>
      <c r="E31" s="23">
        <f>[2]東大阪工場!L31</f>
        <v>530000</v>
      </c>
      <c r="F31" s="134">
        <f t="shared" si="9"/>
        <v>1.2436971248327199E-2</v>
      </c>
      <c r="G31" s="23">
        <f>[3]東大阪工場!L31</f>
        <v>270000</v>
      </c>
      <c r="H31" s="101">
        <f t="shared" si="3"/>
        <v>1.0287317539659228E-2</v>
      </c>
      <c r="I31" s="76">
        <f t="shared" si="1"/>
        <v>0.50943396226415094</v>
      </c>
      <c r="J31" s="22">
        <f>E31+[4]東大阪工場!J31</f>
        <v>4770000</v>
      </c>
      <c r="K31" s="102">
        <f t="shared" si="13"/>
        <v>1.1417710631394443E-2</v>
      </c>
      <c r="L31" s="68">
        <f>G31+[4]東大阪工場!L31</f>
        <v>2430000</v>
      </c>
      <c r="M31" s="128">
        <f t="shared" si="14"/>
        <v>7.6266523075530336E-3</v>
      </c>
      <c r="N31" s="76">
        <f t="shared" si="2"/>
        <v>0.50943396226415094</v>
      </c>
      <c r="O31" s="18"/>
      <c r="P31" s="22">
        <f>[5]東大阪工場!L29</f>
        <v>270000</v>
      </c>
      <c r="Q31" s="67">
        <f t="shared" si="4"/>
        <v>6.3462216476671759E-3</v>
      </c>
      <c r="R31" s="22">
        <f>P31+[4]東大阪工場!R31</f>
        <v>2430000</v>
      </c>
      <c r="S31" s="66">
        <f t="shared" si="6"/>
        <v>6.2671670083949086E-3</v>
      </c>
      <c r="T31" s="48">
        <f t="shared" si="7"/>
        <v>0</v>
      </c>
      <c r="U31" s="225">
        <f t="shared" si="8"/>
        <v>1</v>
      </c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</row>
    <row r="32" spans="1:75" ht="15" customHeight="1" x14ac:dyDescent="0.15">
      <c r="A32" s="3"/>
      <c r="B32" s="148"/>
      <c r="C32" s="289"/>
      <c r="D32" s="195" t="s">
        <v>47</v>
      </c>
      <c r="E32" s="23">
        <f>[2]東大阪工場!L32</f>
        <v>990000</v>
      </c>
      <c r="F32" s="134">
        <f t="shared" si="9"/>
        <v>2.3231323652535711E-2</v>
      </c>
      <c r="G32" s="23">
        <f>[3]東大阪工場!L32</f>
        <v>990000</v>
      </c>
      <c r="H32" s="101">
        <f t="shared" si="3"/>
        <v>3.7720164312083838E-2</v>
      </c>
      <c r="I32" s="76">
        <f t="shared" si="1"/>
        <v>1</v>
      </c>
      <c r="J32" s="22">
        <f>E32+[4]東大阪工場!J32</f>
        <v>8910000</v>
      </c>
      <c r="K32" s="102">
        <f t="shared" si="13"/>
        <v>2.1327421745434904E-2</v>
      </c>
      <c r="L32" s="68">
        <f>G32+[4]東大阪工場!L32</f>
        <v>8910000</v>
      </c>
      <c r="M32" s="128">
        <f t="shared" si="14"/>
        <v>2.7964391794361124E-2</v>
      </c>
      <c r="N32" s="76">
        <f t="shared" si="2"/>
        <v>1</v>
      </c>
      <c r="O32" s="18"/>
      <c r="P32" s="22">
        <f>[5]東大阪工場!L30</f>
        <v>990000</v>
      </c>
      <c r="Q32" s="67">
        <f t="shared" si="4"/>
        <v>2.3269479374779644E-2</v>
      </c>
      <c r="R32" s="22">
        <f>P32+[4]東大阪工場!R32</f>
        <v>8910000</v>
      </c>
      <c r="S32" s="66">
        <f t="shared" si="6"/>
        <v>2.2979612364114665E-2</v>
      </c>
      <c r="T32" s="48">
        <f t="shared" si="7"/>
        <v>0</v>
      </c>
      <c r="U32" s="225">
        <f t="shared" si="8"/>
        <v>1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</row>
    <row r="33" spans="1:75" ht="15" customHeight="1" x14ac:dyDescent="0.15">
      <c r="A33" s="3"/>
      <c r="B33" s="148"/>
      <c r="C33" s="289"/>
      <c r="D33" s="195" t="s">
        <v>22</v>
      </c>
      <c r="E33" s="23">
        <f>[2]東大阪工場!L33</f>
        <v>0</v>
      </c>
      <c r="F33" s="134">
        <f t="shared" si="9"/>
        <v>0</v>
      </c>
      <c r="G33" s="23">
        <f>[3]東大阪工場!L33</f>
        <v>0</v>
      </c>
      <c r="H33" s="101">
        <f t="shared" si="3"/>
        <v>0</v>
      </c>
      <c r="I33" s="76" t="str">
        <f t="shared" si="1"/>
        <v>-</v>
      </c>
      <c r="J33" s="22">
        <f>E33+[4]東大阪工場!J33</f>
        <v>0</v>
      </c>
      <c r="K33" s="102">
        <f t="shared" si="13"/>
        <v>0</v>
      </c>
      <c r="L33" s="68">
        <f>G33+[4]東大阪工場!L33</f>
        <v>0</v>
      </c>
      <c r="M33" s="128">
        <f t="shared" si="14"/>
        <v>0</v>
      </c>
      <c r="N33" s="76" t="str">
        <f t="shared" si="2"/>
        <v>-</v>
      </c>
      <c r="O33" s="18"/>
      <c r="P33" s="22">
        <f>[5]東大阪工場!L31</f>
        <v>0</v>
      </c>
      <c r="Q33" s="67">
        <f t="shared" si="4"/>
        <v>0</v>
      </c>
      <c r="R33" s="22">
        <f>P33+[4]東大阪工場!R33</f>
        <v>0</v>
      </c>
      <c r="S33" s="66">
        <f t="shared" si="6"/>
        <v>0</v>
      </c>
      <c r="T33" s="48">
        <f t="shared" si="7"/>
        <v>0</v>
      </c>
      <c r="U33" s="225" t="str">
        <f t="shared" si="8"/>
        <v>-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</row>
    <row r="34" spans="1:75" ht="15" customHeight="1" x14ac:dyDescent="0.15">
      <c r="A34" s="3"/>
      <c r="B34" s="148"/>
      <c r="C34" s="289"/>
      <c r="D34" s="195" t="s">
        <v>19</v>
      </c>
      <c r="E34" s="23">
        <f>[2]東大阪工場!L34</f>
        <v>43044</v>
      </c>
      <c r="F34" s="134">
        <f t="shared" si="9"/>
        <v>1.0100697932320679E-3</v>
      </c>
      <c r="G34" s="23">
        <f>[3]東大阪工場!L34</f>
        <v>20530</v>
      </c>
      <c r="H34" s="101">
        <f t="shared" si="3"/>
        <v>7.8221714477482948E-4</v>
      </c>
      <c r="I34" s="76">
        <f t="shared" si="1"/>
        <v>0.47695381470123593</v>
      </c>
      <c r="J34" s="22">
        <f>E34+[4]東大阪工場!J34</f>
        <v>387396</v>
      </c>
      <c r="K34" s="102">
        <f t="shared" si="13"/>
        <v>9.2729044607121208E-4</v>
      </c>
      <c r="L34" s="68">
        <f>G34+[4]東大阪工場!L34</f>
        <v>184770</v>
      </c>
      <c r="M34" s="128">
        <f t="shared" si="14"/>
        <v>5.7990804397801401E-4</v>
      </c>
      <c r="N34" s="76">
        <f t="shared" si="2"/>
        <v>0.47695381470123593</v>
      </c>
      <c r="O34" s="18"/>
      <c r="P34" s="22">
        <f>[5]東大阪工場!L32</f>
        <v>44000</v>
      </c>
      <c r="Q34" s="67">
        <f t="shared" si="4"/>
        <v>1.0341990833235399E-3</v>
      </c>
      <c r="R34" s="22">
        <f>P34+[4]東大阪工場!R34</f>
        <v>396000</v>
      </c>
      <c r="S34" s="66">
        <f t="shared" si="6"/>
        <v>1.0213161050717629E-3</v>
      </c>
      <c r="T34" s="48">
        <f t="shared" si="7"/>
        <v>-211230</v>
      </c>
      <c r="U34" s="225">
        <f t="shared" si="8"/>
        <v>0.46659090909090911</v>
      </c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</row>
    <row r="35" spans="1:75" ht="15" customHeight="1" x14ac:dyDescent="0.15">
      <c r="A35" s="3"/>
      <c r="B35" s="148"/>
      <c r="C35" s="289"/>
      <c r="D35" s="195" t="s">
        <v>48</v>
      </c>
      <c r="E35" s="23">
        <f>[2]東大阪工場!L35</f>
        <v>16500</v>
      </c>
      <c r="F35" s="134">
        <f t="shared" si="9"/>
        <v>3.8718872754226185E-4</v>
      </c>
      <c r="G35" s="23">
        <f>[3]東大阪工場!L35</f>
        <v>0</v>
      </c>
      <c r="H35" s="101">
        <f t="shared" si="3"/>
        <v>0</v>
      </c>
      <c r="I35" s="76">
        <f t="shared" si="1"/>
        <v>0</v>
      </c>
      <c r="J35" s="22">
        <f>E35+[4]東大阪工場!J35</f>
        <v>148500</v>
      </c>
      <c r="K35" s="102">
        <f t="shared" si="13"/>
        <v>3.5545702909058172E-4</v>
      </c>
      <c r="L35" s="68">
        <f>G35+[4]東大阪工場!L35</f>
        <v>324500</v>
      </c>
      <c r="M35" s="128">
        <f t="shared" si="14"/>
        <v>1.0184562443625348E-3</v>
      </c>
      <c r="N35" s="76">
        <f t="shared" si="2"/>
        <v>2.1851851851851851</v>
      </c>
      <c r="O35" s="18"/>
      <c r="P35" s="22">
        <f>[5]東大阪工場!L33</f>
        <v>17000</v>
      </c>
      <c r="Q35" s="67">
        <f t="shared" si="4"/>
        <v>3.995769185568222E-4</v>
      </c>
      <c r="R35" s="22">
        <f>P35+[4]東大阪工場!R35</f>
        <v>153000</v>
      </c>
      <c r="S35" s="66">
        <f t="shared" si="6"/>
        <v>3.9459940423227204E-4</v>
      </c>
      <c r="T35" s="48">
        <f t="shared" si="7"/>
        <v>171500</v>
      </c>
      <c r="U35" s="225">
        <f t="shared" si="8"/>
        <v>2.1209150326797386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</row>
    <row r="36" spans="1:75" ht="15" customHeight="1" x14ac:dyDescent="0.15">
      <c r="A36" s="3"/>
      <c r="B36" s="148"/>
      <c r="C36" s="289"/>
      <c r="D36" s="195" t="s">
        <v>49</v>
      </c>
      <c r="E36" s="23">
        <f>[2]東大阪工場!L36</f>
        <v>0</v>
      </c>
      <c r="F36" s="134">
        <f t="shared" si="9"/>
        <v>0</v>
      </c>
      <c r="G36" s="23">
        <f>[3]東大阪工場!L36</f>
        <v>0</v>
      </c>
      <c r="H36" s="101">
        <f t="shared" si="3"/>
        <v>0</v>
      </c>
      <c r="I36" s="76" t="str">
        <f t="shared" si="1"/>
        <v>-</v>
      </c>
      <c r="J36" s="22">
        <f>E36+[4]東大阪工場!J36</f>
        <v>773300</v>
      </c>
      <c r="K36" s="102">
        <f t="shared" si="13"/>
        <v>1.8510095663013255E-3</v>
      </c>
      <c r="L36" s="68">
        <f>G36+[4]東大阪工場!L36</f>
        <v>198000</v>
      </c>
      <c r="M36" s="128">
        <f t="shared" si="14"/>
        <v>6.2143092876358055E-4</v>
      </c>
      <c r="N36" s="76">
        <f t="shared" si="2"/>
        <v>0.25604551920341395</v>
      </c>
      <c r="O36" s="18"/>
      <c r="P36" s="22">
        <f>[5]東大阪工場!L34</f>
        <v>100000</v>
      </c>
      <c r="Q36" s="67">
        <f t="shared" si="4"/>
        <v>2.350452462098954E-3</v>
      </c>
      <c r="R36" s="22">
        <f>P36+[4]東大阪工場!R36</f>
        <v>900000</v>
      </c>
      <c r="S36" s="66">
        <f t="shared" si="6"/>
        <v>2.3211729660721886E-3</v>
      </c>
      <c r="T36" s="48">
        <f t="shared" si="7"/>
        <v>-702000</v>
      </c>
      <c r="U36" s="225">
        <f t="shared" si="8"/>
        <v>0.22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</row>
    <row r="37" spans="1:75" ht="15" customHeight="1" x14ac:dyDescent="0.15">
      <c r="A37" s="3"/>
      <c r="B37" s="148"/>
      <c r="C37" s="289"/>
      <c r="D37" s="195" t="s">
        <v>94</v>
      </c>
      <c r="E37" s="23">
        <f>[2]東大阪工場!L37</f>
        <v>0</v>
      </c>
      <c r="F37" s="134">
        <f t="shared" si="9"/>
        <v>0</v>
      </c>
      <c r="G37" s="23">
        <f>[3]東大阪工場!L37</f>
        <v>0</v>
      </c>
      <c r="H37" s="101">
        <f t="shared" si="3"/>
        <v>0</v>
      </c>
      <c r="I37" s="76" t="str">
        <f t="shared" si="1"/>
        <v>-</v>
      </c>
      <c r="J37" s="22">
        <f>E37+[4]東大阪工場!J37</f>
        <v>0</v>
      </c>
      <c r="K37" s="102">
        <f t="shared" si="13"/>
        <v>0</v>
      </c>
      <c r="L37" s="68">
        <f>G37+[4]東大阪工場!L37</f>
        <v>0</v>
      </c>
      <c r="M37" s="128">
        <f t="shared" si="14"/>
        <v>0</v>
      </c>
      <c r="N37" s="76" t="str">
        <f t="shared" si="2"/>
        <v>-</v>
      </c>
      <c r="O37" s="18"/>
      <c r="P37" s="22">
        <f>[5]東大阪工場!L35</f>
        <v>0</v>
      </c>
      <c r="Q37" s="67">
        <f t="shared" si="4"/>
        <v>0</v>
      </c>
      <c r="R37" s="22">
        <f>P37+[4]東大阪工場!R37</f>
        <v>0</v>
      </c>
      <c r="S37" s="66">
        <f t="shared" si="6"/>
        <v>0</v>
      </c>
      <c r="T37" s="48">
        <f t="shared" ref="T37:T39" si="15">L37-R37</f>
        <v>0</v>
      </c>
      <c r="U37" s="225" t="str">
        <f t="shared" si="8"/>
        <v>-</v>
      </c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</row>
    <row r="38" spans="1:75" ht="15" customHeight="1" x14ac:dyDescent="0.15">
      <c r="A38" s="3"/>
      <c r="B38" s="148"/>
      <c r="C38" s="289"/>
      <c r="D38" s="195" t="s">
        <v>18</v>
      </c>
      <c r="E38" s="23">
        <f>[2]東大阪工場!L38</f>
        <v>0</v>
      </c>
      <c r="F38" s="134">
        <f t="shared" ref="F38:F39" si="16">E38/$E$10</f>
        <v>0</v>
      </c>
      <c r="G38" s="23">
        <f>[3]東大阪工場!L38</f>
        <v>50050</v>
      </c>
      <c r="H38" s="101">
        <f t="shared" ref="H38:H39" si="17">G38/$G$10</f>
        <v>1.9069638624442384E-3</v>
      </c>
      <c r="I38" s="76" t="str">
        <f t="shared" ref="I38:I39" si="18">IF(E38,G38/E38,"-")</f>
        <v>-</v>
      </c>
      <c r="J38" s="22">
        <f>E38+[4]東大阪工場!J38</f>
        <v>0</v>
      </c>
      <c r="K38" s="102">
        <f t="shared" ref="K38:K39" si="19">J38/$J$10</f>
        <v>0</v>
      </c>
      <c r="L38" s="68">
        <f>G38+[4]東大阪工場!L38</f>
        <v>450450</v>
      </c>
      <c r="M38" s="128">
        <f t="shared" ref="M38:M39" si="20">L38/$L$10</f>
        <v>1.4137553629371457E-3</v>
      </c>
      <c r="N38" s="76" t="str">
        <f t="shared" ref="N38:N39" si="21">IF(J38,L38/J38,"-")</f>
        <v>-</v>
      </c>
      <c r="O38" s="18"/>
      <c r="P38" s="22">
        <f>[5]東大阪工場!L36</f>
        <v>50000</v>
      </c>
      <c r="Q38" s="67">
        <f t="shared" ref="Q38:Q39" si="22">P38/$P$10</f>
        <v>1.175226231049477E-3</v>
      </c>
      <c r="R38" s="22">
        <f>P38+[4]東大阪工場!R38</f>
        <v>450000</v>
      </c>
      <c r="S38" s="66">
        <f t="shared" ref="S38:S39" si="23">R38/$R$10</f>
        <v>1.1605864830360943E-3</v>
      </c>
      <c r="T38" s="48">
        <f>L38-R38</f>
        <v>450</v>
      </c>
      <c r="U38" s="225">
        <f>IF(L38,L38/R38,"-")</f>
        <v>1.0009999999999999</v>
      </c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</row>
    <row r="39" spans="1:75" ht="15" customHeight="1" x14ac:dyDescent="0.15">
      <c r="A39" s="3"/>
      <c r="B39" s="148"/>
      <c r="C39" s="289"/>
      <c r="D39" s="195" t="s">
        <v>104</v>
      </c>
      <c r="E39" s="23">
        <f>[2]東大阪工場!L39</f>
        <v>0</v>
      </c>
      <c r="F39" s="134">
        <f t="shared" si="16"/>
        <v>0</v>
      </c>
      <c r="G39" s="23">
        <f>[3]東大阪工場!L39</f>
        <v>0</v>
      </c>
      <c r="H39" s="101">
        <f t="shared" si="17"/>
        <v>0</v>
      </c>
      <c r="I39" s="76" t="str">
        <f t="shared" si="18"/>
        <v>-</v>
      </c>
      <c r="J39" s="22">
        <f>E39+[4]東大阪工場!J39</f>
        <v>0</v>
      </c>
      <c r="K39" s="102">
        <f t="shared" si="19"/>
        <v>0</v>
      </c>
      <c r="L39" s="68">
        <f>G39+[4]東大阪工場!L39</f>
        <v>0</v>
      </c>
      <c r="M39" s="128">
        <f t="shared" si="20"/>
        <v>0</v>
      </c>
      <c r="N39" s="76" t="str">
        <f t="shared" si="21"/>
        <v>-</v>
      </c>
      <c r="O39" s="18"/>
      <c r="P39" s="22">
        <f>[5]東大阪工場!L37</f>
        <v>0</v>
      </c>
      <c r="Q39" s="67">
        <f t="shared" si="22"/>
        <v>0</v>
      </c>
      <c r="R39" s="22">
        <f>P39+[4]東大阪工場!R39</f>
        <v>0</v>
      </c>
      <c r="S39" s="66">
        <f t="shared" si="23"/>
        <v>0</v>
      </c>
      <c r="T39" s="48">
        <f t="shared" si="15"/>
        <v>0</v>
      </c>
      <c r="U39" s="225" t="str">
        <f t="shared" si="8"/>
        <v>-</v>
      </c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</row>
    <row r="40" spans="1:75" ht="15" customHeight="1" x14ac:dyDescent="0.15">
      <c r="A40" s="3"/>
      <c r="B40" s="148"/>
      <c r="C40" s="290"/>
      <c r="D40" s="190" t="s">
        <v>3</v>
      </c>
      <c r="E40" s="183">
        <f>SUM(E25:E39)</f>
        <v>2438852</v>
      </c>
      <c r="F40" s="137">
        <f>E40/$E$10</f>
        <v>5.7230060760236387E-2</v>
      </c>
      <c r="G40" s="183">
        <f>SUM(G25:G39)</f>
        <v>2066272</v>
      </c>
      <c r="H40" s="104">
        <f t="shared" si="3"/>
        <v>7.8727393286321307E-2</v>
      </c>
      <c r="I40" s="116">
        <f t="shared" si="1"/>
        <v>0.84723140231551564</v>
      </c>
      <c r="J40" s="183">
        <f>SUM(J25:J39)</f>
        <v>25642664</v>
      </c>
      <c r="K40" s="196">
        <f t="shared" si="13"/>
        <v>6.137956338995295E-2</v>
      </c>
      <c r="L40" s="183">
        <f>SUM(L25:L39)</f>
        <v>19553004</v>
      </c>
      <c r="M40" s="104">
        <f t="shared" si="14"/>
        <v>6.1367886039585887E-2</v>
      </c>
      <c r="N40" s="116">
        <f>IF(J40,L40/J40,"-")</f>
        <v>0.76251843412213338</v>
      </c>
      <c r="O40" s="55"/>
      <c r="P40" s="65">
        <f>SUM(P25:P39)</f>
        <v>2618000</v>
      </c>
      <c r="Q40" s="60">
        <f t="shared" si="4"/>
        <v>6.153484545775062E-2</v>
      </c>
      <c r="R40" s="183">
        <f>SUM(R25:R39)</f>
        <v>22872000</v>
      </c>
      <c r="S40" s="63">
        <f t="shared" si="6"/>
        <v>5.8988742311114548E-2</v>
      </c>
      <c r="T40" s="48">
        <f>L40-R40</f>
        <v>-3318996</v>
      </c>
      <c r="U40" s="225">
        <f>IF(L40,L40/R40,"-")</f>
        <v>0.85488824763903459</v>
      </c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</row>
    <row r="41" spans="1:75" ht="15" customHeight="1" x14ac:dyDescent="0.15">
      <c r="A41" s="3"/>
      <c r="B41" s="271" t="s">
        <v>6</v>
      </c>
      <c r="C41" s="272"/>
      <c r="D41" s="191" t="s">
        <v>83</v>
      </c>
      <c r="E41" s="49">
        <f>E16+E24+E40</f>
        <v>31516899</v>
      </c>
      <c r="F41" s="132">
        <f>E41/$E$10</f>
        <v>0.73957503150836268</v>
      </c>
      <c r="G41" s="49">
        <f>G16+G24+G40</f>
        <v>24783221</v>
      </c>
      <c r="H41" s="124">
        <f t="shared" si="3"/>
        <v>0.94426986697241078</v>
      </c>
      <c r="I41" s="119">
        <f t="shared" si="1"/>
        <v>0.78634706415754929</v>
      </c>
      <c r="J41" s="51">
        <f>J40+J24+J16</f>
        <v>315677004</v>
      </c>
      <c r="K41" s="130">
        <f t="shared" si="13"/>
        <v>0.75562026932024029</v>
      </c>
      <c r="L41" s="45">
        <f>L16+L24+L40</f>
        <v>239490799</v>
      </c>
      <c r="M41" s="130">
        <f t="shared" si="14"/>
        <v>0.75165146289344431</v>
      </c>
      <c r="N41" s="127">
        <f>IF(J41,L41/J41,"-")</f>
        <v>0.75865772915153495</v>
      </c>
      <c r="O41" s="46"/>
      <c r="P41" s="51">
        <f>P40+P24+P16</f>
        <v>31841850</v>
      </c>
      <c r="Q41" s="50">
        <f t="shared" si="4"/>
        <v>0.74842754730285577</v>
      </c>
      <c r="R41" s="51">
        <f>R40+R24+R16</f>
        <v>289902550</v>
      </c>
      <c r="S41" s="44">
        <f t="shared" si="6"/>
        <v>0.74768217983932328</v>
      </c>
      <c r="T41" s="48">
        <f t="shared" si="7"/>
        <v>-50411751</v>
      </c>
      <c r="U41" s="225">
        <f t="shared" si="8"/>
        <v>0.82610794213434824</v>
      </c>
    </row>
    <row r="42" spans="1:75" ht="15" customHeight="1" x14ac:dyDescent="0.15">
      <c r="A42" s="3"/>
      <c r="B42" s="251" t="s">
        <v>50</v>
      </c>
      <c r="C42" s="252"/>
      <c r="D42" s="253"/>
      <c r="E42" s="17">
        <f>E10-E41</f>
        <v>11097978</v>
      </c>
      <c r="F42" s="139">
        <f t="shared" si="9"/>
        <v>0.26042496849163732</v>
      </c>
      <c r="G42" s="17">
        <f>G10-G41</f>
        <v>1462688</v>
      </c>
      <c r="H42" s="96">
        <f t="shared" si="3"/>
        <v>5.5730133027589175E-2</v>
      </c>
      <c r="I42" s="112">
        <f t="shared" si="1"/>
        <v>0.13179770224810322</v>
      </c>
      <c r="J42" s="69">
        <f>J10-J41</f>
        <v>102095013</v>
      </c>
      <c r="K42" s="164">
        <f t="shared" si="13"/>
        <v>0.24437973067975971</v>
      </c>
      <c r="L42" s="17">
        <f>L10-L41</f>
        <v>79128682</v>
      </c>
      <c r="M42" s="96">
        <f t="shared" si="14"/>
        <v>0.24834853710655563</v>
      </c>
      <c r="N42" s="112">
        <f t="shared" si="2"/>
        <v>0.77504943360945555</v>
      </c>
      <c r="O42" s="46"/>
      <c r="P42" s="69">
        <f>P10-P41</f>
        <v>10703150</v>
      </c>
      <c r="Q42" s="2">
        <f t="shared" si="4"/>
        <v>0.25157245269714418</v>
      </c>
      <c r="R42" s="69">
        <f>R10-R41</f>
        <v>97832450</v>
      </c>
      <c r="S42" s="2">
        <f t="shared" si="6"/>
        <v>0.25231782016067678</v>
      </c>
      <c r="T42" s="48">
        <f t="shared" si="7"/>
        <v>-18703768</v>
      </c>
      <c r="U42" s="225">
        <f t="shared" si="8"/>
        <v>0.80881836241451588</v>
      </c>
    </row>
    <row r="43" spans="1:75" ht="15" customHeight="1" x14ac:dyDescent="0.15">
      <c r="A43" s="3"/>
      <c r="B43" s="254" t="s">
        <v>51</v>
      </c>
      <c r="C43" s="255"/>
      <c r="D43" s="192" t="s">
        <v>53</v>
      </c>
      <c r="E43" s="24">
        <f>[2]東大阪工場!L45</f>
        <v>1421000</v>
      </c>
      <c r="F43" s="141">
        <f t="shared" si="9"/>
        <v>3.3345162535609339E-2</v>
      </c>
      <c r="G43" s="24">
        <f>[3]東大阪工場!L45</f>
        <v>1271000</v>
      </c>
      <c r="H43" s="106">
        <f t="shared" si="3"/>
        <v>4.8426594788543997E-2</v>
      </c>
      <c r="I43" s="88">
        <f t="shared" si="1"/>
        <v>0.89444053483462349</v>
      </c>
      <c r="J43" s="22">
        <f>E43+[4]東大阪工場!J43</f>
        <v>12789000</v>
      </c>
      <c r="K43" s="166">
        <f t="shared" si="13"/>
        <v>3.0612390202285854E-2</v>
      </c>
      <c r="L43" s="68">
        <f>G43+[4]東大阪工場!L43</f>
        <v>11439000</v>
      </c>
      <c r="M43" s="128">
        <f t="shared" si="14"/>
        <v>3.5901759566295946E-2</v>
      </c>
      <c r="N43" s="78">
        <f>IF(J43,L43/J43,"-")</f>
        <v>0.89444053483462349</v>
      </c>
      <c r="O43" s="18"/>
      <c r="P43" s="34">
        <f>[5]東大阪工場!L43</f>
        <v>1271000</v>
      </c>
      <c r="Q43" s="33">
        <f t="shared" si="4"/>
        <v>2.9874250793277705E-2</v>
      </c>
      <c r="R43" s="22">
        <f>P43+[4]東大阪工場!R43</f>
        <v>11439000</v>
      </c>
      <c r="S43" s="33">
        <f t="shared" si="6"/>
        <v>2.9502108398777517E-2</v>
      </c>
      <c r="T43" s="48">
        <f t="shared" si="7"/>
        <v>0</v>
      </c>
      <c r="U43" s="225">
        <f t="shared" si="8"/>
        <v>1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</row>
    <row r="44" spans="1:75" ht="15" customHeight="1" x14ac:dyDescent="0.15">
      <c r="A44" s="3"/>
      <c r="B44" s="256"/>
      <c r="C44" s="257"/>
      <c r="D44" s="192" t="s">
        <v>7</v>
      </c>
      <c r="E44" s="24">
        <f>[2]東大阪工場!L46</f>
        <v>220000</v>
      </c>
      <c r="F44" s="141">
        <f t="shared" si="9"/>
        <v>5.1625163672301575E-3</v>
      </c>
      <c r="G44" s="24">
        <f>[3]東大阪工場!L46</f>
        <v>300000</v>
      </c>
      <c r="H44" s="106">
        <f t="shared" si="3"/>
        <v>1.1430352821843588E-2</v>
      </c>
      <c r="I44" s="88">
        <f t="shared" si="1"/>
        <v>1.3636363636363635</v>
      </c>
      <c r="J44" s="22">
        <f>E44+[4]東大阪工場!J44</f>
        <v>1980000</v>
      </c>
      <c r="K44" s="166">
        <f t="shared" si="13"/>
        <v>4.7394270545410896E-3</v>
      </c>
      <c r="L44" s="68">
        <f>G44+[4]東大阪工場!L44</f>
        <v>2700000</v>
      </c>
      <c r="M44" s="128">
        <f t="shared" si="14"/>
        <v>8.4740581195033703E-3</v>
      </c>
      <c r="N44" s="78">
        <f t="shared" si="2"/>
        <v>1.3636363636363635</v>
      </c>
      <c r="O44" s="18"/>
      <c r="P44" s="34">
        <f>[5]東大阪工場!L44</f>
        <v>300000</v>
      </c>
      <c r="Q44" s="33">
        <f t="shared" si="4"/>
        <v>7.051357386296862E-3</v>
      </c>
      <c r="R44" s="22">
        <f>P44+[4]東大阪工場!R44</f>
        <v>2700000</v>
      </c>
      <c r="S44" s="33">
        <f t="shared" si="6"/>
        <v>6.9635188982165655E-3</v>
      </c>
      <c r="T44" s="48">
        <f t="shared" si="7"/>
        <v>0</v>
      </c>
      <c r="U44" s="225">
        <f t="shared" si="8"/>
        <v>1</v>
      </c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</row>
    <row r="45" spans="1:75" ht="15" customHeight="1" x14ac:dyDescent="0.15">
      <c r="A45" s="3"/>
      <c r="B45" s="256"/>
      <c r="C45" s="257"/>
      <c r="D45" s="192" t="s">
        <v>8</v>
      </c>
      <c r="E45" s="24">
        <f>[2]東大阪工場!L47</f>
        <v>0</v>
      </c>
      <c r="F45" s="141">
        <f t="shared" si="9"/>
        <v>0</v>
      </c>
      <c r="G45" s="24">
        <f>[3]東大阪工場!L47</f>
        <v>0</v>
      </c>
      <c r="H45" s="106">
        <f t="shared" si="3"/>
        <v>0</v>
      </c>
      <c r="I45" s="88" t="str">
        <f t="shared" si="1"/>
        <v>-</v>
      </c>
      <c r="J45" s="22">
        <f>E45+[4]東大阪工場!J45</f>
        <v>0</v>
      </c>
      <c r="K45" s="166">
        <f t="shared" si="13"/>
        <v>0</v>
      </c>
      <c r="L45" s="68">
        <f>G45+[4]東大阪工場!L45</f>
        <v>0</v>
      </c>
      <c r="M45" s="128">
        <f t="shared" si="14"/>
        <v>0</v>
      </c>
      <c r="N45" s="78" t="str">
        <f t="shared" si="2"/>
        <v>-</v>
      </c>
      <c r="O45" s="18"/>
      <c r="P45" s="34">
        <f>[5]東大阪工場!L45</f>
        <v>0</v>
      </c>
      <c r="Q45" s="33">
        <f t="shared" si="4"/>
        <v>0</v>
      </c>
      <c r="R45" s="22">
        <f>P45+[4]東大阪工場!R45</f>
        <v>0</v>
      </c>
      <c r="S45" s="33">
        <f t="shared" si="6"/>
        <v>0</v>
      </c>
      <c r="T45" s="48">
        <f t="shared" si="7"/>
        <v>0</v>
      </c>
      <c r="U45" s="225" t="str">
        <f t="shared" si="8"/>
        <v>-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</row>
    <row r="46" spans="1:75" ht="15" customHeight="1" x14ac:dyDescent="0.15">
      <c r="A46" s="3"/>
      <c r="B46" s="256"/>
      <c r="C46" s="257"/>
      <c r="D46" s="192" t="s">
        <v>9</v>
      </c>
      <c r="E46" s="24">
        <f>[2]東大阪工場!L48</f>
        <v>0</v>
      </c>
      <c r="F46" s="141">
        <f t="shared" si="9"/>
        <v>0</v>
      </c>
      <c r="G46" s="24">
        <f>[3]東大阪工場!L48</f>
        <v>0</v>
      </c>
      <c r="H46" s="106">
        <f t="shared" si="3"/>
        <v>0</v>
      </c>
      <c r="I46" s="88" t="str">
        <f t="shared" si="1"/>
        <v>-</v>
      </c>
      <c r="J46" s="22">
        <f>E46+[4]東大阪工場!J46</f>
        <v>0</v>
      </c>
      <c r="K46" s="166">
        <f t="shared" si="13"/>
        <v>0</v>
      </c>
      <c r="L46" s="68">
        <f>G46+[4]東大阪工場!L46</f>
        <v>0</v>
      </c>
      <c r="M46" s="128">
        <f t="shared" si="14"/>
        <v>0</v>
      </c>
      <c r="N46" s="78" t="str">
        <f t="shared" si="2"/>
        <v>-</v>
      </c>
      <c r="O46" s="18"/>
      <c r="P46" s="34">
        <f>[5]東大阪工場!L46</f>
        <v>0</v>
      </c>
      <c r="Q46" s="33">
        <f t="shared" si="4"/>
        <v>0</v>
      </c>
      <c r="R46" s="22">
        <f>P46+[4]東大阪工場!R46</f>
        <v>0</v>
      </c>
      <c r="S46" s="33">
        <f t="shared" si="6"/>
        <v>0</v>
      </c>
      <c r="T46" s="48">
        <f t="shared" si="7"/>
        <v>0</v>
      </c>
      <c r="U46" s="225" t="str">
        <f t="shared" si="8"/>
        <v>-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</row>
    <row r="47" spans="1:75" ht="15" customHeight="1" x14ac:dyDescent="0.15">
      <c r="A47" s="3"/>
      <c r="B47" s="256"/>
      <c r="C47" s="257"/>
      <c r="D47" s="192" t="s">
        <v>0</v>
      </c>
      <c r="E47" s="24">
        <f>[2]東大阪工場!L49</f>
        <v>0</v>
      </c>
      <c r="F47" s="141">
        <f t="shared" si="9"/>
        <v>0</v>
      </c>
      <c r="G47" s="24">
        <f>[3]東大阪工場!L49</f>
        <v>0</v>
      </c>
      <c r="H47" s="106">
        <f t="shared" si="3"/>
        <v>0</v>
      </c>
      <c r="I47" s="88" t="str">
        <f t="shared" si="1"/>
        <v>-</v>
      </c>
      <c r="J47" s="22">
        <f>E47+[4]東大阪工場!J47</f>
        <v>0</v>
      </c>
      <c r="K47" s="166">
        <f t="shared" si="13"/>
        <v>0</v>
      </c>
      <c r="L47" s="68">
        <f>G47+[4]東大阪工場!L47</f>
        <v>0</v>
      </c>
      <c r="M47" s="128">
        <f t="shared" si="14"/>
        <v>0</v>
      </c>
      <c r="N47" s="78" t="str">
        <f t="shared" si="2"/>
        <v>-</v>
      </c>
      <c r="O47" s="18"/>
      <c r="P47" s="34">
        <f>[5]東大阪工場!L47</f>
        <v>0</v>
      </c>
      <c r="Q47" s="33">
        <f t="shared" si="4"/>
        <v>0</v>
      </c>
      <c r="R47" s="22">
        <f>P47+[4]東大阪工場!R47</f>
        <v>0</v>
      </c>
      <c r="S47" s="33">
        <f t="shared" si="6"/>
        <v>0</v>
      </c>
      <c r="T47" s="48">
        <f t="shared" si="7"/>
        <v>0</v>
      </c>
      <c r="U47" s="225" t="str">
        <f t="shared" si="8"/>
        <v>-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</row>
    <row r="48" spans="1:75" ht="15" customHeight="1" x14ac:dyDescent="0.15">
      <c r="A48" s="3"/>
      <c r="B48" s="256"/>
      <c r="C48" s="257"/>
      <c r="D48" s="192" t="s">
        <v>54</v>
      </c>
      <c r="E48" s="24">
        <f>[2]東大阪工場!L50</f>
        <v>0</v>
      </c>
      <c r="F48" s="141">
        <f t="shared" si="9"/>
        <v>0</v>
      </c>
      <c r="G48" s="24">
        <f>[3]東大阪工場!L50</f>
        <v>0</v>
      </c>
      <c r="H48" s="106">
        <f t="shared" si="3"/>
        <v>0</v>
      </c>
      <c r="I48" s="88" t="str">
        <f t="shared" si="1"/>
        <v>-</v>
      </c>
      <c r="J48" s="22">
        <f>E48+[4]東大阪工場!J48</f>
        <v>0</v>
      </c>
      <c r="K48" s="166">
        <f t="shared" si="13"/>
        <v>0</v>
      </c>
      <c r="L48" s="68">
        <f>G48+[4]東大阪工場!L48</f>
        <v>30000</v>
      </c>
      <c r="M48" s="128">
        <f t="shared" si="14"/>
        <v>9.415620132781523E-5</v>
      </c>
      <c r="N48" s="78" t="str">
        <f t="shared" si="2"/>
        <v>-</v>
      </c>
      <c r="O48" s="18"/>
      <c r="P48" s="34">
        <f>[5]東大阪工場!L48</f>
        <v>0</v>
      </c>
      <c r="Q48" s="33">
        <f t="shared" si="4"/>
        <v>0</v>
      </c>
      <c r="R48" s="22">
        <f>P48+[4]東大阪工場!R48</f>
        <v>0</v>
      </c>
      <c r="S48" s="33">
        <f t="shared" si="6"/>
        <v>0</v>
      </c>
      <c r="T48" s="48">
        <f t="shared" si="7"/>
        <v>30000</v>
      </c>
      <c r="U48" s="225" t="e">
        <f t="shared" si="8"/>
        <v>#DIV/0!</v>
      </c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</row>
    <row r="49" spans="1:75" ht="15" customHeight="1" x14ac:dyDescent="0.15">
      <c r="A49" s="3"/>
      <c r="B49" s="256"/>
      <c r="C49" s="257"/>
      <c r="D49" s="193" t="s">
        <v>10</v>
      </c>
      <c r="E49" s="24">
        <f>[2]東大阪工場!L51</f>
        <v>126469</v>
      </c>
      <c r="F49" s="141">
        <f t="shared" si="9"/>
        <v>2.9677194656692308E-3</v>
      </c>
      <c r="G49" s="24">
        <f>[3]東大阪工場!L51</f>
        <v>128350</v>
      </c>
      <c r="H49" s="106">
        <f t="shared" si="3"/>
        <v>4.8902859489454147E-3</v>
      </c>
      <c r="I49" s="88">
        <f t="shared" si="1"/>
        <v>1.014873210035661</v>
      </c>
      <c r="J49" s="22">
        <f>E49+[4]東大阪工場!J49</f>
        <v>1482160</v>
      </c>
      <c r="K49" s="166">
        <f t="shared" si="13"/>
        <v>3.5477723248275865E-3</v>
      </c>
      <c r="L49" s="68">
        <f>G49+[4]東大阪工場!L49</f>
        <v>1503055</v>
      </c>
      <c r="M49" s="128">
        <f t="shared" si="14"/>
        <v>4.7173983062259771E-3</v>
      </c>
      <c r="N49" s="78">
        <f t="shared" si="2"/>
        <v>1.0140976682679332</v>
      </c>
      <c r="O49" s="18"/>
      <c r="P49" s="34">
        <f>[5]東大阪工場!L49</f>
        <v>137000</v>
      </c>
      <c r="Q49" s="33">
        <f t="shared" si="4"/>
        <v>3.2201198730755672E-3</v>
      </c>
      <c r="R49" s="22">
        <f>P49+[4]東大阪工場!R49</f>
        <v>1596000</v>
      </c>
      <c r="S49" s="33">
        <f t="shared" si="6"/>
        <v>4.1162133931680143E-3</v>
      </c>
      <c r="T49" s="48">
        <f t="shared" si="7"/>
        <v>-92945</v>
      </c>
      <c r="U49" s="225">
        <f t="shared" si="8"/>
        <v>0.94176378446115283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</row>
    <row r="50" spans="1:75" ht="15" customHeight="1" x14ac:dyDescent="0.15">
      <c r="A50" s="3"/>
      <c r="B50" s="256"/>
      <c r="C50" s="257"/>
      <c r="D50" s="193" t="s">
        <v>55</v>
      </c>
      <c r="E50" s="24">
        <f>[2]東大阪工場!L52</f>
        <v>22000</v>
      </c>
      <c r="F50" s="141">
        <f t="shared" si="9"/>
        <v>5.162516367230158E-4</v>
      </c>
      <c r="G50" s="24">
        <f>[3]東大阪工場!L52</f>
        <v>46000</v>
      </c>
      <c r="H50" s="106">
        <f t="shared" si="3"/>
        <v>1.7526540993493501E-3</v>
      </c>
      <c r="I50" s="88">
        <f t="shared" si="1"/>
        <v>2.0909090909090908</v>
      </c>
      <c r="J50" s="22">
        <f>E50+[4]東大阪工場!J50</f>
        <v>557245</v>
      </c>
      <c r="K50" s="166">
        <f t="shared" si="13"/>
        <v>1.3338495095998734E-3</v>
      </c>
      <c r="L50" s="68">
        <f>G50+[4]東大阪工場!L50</f>
        <v>132583</v>
      </c>
      <c r="M50" s="128">
        <f t="shared" si="14"/>
        <v>4.1611705468819091E-4</v>
      </c>
      <c r="N50" s="78">
        <f t="shared" si="2"/>
        <v>0.23792586743712371</v>
      </c>
      <c r="O50" s="18"/>
      <c r="P50" s="34">
        <f>[5]東大阪工場!L50</f>
        <v>50000</v>
      </c>
      <c r="Q50" s="35">
        <f t="shared" si="4"/>
        <v>1.175226231049477E-3</v>
      </c>
      <c r="R50" s="22">
        <f>P50+[4]東大阪工場!R50</f>
        <v>450000</v>
      </c>
      <c r="S50" s="21">
        <f t="shared" si="6"/>
        <v>1.1605864830360943E-3</v>
      </c>
      <c r="T50" s="48">
        <f t="shared" si="7"/>
        <v>-317417</v>
      </c>
      <c r="U50" s="225">
        <f t="shared" si="8"/>
        <v>0.29462888888888888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</row>
    <row r="51" spans="1:75" ht="15" customHeight="1" x14ac:dyDescent="0.15">
      <c r="A51" s="3"/>
      <c r="B51" s="256"/>
      <c r="C51" s="257"/>
      <c r="D51" s="193" t="s">
        <v>56</v>
      </c>
      <c r="E51" s="24">
        <f>[2]東大阪工場!L53</f>
        <v>0</v>
      </c>
      <c r="F51" s="141">
        <f t="shared" si="9"/>
        <v>0</v>
      </c>
      <c r="G51" s="24">
        <f>[3]東大阪工場!L53</f>
        <v>0</v>
      </c>
      <c r="H51" s="106">
        <f t="shared" si="3"/>
        <v>0</v>
      </c>
      <c r="I51" s="88" t="str">
        <f t="shared" si="1"/>
        <v>-</v>
      </c>
      <c r="J51" s="22">
        <f>E51+[4]東大阪工場!J51</f>
        <v>0</v>
      </c>
      <c r="K51" s="166">
        <f t="shared" si="13"/>
        <v>0</v>
      </c>
      <c r="L51" s="68">
        <f>G51+[4]東大阪工場!L51</f>
        <v>0</v>
      </c>
      <c r="M51" s="128">
        <f t="shared" si="14"/>
        <v>0</v>
      </c>
      <c r="N51" s="78" t="str">
        <f t="shared" si="2"/>
        <v>-</v>
      </c>
      <c r="O51" s="18"/>
      <c r="P51" s="34">
        <f>[5]東大阪工場!L51</f>
        <v>0</v>
      </c>
      <c r="Q51" s="25">
        <f t="shared" si="4"/>
        <v>0</v>
      </c>
      <c r="R51" s="22">
        <f>P51+[4]東大阪工場!R51</f>
        <v>0</v>
      </c>
      <c r="S51" s="25">
        <f t="shared" si="6"/>
        <v>0</v>
      </c>
      <c r="T51" s="48">
        <f t="shared" si="7"/>
        <v>0</v>
      </c>
      <c r="U51" s="225" t="str">
        <f t="shared" si="8"/>
        <v>-</v>
      </c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</row>
    <row r="52" spans="1:75" ht="15" customHeight="1" x14ac:dyDescent="0.15">
      <c r="A52" s="3"/>
      <c r="B52" s="256"/>
      <c r="C52" s="257"/>
      <c r="D52" s="193" t="s">
        <v>57</v>
      </c>
      <c r="E52" s="24">
        <f>[2]東大阪工場!L54</f>
        <v>545974</v>
      </c>
      <c r="F52" s="141">
        <f t="shared" si="9"/>
        <v>1.2811816868555082E-2</v>
      </c>
      <c r="G52" s="24">
        <f>[3]東大阪工場!L54</f>
        <v>514960</v>
      </c>
      <c r="H52" s="106">
        <f t="shared" si="3"/>
        <v>1.9620581630455245E-2</v>
      </c>
      <c r="I52" s="88">
        <f t="shared" si="1"/>
        <v>0.94319509720243089</v>
      </c>
      <c r="J52" s="22">
        <f>E52+[4]東大阪工場!J52</f>
        <v>5624169</v>
      </c>
      <c r="K52" s="166">
        <f t="shared" si="13"/>
        <v>1.3462292281773387E-2</v>
      </c>
      <c r="L52" s="68">
        <f>G52+[4]東大阪工場!L52</f>
        <v>4292439</v>
      </c>
      <c r="M52" s="128">
        <f t="shared" si="14"/>
        <v>1.347199168904553E-2</v>
      </c>
      <c r="N52" s="78">
        <f t="shared" si="2"/>
        <v>0.76321301866995817</v>
      </c>
      <c r="O52" s="18"/>
      <c r="P52" s="34">
        <f>[5]東大阪工場!L52</f>
        <v>626000</v>
      </c>
      <c r="Q52" s="25">
        <f t="shared" si="4"/>
        <v>1.4713832412739452E-2</v>
      </c>
      <c r="R52" s="22">
        <f>P52+[4]東大阪工場!R52</f>
        <v>5008000</v>
      </c>
      <c r="S52" s="25">
        <f t="shared" si="6"/>
        <v>1.2916038015655022E-2</v>
      </c>
      <c r="T52" s="48">
        <f t="shared" si="7"/>
        <v>-715561</v>
      </c>
      <c r="U52" s="225">
        <f t="shared" si="8"/>
        <v>0.85711641373801917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</row>
    <row r="53" spans="1:75" ht="15" customHeight="1" x14ac:dyDescent="0.15">
      <c r="A53" s="3"/>
      <c r="B53" s="256"/>
      <c r="C53" s="257"/>
      <c r="D53" s="193" t="s">
        <v>58</v>
      </c>
      <c r="E53" s="24">
        <f>[2]東大阪工場!L55</f>
        <v>462768</v>
      </c>
      <c r="F53" s="141">
        <f t="shared" si="9"/>
        <v>1.0859306246501662E-2</v>
      </c>
      <c r="G53" s="24">
        <f>[3]東大阪工場!L55</f>
        <v>362307</v>
      </c>
      <c r="H53" s="106">
        <f t="shared" si="3"/>
        <v>1.3804322799412282E-2</v>
      </c>
      <c r="I53" s="88">
        <f t="shared" si="1"/>
        <v>0.78291282024686237</v>
      </c>
      <c r="J53" s="22">
        <f>E53+[4]東大阪工場!J53</f>
        <v>4871154</v>
      </c>
      <c r="K53" s="166">
        <f t="shared" si="13"/>
        <v>1.1659837906280831E-2</v>
      </c>
      <c r="L53" s="68">
        <f>G53+[4]東大阪工場!L53</f>
        <v>3522473</v>
      </c>
      <c r="M53" s="128">
        <f t="shared" si="14"/>
        <v>1.1055422565326444E-2</v>
      </c>
      <c r="N53" s="78">
        <f t="shared" si="2"/>
        <v>0.72312905730346444</v>
      </c>
      <c r="O53" s="18"/>
      <c r="P53" s="34">
        <f>[5]東大阪工場!L53</f>
        <v>527000</v>
      </c>
      <c r="Q53" s="35">
        <f t="shared" si="4"/>
        <v>1.2386884475261487E-2</v>
      </c>
      <c r="R53" s="22">
        <f>P53+[4]東大阪工場!R53</f>
        <v>4216000</v>
      </c>
      <c r="S53" s="21">
        <f t="shared" si="6"/>
        <v>1.0873405805511497E-2</v>
      </c>
      <c r="T53" s="48">
        <f t="shared" si="7"/>
        <v>-693527</v>
      </c>
      <c r="U53" s="225">
        <f t="shared" si="8"/>
        <v>0.83550118595825429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</row>
    <row r="54" spans="1:75" ht="15" customHeight="1" x14ac:dyDescent="0.15">
      <c r="A54" s="3"/>
      <c r="B54" s="256"/>
      <c r="C54" s="257"/>
      <c r="D54" s="193" t="s">
        <v>88</v>
      </c>
      <c r="E54" s="24">
        <f>[2]東大阪工場!L56</f>
        <v>0</v>
      </c>
      <c r="F54" s="141">
        <f t="shared" si="9"/>
        <v>0</v>
      </c>
      <c r="G54" s="24">
        <f>[3]東大阪工場!L56</f>
        <v>0</v>
      </c>
      <c r="H54" s="106">
        <f t="shared" si="3"/>
        <v>0</v>
      </c>
      <c r="I54" s="88" t="str">
        <f t="shared" si="1"/>
        <v>-</v>
      </c>
      <c r="J54" s="22">
        <f>E54+[4]東大阪工場!J54</f>
        <v>0</v>
      </c>
      <c r="K54" s="166">
        <f t="shared" si="13"/>
        <v>0</v>
      </c>
      <c r="L54" s="68">
        <f>G54+[4]東大阪工場!L54</f>
        <v>0</v>
      </c>
      <c r="M54" s="128">
        <f t="shared" si="14"/>
        <v>0</v>
      </c>
      <c r="N54" s="78" t="str">
        <f t="shared" si="2"/>
        <v>-</v>
      </c>
      <c r="O54" s="18"/>
      <c r="P54" s="34">
        <f>[5]東大阪工場!L54</f>
        <v>0</v>
      </c>
      <c r="Q54" s="25">
        <f t="shared" si="4"/>
        <v>0</v>
      </c>
      <c r="R54" s="22">
        <f>P54+[4]東大阪工場!R54</f>
        <v>0</v>
      </c>
      <c r="S54" s="21">
        <f t="shared" si="6"/>
        <v>0</v>
      </c>
      <c r="T54" s="48">
        <f t="shared" si="7"/>
        <v>0</v>
      </c>
      <c r="U54" s="225" t="str">
        <f t="shared" si="8"/>
        <v>-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</row>
    <row r="55" spans="1:75" ht="15" customHeight="1" x14ac:dyDescent="0.15">
      <c r="A55" s="3"/>
      <c r="B55" s="256"/>
      <c r="C55" s="257"/>
      <c r="D55" s="193" t="s">
        <v>59</v>
      </c>
      <c r="E55" s="24">
        <f>[2]東大阪工場!L57</f>
        <v>63436</v>
      </c>
      <c r="F55" s="141">
        <f t="shared" si="9"/>
        <v>1.4885881285073286E-3</v>
      </c>
      <c r="G55" s="24">
        <f>[3]東大阪工場!L57</f>
        <v>0</v>
      </c>
      <c r="H55" s="106">
        <f t="shared" si="3"/>
        <v>0</v>
      </c>
      <c r="I55" s="88">
        <f t="shared" si="1"/>
        <v>0</v>
      </c>
      <c r="J55" s="22">
        <f>E55+[4]東大阪工場!J55</f>
        <v>401392</v>
      </c>
      <c r="K55" s="166">
        <f t="shared" si="13"/>
        <v>9.6079197185674602E-4</v>
      </c>
      <c r="L55" s="68">
        <f>G55+[4]東大阪工場!L55</f>
        <v>306017</v>
      </c>
      <c r="M55" s="128">
        <f t="shared" si="14"/>
        <v>9.6044660872446775E-4</v>
      </c>
      <c r="N55" s="78">
        <f t="shared" si="2"/>
        <v>0.76238938494040742</v>
      </c>
      <c r="O55" s="18"/>
      <c r="P55" s="34">
        <f>[5]東大阪工場!L55</f>
        <v>40000</v>
      </c>
      <c r="Q55" s="25">
        <f t="shared" si="4"/>
        <v>9.4018098483958162E-4</v>
      </c>
      <c r="R55" s="22">
        <f>P55+[4]東大阪工場!R55</f>
        <v>360000</v>
      </c>
      <c r="S55" s="21">
        <f t="shared" si="6"/>
        <v>9.2846918642887539E-4</v>
      </c>
      <c r="T55" s="48">
        <f t="shared" si="7"/>
        <v>-53983</v>
      </c>
      <c r="U55" s="225">
        <f t="shared" si="8"/>
        <v>0.85004722222222218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</row>
    <row r="56" spans="1:75" ht="15" customHeight="1" x14ac:dyDescent="0.15">
      <c r="A56" s="3"/>
      <c r="B56" s="256"/>
      <c r="C56" s="257"/>
      <c r="D56" s="193" t="s">
        <v>60</v>
      </c>
      <c r="E56" s="24">
        <f>[2]東大阪工場!L58</f>
        <v>0</v>
      </c>
      <c r="F56" s="141">
        <f t="shared" si="9"/>
        <v>0</v>
      </c>
      <c r="G56" s="24">
        <f>[3]東大阪工場!L58</f>
        <v>0</v>
      </c>
      <c r="H56" s="106">
        <f t="shared" si="3"/>
        <v>0</v>
      </c>
      <c r="I56" s="88" t="str">
        <f t="shared" si="1"/>
        <v>-</v>
      </c>
      <c r="J56" s="22">
        <f>E56+[4]東大阪工場!J56</f>
        <v>29806</v>
      </c>
      <c r="K56" s="166">
        <f t="shared" si="13"/>
        <v>7.1345132721036217E-5</v>
      </c>
      <c r="L56" s="68">
        <f>G56+[4]東大阪工場!L56</f>
        <v>31476</v>
      </c>
      <c r="M56" s="128">
        <f t="shared" si="14"/>
        <v>9.8788686433143742E-5</v>
      </c>
      <c r="N56" s="78">
        <f t="shared" si="2"/>
        <v>1.0560289874521909</v>
      </c>
      <c r="O56" s="18"/>
      <c r="P56" s="34">
        <f>[5]東大阪工場!L56</f>
        <v>4000</v>
      </c>
      <c r="Q56" s="25">
        <f t="shared" si="4"/>
        <v>9.4018098483958164E-5</v>
      </c>
      <c r="R56" s="22">
        <f>P56+[4]東大阪工場!R56</f>
        <v>36000</v>
      </c>
      <c r="S56" s="21">
        <f t="shared" si="6"/>
        <v>9.2846918642887534E-5</v>
      </c>
      <c r="T56" s="48">
        <f t="shared" si="7"/>
        <v>-4524</v>
      </c>
      <c r="U56" s="225">
        <f t="shared" si="8"/>
        <v>0.8743333333333333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</row>
    <row r="57" spans="1:75" ht="15" customHeight="1" x14ac:dyDescent="0.15">
      <c r="A57" s="3"/>
      <c r="B57" s="256"/>
      <c r="C57" s="257"/>
      <c r="D57" s="193" t="s">
        <v>43</v>
      </c>
      <c r="E57" s="24">
        <f>[2]東大阪工場!L59</f>
        <v>28090</v>
      </c>
      <c r="F57" s="141">
        <f t="shared" si="9"/>
        <v>6.5915947616134146E-4</v>
      </c>
      <c r="G57" s="24">
        <f>[3]東大阪工場!L59</f>
        <v>48748</v>
      </c>
      <c r="H57" s="106">
        <f t="shared" si="3"/>
        <v>1.8573561311974374E-3</v>
      </c>
      <c r="I57" s="88">
        <f t="shared" si="1"/>
        <v>1.7354218583125667</v>
      </c>
      <c r="J57" s="22">
        <f>E57+[4]東大阪工場!J57</f>
        <v>357230</v>
      </c>
      <c r="K57" s="166">
        <f t="shared" si="13"/>
        <v>8.5508359934025936E-4</v>
      </c>
      <c r="L57" s="68">
        <f>G57+[4]東大阪工場!L57</f>
        <v>422138</v>
      </c>
      <c r="M57" s="128">
        <f t="shared" si="14"/>
        <v>1.3248970172040422E-3</v>
      </c>
      <c r="N57" s="78">
        <f t="shared" si="2"/>
        <v>1.181698065671976</v>
      </c>
      <c r="O57" s="18"/>
      <c r="P57" s="34">
        <f>[5]東大阪工場!L57</f>
        <v>40000</v>
      </c>
      <c r="Q57" s="25">
        <f t="shared" si="4"/>
        <v>9.4018098483958162E-4</v>
      </c>
      <c r="R57" s="22">
        <f>P57+[4]東大阪工場!R57</f>
        <v>360000</v>
      </c>
      <c r="S57" s="21">
        <f t="shared" si="6"/>
        <v>9.2846918642887539E-4</v>
      </c>
      <c r="T57" s="48">
        <f t="shared" si="7"/>
        <v>62138</v>
      </c>
      <c r="U57" s="225">
        <f t="shared" si="8"/>
        <v>1.1726055555555555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</row>
    <row r="58" spans="1:75" ht="15" customHeight="1" x14ac:dyDescent="0.15">
      <c r="A58" s="3"/>
      <c r="B58" s="256"/>
      <c r="C58" s="257"/>
      <c r="D58" s="193" t="s">
        <v>61</v>
      </c>
      <c r="E58" s="24">
        <f>[2]東大阪工場!L60</f>
        <v>9312</v>
      </c>
      <c r="F58" s="141">
        <f t="shared" si="9"/>
        <v>2.1851523823476012E-4</v>
      </c>
      <c r="G58" s="24">
        <f>[3]東大阪工場!L60</f>
        <v>5811</v>
      </c>
      <c r="H58" s="106">
        <f t="shared" si="3"/>
        <v>2.2140593415911029E-4</v>
      </c>
      <c r="I58" s="88">
        <f t="shared" si="1"/>
        <v>0.62403350515463918</v>
      </c>
      <c r="J58" s="22">
        <f>E58+[4]東大阪工場!J58</f>
        <v>103296</v>
      </c>
      <c r="K58" s="166">
        <f t="shared" si="13"/>
        <v>2.4725447324539212E-4</v>
      </c>
      <c r="L58" s="68">
        <f>G58+[4]東大阪工場!L58</f>
        <v>58881</v>
      </c>
      <c r="M58" s="128">
        <f t="shared" si="14"/>
        <v>1.8480037634610296E-4</v>
      </c>
      <c r="N58" s="78">
        <f t="shared" si="2"/>
        <v>0.57002207249070636</v>
      </c>
      <c r="O58" s="18"/>
      <c r="P58" s="34">
        <f>[5]東大阪工場!L58</f>
        <v>7500</v>
      </c>
      <c r="Q58" s="25">
        <f t="shared" si="4"/>
        <v>1.7628393465742156E-4</v>
      </c>
      <c r="R58" s="22">
        <f>P58+[4]東大阪工場!R58</f>
        <v>100500</v>
      </c>
      <c r="S58" s="21">
        <f t="shared" si="6"/>
        <v>2.5919764787806106E-4</v>
      </c>
      <c r="T58" s="48">
        <f t="shared" si="7"/>
        <v>-41619</v>
      </c>
      <c r="U58" s="225">
        <f t="shared" si="8"/>
        <v>0.58588059701492534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</row>
    <row r="59" spans="1:75" ht="15" customHeight="1" x14ac:dyDescent="0.15">
      <c r="A59" s="3"/>
      <c r="B59" s="256"/>
      <c r="C59" s="257"/>
      <c r="D59" s="193" t="s">
        <v>44</v>
      </c>
      <c r="E59" s="24">
        <f>[2]東大阪工場!L61</f>
        <v>1650</v>
      </c>
      <c r="F59" s="141">
        <f t="shared" si="9"/>
        <v>3.8718872754226179E-5</v>
      </c>
      <c r="G59" s="24">
        <f>[3]東大阪工場!L61</f>
        <v>16264</v>
      </c>
      <c r="H59" s="106">
        <f t="shared" si="3"/>
        <v>6.1967752764821365E-4</v>
      </c>
      <c r="I59" s="88">
        <f t="shared" si="1"/>
        <v>9.8569696969696974</v>
      </c>
      <c r="J59" s="22">
        <f>E59+[4]東大阪工場!J59</f>
        <v>70598</v>
      </c>
      <c r="K59" s="166">
        <f t="shared" si="13"/>
        <v>1.6898690464469285E-4</v>
      </c>
      <c r="L59" s="68">
        <f>G59+[4]東大阪工場!L59</f>
        <v>28892</v>
      </c>
      <c r="M59" s="128">
        <f t="shared" si="14"/>
        <v>9.0678698958774595E-5</v>
      </c>
      <c r="N59" s="78">
        <f t="shared" si="2"/>
        <v>0.40924672087027963</v>
      </c>
      <c r="O59" s="18"/>
      <c r="P59" s="34">
        <f>[5]東大阪工場!L59</f>
        <v>7000</v>
      </c>
      <c r="Q59" s="35">
        <f t="shared" si="4"/>
        <v>1.6453167234692679E-4</v>
      </c>
      <c r="R59" s="22">
        <f>P59+[4]東大阪工場!R59</f>
        <v>63000</v>
      </c>
      <c r="S59" s="21">
        <f t="shared" si="6"/>
        <v>1.6248210762505319E-4</v>
      </c>
      <c r="T59" s="48">
        <f t="shared" si="7"/>
        <v>-34108</v>
      </c>
      <c r="U59" s="225">
        <f t="shared" si="8"/>
        <v>0.45860317460317462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</row>
    <row r="60" spans="1:75" ht="15" customHeight="1" x14ac:dyDescent="0.15">
      <c r="A60" s="3"/>
      <c r="B60" s="256"/>
      <c r="C60" s="257"/>
      <c r="D60" s="193" t="s">
        <v>11</v>
      </c>
      <c r="E60" s="24">
        <f>[2]東大阪工場!L62</f>
        <v>3960</v>
      </c>
      <c r="F60" s="141">
        <f t="shared" si="9"/>
        <v>9.2925294610142836E-5</v>
      </c>
      <c r="G60" s="24">
        <f>[3]東大阪工場!L62</f>
        <v>10539</v>
      </c>
      <c r="H60" s="106">
        <f t="shared" si="3"/>
        <v>4.015482946313652E-4</v>
      </c>
      <c r="I60" s="88">
        <f t="shared" si="1"/>
        <v>2.6613636363636362</v>
      </c>
      <c r="J60" s="22">
        <f>E60+[4]東大阪工場!J60</f>
        <v>56108</v>
      </c>
      <c r="K60" s="166">
        <f t="shared" si="13"/>
        <v>1.3430291574555124E-4</v>
      </c>
      <c r="L60" s="68">
        <f>G60+[4]東大阪工場!L60</f>
        <v>82809</v>
      </c>
      <c r="M60" s="128">
        <f t="shared" si="14"/>
        <v>2.5989936252516837E-4</v>
      </c>
      <c r="N60" s="78">
        <f t="shared" si="2"/>
        <v>1.4758857916874599</v>
      </c>
      <c r="O60" s="18"/>
      <c r="P60" s="34">
        <f>[5]東大阪工場!L60</f>
        <v>9000</v>
      </c>
      <c r="Q60" s="35">
        <f t="shared" si="4"/>
        <v>2.1154072158890587E-4</v>
      </c>
      <c r="R60" s="22">
        <f>P60+[4]東大阪工場!R60</f>
        <v>81000</v>
      </c>
      <c r="S60" s="21">
        <f t="shared" si="6"/>
        <v>2.0890556694649697E-4</v>
      </c>
      <c r="T60" s="48">
        <f>L60-R60</f>
        <v>1809</v>
      </c>
      <c r="U60" s="225">
        <f t="shared" si="8"/>
        <v>1.0223333333333333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</row>
    <row r="61" spans="1:75" ht="15" customHeight="1" x14ac:dyDescent="0.15">
      <c r="A61" s="3"/>
      <c r="B61" s="256"/>
      <c r="C61" s="257"/>
      <c r="D61" s="193" t="s">
        <v>45</v>
      </c>
      <c r="E61" s="24">
        <f>[2]東大阪工場!L63</f>
        <v>4840</v>
      </c>
      <c r="F61" s="141">
        <f t="shared" si="9"/>
        <v>1.1357536007906347E-4</v>
      </c>
      <c r="G61" s="24">
        <f>[3]東大阪工場!L63</f>
        <v>4840</v>
      </c>
      <c r="H61" s="106">
        <f t="shared" si="3"/>
        <v>1.8440969219240988E-4</v>
      </c>
      <c r="I61" s="88">
        <f t="shared" si="1"/>
        <v>1</v>
      </c>
      <c r="J61" s="22">
        <f>E61+[4]東大阪工場!J61</f>
        <v>420123</v>
      </c>
      <c r="K61" s="166">
        <f t="shared" si="13"/>
        <v>1.0056274305227102E-3</v>
      </c>
      <c r="L61" s="68">
        <f>G61+[4]東大阪工場!L61</f>
        <v>177100</v>
      </c>
      <c r="M61" s="128">
        <f t="shared" si="14"/>
        <v>5.5583544183853589E-4</v>
      </c>
      <c r="N61" s="78">
        <f t="shared" si="2"/>
        <v>0.42154321472521145</v>
      </c>
      <c r="O61" s="18"/>
      <c r="P61" s="34">
        <f>[5]東大阪工場!L61</f>
        <v>5000</v>
      </c>
      <c r="Q61" s="35">
        <f t="shared" si="4"/>
        <v>1.175226231049477E-4</v>
      </c>
      <c r="R61" s="22">
        <f>P61+[4]東大阪工場!R61</f>
        <v>410000</v>
      </c>
      <c r="S61" s="21">
        <f t="shared" si="6"/>
        <v>1.0574232400995525E-3</v>
      </c>
      <c r="T61" s="48">
        <f t="shared" si="7"/>
        <v>-232900</v>
      </c>
      <c r="U61" s="225">
        <f t="shared" si="8"/>
        <v>0.43195121951219512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</row>
    <row r="62" spans="1:75" ht="15" customHeight="1" x14ac:dyDescent="0.15">
      <c r="A62" s="3"/>
      <c r="B62" s="256"/>
      <c r="C62" s="257"/>
      <c r="D62" s="193" t="s">
        <v>12</v>
      </c>
      <c r="E62" s="24">
        <f>[2]東大阪工場!L64</f>
        <v>0</v>
      </c>
      <c r="F62" s="141">
        <f t="shared" si="9"/>
        <v>0</v>
      </c>
      <c r="G62" s="24">
        <f>[3]東大阪工場!L64</f>
        <v>0</v>
      </c>
      <c r="H62" s="106">
        <f t="shared" si="3"/>
        <v>0</v>
      </c>
      <c r="I62" s="88" t="str">
        <f t="shared" si="1"/>
        <v>-</v>
      </c>
      <c r="J62" s="22">
        <f>E62+[4]東大阪工場!J62</f>
        <v>0</v>
      </c>
      <c r="K62" s="166">
        <f t="shared" si="13"/>
        <v>0</v>
      </c>
      <c r="L62" s="68">
        <f>G62+[4]東大阪工場!L62</f>
        <v>0</v>
      </c>
      <c r="M62" s="128">
        <f t="shared" si="14"/>
        <v>0</v>
      </c>
      <c r="N62" s="78" t="str">
        <f t="shared" si="2"/>
        <v>-</v>
      </c>
      <c r="O62" s="18"/>
      <c r="P62" s="34">
        <f>[5]東大阪工場!L62</f>
        <v>0</v>
      </c>
      <c r="Q62" s="25">
        <f t="shared" si="4"/>
        <v>0</v>
      </c>
      <c r="R62" s="22">
        <f>P62+[4]東大阪工場!R62</f>
        <v>0</v>
      </c>
      <c r="S62" s="21">
        <f t="shared" si="6"/>
        <v>0</v>
      </c>
      <c r="T62" s="48">
        <f t="shared" si="7"/>
        <v>0</v>
      </c>
      <c r="U62" s="225" t="str">
        <f t="shared" si="8"/>
        <v>-</v>
      </c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</row>
    <row r="63" spans="1:75" ht="15" customHeight="1" x14ac:dyDescent="0.15">
      <c r="A63" s="3"/>
      <c r="B63" s="256"/>
      <c r="C63" s="257"/>
      <c r="D63" s="193" t="s">
        <v>13</v>
      </c>
      <c r="E63" s="24">
        <f>[2]東大阪工場!L65</f>
        <v>0</v>
      </c>
      <c r="F63" s="141">
        <f t="shared" si="9"/>
        <v>0</v>
      </c>
      <c r="G63" s="24">
        <f>[3]東大阪工場!L65</f>
        <v>0</v>
      </c>
      <c r="H63" s="106">
        <f t="shared" si="3"/>
        <v>0</v>
      </c>
      <c r="I63" s="88" t="str">
        <f t="shared" si="1"/>
        <v>-</v>
      </c>
      <c r="J63" s="22">
        <f>E63+[4]東大阪工場!J63</f>
        <v>0</v>
      </c>
      <c r="K63" s="166">
        <f t="shared" si="13"/>
        <v>0</v>
      </c>
      <c r="L63" s="68">
        <f>G63+[4]東大阪工場!L63</f>
        <v>0</v>
      </c>
      <c r="M63" s="128">
        <f t="shared" si="14"/>
        <v>0</v>
      </c>
      <c r="N63" s="78" t="str">
        <f t="shared" si="2"/>
        <v>-</v>
      </c>
      <c r="O63" s="18"/>
      <c r="P63" s="34">
        <f>[5]東大阪工場!L63</f>
        <v>0</v>
      </c>
      <c r="Q63" s="25">
        <f t="shared" si="4"/>
        <v>0</v>
      </c>
      <c r="R63" s="22">
        <f>P63+[4]東大阪工場!R63</f>
        <v>0</v>
      </c>
      <c r="S63" s="21">
        <f t="shared" si="6"/>
        <v>0</v>
      </c>
      <c r="T63" s="48">
        <f t="shared" si="7"/>
        <v>0</v>
      </c>
      <c r="U63" s="225" t="str">
        <f t="shared" si="8"/>
        <v>-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</row>
    <row r="64" spans="1:75" ht="15" customHeight="1" x14ac:dyDescent="0.15">
      <c r="A64" s="3"/>
      <c r="B64" s="256"/>
      <c r="C64" s="257"/>
      <c r="D64" s="193" t="s">
        <v>14</v>
      </c>
      <c r="E64" s="24">
        <f>[2]東大阪工場!L66</f>
        <v>4500</v>
      </c>
      <c r="F64" s="141">
        <f t="shared" si="9"/>
        <v>1.0559692569334413E-4</v>
      </c>
      <c r="G64" s="24">
        <f>[3]東大阪工場!L66</f>
        <v>0</v>
      </c>
      <c r="H64" s="106">
        <f t="shared" si="3"/>
        <v>0</v>
      </c>
      <c r="I64" s="88">
        <f t="shared" si="1"/>
        <v>0</v>
      </c>
      <c r="J64" s="22">
        <f>E64+[4]東大阪工場!J64</f>
        <v>75000</v>
      </c>
      <c r="K64" s="166">
        <f t="shared" si="13"/>
        <v>1.7952375206595035E-4</v>
      </c>
      <c r="L64" s="68">
        <f>G64+[4]東大阪工場!L64</f>
        <v>70500</v>
      </c>
      <c r="M64" s="128">
        <f t="shared" si="14"/>
        <v>2.2126707312036578E-4</v>
      </c>
      <c r="N64" s="78">
        <f t="shared" si="2"/>
        <v>0.94</v>
      </c>
      <c r="O64" s="18"/>
      <c r="P64" s="34">
        <f>[5]東大阪工場!L64</f>
        <v>4500</v>
      </c>
      <c r="Q64" s="25">
        <f t="shared" si="4"/>
        <v>1.0577036079445293E-4</v>
      </c>
      <c r="R64" s="22">
        <f>P64+[4]東大阪工場!R64</f>
        <v>75500</v>
      </c>
      <c r="S64" s="21">
        <f t="shared" si="6"/>
        <v>1.9472062104272249E-4</v>
      </c>
      <c r="T64" s="48">
        <f t="shared" si="7"/>
        <v>-5000</v>
      </c>
      <c r="U64" s="225">
        <f t="shared" si="8"/>
        <v>0.93377483443708609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</row>
    <row r="65" spans="1:75" ht="15" customHeight="1" x14ac:dyDescent="0.15">
      <c r="A65" s="3"/>
      <c r="B65" s="256"/>
      <c r="C65" s="257"/>
      <c r="D65" s="193" t="s">
        <v>15</v>
      </c>
      <c r="E65" s="24">
        <f>[2]東大阪工場!L67</f>
        <v>94380</v>
      </c>
      <c r="F65" s="141">
        <f t="shared" si="9"/>
        <v>2.2147195215417377E-3</v>
      </c>
      <c r="G65" s="24">
        <f>[3]東大阪工場!L67</f>
        <v>80135</v>
      </c>
      <c r="H65" s="106">
        <f t="shared" si="3"/>
        <v>3.0532377445947863E-3</v>
      </c>
      <c r="I65" s="88">
        <f t="shared" si="1"/>
        <v>0.8490675990675991</v>
      </c>
      <c r="J65" s="22">
        <f>E65+[4]東大阪工場!J65</f>
        <v>982613</v>
      </c>
      <c r="K65" s="166">
        <f t="shared" si="13"/>
        <v>2.3520316345170622E-3</v>
      </c>
      <c r="L65" s="68">
        <f>G65+[4]東大阪工場!L65</f>
        <v>908245</v>
      </c>
      <c r="M65" s="128">
        <f t="shared" si="14"/>
        <v>2.8505633024993849E-3</v>
      </c>
      <c r="N65" s="78">
        <f t="shared" si="2"/>
        <v>0.92431608374812868</v>
      </c>
      <c r="O65" s="18"/>
      <c r="P65" s="34">
        <f>[5]東大阪工場!L65</f>
        <v>95000</v>
      </c>
      <c r="Q65" s="25">
        <f t="shared" si="4"/>
        <v>2.2329298389940065E-3</v>
      </c>
      <c r="R65" s="22">
        <f>P65+[4]東大阪工場!R65</f>
        <v>965000</v>
      </c>
      <c r="S65" s="21">
        <f t="shared" si="6"/>
        <v>2.4888132358440685E-3</v>
      </c>
      <c r="T65" s="48">
        <f t="shared" si="7"/>
        <v>-56755</v>
      </c>
      <c r="U65" s="225">
        <f t="shared" si="8"/>
        <v>0.94118652849740936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</row>
    <row r="66" spans="1:75" ht="15" customHeight="1" x14ac:dyDescent="0.15">
      <c r="A66" s="3"/>
      <c r="B66" s="256"/>
      <c r="C66" s="257"/>
      <c r="D66" s="193" t="s">
        <v>16</v>
      </c>
      <c r="E66" s="24">
        <f>[2]東大阪工場!L68</f>
        <v>-400</v>
      </c>
      <c r="F66" s="141">
        <f t="shared" si="9"/>
        <v>-9.3863933949639226E-6</v>
      </c>
      <c r="G66" s="24">
        <f>[3]東大阪工場!L68</f>
        <v>0</v>
      </c>
      <c r="H66" s="106">
        <f t="shared" si="3"/>
        <v>0</v>
      </c>
      <c r="I66" s="88">
        <f t="shared" si="1"/>
        <v>0</v>
      </c>
      <c r="J66" s="22">
        <f>E66+[4]東大阪工場!J66</f>
        <v>1160</v>
      </c>
      <c r="K66" s="166">
        <f t="shared" si="13"/>
        <v>2.7766340319533658E-6</v>
      </c>
      <c r="L66" s="68">
        <f>G66+[4]東大阪工場!L66</f>
        <v>24305</v>
      </c>
      <c r="M66" s="128">
        <f t="shared" si="14"/>
        <v>7.6282215775751636E-5</v>
      </c>
      <c r="N66" s="78">
        <f t="shared" si="2"/>
        <v>20.952586206896552</v>
      </c>
      <c r="O66" s="18"/>
      <c r="P66" s="34">
        <f>[5]東大阪工場!L66</f>
        <v>0</v>
      </c>
      <c r="Q66" s="25">
        <f t="shared" si="4"/>
        <v>0</v>
      </c>
      <c r="R66" s="22">
        <f>P66+[4]東大阪工場!R66</f>
        <v>0</v>
      </c>
      <c r="S66" s="21">
        <f t="shared" si="6"/>
        <v>0</v>
      </c>
      <c r="T66" s="48">
        <f t="shared" si="7"/>
        <v>24305</v>
      </c>
      <c r="U66" s="225" t="e">
        <f t="shared" si="8"/>
        <v>#DIV/0!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</row>
    <row r="67" spans="1:75" ht="15" customHeight="1" x14ac:dyDescent="0.15">
      <c r="A67" s="3"/>
      <c r="B67" s="256"/>
      <c r="C67" s="257"/>
      <c r="D67" s="193" t="s">
        <v>47</v>
      </c>
      <c r="E67" s="24">
        <f>[2]東大阪工場!L69</f>
        <v>0</v>
      </c>
      <c r="F67" s="141">
        <f t="shared" si="9"/>
        <v>0</v>
      </c>
      <c r="G67" s="24">
        <f>[3]東大阪工場!L69</f>
        <v>0</v>
      </c>
      <c r="H67" s="106">
        <f t="shared" si="3"/>
        <v>0</v>
      </c>
      <c r="I67" s="88" t="str">
        <f t="shared" si="1"/>
        <v>-</v>
      </c>
      <c r="J67" s="22">
        <f>E67+[4]東大阪工場!J67</f>
        <v>0</v>
      </c>
      <c r="K67" s="166">
        <f t="shared" si="13"/>
        <v>0</v>
      </c>
      <c r="L67" s="68">
        <f>G67+[4]東大阪工場!L67</f>
        <v>0</v>
      </c>
      <c r="M67" s="128">
        <f t="shared" si="14"/>
        <v>0</v>
      </c>
      <c r="N67" s="78" t="str">
        <f t="shared" si="2"/>
        <v>-</v>
      </c>
      <c r="O67" s="18"/>
      <c r="P67" s="34">
        <f>[5]東大阪工場!L67</f>
        <v>0</v>
      </c>
      <c r="Q67" s="25">
        <f t="shared" si="4"/>
        <v>0</v>
      </c>
      <c r="R67" s="22">
        <f>P67+[4]東大阪工場!R67</f>
        <v>0</v>
      </c>
      <c r="S67" s="21">
        <f t="shared" si="6"/>
        <v>0</v>
      </c>
      <c r="T67" s="48">
        <f t="shared" si="7"/>
        <v>0</v>
      </c>
      <c r="U67" s="225" t="str">
        <f t="shared" si="8"/>
        <v>-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</row>
    <row r="68" spans="1:75" ht="15" customHeight="1" x14ac:dyDescent="0.15">
      <c r="A68" s="3"/>
      <c r="B68" s="256"/>
      <c r="C68" s="257"/>
      <c r="D68" s="193" t="s">
        <v>22</v>
      </c>
      <c r="E68" s="24">
        <f>[2]東大阪工場!L70</f>
        <v>0</v>
      </c>
      <c r="F68" s="141">
        <f t="shared" si="9"/>
        <v>0</v>
      </c>
      <c r="G68" s="24">
        <f>[3]東大阪工場!L70</f>
        <v>0</v>
      </c>
      <c r="H68" s="106">
        <f t="shared" si="3"/>
        <v>0</v>
      </c>
      <c r="I68" s="88" t="str">
        <f t="shared" si="1"/>
        <v>-</v>
      </c>
      <c r="J68" s="22">
        <f>E68+[4]東大阪工場!J68</f>
        <v>0</v>
      </c>
      <c r="K68" s="166">
        <f t="shared" si="13"/>
        <v>0</v>
      </c>
      <c r="L68" s="68">
        <f>G68+[4]東大阪工場!L68</f>
        <v>0</v>
      </c>
      <c r="M68" s="128">
        <f t="shared" si="14"/>
        <v>0</v>
      </c>
      <c r="N68" s="78" t="str">
        <f t="shared" si="2"/>
        <v>-</v>
      </c>
      <c r="O68" s="18"/>
      <c r="P68" s="34">
        <f>[5]東大阪工場!L68</f>
        <v>0</v>
      </c>
      <c r="Q68" s="25">
        <f t="shared" si="4"/>
        <v>0</v>
      </c>
      <c r="R68" s="22">
        <f>P68+[4]東大阪工場!R68</f>
        <v>0</v>
      </c>
      <c r="S68" s="21">
        <f t="shared" si="6"/>
        <v>0</v>
      </c>
      <c r="T68" s="48">
        <f t="shared" si="7"/>
        <v>0</v>
      </c>
      <c r="U68" s="225" t="str">
        <f t="shared" si="8"/>
        <v>-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</row>
    <row r="69" spans="1:75" ht="15" customHeight="1" x14ac:dyDescent="0.15">
      <c r="A69" s="3"/>
      <c r="B69" s="256"/>
      <c r="C69" s="257"/>
      <c r="D69" s="193" t="s">
        <v>17</v>
      </c>
      <c r="E69" s="24">
        <f>[2]東大阪工場!L71</f>
        <v>45110</v>
      </c>
      <c r="F69" s="141">
        <f t="shared" si="9"/>
        <v>1.0585505151170563E-3</v>
      </c>
      <c r="G69" s="24">
        <f>[3]東大阪工場!L71</f>
        <v>34120</v>
      </c>
      <c r="H69" s="106">
        <f t="shared" si="3"/>
        <v>1.3000121276043439E-3</v>
      </c>
      <c r="I69" s="88">
        <f t="shared" si="1"/>
        <v>0.75637330968743077</v>
      </c>
      <c r="J69" s="22">
        <f>E69+[4]東大阪工場!J69</f>
        <v>231514</v>
      </c>
      <c r="K69" s="166">
        <f t="shared" si="13"/>
        <v>5.5416349247728572E-4</v>
      </c>
      <c r="L69" s="68">
        <f>G69+[4]東大阪工場!L69</f>
        <v>188354</v>
      </c>
      <c r="M69" s="128">
        <f t="shared" si="14"/>
        <v>5.9115657149664365E-4</v>
      </c>
      <c r="N69" s="78">
        <f t="shared" si="2"/>
        <v>0.81357498898554736</v>
      </c>
      <c r="O69" s="18"/>
      <c r="P69" s="34">
        <f>[5]東大阪工場!L69</f>
        <v>43000</v>
      </c>
      <c r="Q69" s="25">
        <f t="shared" si="4"/>
        <v>1.0106945587025503E-3</v>
      </c>
      <c r="R69" s="22">
        <f>P69+[4]東大阪工場!R69</f>
        <v>244000</v>
      </c>
      <c r="S69" s="21">
        <f t="shared" si="6"/>
        <v>6.2929578191290442E-4</v>
      </c>
      <c r="T69" s="48">
        <f t="shared" si="7"/>
        <v>-55646</v>
      </c>
      <c r="U69" s="225">
        <f t="shared" si="8"/>
        <v>0.77194262295081972</v>
      </c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</row>
    <row r="70" spans="1:75" ht="15" customHeight="1" x14ac:dyDescent="0.15">
      <c r="A70" s="3"/>
      <c r="B70" s="256"/>
      <c r="C70" s="257"/>
      <c r="D70" s="192" t="s">
        <v>18</v>
      </c>
      <c r="E70" s="24">
        <f>[2]東大阪工場!L72</f>
        <v>0</v>
      </c>
      <c r="F70" s="141">
        <f t="shared" si="9"/>
        <v>0</v>
      </c>
      <c r="G70" s="24">
        <f>[3]東大阪工場!L72</f>
        <v>0</v>
      </c>
      <c r="H70" s="106">
        <f t="shared" si="3"/>
        <v>0</v>
      </c>
      <c r="I70" s="88" t="str">
        <f t="shared" si="1"/>
        <v>-</v>
      </c>
      <c r="J70" s="22">
        <f>E70+[4]東大阪工場!J70</f>
        <v>36960</v>
      </c>
      <c r="K70" s="166">
        <f t="shared" si="13"/>
        <v>8.8469305018100332E-5</v>
      </c>
      <c r="L70" s="68">
        <f>G70+[4]東大阪工場!L70</f>
        <v>36960</v>
      </c>
      <c r="M70" s="128">
        <f t="shared" si="14"/>
        <v>1.1600044003586837E-4</v>
      </c>
      <c r="N70" s="78">
        <f t="shared" si="2"/>
        <v>1</v>
      </c>
      <c r="O70" s="18"/>
      <c r="P70" s="34">
        <f>[5]東大阪工場!L70</f>
        <v>0</v>
      </c>
      <c r="Q70" s="25">
        <f t="shared" si="4"/>
        <v>0</v>
      </c>
      <c r="R70" s="22">
        <f>P70+[4]東大阪工場!R70</f>
        <v>37000</v>
      </c>
      <c r="S70" s="21">
        <f t="shared" si="6"/>
        <v>9.5425999716301077E-5</v>
      </c>
      <c r="T70" s="48">
        <f t="shared" si="7"/>
        <v>-40</v>
      </c>
      <c r="U70" s="225">
        <f t="shared" si="8"/>
        <v>0.99891891891891893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</row>
    <row r="71" spans="1:75" ht="15" customHeight="1" x14ac:dyDescent="0.15">
      <c r="A71" s="3"/>
      <c r="B71" s="256"/>
      <c r="C71" s="257"/>
      <c r="D71" s="193" t="s">
        <v>19</v>
      </c>
      <c r="E71" s="24">
        <f>[2]東大阪工場!L73</f>
        <v>450</v>
      </c>
      <c r="F71" s="141">
        <f t="shared" si="9"/>
        <v>1.0559692569334413E-5</v>
      </c>
      <c r="G71" s="24">
        <f>[3]東大阪工場!L73</f>
        <v>100</v>
      </c>
      <c r="H71" s="106">
        <f t="shared" si="3"/>
        <v>3.8101176072811956E-6</v>
      </c>
      <c r="I71" s="88">
        <f t="shared" si="1"/>
        <v>0.22222222222222221</v>
      </c>
      <c r="J71" s="22">
        <f>E71+[4]東大阪工場!J71</f>
        <v>128951</v>
      </c>
      <c r="K71" s="166">
        <f t="shared" si="13"/>
        <v>3.0866356470208488E-4</v>
      </c>
      <c r="L71" s="68">
        <f>G71+[4]東大阪工場!L71</f>
        <v>155132</v>
      </c>
      <c r="M71" s="128">
        <f t="shared" si="14"/>
        <v>4.868879941462211E-4</v>
      </c>
      <c r="N71" s="78">
        <f t="shared" si="2"/>
        <v>1.203030608525719</v>
      </c>
      <c r="O71" s="18"/>
      <c r="P71" s="34">
        <f>[5]東大阪工場!L71</f>
        <v>500</v>
      </c>
      <c r="Q71" s="25">
        <f t="shared" si="4"/>
        <v>1.1752262310494771E-5</v>
      </c>
      <c r="R71" s="22">
        <f>P71+[4]東大阪工場!R71</f>
        <v>129000</v>
      </c>
      <c r="S71" s="21">
        <f t="shared" si="6"/>
        <v>3.32701458470347E-4</v>
      </c>
      <c r="T71" s="48">
        <f t="shared" si="7"/>
        <v>26132</v>
      </c>
      <c r="U71" s="225">
        <f t="shared" si="8"/>
        <v>1.2025736434108527</v>
      </c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</row>
    <row r="72" spans="1:75" ht="15" customHeight="1" x14ac:dyDescent="0.15">
      <c r="A72" s="3"/>
      <c r="B72" s="256"/>
      <c r="C72" s="257"/>
      <c r="D72" s="193" t="s">
        <v>20</v>
      </c>
      <c r="E72" s="24">
        <f>[2]東大阪工場!L74</f>
        <v>4815</v>
      </c>
      <c r="F72" s="141">
        <f t="shared" si="9"/>
        <v>1.1298871049187822E-4</v>
      </c>
      <c r="G72" s="24">
        <f>[3]東大阪工場!L74</f>
        <v>4446</v>
      </c>
      <c r="H72" s="106">
        <f t="shared" si="3"/>
        <v>1.6939782881972195E-4</v>
      </c>
      <c r="I72" s="88">
        <f t="shared" si="1"/>
        <v>0.92336448598130838</v>
      </c>
      <c r="J72" s="22">
        <f>E72+[4]東大阪工場!J72</f>
        <v>104033</v>
      </c>
      <c r="K72" s="166">
        <f t="shared" si="13"/>
        <v>2.490185933156935E-4</v>
      </c>
      <c r="L72" s="68">
        <f>G72+[4]東大阪工場!L72</f>
        <v>87123</v>
      </c>
      <c r="M72" s="128">
        <f t="shared" si="14"/>
        <v>2.7343902427610819E-4</v>
      </c>
      <c r="N72" s="78">
        <f t="shared" si="2"/>
        <v>0.83745542279853513</v>
      </c>
      <c r="O72" s="18"/>
      <c r="P72" s="34">
        <f>[5]東大阪工場!L72</f>
        <v>6500</v>
      </c>
      <c r="Q72" s="25">
        <f t="shared" si="4"/>
        <v>1.5277941003643202E-4</v>
      </c>
      <c r="R72" s="22">
        <f>P72+[4]東大阪工場!R72</f>
        <v>52000</v>
      </c>
      <c r="S72" s="21">
        <f t="shared" si="6"/>
        <v>1.3411221581750423E-4</v>
      </c>
      <c r="T72" s="48">
        <f t="shared" si="7"/>
        <v>35123</v>
      </c>
      <c r="U72" s="225">
        <f t="shared" si="8"/>
        <v>1.6754423076923077</v>
      </c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</row>
    <row r="73" spans="1:75" ht="15" customHeight="1" x14ac:dyDescent="0.15">
      <c r="A73" s="3"/>
      <c r="B73" s="256"/>
      <c r="C73" s="257"/>
      <c r="D73" s="193" t="s">
        <v>1</v>
      </c>
      <c r="E73" s="24">
        <f>[2]東大阪工場!L75</f>
        <v>89000</v>
      </c>
      <c r="F73" s="141">
        <f t="shared" si="9"/>
        <v>2.0884725303794731E-3</v>
      </c>
      <c r="G73" s="24">
        <f>[3]東大阪工場!L75</f>
        <v>80000</v>
      </c>
      <c r="H73" s="106">
        <f t="shared" si="3"/>
        <v>3.0480940858249564E-3</v>
      </c>
      <c r="I73" s="88">
        <f t="shared" si="1"/>
        <v>0.898876404494382</v>
      </c>
      <c r="J73" s="22">
        <f>E73+[4]東大阪工場!J73</f>
        <v>801000</v>
      </c>
      <c r="K73" s="166">
        <f t="shared" si="13"/>
        <v>1.9173136720643498E-3</v>
      </c>
      <c r="L73" s="68">
        <f>G73+[4]東大阪工場!L73</f>
        <v>720000</v>
      </c>
      <c r="M73" s="128">
        <f t="shared" si="14"/>
        <v>2.2597488318675655E-3</v>
      </c>
      <c r="N73" s="78">
        <f t="shared" si="2"/>
        <v>0.898876404494382</v>
      </c>
      <c r="O73" s="18"/>
      <c r="P73" s="34">
        <f>[5]東大阪工場!L73</f>
        <v>80000</v>
      </c>
      <c r="Q73" s="25">
        <f t="shared" si="4"/>
        <v>1.8803619696791632E-3</v>
      </c>
      <c r="R73" s="22">
        <f>P73+[4]東大阪工場!R73</f>
        <v>720000</v>
      </c>
      <c r="S73" s="21">
        <f t="shared" si="6"/>
        <v>1.8569383728577508E-3</v>
      </c>
      <c r="T73" s="48">
        <f t="shared" si="7"/>
        <v>0</v>
      </c>
      <c r="U73" s="225">
        <f t="shared" si="8"/>
        <v>1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</row>
    <row r="74" spans="1:75" ht="15" customHeight="1" x14ac:dyDescent="0.15">
      <c r="A74" s="3"/>
      <c r="B74" s="256"/>
      <c r="C74" s="257"/>
      <c r="D74" s="193" t="s">
        <v>62</v>
      </c>
      <c r="E74" s="24">
        <f>[2]東大阪工場!L76</f>
        <v>0</v>
      </c>
      <c r="F74" s="141">
        <f t="shared" si="9"/>
        <v>0</v>
      </c>
      <c r="G74" s="24">
        <f>[3]東大阪工場!L76</f>
        <v>0</v>
      </c>
      <c r="H74" s="106">
        <f t="shared" si="3"/>
        <v>0</v>
      </c>
      <c r="I74" s="88" t="str">
        <f t="shared" si="1"/>
        <v>-</v>
      </c>
      <c r="J74" s="22">
        <f>E74+[4]東大阪工場!J74</f>
        <v>0</v>
      </c>
      <c r="K74" s="166">
        <f t="shared" si="13"/>
        <v>0</v>
      </c>
      <c r="L74" s="68">
        <f>G74+[4]東大阪工場!L74</f>
        <v>0</v>
      </c>
      <c r="M74" s="128">
        <f t="shared" si="14"/>
        <v>0</v>
      </c>
      <c r="N74" s="78" t="str">
        <f t="shared" si="2"/>
        <v>-</v>
      </c>
      <c r="O74" s="18"/>
      <c r="P74" s="34">
        <f>[5]東大阪工場!L74</f>
        <v>0</v>
      </c>
      <c r="Q74" s="25">
        <f t="shared" si="4"/>
        <v>0</v>
      </c>
      <c r="R74" s="22">
        <f>P74+[4]東大阪工場!R74</f>
        <v>0</v>
      </c>
      <c r="S74" s="21">
        <f t="shared" si="6"/>
        <v>0</v>
      </c>
      <c r="T74" s="48">
        <f t="shared" si="7"/>
        <v>0</v>
      </c>
      <c r="U74" s="225" t="str">
        <f t="shared" si="8"/>
        <v>-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</row>
    <row r="75" spans="1:75" ht="15" customHeight="1" x14ac:dyDescent="0.15">
      <c r="A75" s="3"/>
      <c r="B75" s="256"/>
      <c r="C75" s="257"/>
      <c r="D75" s="193" t="s">
        <v>21</v>
      </c>
      <c r="E75" s="24">
        <f>[2]東大阪工場!L77</f>
        <v>0</v>
      </c>
      <c r="F75" s="141">
        <f t="shared" si="9"/>
        <v>0</v>
      </c>
      <c r="G75" s="24">
        <f>[3]東大阪工場!L77</f>
        <v>0</v>
      </c>
      <c r="H75" s="106">
        <f t="shared" si="3"/>
        <v>0</v>
      </c>
      <c r="I75" s="88" t="str">
        <f t="shared" ref="I75:I95" si="24">IF(E75,G75/E75,"-")</f>
        <v>-</v>
      </c>
      <c r="J75" s="22">
        <f>E75+[4]東大阪工場!J75</f>
        <v>0</v>
      </c>
      <c r="K75" s="166">
        <f t="shared" si="13"/>
        <v>0</v>
      </c>
      <c r="L75" s="68">
        <f>G75+[4]東大阪工場!L75</f>
        <v>0</v>
      </c>
      <c r="M75" s="128">
        <f t="shared" si="14"/>
        <v>0</v>
      </c>
      <c r="N75" s="78" t="str">
        <f t="shared" ref="N75:N76" si="25">IF(J75,L75/J75,"-")</f>
        <v>-</v>
      </c>
      <c r="O75" s="18"/>
      <c r="P75" s="34">
        <f>[5]東大阪工場!L75</f>
        <v>0</v>
      </c>
      <c r="Q75" s="25">
        <f t="shared" si="4"/>
        <v>0</v>
      </c>
      <c r="R75" s="22">
        <f>P75+[4]東大阪工場!R75</f>
        <v>0</v>
      </c>
      <c r="S75" s="21">
        <f t="shared" si="6"/>
        <v>0</v>
      </c>
      <c r="T75" s="48">
        <f t="shared" si="7"/>
        <v>0</v>
      </c>
      <c r="U75" s="225" t="str">
        <f t="shared" si="8"/>
        <v>-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</row>
    <row r="76" spans="1:75" ht="15" customHeight="1" x14ac:dyDescent="0.15">
      <c r="A76" s="3"/>
      <c r="B76" s="256"/>
      <c r="C76" s="257"/>
      <c r="D76" s="193" t="s">
        <v>63</v>
      </c>
      <c r="E76" s="24">
        <f>[2]東大阪工場!L78</f>
        <v>93500</v>
      </c>
      <c r="F76" s="141">
        <f t="shared" si="9"/>
        <v>2.194069456072817E-3</v>
      </c>
      <c r="G76" s="24">
        <f>[3]東大阪工場!L78</f>
        <v>93500</v>
      </c>
      <c r="H76" s="106">
        <f t="shared" ref="H76:H95" si="26">G76/$G$10</f>
        <v>3.5624599628079181E-3</v>
      </c>
      <c r="I76" s="88">
        <f t="shared" si="24"/>
        <v>1</v>
      </c>
      <c r="J76" s="22">
        <f>E76+[4]東大阪工場!J76</f>
        <v>841500</v>
      </c>
      <c r="K76" s="166">
        <f t="shared" si="13"/>
        <v>2.0142564981799629E-3</v>
      </c>
      <c r="L76" s="68">
        <f>G76+[4]東大阪工場!L76</f>
        <v>841500</v>
      </c>
      <c r="M76" s="128">
        <f t="shared" si="14"/>
        <v>2.6410814472452174E-3</v>
      </c>
      <c r="N76" s="78">
        <f t="shared" si="25"/>
        <v>1</v>
      </c>
      <c r="O76" s="18"/>
      <c r="P76" s="34">
        <f>[5]東大阪工場!L76</f>
        <v>93500</v>
      </c>
      <c r="Q76" s="25">
        <f t="shared" ref="Q76:Q95" si="27">P76/$P$10</f>
        <v>2.1976730520625221E-3</v>
      </c>
      <c r="R76" s="22">
        <f>P76+[4]東大阪工場!R76</f>
        <v>841500</v>
      </c>
      <c r="S76" s="21">
        <f t="shared" ref="S76:S95" si="28">R76/$R$10</f>
        <v>2.1702967232774964E-3</v>
      </c>
      <c r="T76" s="48">
        <f t="shared" si="7"/>
        <v>0</v>
      </c>
      <c r="U76" s="225">
        <f t="shared" ref="U76:U95" si="29">IF(L76,L76/R76,"-")</f>
        <v>1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</row>
    <row r="77" spans="1:75" ht="15" customHeight="1" x14ac:dyDescent="0.15">
      <c r="A77" s="3"/>
      <c r="B77" s="256"/>
      <c r="C77" s="257"/>
      <c r="D77" s="192" t="s">
        <v>98</v>
      </c>
      <c r="E77" s="24">
        <f>[2]東大阪工場!L79</f>
        <v>78375</v>
      </c>
      <c r="F77" s="141">
        <f t="shared" ref="F77" si="30">E77/$E$10</f>
        <v>1.8391464558257437E-3</v>
      </c>
      <c r="G77" s="24">
        <f>[3]東大阪工場!L79</f>
        <v>51524</v>
      </c>
      <c r="H77" s="106">
        <f t="shared" ref="H77" si="31">G77/$G$10</f>
        <v>1.9631249959755634E-3</v>
      </c>
      <c r="I77" s="88">
        <f t="shared" ref="I77" si="32">IF(E77,G77/E77,"-")</f>
        <v>0.65740350877192988</v>
      </c>
      <c r="J77" s="22">
        <f>E77+[4]東大阪工場!J77</f>
        <v>246180</v>
      </c>
      <c r="K77" s="166">
        <f t="shared" ref="K77" si="33">J77/$J$10</f>
        <v>5.8926876378127542E-4</v>
      </c>
      <c r="L77" s="68">
        <f>G77+[4]東大阪工場!L77</f>
        <v>409585</v>
      </c>
      <c r="M77" s="128">
        <f t="shared" ref="M77" si="34">L77/$L$10</f>
        <v>1.2854989240284401E-3</v>
      </c>
      <c r="N77" s="78">
        <f t="shared" ref="N77" si="35">IF(J77,L77/J77,"-")</f>
        <v>1.6637622877569258</v>
      </c>
      <c r="O77" s="18"/>
      <c r="P77" s="34">
        <f>[5]東大阪工場!L77</f>
        <v>38000</v>
      </c>
      <c r="Q77" s="25">
        <f t="shared" ref="Q77" si="36">P77/$P$10</f>
        <v>8.9317193559760254E-4</v>
      </c>
      <c r="R77" s="22">
        <f>P77+[4]東大阪工場!R77</f>
        <v>304000</v>
      </c>
      <c r="S77" s="21">
        <f t="shared" ref="S77" si="37">R77/$R$10</f>
        <v>7.8404064631771696E-4</v>
      </c>
      <c r="T77" s="48">
        <f t="shared" si="7"/>
        <v>105585</v>
      </c>
      <c r="U77" s="225">
        <f t="shared" si="29"/>
        <v>1.3473190789473684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</row>
    <row r="78" spans="1:75" ht="15" customHeight="1" x14ac:dyDescent="0.15">
      <c r="A78" s="3"/>
      <c r="B78" s="258"/>
      <c r="C78" s="259"/>
      <c r="D78" s="194" t="s">
        <v>52</v>
      </c>
      <c r="E78" s="27">
        <f>SUM(E43:E77)</f>
        <v>3319229</v>
      </c>
      <c r="F78" s="140">
        <f>E78/$E$10</f>
        <v>7.7888972904931769E-2</v>
      </c>
      <c r="G78" s="27">
        <f>SUM(G43:G77)</f>
        <v>3052644</v>
      </c>
      <c r="H78" s="105">
        <f t="shared" si="26"/>
        <v>0.11630932653161298</v>
      </c>
      <c r="I78" s="114">
        <f>IF(E78,G78/E78,"-")</f>
        <v>0.91968466170908969</v>
      </c>
      <c r="J78" s="32">
        <f>SUM(J43:J77)</f>
        <v>32191192</v>
      </c>
      <c r="K78" s="165">
        <f t="shared" si="13"/>
        <v>7.7054447617538727E-2</v>
      </c>
      <c r="L78" s="27">
        <f>SUM(L43:L77)</f>
        <v>28168567</v>
      </c>
      <c r="M78" s="105">
        <f t="shared" si="14"/>
        <v>8.8408175518935081E-2</v>
      </c>
      <c r="N78" s="126">
        <f>IF(J78,L78/J78,"-")</f>
        <v>0.87503957604303684</v>
      </c>
      <c r="O78" s="18"/>
      <c r="P78" s="27">
        <f>SUM(P43:P77)</f>
        <v>3384500</v>
      </c>
      <c r="Q78" s="1">
        <f t="shared" si="27"/>
        <v>7.9551063579739095E-2</v>
      </c>
      <c r="R78" s="27">
        <f>SUM(R43:R77)</f>
        <v>30187500</v>
      </c>
      <c r="S78" s="1">
        <f t="shared" si="28"/>
        <v>7.7856009903671322E-2</v>
      </c>
      <c r="T78" s="48">
        <f t="shared" si="7"/>
        <v>-2018933</v>
      </c>
      <c r="U78" s="225">
        <f t="shared" si="29"/>
        <v>0.93312023188405802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</row>
    <row r="79" spans="1:75" ht="15" customHeight="1" x14ac:dyDescent="0.15">
      <c r="A79" s="3"/>
      <c r="B79" s="251" t="s">
        <v>64</v>
      </c>
      <c r="C79" s="252"/>
      <c r="D79" s="253"/>
      <c r="E79" s="17">
        <f>E42-E78</f>
        <v>7778749</v>
      </c>
      <c r="F79" s="142">
        <f t="shared" si="9"/>
        <v>0.18253599558670555</v>
      </c>
      <c r="G79" s="17">
        <f>G42-G78</f>
        <v>-1589956</v>
      </c>
      <c r="H79" s="96">
        <f t="shared" si="26"/>
        <v>-6.0579193504023805E-2</v>
      </c>
      <c r="I79" s="112">
        <f t="shared" si="24"/>
        <v>-0.2043973908915174</v>
      </c>
      <c r="J79" s="36">
        <f>J42-J78</f>
        <v>69903821</v>
      </c>
      <c r="K79" s="167">
        <f t="shared" si="13"/>
        <v>0.167325283062221</v>
      </c>
      <c r="L79" s="17">
        <f>L42-L78</f>
        <v>50960115</v>
      </c>
      <c r="M79" s="99">
        <f t="shared" si="14"/>
        <v>0.15994036158762057</v>
      </c>
      <c r="N79" s="125">
        <f t="shared" ref="N79:N95" si="38">IF(J79,L79/J79,"-")</f>
        <v>0.72900328295358852</v>
      </c>
      <c r="O79" s="18"/>
      <c r="P79" s="17">
        <f>P42-P78</f>
        <v>7318650</v>
      </c>
      <c r="Q79" s="2">
        <f t="shared" si="27"/>
        <v>0.17202138911740511</v>
      </c>
      <c r="R79" s="17">
        <f>R42-R78</f>
        <v>67644950</v>
      </c>
      <c r="S79" s="2">
        <f t="shared" si="28"/>
        <v>0.17446181025700544</v>
      </c>
      <c r="T79" s="48">
        <f t="shared" si="7"/>
        <v>-16684835</v>
      </c>
      <c r="U79" s="225">
        <f t="shared" si="29"/>
        <v>0.75334692390193203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</row>
    <row r="80" spans="1:75" ht="15" customHeight="1" x14ac:dyDescent="0.15">
      <c r="A80" s="3"/>
      <c r="B80" s="254" t="s">
        <v>65</v>
      </c>
      <c r="C80" s="255"/>
      <c r="D80" s="192" t="s">
        <v>67</v>
      </c>
      <c r="E80" s="24">
        <f>[2]東大阪工場!L84</f>
        <v>514</v>
      </c>
      <c r="F80" s="134">
        <f t="shared" si="9"/>
        <v>1.2061515512528641E-5</v>
      </c>
      <c r="G80" s="24">
        <f>[3]東大阪工場!L84</f>
        <v>2946</v>
      </c>
      <c r="H80" s="108">
        <f t="shared" si="26"/>
        <v>1.1224606471050403E-4</v>
      </c>
      <c r="I80" s="78">
        <f t="shared" si="24"/>
        <v>5.7315175097276265</v>
      </c>
      <c r="J80" s="22">
        <f>E80+[4]東大阪工場!J80</f>
        <v>574</v>
      </c>
      <c r="K80" s="169">
        <f t="shared" si="13"/>
        <v>1.3739551158114068E-6</v>
      </c>
      <c r="L80" s="68">
        <f>G80+[4]東大阪工場!L80</f>
        <v>4738</v>
      </c>
      <c r="M80" s="128">
        <f t="shared" si="14"/>
        <v>1.4870402729706285E-5</v>
      </c>
      <c r="N80" s="78">
        <f t="shared" si="38"/>
        <v>8.2543554006968645</v>
      </c>
      <c r="O80" s="18"/>
      <c r="P80" s="22">
        <f>[5]東大阪工場!L82</f>
        <v>0</v>
      </c>
      <c r="Q80" s="25">
        <f t="shared" si="27"/>
        <v>0</v>
      </c>
      <c r="R80" s="22">
        <f>P80+[4]東大阪工場!R80</f>
        <v>0</v>
      </c>
      <c r="S80" s="25">
        <f t="shared" si="28"/>
        <v>0</v>
      </c>
      <c r="T80" s="48">
        <f t="shared" si="7"/>
        <v>4738</v>
      </c>
      <c r="U80" s="225" t="e">
        <f t="shared" si="29"/>
        <v>#DIV/0!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</row>
    <row r="81" spans="1:75" ht="15" customHeight="1" x14ac:dyDescent="0.15">
      <c r="A81" s="3"/>
      <c r="B81" s="256"/>
      <c r="C81" s="257"/>
      <c r="D81" s="192" t="s">
        <v>68</v>
      </c>
      <c r="E81" s="24">
        <f>[2]東大阪工場!L85</f>
        <v>0</v>
      </c>
      <c r="F81" s="134">
        <f t="shared" si="9"/>
        <v>0</v>
      </c>
      <c r="G81" s="24">
        <f>[3]東大阪工場!L85</f>
        <v>0</v>
      </c>
      <c r="H81" s="108">
        <f t="shared" si="26"/>
        <v>0</v>
      </c>
      <c r="I81" s="78" t="str">
        <f t="shared" si="24"/>
        <v>-</v>
      </c>
      <c r="J81" s="22">
        <f>E81+[4]東大阪工場!J81</f>
        <v>0</v>
      </c>
      <c r="K81" s="169">
        <f t="shared" si="13"/>
        <v>0</v>
      </c>
      <c r="L81" s="68">
        <f>G81+[4]東大阪工場!L81</f>
        <v>0</v>
      </c>
      <c r="M81" s="128">
        <f t="shared" si="14"/>
        <v>0</v>
      </c>
      <c r="N81" s="78" t="str">
        <f t="shared" si="38"/>
        <v>-</v>
      </c>
      <c r="O81" s="18"/>
      <c r="P81" s="22">
        <f>[5]東大阪工場!L83</f>
        <v>0</v>
      </c>
      <c r="Q81" s="25">
        <f t="shared" si="27"/>
        <v>0</v>
      </c>
      <c r="R81" s="22">
        <f>P81+[4]東大阪工場!R81</f>
        <v>0</v>
      </c>
      <c r="S81" s="25">
        <f t="shared" si="28"/>
        <v>0</v>
      </c>
      <c r="T81" s="48">
        <f t="shared" ref="T81:T95" si="39">L81-R81</f>
        <v>0</v>
      </c>
      <c r="U81" s="225" t="str">
        <f t="shared" si="29"/>
        <v>-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</row>
    <row r="82" spans="1:75" ht="15" customHeight="1" x14ac:dyDescent="0.15">
      <c r="A82" s="3"/>
      <c r="B82" s="256"/>
      <c r="C82" s="257"/>
      <c r="D82" s="192" t="s">
        <v>95</v>
      </c>
      <c r="E82" s="24">
        <f>[2]東大阪工場!L86</f>
        <v>0</v>
      </c>
      <c r="F82" s="134">
        <f t="shared" si="9"/>
        <v>0</v>
      </c>
      <c r="G82" s="24">
        <f>[3]東大阪工場!L86</f>
        <v>0</v>
      </c>
      <c r="H82" s="108">
        <f t="shared" si="26"/>
        <v>0</v>
      </c>
      <c r="I82" s="78" t="str">
        <f t="shared" si="24"/>
        <v>-</v>
      </c>
      <c r="J82" s="22">
        <f>E82+[4]東大阪工場!J82</f>
        <v>0</v>
      </c>
      <c r="K82" s="169">
        <f t="shared" si="13"/>
        <v>0</v>
      </c>
      <c r="L82" s="68">
        <f>G82+[4]東大阪工場!L82</f>
        <v>0</v>
      </c>
      <c r="M82" s="128">
        <f t="shared" si="14"/>
        <v>0</v>
      </c>
      <c r="N82" s="78" t="str">
        <f t="shared" si="38"/>
        <v>-</v>
      </c>
      <c r="O82" s="18"/>
      <c r="P82" s="22">
        <f>[5]東大阪工場!L84</f>
        <v>0</v>
      </c>
      <c r="Q82" s="25">
        <f t="shared" si="27"/>
        <v>0</v>
      </c>
      <c r="R82" s="22">
        <f>P82+[4]東大阪工場!R82</f>
        <v>0</v>
      </c>
      <c r="S82" s="25">
        <f t="shared" si="28"/>
        <v>0</v>
      </c>
      <c r="T82" s="48">
        <f t="shared" si="39"/>
        <v>0</v>
      </c>
      <c r="U82" s="225" t="str">
        <f t="shared" si="29"/>
        <v>-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</row>
    <row r="83" spans="1:75" ht="15" customHeight="1" x14ac:dyDescent="0.15">
      <c r="A83" s="3"/>
      <c r="B83" s="256"/>
      <c r="C83" s="257"/>
      <c r="D83" s="192" t="s">
        <v>69</v>
      </c>
      <c r="E83" s="24">
        <f>[2]東大阪工場!L87</f>
        <v>0</v>
      </c>
      <c r="F83" s="134">
        <f t="shared" si="9"/>
        <v>0</v>
      </c>
      <c r="G83" s="24">
        <f>[3]東大阪工場!L87</f>
        <v>0</v>
      </c>
      <c r="H83" s="108">
        <f t="shared" si="26"/>
        <v>0</v>
      </c>
      <c r="I83" s="78" t="str">
        <f t="shared" si="24"/>
        <v>-</v>
      </c>
      <c r="J83" s="22">
        <f>E83+[4]東大阪工場!J83</f>
        <v>0</v>
      </c>
      <c r="K83" s="169">
        <f t="shared" ref="K83:K95" si="40">J83/$J$10</f>
        <v>0</v>
      </c>
      <c r="L83" s="68">
        <f>G83+[4]東大阪工場!L83</f>
        <v>0</v>
      </c>
      <c r="M83" s="128">
        <f t="shared" ref="M83:M95" si="41">L83/$L$10</f>
        <v>0</v>
      </c>
      <c r="N83" s="78" t="str">
        <f t="shared" si="38"/>
        <v>-</v>
      </c>
      <c r="O83" s="18"/>
      <c r="P83" s="22">
        <f>[5]東大阪工場!L85</f>
        <v>0</v>
      </c>
      <c r="Q83" s="25">
        <f t="shared" si="27"/>
        <v>0</v>
      </c>
      <c r="R83" s="22">
        <f>P83+[4]東大阪工場!R83</f>
        <v>0</v>
      </c>
      <c r="S83" s="25">
        <f t="shared" si="28"/>
        <v>0</v>
      </c>
      <c r="T83" s="48">
        <f t="shared" si="39"/>
        <v>0</v>
      </c>
      <c r="U83" s="225" t="str">
        <f t="shared" si="29"/>
        <v>-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</row>
    <row r="84" spans="1:75" ht="15" customHeight="1" x14ac:dyDescent="0.15">
      <c r="A84" s="3"/>
      <c r="B84" s="256"/>
      <c r="C84" s="257"/>
      <c r="D84" s="192" t="s">
        <v>70</v>
      </c>
      <c r="E84" s="24">
        <f>[2]東大阪工場!L88</f>
        <v>768125</v>
      </c>
      <c r="F84" s="135">
        <f t="shared" ref="F84:F95" si="42">E84/$E$10</f>
        <v>1.8024808566266658E-2</v>
      </c>
      <c r="G84" s="24">
        <f>[3]東大阪工場!L88</f>
        <v>281996</v>
      </c>
      <c r="H84" s="108">
        <f t="shared" si="26"/>
        <v>1.0744379247828681E-2</v>
      </c>
      <c r="I84" s="78">
        <f t="shared" si="24"/>
        <v>0.36712253864930838</v>
      </c>
      <c r="J84" s="22">
        <f>E84+[4]東大阪工場!J84</f>
        <v>8519358</v>
      </c>
      <c r="K84" s="169">
        <f t="shared" si="40"/>
        <v>2.0392361511374277E-2</v>
      </c>
      <c r="L84" s="68">
        <f>G84+[4]東大阪工場!L84</f>
        <v>4539969</v>
      </c>
      <c r="M84" s="128">
        <f t="shared" si="41"/>
        <v>1.4248874506201333E-2</v>
      </c>
      <c r="N84" s="78">
        <f t="shared" si="38"/>
        <v>0.53290036643606242</v>
      </c>
      <c r="O84" s="18"/>
      <c r="P84" s="22">
        <f>[5]東大阪工場!L86</f>
        <v>750000</v>
      </c>
      <c r="Q84" s="25">
        <f t="shared" si="27"/>
        <v>1.7628393465742156E-2</v>
      </c>
      <c r="R84" s="22">
        <f>P84+[4]東大阪工場!R84</f>
        <v>6750000</v>
      </c>
      <c r="S84" s="25">
        <f t="shared" si="28"/>
        <v>1.7408797245541414E-2</v>
      </c>
      <c r="T84" s="48">
        <f t="shared" si="39"/>
        <v>-2210031</v>
      </c>
      <c r="U84" s="225">
        <f t="shared" si="29"/>
        <v>0.67258799999999996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</row>
    <row r="85" spans="1:75" ht="15" customHeight="1" x14ac:dyDescent="0.15">
      <c r="A85" s="3"/>
      <c r="B85" s="258"/>
      <c r="C85" s="259"/>
      <c r="D85" s="194" t="s">
        <v>66</v>
      </c>
      <c r="E85" s="37">
        <f>SUM(E80:E84)</f>
        <v>768639</v>
      </c>
      <c r="F85" s="140">
        <f>E85/$E$10</f>
        <v>1.8036870081779188E-2</v>
      </c>
      <c r="G85" s="37">
        <f>SUM(G80:G84)</f>
        <v>284942</v>
      </c>
      <c r="H85" s="107">
        <f>G85/$G$10</f>
        <v>1.0856625312539185E-2</v>
      </c>
      <c r="I85" s="113">
        <f t="shared" si="24"/>
        <v>0.37070978703916924</v>
      </c>
      <c r="J85" s="70">
        <f>SUM(J80:J84)</f>
        <v>8519932</v>
      </c>
      <c r="K85" s="168">
        <f>J85/$J$10</f>
        <v>2.0393735466490089E-2</v>
      </c>
      <c r="L85" s="37">
        <f>SUM(L80:L84)</f>
        <v>4544707</v>
      </c>
      <c r="M85" s="107">
        <f>L85/$L$10</f>
        <v>1.426374490893104E-2</v>
      </c>
      <c r="N85" s="113">
        <f>IF(J85,L85/J85,"-")</f>
        <v>0.53342057190127812</v>
      </c>
      <c r="O85" s="18"/>
      <c r="P85" s="37">
        <f>SUM(P80:P84)</f>
        <v>750000</v>
      </c>
      <c r="Q85" s="29">
        <f t="shared" si="27"/>
        <v>1.7628393465742156E-2</v>
      </c>
      <c r="R85" s="37">
        <f>SUM(R80:R84)</f>
        <v>6750000</v>
      </c>
      <c r="S85" s="29">
        <f t="shared" si="28"/>
        <v>1.7408797245541414E-2</v>
      </c>
      <c r="T85" s="48">
        <f t="shared" si="39"/>
        <v>-2205293</v>
      </c>
      <c r="U85" s="225">
        <f t="shared" si="29"/>
        <v>0.67328992592592596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</row>
    <row r="86" spans="1:75" ht="15" customHeight="1" x14ac:dyDescent="0.15">
      <c r="A86" s="3"/>
      <c r="B86" s="256" t="s">
        <v>71</v>
      </c>
      <c r="C86" s="257"/>
      <c r="D86" s="192" t="s">
        <v>73</v>
      </c>
      <c r="E86" s="24">
        <f>[2]東大阪工場!L90</f>
        <v>54935</v>
      </c>
      <c r="F86" s="138">
        <f t="shared" si="42"/>
        <v>1.2891038028808577E-3</v>
      </c>
      <c r="G86" s="24">
        <f>[3]東大阪工場!L90</f>
        <v>178646</v>
      </c>
      <c r="H86" s="106">
        <f t="shared" si="26"/>
        <v>6.8066227007035646E-3</v>
      </c>
      <c r="I86" s="89">
        <f t="shared" si="24"/>
        <v>3.2519523072722309</v>
      </c>
      <c r="J86" s="22">
        <f>E86+[4]東大阪工場!J86</f>
        <v>407526</v>
      </c>
      <c r="K86" s="169">
        <f t="shared" si="40"/>
        <v>9.7547462112571319E-4</v>
      </c>
      <c r="L86" s="68">
        <f>G86+[4]東大阪工場!L86</f>
        <v>1566244</v>
      </c>
      <c r="M86" s="128">
        <f t="shared" si="41"/>
        <v>4.9157195130827549E-3</v>
      </c>
      <c r="N86" s="78">
        <f t="shared" si="38"/>
        <v>3.8432983417008977</v>
      </c>
      <c r="O86" s="18"/>
      <c r="P86" s="22">
        <f>[5]東大阪工場!L88</f>
        <v>190000</v>
      </c>
      <c r="Q86" s="21">
        <f t="shared" si="27"/>
        <v>4.4658596779880129E-3</v>
      </c>
      <c r="R86" s="22">
        <f>P86+[4]東大阪工場!R86</f>
        <v>1710000</v>
      </c>
      <c r="S86" s="21">
        <f t="shared" si="28"/>
        <v>4.410228635537158E-3</v>
      </c>
      <c r="T86" s="48">
        <f t="shared" si="39"/>
        <v>-143756</v>
      </c>
      <c r="U86" s="225">
        <f t="shared" si="29"/>
        <v>0.91593216374269004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</row>
    <row r="87" spans="1:75" ht="15" customHeight="1" x14ac:dyDescent="0.15">
      <c r="A87" s="3"/>
      <c r="B87" s="256"/>
      <c r="C87" s="257"/>
      <c r="D87" s="192" t="s">
        <v>74</v>
      </c>
      <c r="E87" s="24">
        <f>[2]東大阪工場!L91</f>
        <v>0</v>
      </c>
      <c r="F87" s="138">
        <f t="shared" si="42"/>
        <v>0</v>
      </c>
      <c r="G87" s="24">
        <f>[3]東大阪工場!L91</f>
        <v>0</v>
      </c>
      <c r="H87" s="106">
        <f t="shared" si="26"/>
        <v>0</v>
      </c>
      <c r="I87" s="89" t="str">
        <f t="shared" si="24"/>
        <v>-</v>
      </c>
      <c r="J87" s="22">
        <f>E87+[4]東大阪工場!J87</f>
        <v>0</v>
      </c>
      <c r="K87" s="169">
        <f t="shared" si="40"/>
        <v>0</v>
      </c>
      <c r="L87" s="68">
        <f>G87+[4]東大阪工場!L87</f>
        <v>0</v>
      </c>
      <c r="M87" s="128">
        <f t="shared" si="41"/>
        <v>0</v>
      </c>
      <c r="N87" s="78" t="str">
        <f t="shared" si="38"/>
        <v>-</v>
      </c>
      <c r="O87" s="18"/>
      <c r="P87" s="22">
        <f>[5]東大阪工場!L89</f>
        <v>0</v>
      </c>
      <c r="Q87" s="21">
        <f t="shared" si="27"/>
        <v>0</v>
      </c>
      <c r="R87" s="22">
        <f>P87+[4]東大阪工場!R87</f>
        <v>0</v>
      </c>
      <c r="S87" s="21">
        <f t="shared" si="28"/>
        <v>0</v>
      </c>
      <c r="T87" s="48">
        <f t="shared" si="39"/>
        <v>0</v>
      </c>
      <c r="U87" s="225" t="str">
        <f t="shared" si="29"/>
        <v>-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</row>
    <row r="88" spans="1:75" ht="15" customHeight="1" x14ac:dyDescent="0.15">
      <c r="A88" s="3"/>
      <c r="B88" s="256"/>
      <c r="C88" s="257"/>
      <c r="D88" s="192" t="s">
        <v>75</v>
      </c>
      <c r="E88" s="24">
        <f>[2]東大阪工場!L92</f>
        <v>0</v>
      </c>
      <c r="F88" s="138">
        <f t="shared" si="42"/>
        <v>0</v>
      </c>
      <c r="G88" s="24">
        <f>[3]東大阪工場!L92</f>
        <v>0</v>
      </c>
      <c r="H88" s="106">
        <f t="shared" si="26"/>
        <v>0</v>
      </c>
      <c r="I88" s="89" t="str">
        <f t="shared" si="24"/>
        <v>-</v>
      </c>
      <c r="J88" s="22">
        <f>E88+[4]東大阪工場!J88</f>
        <v>0</v>
      </c>
      <c r="K88" s="171">
        <f t="shared" si="40"/>
        <v>0</v>
      </c>
      <c r="L88" s="68">
        <f>G88+[4]東大阪工場!L88</f>
        <v>0</v>
      </c>
      <c r="M88" s="128">
        <f t="shared" si="41"/>
        <v>0</v>
      </c>
      <c r="N88" s="78" t="str">
        <f t="shared" si="38"/>
        <v>-</v>
      </c>
      <c r="O88" s="18"/>
      <c r="P88" s="22">
        <f>[5]東大阪工場!L90</f>
        <v>0</v>
      </c>
      <c r="Q88" s="21">
        <f t="shared" si="27"/>
        <v>0</v>
      </c>
      <c r="R88" s="22">
        <f>P88+[4]東大阪工場!R88</f>
        <v>0</v>
      </c>
      <c r="S88" s="21">
        <f t="shared" si="28"/>
        <v>0</v>
      </c>
      <c r="T88" s="48">
        <f t="shared" si="39"/>
        <v>0</v>
      </c>
      <c r="U88" s="225" t="str">
        <f t="shared" si="29"/>
        <v>-</v>
      </c>
    </row>
    <row r="89" spans="1:75" ht="15" customHeight="1" x14ac:dyDescent="0.15">
      <c r="A89" s="3"/>
      <c r="B89" s="258"/>
      <c r="C89" s="259"/>
      <c r="D89" s="194" t="s">
        <v>72</v>
      </c>
      <c r="E89" s="27">
        <f>SUM(E86:E88)</f>
        <v>54935</v>
      </c>
      <c r="F89" s="143">
        <f>E89/$E$10</f>
        <v>1.2891038028808577E-3</v>
      </c>
      <c r="G89" s="27">
        <f>SUM(G86:G88)</f>
        <v>178646</v>
      </c>
      <c r="H89" s="105">
        <f>G89/$G$10</f>
        <v>6.8066227007035646E-3</v>
      </c>
      <c r="I89" s="114">
        <f t="shared" si="24"/>
        <v>3.2519523072722309</v>
      </c>
      <c r="J89" s="28">
        <f>SUM(J86:J88)</f>
        <v>407526</v>
      </c>
      <c r="K89" s="170">
        <f>J89/$J$10</f>
        <v>9.7547462112571319E-4</v>
      </c>
      <c r="L89" s="27">
        <f>SUM(L86:L88)</f>
        <v>1566244</v>
      </c>
      <c r="M89" s="107">
        <f>L89/$L$10</f>
        <v>4.9157195130827549E-3</v>
      </c>
      <c r="N89" s="113">
        <f>IF(J89,L89/J89,"-")</f>
        <v>3.8432983417008977</v>
      </c>
      <c r="O89" s="18"/>
      <c r="P89" s="27">
        <f>SUM(P86:P88)</f>
        <v>190000</v>
      </c>
      <c r="Q89" s="26">
        <f t="shared" si="27"/>
        <v>4.4658596779880129E-3</v>
      </c>
      <c r="R89" s="27">
        <f>SUM(R86:R88)</f>
        <v>1710000</v>
      </c>
      <c r="S89" s="26">
        <f t="shared" si="28"/>
        <v>4.410228635537158E-3</v>
      </c>
      <c r="T89" s="48">
        <f t="shared" si="39"/>
        <v>-143756</v>
      </c>
      <c r="U89" s="225">
        <f t="shared" si="29"/>
        <v>0.91593216374269004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</row>
    <row r="90" spans="1:75" ht="15" customHeight="1" x14ac:dyDescent="0.15">
      <c r="A90" s="3"/>
      <c r="B90" s="251" t="s">
        <v>76</v>
      </c>
      <c r="C90" s="252"/>
      <c r="D90" s="253"/>
      <c r="E90" s="31">
        <f>E79+E85-E89</f>
        <v>8492453</v>
      </c>
      <c r="F90" s="144">
        <f t="shared" si="42"/>
        <v>0.19928376186560387</v>
      </c>
      <c r="G90" s="31">
        <f>G79+G85-G89</f>
        <v>-1483660</v>
      </c>
      <c r="H90" s="109">
        <f t="shared" si="26"/>
        <v>-5.6529190892188191E-2</v>
      </c>
      <c r="I90" s="115">
        <f t="shared" si="24"/>
        <v>-0.17470335131675147</v>
      </c>
      <c r="J90" s="71">
        <f>J79+J85-J89</f>
        <v>78016227</v>
      </c>
      <c r="K90" s="172">
        <f t="shared" si="40"/>
        <v>0.18674354390758538</v>
      </c>
      <c r="L90" s="31">
        <f>L79+L85-L89</f>
        <v>53938578</v>
      </c>
      <c r="M90" s="131">
        <f t="shared" si="41"/>
        <v>0.16928838698346885</v>
      </c>
      <c r="N90" s="125">
        <f t="shared" si="38"/>
        <v>0.69137639788707039</v>
      </c>
      <c r="O90" s="18"/>
      <c r="P90" s="31">
        <f>P79+P85-P89</f>
        <v>7878650</v>
      </c>
      <c r="Q90" s="2">
        <f t="shared" si="27"/>
        <v>0.18518392290515925</v>
      </c>
      <c r="R90" s="31">
        <f>R79+R85-R89</f>
        <v>72684950</v>
      </c>
      <c r="S90" s="2">
        <f t="shared" si="28"/>
        <v>0.1874603788670097</v>
      </c>
      <c r="T90" s="48">
        <f t="shared" si="39"/>
        <v>-18746372</v>
      </c>
      <c r="U90" s="225">
        <f t="shared" si="29"/>
        <v>0.74208729592577283</v>
      </c>
    </row>
    <row r="91" spans="1:75" ht="15" customHeight="1" x14ac:dyDescent="0.15">
      <c r="A91" s="3"/>
      <c r="B91" s="260" t="s">
        <v>77</v>
      </c>
      <c r="C91" s="261"/>
      <c r="D91" s="262"/>
      <c r="E91" s="24">
        <f>[2]東大阪工場!L96</f>
        <v>0</v>
      </c>
      <c r="F91" s="141">
        <f t="shared" si="42"/>
        <v>0</v>
      </c>
      <c r="G91" s="24">
        <f>[3]東大阪工場!L96</f>
        <v>0</v>
      </c>
      <c r="H91" s="106">
        <f t="shared" si="26"/>
        <v>0</v>
      </c>
      <c r="I91" s="89" t="str">
        <f t="shared" si="24"/>
        <v>-</v>
      </c>
      <c r="J91" s="22">
        <f>E91+[4]東大阪工場!J91</f>
        <v>0</v>
      </c>
      <c r="K91" s="103">
        <f t="shared" si="40"/>
        <v>0</v>
      </c>
      <c r="L91" s="68">
        <f>G91+[4]東大阪工場!L91</f>
        <v>0</v>
      </c>
      <c r="M91" s="128">
        <f t="shared" si="41"/>
        <v>0</v>
      </c>
      <c r="N91" s="78" t="str">
        <f t="shared" si="38"/>
        <v>-</v>
      </c>
      <c r="O91" s="18"/>
      <c r="P91" s="23"/>
      <c r="Q91" s="21">
        <f t="shared" si="27"/>
        <v>0</v>
      </c>
      <c r="R91" s="23"/>
      <c r="S91" s="21">
        <f t="shared" si="28"/>
        <v>0</v>
      </c>
      <c r="T91" s="48">
        <f t="shared" si="39"/>
        <v>0</v>
      </c>
      <c r="U91" s="225" t="str">
        <f t="shared" si="29"/>
        <v>-</v>
      </c>
    </row>
    <row r="92" spans="1:75" ht="15" customHeight="1" x14ac:dyDescent="0.15">
      <c r="A92" s="3"/>
      <c r="B92" s="260" t="s">
        <v>78</v>
      </c>
      <c r="C92" s="261"/>
      <c r="D92" s="262"/>
      <c r="E92" s="24">
        <f>[2]東大阪工場!L98</f>
        <v>0</v>
      </c>
      <c r="F92" s="141">
        <f t="shared" si="42"/>
        <v>0</v>
      </c>
      <c r="G92" s="24">
        <f>[3]東大阪工場!L98</f>
        <v>0</v>
      </c>
      <c r="H92" s="110">
        <f t="shared" si="26"/>
        <v>0</v>
      </c>
      <c r="I92" s="89" t="str">
        <f t="shared" si="24"/>
        <v>-</v>
      </c>
      <c r="J92" s="22">
        <f>E92+[4]東大阪工場!J92</f>
        <v>0</v>
      </c>
      <c r="K92" s="103">
        <f t="shared" si="40"/>
        <v>0</v>
      </c>
      <c r="L92" s="68">
        <f>G92+[4]東大阪工場!L92</f>
        <v>0</v>
      </c>
      <c r="M92" s="128">
        <f t="shared" si="41"/>
        <v>0</v>
      </c>
      <c r="N92" s="78" t="str">
        <f t="shared" si="38"/>
        <v>-</v>
      </c>
      <c r="O92" s="18"/>
      <c r="P92" s="23"/>
      <c r="Q92" s="21">
        <f t="shared" si="27"/>
        <v>0</v>
      </c>
      <c r="R92" s="23"/>
      <c r="S92" s="21">
        <f t="shared" si="28"/>
        <v>0</v>
      </c>
      <c r="T92" s="48">
        <f t="shared" si="39"/>
        <v>0</v>
      </c>
      <c r="U92" s="225" t="str">
        <f t="shared" si="29"/>
        <v>-</v>
      </c>
    </row>
    <row r="93" spans="1:75" ht="15" customHeight="1" x14ac:dyDescent="0.15">
      <c r="A93" s="3"/>
      <c r="B93" s="251" t="s">
        <v>79</v>
      </c>
      <c r="C93" s="252"/>
      <c r="D93" s="253"/>
      <c r="E93" s="17">
        <f>E90+E91-E92</f>
        <v>8492453</v>
      </c>
      <c r="F93" s="142">
        <f t="shared" si="42"/>
        <v>0.19928376186560387</v>
      </c>
      <c r="G93" s="17">
        <f>G90+G91-G92</f>
        <v>-1483660</v>
      </c>
      <c r="H93" s="96">
        <f t="shared" si="26"/>
        <v>-5.6529190892188191E-2</v>
      </c>
      <c r="I93" s="112">
        <f t="shared" si="24"/>
        <v>-0.17470335131675147</v>
      </c>
      <c r="J93" s="19">
        <f>J90+J91-J92</f>
        <v>78016227</v>
      </c>
      <c r="K93" s="167">
        <f t="shared" si="40"/>
        <v>0.18674354390758538</v>
      </c>
      <c r="L93" s="17">
        <f>L90+L91-L92</f>
        <v>53938578</v>
      </c>
      <c r="M93" s="99">
        <f t="shared" si="41"/>
        <v>0.16928838698346885</v>
      </c>
      <c r="N93" s="125">
        <f t="shared" si="38"/>
        <v>0.69137639788707039</v>
      </c>
      <c r="O93" s="18"/>
      <c r="P93" s="17">
        <f>P90+P91-P92</f>
        <v>7878650</v>
      </c>
      <c r="Q93" s="2">
        <f t="shared" si="27"/>
        <v>0.18518392290515925</v>
      </c>
      <c r="R93" s="17">
        <f>R90+R91-R92</f>
        <v>72684950</v>
      </c>
      <c r="S93" s="2">
        <f t="shared" si="28"/>
        <v>0.1874603788670097</v>
      </c>
      <c r="T93" s="48">
        <f t="shared" si="39"/>
        <v>-18746372</v>
      </c>
      <c r="U93" s="225">
        <f t="shared" si="29"/>
        <v>0.74208729592577283</v>
      </c>
    </row>
    <row r="94" spans="1:75" ht="15" customHeight="1" x14ac:dyDescent="0.15">
      <c r="A94" s="3"/>
      <c r="B94" s="245" t="s">
        <v>80</v>
      </c>
      <c r="C94" s="246"/>
      <c r="D94" s="247"/>
      <c r="E94" s="174"/>
      <c r="F94" s="138">
        <f t="shared" si="42"/>
        <v>0</v>
      </c>
      <c r="G94" s="174"/>
      <c r="H94" s="111">
        <f t="shared" si="26"/>
        <v>0</v>
      </c>
      <c r="I94" s="89" t="str">
        <f t="shared" si="24"/>
        <v>-</v>
      </c>
      <c r="J94" s="34">
        <f>E94</f>
        <v>0</v>
      </c>
      <c r="K94" s="169">
        <f t="shared" si="40"/>
        <v>0</v>
      </c>
      <c r="L94" s="68">
        <f>G94+[4]東大阪工場!L94</f>
        <v>0</v>
      </c>
      <c r="M94" s="128">
        <f t="shared" si="41"/>
        <v>0</v>
      </c>
      <c r="N94" s="79" t="str">
        <f t="shared" si="38"/>
        <v>-</v>
      </c>
      <c r="O94" s="18"/>
      <c r="P94" s="30"/>
      <c r="Q94" s="21">
        <f t="shared" si="27"/>
        <v>0</v>
      </c>
      <c r="R94" s="30"/>
      <c r="S94" s="21">
        <f t="shared" si="28"/>
        <v>0</v>
      </c>
      <c r="T94" s="48">
        <f t="shared" si="39"/>
        <v>0</v>
      </c>
      <c r="U94" s="225" t="str">
        <f t="shared" si="29"/>
        <v>-</v>
      </c>
    </row>
    <row r="95" spans="1:75" ht="15" customHeight="1" thickBot="1" x14ac:dyDescent="0.2">
      <c r="A95" s="3"/>
      <c r="B95" s="248" t="s">
        <v>81</v>
      </c>
      <c r="C95" s="249"/>
      <c r="D95" s="250"/>
      <c r="E95" s="152">
        <f>E93-E94</f>
        <v>8492453</v>
      </c>
      <c r="F95" s="151">
        <f t="shared" si="42"/>
        <v>0.19928376186560387</v>
      </c>
      <c r="G95" s="152">
        <f>G93-G94</f>
        <v>-1483660</v>
      </c>
      <c r="H95" s="153">
        <f t="shared" si="26"/>
        <v>-5.6529190892188191E-2</v>
      </c>
      <c r="I95" s="154">
        <f t="shared" si="24"/>
        <v>-0.17470335131675147</v>
      </c>
      <c r="J95" s="155">
        <f>J93-J94</f>
        <v>78016227</v>
      </c>
      <c r="K95" s="173">
        <f t="shared" si="40"/>
        <v>0.18674354390758538</v>
      </c>
      <c r="L95" s="152">
        <f>L93-L94</f>
        <v>53938578</v>
      </c>
      <c r="M95" s="156">
        <f t="shared" si="41"/>
        <v>0.16928838698346885</v>
      </c>
      <c r="N95" s="157">
        <f t="shared" si="38"/>
        <v>0.69137639788707039</v>
      </c>
      <c r="O95" s="18"/>
      <c r="P95" s="17">
        <f>P93-P94</f>
        <v>7878650</v>
      </c>
      <c r="Q95" s="2">
        <f t="shared" si="27"/>
        <v>0.18518392290515925</v>
      </c>
      <c r="R95" s="17">
        <f>R93-R94</f>
        <v>72684950</v>
      </c>
      <c r="S95" s="2">
        <f t="shared" si="28"/>
        <v>0.1874603788670097</v>
      </c>
      <c r="T95" s="48">
        <f t="shared" si="39"/>
        <v>-18746372</v>
      </c>
      <c r="U95" s="225">
        <f t="shared" si="29"/>
        <v>0.74208729592577283</v>
      </c>
    </row>
    <row r="96" spans="1:75" ht="14.85" customHeight="1" x14ac:dyDescent="0.15">
      <c r="A96" s="3"/>
      <c r="B96" s="122"/>
      <c r="C96" s="122"/>
      <c r="D96" s="122"/>
      <c r="E96" s="149"/>
      <c r="F96" s="149"/>
      <c r="G96" s="122"/>
      <c r="H96" s="122"/>
      <c r="I96" s="150"/>
      <c r="L96" s="122"/>
      <c r="M96" s="122"/>
      <c r="N96" s="38"/>
      <c r="O96" s="4"/>
    </row>
    <row r="97" spans="1:15" ht="14.85" customHeight="1" x14ac:dyDescent="0.15">
      <c r="A97" s="3"/>
      <c r="J97" s="40"/>
      <c r="K97" s="40"/>
      <c r="N97" s="39"/>
      <c r="O97" s="4"/>
    </row>
    <row r="98" spans="1:15" x14ac:dyDescent="0.15">
      <c r="A98" s="3"/>
      <c r="B98" s="40"/>
      <c r="C98" s="40"/>
      <c r="D98" s="40"/>
      <c r="G98" s="40"/>
      <c r="H98" s="40"/>
      <c r="J98" s="40"/>
      <c r="K98" s="40"/>
      <c r="L98" s="40"/>
      <c r="M98" s="40"/>
      <c r="N98" s="40"/>
      <c r="O98" s="3"/>
    </row>
    <row r="99" spans="1:15" x14ac:dyDescent="0.15">
      <c r="A99" s="3"/>
      <c r="B99" s="40"/>
      <c r="C99" s="40"/>
      <c r="D99" s="40"/>
      <c r="G99" s="40"/>
      <c r="H99" s="40"/>
      <c r="J99" s="40"/>
      <c r="K99" s="40"/>
      <c r="L99" s="40"/>
      <c r="M99" s="40"/>
      <c r="N99" s="40"/>
      <c r="O99" s="3"/>
    </row>
    <row r="100" spans="1:15" ht="14.85" customHeight="1" x14ac:dyDescent="0.15">
      <c r="A100" s="3"/>
      <c r="B100" s="40"/>
      <c r="C100" s="40"/>
      <c r="D100" s="40"/>
      <c r="G100" s="40"/>
      <c r="H100" s="40"/>
      <c r="L100" s="40"/>
      <c r="M100" s="40"/>
      <c r="O100" s="41"/>
    </row>
    <row r="101" spans="1:15" ht="14.85" customHeight="1" x14ac:dyDescent="0.15">
      <c r="A101" s="3"/>
      <c r="O101" s="10"/>
    </row>
    <row r="102" spans="1:15" ht="14.85" customHeight="1" x14ac:dyDescent="0.15">
      <c r="A102" s="3"/>
      <c r="O102" s="10"/>
    </row>
    <row r="103" spans="1:15" ht="14.85" customHeight="1" x14ac:dyDescent="0.15">
      <c r="A103" s="3"/>
      <c r="O103" s="10"/>
    </row>
    <row r="104" spans="1:15" ht="14.85" customHeight="1" x14ac:dyDescent="0.15">
      <c r="A104" s="3"/>
      <c r="O104" s="10"/>
    </row>
    <row r="105" spans="1:15" ht="14.85" customHeight="1" x14ac:dyDescent="0.15">
      <c r="A105" s="3"/>
      <c r="O105" s="10"/>
    </row>
    <row r="106" spans="1:15" ht="14.85" customHeight="1" x14ac:dyDescent="0.15">
      <c r="A106" s="3"/>
      <c r="O106" s="10"/>
    </row>
    <row r="107" spans="1:15" ht="14.85" customHeight="1" x14ac:dyDescent="0.15">
      <c r="A107" s="3"/>
      <c r="O107" s="10"/>
    </row>
    <row r="108" spans="1:15" ht="14.85" customHeight="1" x14ac:dyDescent="0.15">
      <c r="A108" s="3"/>
      <c r="O108" s="13"/>
    </row>
    <row r="109" spans="1:15" ht="14.85" customHeight="1" x14ac:dyDescent="0.15">
      <c r="A109" s="3"/>
      <c r="O109" s="4"/>
    </row>
    <row r="110" spans="1:15" ht="14.85" customHeight="1" x14ac:dyDescent="0.15">
      <c r="A110" s="3"/>
      <c r="O110" s="4"/>
    </row>
    <row r="111" spans="1:15" ht="14.85" customHeight="1" x14ac:dyDescent="0.15">
      <c r="A111" s="3"/>
      <c r="O111" s="4"/>
    </row>
    <row r="112" spans="1:15" ht="14.85" customHeight="1" x14ac:dyDescent="0.15">
      <c r="A112" s="3"/>
      <c r="O112" s="4"/>
    </row>
    <row r="113" spans="1:15" ht="14.85" customHeight="1" x14ac:dyDescent="0.15">
      <c r="A113" s="3"/>
      <c r="O113" s="4"/>
    </row>
    <row r="114" spans="1:15" ht="14.85" customHeight="1" x14ac:dyDescent="0.15">
      <c r="A114" s="3"/>
      <c r="O114" s="4"/>
    </row>
    <row r="115" spans="1:15" ht="14.85" customHeight="1" x14ac:dyDescent="0.15">
      <c r="A115" s="3"/>
      <c r="O115" s="4"/>
    </row>
    <row r="116" spans="1:15" ht="14.85" customHeight="1" x14ac:dyDescent="0.15">
      <c r="A116" s="3"/>
      <c r="O116" s="4"/>
    </row>
    <row r="117" spans="1:15" ht="14.85" customHeight="1" x14ac:dyDescent="0.15">
      <c r="A117" s="3"/>
      <c r="O117" s="4"/>
    </row>
    <row r="118" spans="1:15" ht="14.85" customHeight="1" x14ac:dyDescent="0.15">
      <c r="A118" s="3"/>
      <c r="O118" s="4"/>
    </row>
    <row r="119" spans="1:15" ht="14.85" customHeight="1" x14ac:dyDescent="0.15">
      <c r="A119" s="3"/>
      <c r="O119" s="4"/>
    </row>
    <row r="120" spans="1:15" ht="14.85" customHeight="1" x14ac:dyDescent="0.15">
      <c r="A120" s="3"/>
      <c r="O120" s="4"/>
    </row>
    <row r="121" spans="1:15" ht="14.85" customHeight="1" x14ac:dyDescent="0.15">
      <c r="A121" s="3"/>
      <c r="O121" s="4"/>
    </row>
    <row r="122" spans="1:15" ht="14.85" customHeight="1" x14ac:dyDescent="0.15">
      <c r="A122" s="3"/>
      <c r="O122" s="4"/>
    </row>
    <row r="123" spans="1:15" ht="14.85" customHeight="1" x14ac:dyDescent="0.15">
      <c r="A123" s="3"/>
      <c r="O123" s="4"/>
    </row>
    <row r="124" spans="1:15" ht="14.85" customHeight="1" x14ac:dyDescent="0.15">
      <c r="A124" s="3"/>
      <c r="O124" s="4"/>
    </row>
    <row r="125" spans="1:15" ht="14.85" customHeight="1" x14ac:dyDescent="0.15">
      <c r="A125" s="3"/>
      <c r="O125" s="4"/>
    </row>
    <row r="126" spans="1:15" ht="14.85" customHeight="1" x14ac:dyDescent="0.15">
      <c r="A126" s="3"/>
      <c r="O126" s="4"/>
    </row>
    <row r="127" spans="1:15" ht="14.85" customHeight="1" x14ac:dyDescent="0.15">
      <c r="A127" s="3"/>
      <c r="O127" s="4"/>
    </row>
    <row r="128" spans="1:15" ht="14.85" customHeight="1" x14ac:dyDescent="0.15">
      <c r="A128" s="3"/>
      <c r="O128" s="4"/>
    </row>
    <row r="129" spans="1:15" ht="14.85" customHeight="1" x14ac:dyDescent="0.15">
      <c r="A129" s="3"/>
      <c r="O129" s="4"/>
    </row>
    <row r="130" spans="1:15" ht="14.85" customHeight="1" x14ac:dyDescent="0.15">
      <c r="A130" s="3"/>
      <c r="O130" s="4"/>
    </row>
    <row r="131" spans="1:15" ht="14.85" customHeight="1" x14ac:dyDescent="0.15">
      <c r="A131" s="3"/>
      <c r="O131" s="4"/>
    </row>
    <row r="132" spans="1:15" ht="14.85" customHeight="1" x14ac:dyDescent="0.15">
      <c r="A132" s="3"/>
      <c r="O132" s="4"/>
    </row>
    <row r="133" spans="1:15" ht="14.85" customHeight="1" x14ac:dyDescent="0.15">
      <c r="A133" s="3"/>
      <c r="O133" s="4"/>
    </row>
    <row r="134" spans="1:15" ht="14.85" customHeight="1" x14ac:dyDescent="0.15">
      <c r="A134" s="3"/>
      <c r="O134" s="4"/>
    </row>
    <row r="135" spans="1:15" ht="14.85" customHeight="1" x14ac:dyDescent="0.15">
      <c r="A135" s="3"/>
      <c r="O135" s="4"/>
    </row>
    <row r="136" spans="1:15" ht="14.85" customHeight="1" x14ac:dyDescent="0.15">
      <c r="A136" s="3"/>
      <c r="O136" s="4"/>
    </row>
    <row r="137" spans="1:15" ht="14.85" customHeight="1" x14ac:dyDescent="0.15">
      <c r="A137" s="3"/>
      <c r="O137" s="4"/>
    </row>
    <row r="138" spans="1:15" ht="14.85" customHeight="1" x14ac:dyDescent="0.15">
      <c r="A138" s="3"/>
      <c r="O138" s="4"/>
    </row>
    <row r="139" spans="1:15" ht="14.85" customHeight="1" x14ac:dyDescent="0.15">
      <c r="A139" s="3"/>
      <c r="O139" s="4"/>
    </row>
    <row r="140" spans="1:15" ht="14.85" customHeight="1" x14ac:dyDescent="0.15">
      <c r="A140" s="3"/>
      <c r="O140" s="4"/>
    </row>
    <row r="141" spans="1:15" ht="14.85" customHeight="1" x14ac:dyDescent="0.15">
      <c r="A141" s="3"/>
      <c r="O141" s="4"/>
    </row>
    <row r="142" spans="1:15" ht="14.85" customHeight="1" x14ac:dyDescent="0.15">
      <c r="A142" s="3"/>
      <c r="O142" s="4"/>
    </row>
    <row r="143" spans="1:15" ht="14.85" customHeight="1" x14ac:dyDescent="0.15">
      <c r="A143" s="3"/>
      <c r="O143" s="4"/>
    </row>
    <row r="144" spans="1:15" ht="14.85" customHeight="1" x14ac:dyDescent="0.15">
      <c r="A144" s="3"/>
      <c r="O144" s="4"/>
    </row>
    <row r="145" spans="1:15" ht="14.85" customHeight="1" x14ac:dyDescent="0.15">
      <c r="A145" s="3"/>
      <c r="O145" s="4"/>
    </row>
    <row r="146" spans="1:15" ht="14.85" customHeight="1" x14ac:dyDescent="0.15">
      <c r="A146" s="3"/>
      <c r="O146" s="4"/>
    </row>
    <row r="147" spans="1:15" ht="14.85" customHeight="1" x14ac:dyDescent="0.15">
      <c r="A147" s="3"/>
      <c r="O147" s="4"/>
    </row>
    <row r="148" spans="1:15" ht="14.85" customHeight="1" x14ac:dyDescent="0.15">
      <c r="A148" s="3"/>
      <c r="O148" s="4"/>
    </row>
    <row r="149" spans="1:15" ht="14.85" customHeight="1" x14ac:dyDescent="0.15">
      <c r="A149" s="3"/>
      <c r="O149" s="4"/>
    </row>
    <row r="150" spans="1:15" ht="14.85" customHeight="1" x14ac:dyDescent="0.15">
      <c r="A150" s="3"/>
      <c r="O150" s="4"/>
    </row>
    <row r="151" spans="1:15" ht="14.85" customHeight="1" x14ac:dyDescent="0.15">
      <c r="A151" s="3"/>
      <c r="O151" s="4"/>
    </row>
    <row r="152" spans="1:15" ht="14.85" customHeight="1" x14ac:dyDescent="0.15">
      <c r="A152" s="3"/>
      <c r="O152" s="4"/>
    </row>
    <row r="153" spans="1:15" ht="14.85" customHeight="1" x14ac:dyDescent="0.15">
      <c r="A153" s="3"/>
      <c r="O153" s="4"/>
    </row>
    <row r="154" spans="1:15" ht="14.85" customHeight="1" x14ac:dyDescent="0.15">
      <c r="A154" s="3"/>
      <c r="O154" s="4"/>
    </row>
    <row r="155" spans="1:15" ht="14.85" customHeight="1" x14ac:dyDescent="0.15">
      <c r="A155" s="3"/>
      <c r="O155" s="4"/>
    </row>
    <row r="156" spans="1:15" ht="14.85" customHeight="1" x14ac:dyDescent="0.15">
      <c r="A156" s="3"/>
      <c r="O156" s="4"/>
    </row>
    <row r="157" spans="1:15" ht="14.85" customHeight="1" x14ac:dyDescent="0.15">
      <c r="A157" s="3"/>
      <c r="O157" s="4"/>
    </row>
    <row r="158" spans="1:15" ht="14.85" customHeight="1" x14ac:dyDescent="0.15">
      <c r="A158" s="3"/>
      <c r="O158" s="10"/>
    </row>
    <row r="159" spans="1:15" ht="14.85" customHeight="1" x14ac:dyDescent="0.15">
      <c r="A159" s="3"/>
      <c r="O159" s="10"/>
    </row>
    <row r="160" spans="1:15" ht="14.85" customHeight="1" x14ac:dyDescent="0.15">
      <c r="A160" s="3"/>
      <c r="O160" s="10"/>
    </row>
    <row r="161" spans="1:15" ht="14.85" customHeight="1" x14ac:dyDescent="0.15">
      <c r="A161" s="3"/>
      <c r="O161" s="10"/>
    </row>
    <row r="162" spans="1:15" ht="14.85" customHeight="1" x14ac:dyDescent="0.15">
      <c r="A162" s="3"/>
      <c r="O162" s="10"/>
    </row>
    <row r="163" spans="1:15" ht="14.85" customHeight="1" x14ac:dyDescent="0.15">
      <c r="A163" s="3"/>
      <c r="O163" s="10"/>
    </row>
    <row r="164" spans="1:15" ht="14.85" customHeight="1" x14ac:dyDescent="0.15">
      <c r="A164" s="3"/>
      <c r="O164" s="10"/>
    </row>
    <row r="165" spans="1:15" ht="14.85" customHeight="1" x14ac:dyDescent="0.15">
      <c r="O165" s="4"/>
    </row>
    <row r="166" spans="1:15" ht="14.85" customHeight="1" x14ac:dyDescent="0.15">
      <c r="O166" s="4"/>
    </row>
    <row r="167" spans="1:15" ht="14.85" customHeight="1" x14ac:dyDescent="0.15">
      <c r="O167" s="4"/>
    </row>
    <row r="168" spans="1:15" ht="14.85" customHeight="1" x14ac:dyDescent="0.15">
      <c r="O168" s="4"/>
    </row>
    <row r="169" spans="1:15" ht="14.85" customHeight="1" x14ac:dyDescent="0.15">
      <c r="O169" s="4"/>
    </row>
    <row r="170" spans="1:15" ht="14.85" customHeight="1" x14ac:dyDescent="0.15">
      <c r="O170" s="4"/>
    </row>
    <row r="171" spans="1:15" ht="14.85" customHeight="1" x14ac:dyDescent="0.15">
      <c r="O171" s="4"/>
    </row>
    <row r="172" spans="1:15" ht="14.85" customHeight="1" x14ac:dyDescent="0.15">
      <c r="O172" s="4"/>
    </row>
    <row r="173" spans="1:15" ht="14.85" customHeight="1" x14ac:dyDescent="0.15">
      <c r="O173" s="4"/>
    </row>
    <row r="174" spans="1:15" ht="14.85" customHeight="1" x14ac:dyDescent="0.15">
      <c r="O174" s="4"/>
    </row>
    <row r="175" spans="1:15" ht="14.85" customHeight="1" x14ac:dyDescent="0.15">
      <c r="O175" s="4"/>
    </row>
    <row r="176" spans="1:15" ht="14.85" customHeight="1" x14ac:dyDescent="0.15">
      <c r="O176" s="4"/>
    </row>
    <row r="177" spans="15:15" ht="14.85" customHeight="1" x14ac:dyDescent="0.15">
      <c r="O177" s="4"/>
    </row>
    <row r="178" spans="15:15" ht="14.85" customHeight="1" x14ac:dyDescent="0.15">
      <c r="O178" s="4"/>
    </row>
    <row r="179" spans="15:15" ht="14.85" customHeight="1" x14ac:dyDescent="0.15">
      <c r="O179" s="4"/>
    </row>
    <row r="180" spans="15:15" ht="14.85" customHeight="1" x14ac:dyDescent="0.15">
      <c r="O180" s="4"/>
    </row>
    <row r="181" spans="15:15" ht="14.85" customHeight="1" x14ac:dyDescent="0.15">
      <c r="O181" s="4"/>
    </row>
    <row r="182" spans="15:15" ht="14.85" customHeight="1" x14ac:dyDescent="0.15">
      <c r="O182" s="4"/>
    </row>
    <row r="183" spans="15:15" ht="14.85" customHeight="1" x14ac:dyDescent="0.15">
      <c r="O183" s="4"/>
    </row>
    <row r="184" spans="15:15" ht="14.85" customHeight="1" x14ac:dyDescent="0.15">
      <c r="O184" s="4"/>
    </row>
    <row r="185" spans="15:15" ht="14.85" customHeight="1" x14ac:dyDescent="0.15">
      <c r="O185" s="4"/>
    </row>
    <row r="186" spans="15:15" ht="14.85" customHeight="1" x14ac:dyDescent="0.15">
      <c r="O186" s="4"/>
    </row>
    <row r="187" spans="15:15" ht="14.85" customHeight="1" x14ac:dyDescent="0.15">
      <c r="O187" s="4"/>
    </row>
    <row r="188" spans="15:15" ht="14.85" customHeight="1" x14ac:dyDescent="0.15">
      <c r="O188" s="4"/>
    </row>
    <row r="189" spans="15:15" ht="14.85" customHeight="1" x14ac:dyDescent="0.15">
      <c r="O189" s="4"/>
    </row>
    <row r="190" spans="15:15" ht="14.85" customHeight="1" x14ac:dyDescent="0.15">
      <c r="O190" s="4"/>
    </row>
    <row r="191" spans="15:15" ht="14.85" customHeight="1" x14ac:dyDescent="0.15">
      <c r="O191" s="4"/>
    </row>
    <row r="192" spans="15:15" ht="14.85" customHeight="1" x14ac:dyDescent="0.15">
      <c r="O192" s="4"/>
    </row>
    <row r="193" spans="15:15" ht="14.85" customHeight="1" x14ac:dyDescent="0.15">
      <c r="O193" s="4"/>
    </row>
    <row r="194" spans="15:15" ht="14.85" customHeight="1" x14ac:dyDescent="0.15">
      <c r="O194" s="4"/>
    </row>
    <row r="195" spans="15:15" ht="14.85" customHeight="1" x14ac:dyDescent="0.15">
      <c r="O195" s="4"/>
    </row>
    <row r="196" spans="15:15" ht="14.85" customHeight="1" x14ac:dyDescent="0.15">
      <c r="O196" s="4"/>
    </row>
    <row r="197" spans="15:15" ht="14.85" customHeight="1" x14ac:dyDescent="0.15">
      <c r="O197" s="4"/>
    </row>
    <row r="198" spans="15:15" ht="14.85" customHeight="1" x14ac:dyDescent="0.15">
      <c r="O198" s="4"/>
    </row>
    <row r="199" spans="15:15" ht="14.85" customHeight="1" x14ac:dyDescent="0.15">
      <c r="O199" s="4"/>
    </row>
    <row r="200" spans="15:15" x14ac:dyDescent="0.15">
      <c r="O200" s="4"/>
    </row>
    <row r="201" spans="15:15" x14ac:dyDescent="0.15">
      <c r="O201" s="4"/>
    </row>
    <row r="202" spans="15:15" x14ac:dyDescent="0.15">
      <c r="O202" s="4"/>
    </row>
    <row r="203" spans="15:15" x14ac:dyDescent="0.15">
      <c r="O203" s="4"/>
    </row>
    <row r="204" spans="15:15" x14ac:dyDescent="0.15">
      <c r="O204" s="4"/>
    </row>
    <row r="205" spans="15:15" x14ac:dyDescent="0.15">
      <c r="O205" s="4"/>
    </row>
    <row r="206" spans="15:15" x14ac:dyDescent="0.15">
      <c r="O206" s="4"/>
    </row>
    <row r="207" spans="15:15" x14ac:dyDescent="0.15">
      <c r="O207" s="4"/>
    </row>
    <row r="208" spans="15:15" x14ac:dyDescent="0.15">
      <c r="O208" s="4"/>
    </row>
    <row r="209" spans="15:15" x14ac:dyDescent="0.15">
      <c r="O209" s="4"/>
    </row>
    <row r="210" spans="15:15" x14ac:dyDescent="0.15">
      <c r="O210" s="4"/>
    </row>
    <row r="211" spans="15:15" x14ac:dyDescent="0.15">
      <c r="O211" s="4"/>
    </row>
    <row r="212" spans="15:15" x14ac:dyDescent="0.15">
      <c r="O212" s="4"/>
    </row>
    <row r="213" spans="15:15" x14ac:dyDescent="0.15">
      <c r="O213" s="4"/>
    </row>
    <row r="214" spans="15:15" x14ac:dyDescent="0.15">
      <c r="O214" s="4"/>
    </row>
    <row r="215" spans="15:15" x14ac:dyDescent="0.15">
      <c r="O215" s="4"/>
    </row>
    <row r="216" spans="15:15" x14ac:dyDescent="0.15">
      <c r="O216" s="4"/>
    </row>
    <row r="217" spans="15:15" x14ac:dyDescent="0.15">
      <c r="O217" s="4"/>
    </row>
    <row r="218" spans="15:15" x14ac:dyDescent="0.15">
      <c r="O218" s="4"/>
    </row>
    <row r="219" spans="15:15" x14ac:dyDescent="0.15">
      <c r="O219" s="4"/>
    </row>
    <row r="220" spans="15:15" x14ac:dyDescent="0.15">
      <c r="O220" s="4"/>
    </row>
    <row r="221" spans="15:15" x14ac:dyDescent="0.15">
      <c r="O221" s="4"/>
    </row>
    <row r="222" spans="15:15" x14ac:dyDescent="0.15">
      <c r="O222" s="4"/>
    </row>
    <row r="223" spans="15:15" x14ac:dyDescent="0.15">
      <c r="O223" s="4"/>
    </row>
    <row r="224" spans="15:15" x14ac:dyDescent="0.15">
      <c r="O224" s="4"/>
    </row>
    <row r="225" spans="15:15" x14ac:dyDescent="0.15">
      <c r="O225" s="4"/>
    </row>
    <row r="226" spans="15:15" x14ac:dyDescent="0.15">
      <c r="O226" s="4"/>
    </row>
    <row r="227" spans="15:15" x14ac:dyDescent="0.15">
      <c r="O227" s="4"/>
    </row>
    <row r="228" spans="15:15" x14ac:dyDescent="0.15">
      <c r="O228" s="4"/>
    </row>
    <row r="229" spans="15:15" x14ac:dyDescent="0.15">
      <c r="O229" s="4"/>
    </row>
    <row r="230" spans="15:15" x14ac:dyDescent="0.15">
      <c r="O230" s="4"/>
    </row>
    <row r="231" spans="15:15" x14ac:dyDescent="0.15">
      <c r="O231" s="4"/>
    </row>
    <row r="232" spans="15:15" x14ac:dyDescent="0.15">
      <c r="O232" s="4"/>
    </row>
    <row r="233" spans="15:15" x14ac:dyDescent="0.15">
      <c r="O233" s="4"/>
    </row>
    <row r="234" spans="15:15" x14ac:dyDescent="0.15">
      <c r="O234" s="4"/>
    </row>
    <row r="235" spans="15:15" x14ac:dyDescent="0.15">
      <c r="O235" s="4"/>
    </row>
    <row r="236" spans="15:15" x14ac:dyDescent="0.15">
      <c r="O236" s="4"/>
    </row>
    <row r="237" spans="15:15" x14ac:dyDescent="0.15">
      <c r="O237" s="4"/>
    </row>
    <row r="238" spans="15:15" x14ac:dyDescent="0.15">
      <c r="O238" s="4"/>
    </row>
    <row r="239" spans="15:15" x14ac:dyDescent="0.15">
      <c r="O239" s="4"/>
    </row>
    <row r="240" spans="15:15" x14ac:dyDescent="0.15">
      <c r="O240" s="4"/>
    </row>
    <row r="241" spans="15:15" x14ac:dyDescent="0.15">
      <c r="O241" s="4"/>
    </row>
    <row r="242" spans="15:15" x14ac:dyDescent="0.15">
      <c r="O242" s="4"/>
    </row>
    <row r="243" spans="15:15" x14ac:dyDescent="0.15">
      <c r="O243" s="4"/>
    </row>
    <row r="244" spans="15:15" x14ac:dyDescent="0.15">
      <c r="O244" s="4"/>
    </row>
    <row r="245" spans="15:15" x14ac:dyDescent="0.15">
      <c r="O245" s="4"/>
    </row>
    <row r="246" spans="15:15" x14ac:dyDescent="0.15">
      <c r="O246" s="4"/>
    </row>
    <row r="247" spans="15:15" x14ac:dyDescent="0.15">
      <c r="O247" s="4"/>
    </row>
    <row r="248" spans="15:15" x14ac:dyDescent="0.15">
      <c r="O248" s="4"/>
    </row>
    <row r="249" spans="15:15" x14ac:dyDescent="0.15">
      <c r="O249" s="4"/>
    </row>
    <row r="250" spans="15:15" x14ac:dyDescent="0.15">
      <c r="O250" s="4"/>
    </row>
    <row r="251" spans="15:15" x14ac:dyDescent="0.15">
      <c r="O251" s="4"/>
    </row>
    <row r="252" spans="15:15" x14ac:dyDescent="0.15">
      <c r="O252" s="4"/>
    </row>
    <row r="253" spans="15:15" x14ac:dyDescent="0.15">
      <c r="O253" s="4"/>
    </row>
    <row r="254" spans="15:15" x14ac:dyDescent="0.15">
      <c r="O254" s="4"/>
    </row>
    <row r="255" spans="15:15" x14ac:dyDescent="0.15">
      <c r="O255" s="4"/>
    </row>
    <row r="256" spans="15:15" x14ac:dyDescent="0.15">
      <c r="O256" s="4"/>
    </row>
    <row r="257" spans="15:15" x14ac:dyDescent="0.15">
      <c r="O257" s="4"/>
    </row>
    <row r="258" spans="15:15" x14ac:dyDescent="0.15">
      <c r="O258" s="4"/>
    </row>
    <row r="259" spans="15:15" x14ac:dyDescent="0.15">
      <c r="O259" s="4"/>
    </row>
    <row r="260" spans="15:15" x14ac:dyDescent="0.15">
      <c r="O260" s="4"/>
    </row>
    <row r="261" spans="15:15" x14ac:dyDescent="0.15">
      <c r="O261" s="4"/>
    </row>
    <row r="262" spans="15:15" x14ac:dyDescent="0.15">
      <c r="O262" s="4"/>
    </row>
    <row r="263" spans="15:15" x14ac:dyDescent="0.15">
      <c r="O263" s="4"/>
    </row>
    <row r="264" spans="15:15" x14ac:dyDescent="0.15">
      <c r="O264" s="4"/>
    </row>
    <row r="265" spans="15:15" x14ac:dyDescent="0.15">
      <c r="O265" s="4"/>
    </row>
    <row r="266" spans="15:15" x14ac:dyDescent="0.15">
      <c r="O266" s="4"/>
    </row>
    <row r="267" spans="15:15" x14ac:dyDescent="0.15">
      <c r="O267" s="4"/>
    </row>
    <row r="268" spans="15:15" x14ac:dyDescent="0.15">
      <c r="O268" s="4"/>
    </row>
    <row r="269" spans="15:15" x14ac:dyDescent="0.15">
      <c r="O269" s="4"/>
    </row>
    <row r="270" spans="15:15" x14ac:dyDescent="0.15">
      <c r="O270" s="4"/>
    </row>
    <row r="271" spans="15:15" x14ac:dyDescent="0.15">
      <c r="O271" s="4"/>
    </row>
    <row r="272" spans="15:15" x14ac:dyDescent="0.15">
      <c r="O272" s="4"/>
    </row>
    <row r="273" spans="15:15" x14ac:dyDescent="0.15">
      <c r="O273" s="4"/>
    </row>
    <row r="274" spans="15:15" x14ac:dyDescent="0.15">
      <c r="O274" s="4"/>
    </row>
    <row r="275" spans="15:15" x14ac:dyDescent="0.15">
      <c r="O275" s="4"/>
    </row>
    <row r="276" spans="15:15" x14ac:dyDescent="0.15">
      <c r="O276" s="4"/>
    </row>
    <row r="277" spans="15:15" x14ac:dyDescent="0.15">
      <c r="O277" s="4"/>
    </row>
    <row r="278" spans="15:15" x14ac:dyDescent="0.15">
      <c r="O278" s="4"/>
    </row>
    <row r="279" spans="15:15" x14ac:dyDescent="0.15">
      <c r="O279" s="4"/>
    </row>
    <row r="280" spans="15:15" x14ac:dyDescent="0.15">
      <c r="O280" s="4"/>
    </row>
    <row r="281" spans="15:15" x14ac:dyDescent="0.15">
      <c r="O281" s="4"/>
    </row>
    <row r="282" spans="15:15" x14ac:dyDescent="0.15">
      <c r="O282" s="4"/>
    </row>
    <row r="283" spans="15:15" x14ac:dyDescent="0.15">
      <c r="O283" s="4"/>
    </row>
    <row r="284" spans="15:15" x14ac:dyDescent="0.15">
      <c r="O284" s="4"/>
    </row>
    <row r="285" spans="15:15" x14ac:dyDescent="0.15">
      <c r="O285" s="4"/>
    </row>
    <row r="286" spans="15:15" x14ac:dyDescent="0.15">
      <c r="O286" s="4"/>
    </row>
    <row r="287" spans="15:15" x14ac:dyDescent="0.15">
      <c r="O287" s="4"/>
    </row>
    <row r="288" spans="15:15" x14ac:dyDescent="0.15">
      <c r="O288" s="4"/>
    </row>
    <row r="289" spans="15:15" x14ac:dyDescent="0.15">
      <c r="O289" s="4"/>
    </row>
    <row r="290" spans="15:15" x14ac:dyDescent="0.15">
      <c r="O290" s="4"/>
    </row>
    <row r="291" spans="15:15" x14ac:dyDescent="0.15">
      <c r="O291" s="4"/>
    </row>
    <row r="292" spans="15:15" x14ac:dyDescent="0.15">
      <c r="O292" s="4"/>
    </row>
    <row r="293" spans="15:15" x14ac:dyDescent="0.15">
      <c r="O293" s="4"/>
    </row>
    <row r="294" spans="15:15" x14ac:dyDescent="0.15">
      <c r="O294" s="4"/>
    </row>
    <row r="295" spans="15:15" x14ac:dyDescent="0.15">
      <c r="O295" s="4"/>
    </row>
    <row r="296" spans="15:15" x14ac:dyDescent="0.15">
      <c r="O296" s="4"/>
    </row>
    <row r="297" spans="15:15" x14ac:dyDescent="0.15">
      <c r="O297" s="4"/>
    </row>
    <row r="298" spans="15:15" x14ac:dyDescent="0.15">
      <c r="O298" s="4"/>
    </row>
    <row r="299" spans="15:15" x14ac:dyDescent="0.15">
      <c r="O299" s="4"/>
    </row>
    <row r="300" spans="15:15" x14ac:dyDescent="0.15">
      <c r="O300" s="4"/>
    </row>
    <row r="301" spans="15:15" x14ac:dyDescent="0.15">
      <c r="O301" s="4"/>
    </row>
    <row r="302" spans="15:15" x14ac:dyDescent="0.15">
      <c r="O302" s="4"/>
    </row>
    <row r="303" spans="15:15" x14ac:dyDescent="0.15">
      <c r="O303" s="4"/>
    </row>
    <row r="304" spans="15:15" x14ac:dyDescent="0.15">
      <c r="O304" s="4"/>
    </row>
    <row r="305" spans="15:15" x14ac:dyDescent="0.15">
      <c r="O305" s="4"/>
    </row>
    <row r="306" spans="15:15" x14ac:dyDescent="0.15">
      <c r="O306" s="4"/>
    </row>
    <row r="307" spans="15:15" x14ac:dyDescent="0.15">
      <c r="O307" s="4"/>
    </row>
    <row r="308" spans="15:15" x14ac:dyDescent="0.15">
      <c r="O308" s="4"/>
    </row>
    <row r="309" spans="15:15" x14ac:dyDescent="0.15">
      <c r="O309" s="4"/>
    </row>
    <row r="310" spans="15:15" x14ac:dyDescent="0.15">
      <c r="O310" s="4"/>
    </row>
    <row r="311" spans="15:15" x14ac:dyDescent="0.15">
      <c r="O311" s="4"/>
    </row>
    <row r="312" spans="15:15" x14ac:dyDescent="0.15">
      <c r="O312" s="4"/>
    </row>
    <row r="313" spans="15:15" x14ac:dyDescent="0.15">
      <c r="O313" s="4"/>
    </row>
    <row r="314" spans="15:15" x14ac:dyDescent="0.15">
      <c r="O314" s="4"/>
    </row>
    <row r="315" spans="15:15" x14ac:dyDescent="0.15">
      <c r="O315" s="4"/>
    </row>
    <row r="316" spans="15:15" x14ac:dyDescent="0.15">
      <c r="O316" s="4"/>
    </row>
    <row r="317" spans="15:15" x14ac:dyDescent="0.15">
      <c r="O317" s="4"/>
    </row>
    <row r="318" spans="15:15" x14ac:dyDescent="0.15">
      <c r="O318" s="4"/>
    </row>
    <row r="319" spans="15:15" x14ac:dyDescent="0.15">
      <c r="O319" s="4"/>
    </row>
    <row r="320" spans="15:15" x14ac:dyDescent="0.15">
      <c r="O320" s="4"/>
    </row>
    <row r="321" spans="15:15" x14ac:dyDescent="0.15">
      <c r="O321" s="4"/>
    </row>
    <row r="322" spans="15:15" x14ac:dyDescent="0.15">
      <c r="O322" s="4"/>
    </row>
    <row r="323" spans="15:15" x14ac:dyDescent="0.15">
      <c r="O323" s="4"/>
    </row>
    <row r="324" spans="15:15" x14ac:dyDescent="0.15">
      <c r="O324" s="4"/>
    </row>
    <row r="325" spans="15:15" x14ac:dyDescent="0.15">
      <c r="O325" s="4"/>
    </row>
    <row r="326" spans="15:15" x14ac:dyDescent="0.15">
      <c r="O326" s="4"/>
    </row>
    <row r="327" spans="15:15" x14ac:dyDescent="0.15">
      <c r="O327" s="4"/>
    </row>
    <row r="328" spans="15:15" x14ac:dyDescent="0.15">
      <c r="O328" s="4"/>
    </row>
    <row r="329" spans="15:15" x14ac:dyDescent="0.15">
      <c r="O329" s="4"/>
    </row>
    <row r="330" spans="15:15" x14ac:dyDescent="0.15">
      <c r="O330" s="4"/>
    </row>
    <row r="331" spans="15:15" x14ac:dyDescent="0.15">
      <c r="O331" s="4"/>
    </row>
    <row r="332" spans="15:15" x14ac:dyDescent="0.15">
      <c r="O332" s="4"/>
    </row>
    <row r="333" spans="15:15" x14ac:dyDescent="0.15">
      <c r="O333" s="4"/>
    </row>
    <row r="334" spans="15:15" x14ac:dyDescent="0.15">
      <c r="O334" s="4"/>
    </row>
    <row r="335" spans="15:15" x14ac:dyDescent="0.15">
      <c r="O335" s="4"/>
    </row>
    <row r="336" spans="15:15" x14ac:dyDescent="0.15">
      <c r="O336" s="4"/>
    </row>
    <row r="337" spans="15:15" x14ac:dyDescent="0.15">
      <c r="O337" s="4"/>
    </row>
    <row r="338" spans="15:15" x14ac:dyDescent="0.15">
      <c r="O338" s="4"/>
    </row>
    <row r="339" spans="15:15" x14ac:dyDescent="0.15">
      <c r="O339" s="4"/>
    </row>
    <row r="340" spans="15:15" x14ac:dyDescent="0.15">
      <c r="O340" s="4"/>
    </row>
    <row r="341" spans="15:15" x14ac:dyDescent="0.15">
      <c r="O341" s="4"/>
    </row>
    <row r="342" spans="15:15" x14ac:dyDescent="0.15">
      <c r="O342" s="4"/>
    </row>
    <row r="343" spans="15:15" x14ac:dyDescent="0.15">
      <c r="O343" s="4"/>
    </row>
    <row r="344" spans="15:15" x14ac:dyDescent="0.15">
      <c r="O344" s="4"/>
    </row>
    <row r="345" spans="15:15" x14ac:dyDescent="0.15">
      <c r="O345" s="4"/>
    </row>
    <row r="346" spans="15:15" x14ac:dyDescent="0.15">
      <c r="O346" s="4"/>
    </row>
    <row r="347" spans="15:15" x14ac:dyDescent="0.15">
      <c r="O347" s="4"/>
    </row>
    <row r="348" spans="15:15" x14ac:dyDescent="0.15">
      <c r="O348" s="4"/>
    </row>
    <row r="349" spans="15:15" x14ac:dyDescent="0.15">
      <c r="O349" s="4"/>
    </row>
    <row r="350" spans="15:15" x14ac:dyDescent="0.15">
      <c r="O350" s="4"/>
    </row>
    <row r="351" spans="15:15" x14ac:dyDescent="0.15">
      <c r="O351" s="4"/>
    </row>
    <row r="352" spans="15:15" x14ac:dyDescent="0.15">
      <c r="O352" s="4"/>
    </row>
    <row r="353" spans="15:15" x14ac:dyDescent="0.15">
      <c r="O353" s="4"/>
    </row>
    <row r="354" spans="15:15" x14ac:dyDescent="0.15">
      <c r="O354" s="4"/>
    </row>
    <row r="355" spans="15:15" x14ac:dyDescent="0.15">
      <c r="O355" s="4"/>
    </row>
    <row r="356" spans="15:15" x14ac:dyDescent="0.15">
      <c r="O356" s="4"/>
    </row>
    <row r="357" spans="15:15" x14ac:dyDescent="0.15">
      <c r="O357" s="4"/>
    </row>
    <row r="358" spans="15:15" x14ac:dyDescent="0.15">
      <c r="O358" s="4"/>
    </row>
    <row r="359" spans="15:15" x14ac:dyDescent="0.15">
      <c r="O359" s="4"/>
    </row>
    <row r="360" spans="15:15" x14ac:dyDescent="0.15">
      <c r="O360" s="4"/>
    </row>
    <row r="361" spans="15:15" x14ac:dyDescent="0.15">
      <c r="O361" s="4"/>
    </row>
    <row r="362" spans="15:15" x14ac:dyDescent="0.15">
      <c r="O362" s="4"/>
    </row>
    <row r="363" spans="15:15" x14ac:dyDescent="0.15">
      <c r="O363" s="4"/>
    </row>
    <row r="364" spans="15:15" x14ac:dyDescent="0.15">
      <c r="O364" s="4"/>
    </row>
    <row r="365" spans="15:15" x14ac:dyDescent="0.15">
      <c r="O365" s="4"/>
    </row>
    <row r="366" spans="15:15" x14ac:dyDescent="0.15">
      <c r="O366" s="4"/>
    </row>
    <row r="367" spans="15:15" x14ac:dyDescent="0.15">
      <c r="O367" s="4"/>
    </row>
    <row r="368" spans="15:15" x14ac:dyDescent="0.15">
      <c r="O368" s="4"/>
    </row>
    <row r="369" spans="15:15" x14ac:dyDescent="0.15">
      <c r="O369" s="4"/>
    </row>
    <row r="370" spans="15:15" x14ac:dyDescent="0.15">
      <c r="O370" s="4"/>
    </row>
    <row r="371" spans="15:15" x14ac:dyDescent="0.15">
      <c r="O371" s="4"/>
    </row>
    <row r="372" spans="15:15" x14ac:dyDescent="0.15">
      <c r="O372" s="4"/>
    </row>
    <row r="373" spans="15:15" x14ac:dyDescent="0.15">
      <c r="O373" s="4"/>
    </row>
    <row r="374" spans="15:15" x14ac:dyDescent="0.15">
      <c r="O374" s="4"/>
    </row>
    <row r="375" spans="15:15" x14ac:dyDescent="0.15">
      <c r="O375" s="4"/>
    </row>
    <row r="376" spans="15:15" x14ac:dyDescent="0.15">
      <c r="O376" s="4"/>
    </row>
    <row r="377" spans="15:15" x14ac:dyDescent="0.15">
      <c r="O377" s="4"/>
    </row>
    <row r="378" spans="15:15" x14ac:dyDescent="0.15">
      <c r="O378" s="4"/>
    </row>
    <row r="379" spans="15:15" x14ac:dyDescent="0.15">
      <c r="O379" s="4"/>
    </row>
    <row r="380" spans="15:15" x14ac:dyDescent="0.15">
      <c r="O380" s="4"/>
    </row>
    <row r="381" spans="15:15" x14ac:dyDescent="0.15">
      <c r="O381" s="4"/>
    </row>
    <row r="382" spans="15:15" x14ac:dyDescent="0.15">
      <c r="O382" s="4"/>
    </row>
    <row r="383" spans="15:15" x14ac:dyDescent="0.15">
      <c r="O383" s="4"/>
    </row>
    <row r="384" spans="15:15" x14ac:dyDescent="0.15">
      <c r="O384" s="4"/>
    </row>
    <row r="385" spans="15:15" x14ac:dyDescent="0.15">
      <c r="O385" s="4"/>
    </row>
    <row r="386" spans="15:15" x14ac:dyDescent="0.15">
      <c r="O386" s="4"/>
    </row>
    <row r="387" spans="15:15" x14ac:dyDescent="0.15">
      <c r="O387" s="4"/>
    </row>
    <row r="388" spans="15:15" x14ac:dyDescent="0.15">
      <c r="O388" s="4"/>
    </row>
    <row r="389" spans="15:15" x14ac:dyDescent="0.15">
      <c r="O389" s="4"/>
    </row>
    <row r="390" spans="15:15" x14ac:dyDescent="0.15">
      <c r="O390" s="4"/>
    </row>
    <row r="391" spans="15:15" x14ac:dyDescent="0.15">
      <c r="O391" s="4"/>
    </row>
    <row r="392" spans="15:15" x14ac:dyDescent="0.15">
      <c r="O392" s="4"/>
    </row>
    <row r="393" spans="15:15" x14ac:dyDescent="0.15">
      <c r="O393" s="4"/>
    </row>
    <row r="394" spans="15:15" x14ac:dyDescent="0.15">
      <c r="O394" s="4"/>
    </row>
    <row r="395" spans="15:15" x14ac:dyDescent="0.15">
      <c r="O395" s="4"/>
    </row>
    <row r="396" spans="15:15" x14ac:dyDescent="0.15">
      <c r="O396" s="4"/>
    </row>
    <row r="397" spans="15:15" x14ac:dyDescent="0.15">
      <c r="O397" s="4"/>
    </row>
    <row r="398" spans="15:15" x14ac:dyDescent="0.15">
      <c r="O398" s="4"/>
    </row>
    <row r="399" spans="15:15" x14ac:dyDescent="0.15">
      <c r="O399" s="4"/>
    </row>
    <row r="400" spans="15:15" x14ac:dyDescent="0.15">
      <c r="O400" s="4"/>
    </row>
    <row r="401" spans="15:15" x14ac:dyDescent="0.15">
      <c r="O401" s="4"/>
    </row>
    <row r="402" spans="15:15" x14ac:dyDescent="0.15">
      <c r="O402" s="4"/>
    </row>
    <row r="403" spans="15:15" x14ac:dyDescent="0.15">
      <c r="O403" s="4"/>
    </row>
    <row r="404" spans="15:15" x14ac:dyDescent="0.15">
      <c r="O404" s="4"/>
    </row>
    <row r="405" spans="15:15" x14ac:dyDescent="0.15">
      <c r="O405" s="4"/>
    </row>
    <row r="406" spans="15:15" x14ac:dyDescent="0.15">
      <c r="O406" s="4"/>
    </row>
    <row r="407" spans="15:15" x14ac:dyDescent="0.15">
      <c r="O407" s="4"/>
    </row>
    <row r="408" spans="15:15" x14ac:dyDescent="0.15">
      <c r="O408" s="4"/>
    </row>
    <row r="409" spans="15:15" x14ac:dyDescent="0.15">
      <c r="O409" s="4"/>
    </row>
    <row r="410" spans="15:15" x14ac:dyDescent="0.15">
      <c r="O410" s="4"/>
    </row>
    <row r="411" spans="15:15" x14ac:dyDescent="0.15">
      <c r="O411" s="4"/>
    </row>
    <row r="412" spans="15:15" x14ac:dyDescent="0.15">
      <c r="O412" s="4"/>
    </row>
    <row r="413" spans="15:15" x14ac:dyDescent="0.15">
      <c r="O413" s="4"/>
    </row>
    <row r="414" spans="15:15" x14ac:dyDescent="0.15">
      <c r="O414" s="4"/>
    </row>
    <row r="415" spans="15:15" x14ac:dyDescent="0.15">
      <c r="O415" s="4"/>
    </row>
    <row r="416" spans="15:15" x14ac:dyDescent="0.15">
      <c r="O416" s="4"/>
    </row>
    <row r="417" spans="15:15" x14ac:dyDescent="0.15">
      <c r="O417" s="4"/>
    </row>
    <row r="418" spans="15:15" x14ac:dyDescent="0.15">
      <c r="O418" s="4"/>
    </row>
    <row r="419" spans="15:15" x14ac:dyDescent="0.15">
      <c r="O419" s="4"/>
    </row>
    <row r="420" spans="15:15" x14ac:dyDescent="0.15">
      <c r="O420" s="4"/>
    </row>
    <row r="421" spans="15:15" x14ac:dyDescent="0.15">
      <c r="O421" s="4"/>
    </row>
    <row r="422" spans="15:15" x14ac:dyDescent="0.15">
      <c r="O422" s="4"/>
    </row>
    <row r="423" spans="15:15" x14ac:dyDescent="0.15">
      <c r="O423" s="4"/>
    </row>
    <row r="424" spans="15:15" x14ac:dyDescent="0.15">
      <c r="O424" s="4"/>
    </row>
    <row r="425" spans="15:15" x14ac:dyDescent="0.15">
      <c r="O425" s="4"/>
    </row>
    <row r="426" spans="15:15" x14ac:dyDescent="0.15">
      <c r="O426" s="4"/>
    </row>
    <row r="427" spans="15:15" x14ac:dyDescent="0.15">
      <c r="O427" s="4"/>
    </row>
    <row r="428" spans="15:15" x14ac:dyDescent="0.15">
      <c r="O428" s="4"/>
    </row>
    <row r="429" spans="15:15" x14ac:dyDescent="0.15">
      <c r="O429" s="4"/>
    </row>
    <row r="430" spans="15:15" x14ac:dyDescent="0.15">
      <c r="O430" s="4"/>
    </row>
    <row r="431" spans="15:15" x14ac:dyDescent="0.15">
      <c r="O431" s="4"/>
    </row>
    <row r="432" spans="15:15" x14ac:dyDescent="0.15">
      <c r="O432" s="4"/>
    </row>
    <row r="433" spans="15:15" x14ac:dyDescent="0.15">
      <c r="O433" s="4"/>
    </row>
    <row r="434" spans="15:15" x14ac:dyDescent="0.15">
      <c r="O434" s="4"/>
    </row>
    <row r="435" spans="15:15" x14ac:dyDescent="0.15">
      <c r="O435" s="4"/>
    </row>
    <row r="436" spans="15:15" x14ac:dyDescent="0.15">
      <c r="O436" s="4"/>
    </row>
    <row r="437" spans="15:15" x14ac:dyDescent="0.15">
      <c r="O437" s="4"/>
    </row>
    <row r="438" spans="15:15" x14ac:dyDescent="0.15">
      <c r="O438" s="4"/>
    </row>
    <row r="439" spans="15:15" x14ac:dyDescent="0.15">
      <c r="O439" s="4"/>
    </row>
    <row r="440" spans="15:15" x14ac:dyDescent="0.15">
      <c r="O440" s="4"/>
    </row>
    <row r="441" spans="15:15" x14ac:dyDescent="0.15">
      <c r="O441" s="4"/>
    </row>
    <row r="442" spans="15:15" x14ac:dyDescent="0.15">
      <c r="O442" s="4"/>
    </row>
    <row r="443" spans="15:15" x14ac:dyDescent="0.15">
      <c r="O443" s="4"/>
    </row>
    <row r="444" spans="15:15" x14ac:dyDescent="0.15">
      <c r="O444" s="4"/>
    </row>
    <row r="445" spans="15:15" x14ac:dyDescent="0.15">
      <c r="O445" s="4"/>
    </row>
    <row r="446" spans="15:15" x14ac:dyDescent="0.15">
      <c r="O446" s="4"/>
    </row>
    <row r="447" spans="15:15" x14ac:dyDescent="0.15">
      <c r="O447" s="4"/>
    </row>
    <row r="448" spans="15:15" x14ac:dyDescent="0.15">
      <c r="O448" s="4"/>
    </row>
    <row r="449" spans="15:15" x14ac:dyDescent="0.15">
      <c r="O449" s="4"/>
    </row>
    <row r="450" spans="15:15" x14ac:dyDescent="0.15">
      <c r="O450" s="4"/>
    </row>
    <row r="451" spans="15:15" x14ac:dyDescent="0.15">
      <c r="O451" s="4"/>
    </row>
    <row r="452" spans="15:15" x14ac:dyDescent="0.15">
      <c r="O452" s="4"/>
    </row>
    <row r="453" spans="15:15" x14ac:dyDescent="0.15">
      <c r="O453" s="4"/>
    </row>
    <row r="454" spans="15:15" x14ac:dyDescent="0.15">
      <c r="O454" s="4"/>
    </row>
    <row r="455" spans="15:15" x14ac:dyDescent="0.15">
      <c r="O455" s="4"/>
    </row>
    <row r="456" spans="15:15" x14ac:dyDescent="0.15">
      <c r="O456" s="4"/>
    </row>
    <row r="457" spans="15:15" x14ac:dyDescent="0.15">
      <c r="O457" s="4"/>
    </row>
    <row r="458" spans="15:15" x14ac:dyDescent="0.15">
      <c r="O458" s="4"/>
    </row>
    <row r="459" spans="15:15" x14ac:dyDescent="0.15">
      <c r="O459" s="4"/>
    </row>
    <row r="460" spans="15:15" x14ac:dyDescent="0.15">
      <c r="O460" s="4"/>
    </row>
    <row r="461" spans="15:15" x14ac:dyDescent="0.15">
      <c r="O461" s="4"/>
    </row>
    <row r="462" spans="15:15" x14ac:dyDescent="0.15">
      <c r="O462" s="4"/>
    </row>
    <row r="463" spans="15:15" x14ac:dyDescent="0.15">
      <c r="O463" s="4"/>
    </row>
    <row r="464" spans="15:15" x14ac:dyDescent="0.15">
      <c r="O464" s="4"/>
    </row>
    <row r="465" spans="15:15" x14ac:dyDescent="0.15">
      <c r="O465" s="4"/>
    </row>
    <row r="466" spans="15:15" x14ac:dyDescent="0.15">
      <c r="O466" s="4"/>
    </row>
    <row r="467" spans="15:15" x14ac:dyDescent="0.15">
      <c r="O467" s="4"/>
    </row>
    <row r="468" spans="15:15" x14ac:dyDescent="0.15">
      <c r="O468" s="4"/>
    </row>
    <row r="469" spans="15:15" x14ac:dyDescent="0.15">
      <c r="O469" s="4"/>
    </row>
    <row r="470" spans="15:15" x14ac:dyDescent="0.15">
      <c r="O470" s="4"/>
    </row>
    <row r="471" spans="15:15" x14ac:dyDescent="0.15">
      <c r="O471" s="4"/>
    </row>
    <row r="472" spans="15:15" x14ac:dyDescent="0.15">
      <c r="O472" s="4"/>
    </row>
    <row r="473" spans="15:15" x14ac:dyDescent="0.15">
      <c r="O473" s="4"/>
    </row>
    <row r="474" spans="15:15" x14ac:dyDescent="0.15">
      <c r="O474" s="4"/>
    </row>
    <row r="475" spans="15:15" x14ac:dyDescent="0.15">
      <c r="O475" s="4"/>
    </row>
    <row r="476" spans="15:15" x14ac:dyDescent="0.15">
      <c r="O476" s="4"/>
    </row>
    <row r="477" spans="15:15" x14ac:dyDescent="0.15">
      <c r="O477" s="4"/>
    </row>
    <row r="478" spans="15:15" x14ac:dyDescent="0.15">
      <c r="O478" s="4"/>
    </row>
    <row r="479" spans="15:15" x14ac:dyDescent="0.15">
      <c r="O479" s="4"/>
    </row>
    <row r="480" spans="15:15" x14ac:dyDescent="0.15">
      <c r="O480" s="4"/>
    </row>
    <row r="481" spans="15:15" x14ac:dyDescent="0.15">
      <c r="O481" s="4"/>
    </row>
    <row r="482" spans="15:15" x14ac:dyDescent="0.15">
      <c r="O482" s="4"/>
    </row>
    <row r="483" spans="15:15" x14ac:dyDescent="0.15">
      <c r="O483" s="4"/>
    </row>
    <row r="484" spans="15:15" x14ac:dyDescent="0.15">
      <c r="O484" s="4"/>
    </row>
    <row r="485" spans="15:15" x14ac:dyDescent="0.15">
      <c r="O485" s="4"/>
    </row>
    <row r="486" spans="15:15" x14ac:dyDescent="0.15">
      <c r="O486" s="4"/>
    </row>
    <row r="487" spans="15:15" x14ac:dyDescent="0.15">
      <c r="O487" s="4"/>
    </row>
    <row r="488" spans="15:15" x14ac:dyDescent="0.15">
      <c r="O488" s="4"/>
    </row>
    <row r="489" spans="15:15" x14ac:dyDescent="0.15">
      <c r="O489" s="4"/>
    </row>
    <row r="490" spans="15:15" x14ac:dyDescent="0.15">
      <c r="O490" s="4"/>
    </row>
    <row r="491" spans="15:15" x14ac:dyDescent="0.15">
      <c r="O491" s="4"/>
    </row>
    <row r="492" spans="15:15" x14ac:dyDescent="0.15">
      <c r="O492" s="4"/>
    </row>
    <row r="493" spans="15:15" x14ac:dyDescent="0.15">
      <c r="O493" s="4"/>
    </row>
    <row r="494" spans="15:15" x14ac:dyDescent="0.15">
      <c r="O494" s="4"/>
    </row>
    <row r="495" spans="15:15" x14ac:dyDescent="0.15">
      <c r="O495" s="4"/>
    </row>
    <row r="496" spans="15:15" x14ac:dyDescent="0.15">
      <c r="O496" s="4"/>
    </row>
    <row r="497" spans="15:15" x14ac:dyDescent="0.15">
      <c r="O497" s="4"/>
    </row>
    <row r="498" spans="15:15" x14ac:dyDescent="0.15">
      <c r="O498" s="4"/>
    </row>
    <row r="499" spans="15:15" x14ac:dyDescent="0.15">
      <c r="O499" s="4"/>
    </row>
    <row r="500" spans="15:15" x14ac:dyDescent="0.15">
      <c r="O500" s="4"/>
    </row>
    <row r="501" spans="15:15" x14ac:dyDescent="0.15">
      <c r="O501" s="4"/>
    </row>
    <row r="502" spans="15:15" x14ac:dyDescent="0.15">
      <c r="O502" s="4"/>
    </row>
    <row r="503" spans="15:15" x14ac:dyDescent="0.15">
      <c r="O503" s="4"/>
    </row>
    <row r="504" spans="15:15" x14ac:dyDescent="0.15">
      <c r="O504" s="4"/>
    </row>
    <row r="505" spans="15:15" x14ac:dyDescent="0.15">
      <c r="O505" s="4"/>
    </row>
    <row r="506" spans="15:15" x14ac:dyDescent="0.15">
      <c r="O506" s="4"/>
    </row>
    <row r="507" spans="15:15" x14ac:dyDescent="0.15">
      <c r="O507" s="4"/>
    </row>
    <row r="508" spans="15:15" x14ac:dyDescent="0.15">
      <c r="O508" s="4"/>
    </row>
    <row r="509" spans="15:15" x14ac:dyDescent="0.15">
      <c r="O509" s="4"/>
    </row>
    <row r="510" spans="15:15" x14ac:dyDescent="0.15">
      <c r="O510" s="4"/>
    </row>
    <row r="511" spans="15:15" x14ac:dyDescent="0.15">
      <c r="O511" s="4"/>
    </row>
    <row r="512" spans="15:15" x14ac:dyDescent="0.15">
      <c r="O512" s="4"/>
    </row>
    <row r="513" spans="15:15" x14ac:dyDescent="0.15">
      <c r="O513" s="4"/>
    </row>
    <row r="514" spans="15:15" x14ac:dyDescent="0.15">
      <c r="O514" s="4"/>
    </row>
    <row r="515" spans="15:15" x14ac:dyDescent="0.15">
      <c r="O515" s="4"/>
    </row>
    <row r="516" spans="15:15" x14ac:dyDescent="0.15">
      <c r="O516" s="4"/>
    </row>
    <row r="517" spans="15:15" x14ac:dyDescent="0.15">
      <c r="O517" s="4"/>
    </row>
    <row r="518" spans="15:15" x14ac:dyDescent="0.15">
      <c r="O518" s="4"/>
    </row>
    <row r="519" spans="15:15" x14ac:dyDescent="0.15">
      <c r="O519" s="4"/>
    </row>
    <row r="520" spans="15:15" x14ac:dyDescent="0.15">
      <c r="O520" s="4"/>
    </row>
    <row r="521" spans="15:15" x14ac:dyDescent="0.15">
      <c r="O521" s="4"/>
    </row>
    <row r="522" spans="15:15" x14ac:dyDescent="0.15">
      <c r="O522" s="4"/>
    </row>
    <row r="523" spans="15:15" x14ac:dyDescent="0.15">
      <c r="O523" s="4"/>
    </row>
    <row r="524" spans="15:15" x14ac:dyDescent="0.15">
      <c r="O524" s="4"/>
    </row>
    <row r="525" spans="15:15" x14ac:dyDescent="0.15">
      <c r="O525" s="4"/>
    </row>
    <row r="526" spans="15:15" x14ac:dyDescent="0.15">
      <c r="O526" s="4"/>
    </row>
    <row r="527" spans="15:15" x14ac:dyDescent="0.15">
      <c r="O527" s="4"/>
    </row>
    <row r="528" spans="15:15" x14ac:dyDescent="0.15">
      <c r="O528" s="4"/>
    </row>
    <row r="529" spans="15:15" x14ac:dyDescent="0.15">
      <c r="O529" s="4"/>
    </row>
    <row r="530" spans="15:15" x14ac:dyDescent="0.15">
      <c r="O530" s="4"/>
    </row>
    <row r="531" spans="15:15" x14ac:dyDescent="0.15">
      <c r="O531" s="4"/>
    </row>
    <row r="532" spans="15:15" x14ac:dyDescent="0.15">
      <c r="O532" s="4"/>
    </row>
    <row r="533" spans="15:15" x14ac:dyDescent="0.15">
      <c r="O533" s="4"/>
    </row>
    <row r="534" spans="15:15" x14ac:dyDescent="0.15">
      <c r="O534" s="4"/>
    </row>
    <row r="535" spans="15:15" x14ac:dyDescent="0.15">
      <c r="O535" s="4"/>
    </row>
    <row r="536" spans="15:15" x14ac:dyDescent="0.15">
      <c r="O536" s="4"/>
    </row>
    <row r="537" spans="15:15" x14ac:dyDescent="0.15">
      <c r="O537" s="4"/>
    </row>
    <row r="538" spans="15:15" x14ac:dyDescent="0.15">
      <c r="O538" s="4"/>
    </row>
    <row r="539" spans="15:15" x14ac:dyDescent="0.15">
      <c r="O539" s="4"/>
    </row>
    <row r="540" spans="15:15" x14ac:dyDescent="0.15">
      <c r="O540" s="4"/>
    </row>
    <row r="541" spans="15:15" x14ac:dyDescent="0.15">
      <c r="O541" s="4"/>
    </row>
    <row r="542" spans="15:15" x14ac:dyDescent="0.15">
      <c r="O542" s="4"/>
    </row>
    <row r="543" spans="15:15" x14ac:dyDescent="0.15">
      <c r="O543" s="4"/>
    </row>
    <row r="544" spans="15:15" x14ac:dyDescent="0.15">
      <c r="O544" s="4"/>
    </row>
    <row r="545" spans="15:15" x14ac:dyDescent="0.15">
      <c r="O545" s="4"/>
    </row>
    <row r="546" spans="15:15" x14ac:dyDescent="0.15">
      <c r="O546" s="4"/>
    </row>
    <row r="547" spans="15:15" x14ac:dyDescent="0.15">
      <c r="O547" s="4"/>
    </row>
    <row r="548" spans="15:15" x14ac:dyDescent="0.15">
      <c r="O548" s="4"/>
    </row>
    <row r="549" spans="15:15" x14ac:dyDescent="0.15">
      <c r="O549" s="4"/>
    </row>
    <row r="550" spans="15:15" x14ac:dyDescent="0.15">
      <c r="O550" s="4"/>
    </row>
    <row r="551" spans="15:15" x14ac:dyDescent="0.15">
      <c r="O551" s="4"/>
    </row>
    <row r="552" spans="15:15" x14ac:dyDescent="0.15">
      <c r="O552" s="4"/>
    </row>
    <row r="553" spans="15:15" x14ac:dyDescent="0.15">
      <c r="O553" s="4"/>
    </row>
    <row r="554" spans="15:15" x14ac:dyDescent="0.15">
      <c r="O554" s="4"/>
    </row>
    <row r="555" spans="15:15" x14ac:dyDescent="0.15">
      <c r="O555" s="4"/>
    </row>
    <row r="556" spans="15:15" x14ac:dyDescent="0.15">
      <c r="O556" s="4"/>
    </row>
    <row r="557" spans="15:15" x14ac:dyDescent="0.15">
      <c r="O557" s="4"/>
    </row>
    <row r="558" spans="15:15" x14ac:dyDescent="0.15">
      <c r="O558" s="4"/>
    </row>
    <row r="559" spans="15:15" x14ac:dyDescent="0.15">
      <c r="O559" s="4"/>
    </row>
    <row r="560" spans="15:15" x14ac:dyDescent="0.15">
      <c r="O560" s="4"/>
    </row>
    <row r="561" spans="15:15" x14ac:dyDescent="0.15">
      <c r="O561" s="4"/>
    </row>
    <row r="562" spans="15:15" x14ac:dyDescent="0.15">
      <c r="O562" s="4"/>
    </row>
    <row r="563" spans="15:15" x14ac:dyDescent="0.15">
      <c r="O563" s="4"/>
    </row>
    <row r="564" spans="15:15" x14ac:dyDescent="0.15">
      <c r="O564" s="4"/>
    </row>
    <row r="565" spans="15:15" x14ac:dyDescent="0.15">
      <c r="O565" s="4"/>
    </row>
    <row r="566" spans="15:15" x14ac:dyDescent="0.15">
      <c r="O566" s="4"/>
    </row>
    <row r="567" spans="15:15" x14ac:dyDescent="0.15">
      <c r="O567" s="4"/>
    </row>
    <row r="568" spans="15:15" x14ac:dyDescent="0.15">
      <c r="O568" s="4"/>
    </row>
    <row r="569" spans="15:15" x14ac:dyDescent="0.15">
      <c r="O569" s="4"/>
    </row>
    <row r="570" spans="15:15" x14ac:dyDescent="0.15">
      <c r="O570" s="4"/>
    </row>
    <row r="571" spans="15:15" x14ac:dyDescent="0.15">
      <c r="O571" s="4"/>
    </row>
    <row r="572" spans="15:15" x14ac:dyDescent="0.15">
      <c r="O572" s="4"/>
    </row>
    <row r="573" spans="15:15" x14ac:dyDescent="0.15">
      <c r="O573" s="4"/>
    </row>
    <row r="574" spans="15:15" x14ac:dyDescent="0.15">
      <c r="O574" s="4"/>
    </row>
    <row r="575" spans="15:15" x14ac:dyDescent="0.15">
      <c r="O575" s="4"/>
    </row>
    <row r="576" spans="15:15" x14ac:dyDescent="0.15">
      <c r="O576" s="4"/>
    </row>
    <row r="577" spans="15:15" x14ac:dyDescent="0.15">
      <c r="O577" s="4"/>
    </row>
    <row r="578" spans="15:15" x14ac:dyDescent="0.15">
      <c r="O578" s="4"/>
    </row>
    <row r="579" spans="15:15" x14ac:dyDescent="0.15">
      <c r="O579" s="4"/>
    </row>
    <row r="580" spans="15:15" x14ac:dyDescent="0.15">
      <c r="O580" s="4"/>
    </row>
    <row r="581" spans="15:15" x14ac:dyDescent="0.15">
      <c r="O581" s="4"/>
    </row>
    <row r="582" spans="15:15" x14ac:dyDescent="0.15">
      <c r="O582" s="4"/>
    </row>
    <row r="583" spans="15:15" x14ac:dyDescent="0.15">
      <c r="O583" s="4"/>
    </row>
    <row r="584" spans="15:15" x14ac:dyDescent="0.15">
      <c r="O584" s="4"/>
    </row>
    <row r="585" spans="15:15" x14ac:dyDescent="0.15">
      <c r="O585" s="4"/>
    </row>
    <row r="586" spans="15:15" x14ac:dyDescent="0.15">
      <c r="O586" s="4"/>
    </row>
    <row r="587" spans="15:15" x14ac:dyDescent="0.15">
      <c r="O587" s="4"/>
    </row>
    <row r="588" spans="15:15" x14ac:dyDescent="0.15">
      <c r="O588" s="4"/>
    </row>
    <row r="589" spans="15:15" x14ac:dyDescent="0.15">
      <c r="O589" s="4"/>
    </row>
    <row r="590" spans="15:15" x14ac:dyDescent="0.15">
      <c r="O590" s="4"/>
    </row>
    <row r="591" spans="15:15" x14ac:dyDescent="0.15">
      <c r="O591" s="4"/>
    </row>
    <row r="592" spans="15:15" x14ac:dyDescent="0.15">
      <c r="O592" s="4"/>
    </row>
    <row r="593" spans="15:15" x14ac:dyDescent="0.15">
      <c r="O593" s="4"/>
    </row>
    <row r="594" spans="15:15" x14ac:dyDescent="0.15">
      <c r="O594" s="4"/>
    </row>
    <row r="595" spans="15:15" x14ac:dyDescent="0.15">
      <c r="O595" s="4"/>
    </row>
    <row r="596" spans="15:15" x14ac:dyDescent="0.15">
      <c r="O596" s="4"/>
    </row>
    <row r="597" spans="15:15" x14ac:dyDescent="0.15">
      <c r="O597" s="4"/>
    </row>
    <row r="598" spans="15:15" x14ac:dyDescent="0.15">
      <c r="O598" s="4"/>
    </row>
    <row r="599" spans="15:15" x14ac:dyDescent="0.15">
      <c r="O599" s="4"/>
    </row>
    <row r="600" spans="15:15" x14ac:dyDescent="0.15">
      <c r="O600" s="4"/>
    </row>
    <row r="601" spans="15:15" x14ac:dyDescent="0.15">
      <c r="O601" s="4"/>
    </row>
    <row r="602" spans="15:15" x14ac:dyDescent="0.15">
      <c r="O602" s="4"/>
    </row>
    <row r="603" spans="15:15" x14ac:dyDescent="0.15">
      <c r="O603" s="4"/>
    </row>
    <row r="604" spans="15:15" x14ac:dyDescent="0.15">
      <c r="O604" s="4"/>
    </row>
    <row r="605" spans="15:15" x14ac:dyDescent="0.15">
      <c r="O605" s="4"/>
    </row>
    <row r="606" spans="15:15" x14ac:dyDescent="0.15">
      <c r="O606" s="4"/>
    </row>
    <row r="607" spans="15:15" x14ac:dyDescent="0.15">
      <c r="O607" s="4"/>
    </row>
    <row r="608" spans="15:15" x14ac:dyDescent="0.15">
      <c r="O608" s="4"/>
    </row>
    <row r="609" spans="15:15" x14ac:dyDescent="0.15">
      <c r="O609" s="4"/>
    </row>
    <row r="610" spans="15:15" x14ac:dyDescent="0.15">
      <c r="O610" s="4"/>
    </row>
    <row r="611" spans="15:15" x14ac:dyDescent="0.15">
      <c r="O611" s="4"/>
    </row>
    <row r="612" spans="15:15" x14ac:dyDescent="0.15">
      <c r="O612" s="4"/>
    </row>
    <row r="613" spans="15:15" x14ac:dyDescent="0.15">
      <c r="O613" s="4"/>
    </row>
    <row r="614" spans="15:15" x14ac:dyDescent="0.15">
      <c r="O614" s="4"/>
    </row>
    <row r="615" spans="15:15" x14ac:dyDescent="0.15">
      <c r="O615" s="4"/>
    </row>
    <row r="616" spans="15:15" x14ac:dyDescent="0.15">
      <c r="O616" s="4"/>
    </row>
    <row r="617" spans="15:15" x14ac:dyDescent="0.15">
      <c r="O617" s="4"/>
    </row>
    <row r="618" spans="15:15" x14ac:dyDescent="0.15">
      <c r="O618" s="4"/>
    </row>
    <row r="619" spans="15:15" x14ac:dyDescent="0.15">
      <c r="O619" s="4"/>
    </row>
    <row r="620" spans="15:15" x14ac:dyDescent="0.15">
      <c r="O620" s="4"/>
    </row>
    <row r="621" spans="15:15" x14ac:dyDescent="0.15">
      <c r="O621" s="4"/>
    </row>
    <row r="622" spans="15:15" x14ac:dyDescent="0.15">
      <c r="O622" s="4"/>
    </row>
    <row r="623" spans="15:15" x14ac:dyDescent="0.15">
      <c r="O623" s="4"/>
    </row>
    <row r="624" spans="15:15" x14ac:dyDescent="0.15">
      <c r="O624" s="4"/>
    </row>
    <row r="625" spans="15:15" x14ac:dyDescent="0.15">
      <c r="O625" s="4"/>
    </row>
    <row r="626" spans="15:15" x14ac:dyDescent="0.15">
      <c r="O626" s="4"/>
    </row>
    <row r="627" spans="15:15" x14ac:dyDescent="0.15">
      <c r="O627" s="4"/>
    </row>
    <row r="628" spans="15:15" x14ac:dyDescent="0.15">
      <c r="O628" s="4"/>
    </row>
    <row r="629" spans="15:15" x14ac:dyDescent="0.15">
      <c r="O629" s="4"/>
    </row>
    <row r="630" spans="15:15" x14ac:dyDescent="0.15">
      <c r="O630" s="4"/>
    </row>
    <row r="631" spans="15:15" x14ac:dyDescent="0.15">
      <c r="O631" s="4"/>
    </row>
    <row r="632" spans="15:15" x14ac:dyDescent="0.15">
      <c r="O632" s="4"/>
    </row>
    <row r="633" spans="15:15" x14ac:dyDescent="0.15">
      <c r="O633" s="4"/>
    </row>
    <row r="634" spans="15:15" x14ac:dyDescent="0.15">
      <c r="O634" s="4"/>
    </row>
    <row r="635" spans="15:15" x14ac:dyDescent="0.15">
      <c r="O635" s="4"/>
    </row>
    <row r="636" spans="15:15" x14ac:dyDescent="0.15">
      <c r="O636" s="4"/>
    </row>
    <row r="637" spans="15:15" x14ac:dyDescent="0.15">
      <c r="O637" s="4"/>
    </row>
    <row r="638" spans="15:15" x14ac:dyDescent="0.15">
      <c r="O638" s="4"/>
    </row>
    <row r="639" spans="15:15" x14ac:dyDescent="0.15">
      <c r="O639" s="4"/>
    </row>
    <row r="640" spans="15:15" x14ac:dyDescent="0.15">
      <c r="O640" s="4"/>
    </row>
    <row r="641" spans="15:15" x14ac:dyDescent="0.15">
      <c r="O641" s="4"/>
    </row>
    <row r="642" spans="15:15" x14ac:dyDescent="0.15">
      <c r="O642" s="4"/>
    </row>
    <row r="643" spans="15:15" x14ac:dyDescent="0.15">
      <c r="O643" s="4"/>
    </row>
    <row r="644" spans="15:15" x14ac:dyDescent="0.15">
      <c r="O644" s="4"/>
    </row>
    <row r="645" spans="15:15" x14ac:dyDescent="0.15">
      <c r="O645" s="4"/>
    </row>
    <row r="646" spans="15:15" x14ac:dyDescent="0.15">
      <c r="O646" s="4"/>
    </row>
    <row r="647" spans="15:15" x14ac:dyDescent="0.15">
      <c r="O647" s="4"/>
    </row>
    <row r="648" spans="15:15" x14ac:dyDescent="0.15">
      <c r="O648" s="4"/>
    </row>
    <row r="649" spans="15:15" x14ac:dyDescent="0.15">
      <c r="O649" s="4"/>
    </row>
    <row r="650" spans="15:15" x14ac:dyDescent="0.15">
      <c r="O650" s="4"/>
    </row>
    <row r="651" spans="15:15" x14ac:dyDescent="0.15">
      <c r="O651" s="4"/>
    </row>
    <row r="652" spans="15:15" x14ac:dyDescent="0.15">
      <c r="O652" s="4"/>
    </row>
    <row r="653" spans="15:15" x14ac:dyDescent="0.15">
      <c r="O653" s="4"/>
    </row>
    <row r="654" spans="15:15" x14ac:dyDescent="0.15">
      <c r="O654" s="4"/>
    </row>
    <row r="655" spans="15:15" x14ac:dyDescent="0.15">
      <c r="O655" s="4"/>
    </row>
    <row r="656" spans="15:15" x14ac:dyDescent="0.15">
      <c r="O656" s="4"/>
    </row>
    <row r="657" spans="15:15" x14ac:dyDescent="0.15">
      <c r="O657" s="4"/>
    </row>
    <row r="658" spans="15:15" x14ac:dyDescent="0.15">
      <c r="O658" s="4"/>
    </row>
    <row r="659" spans="15:15" x14ac:dyDescent="0.15">
      <c r="O659" s="4"/>
    </row>
    <row r="660" spans="15:15" x14ac:dyDescent="0.15">
      <c r="O660" s="4"/>
    </row>
    <row r="661" spans="15:15" x14ac:dyDescent="0.15">
      <c r="O661" s="4"/>
    </row>
    <row r="662" spans="15:15" x14ac:dyDescent="0.15">
      <c r="O662" s="4"/>
    </row>
    <row r="663" spans="15:15" x14ac:dyDescent="0.15">
      <c r="O663" s="4"/>
    </row>
    <row r="664" spans="15:15" x14ac:dyDescent="0.15">
      <c r="O664" s="4"/>
    </row>
    <row r="665" spans="15:15" x14ac:dyDescent="0.15">
      <c r="O665" s="4"/>
    </row>
    <row r="666" spans="15:15" x14ac:dyDescent="0.15">
      <c r="O666" s="4"/>
    </row>
    <row r="667" spans="15:15" x14ac:dyDescent="0.15">
      <c r="O667" s="4"/>
    </row>
    <row r="668" spans="15:15" x14ac:dyDescent="0.15">
      <c r="O668" s="4"/>
    </row>
    <row r="669" spans="15:15" x14ac:dyDescent="0.15">
      <c r="O669" s="4"/>
    </row>
    <row r="670" spans="15:15" x14ac:dyDescent="0.15">
      <c r="O670" s="4"/>
    </row>
    <row r="671" spans="15:15" x14ac:dyDescent="0.15">
      <c r="O671" s="4"/>
    </row>
    <row r="672" spans="15:15" x14ac:dyDescent="0.15">
      <c r="O672" s="4"/>
    </row>
    <row r="673" spans="15:15" x14ac:dyDescent="0.15">
      <c r="O673" s="4"/>
    </row>
    <row r="674" spans="15:15" x14ac:dyDescent="0.15">
      <c r="O674" s="4"/>
    </row>
    <row r="675" spans="15:15" x14ac:dyDescent="0.15">
      <c r="O675" s="4"/>
    </row>
    <row r="676" spans="15:15" x14ac:dyDescent="0.15">
      <c r="O676" s="4"/>
    </row>
    <row r="677" spans="15:15" x14ac:dyDescent="0.15">
      <c r="O677" s="4"/>
    </row>
    <row r="678" spans="15:15" x14ac:dyDescent="0.15">
      <c r="O678" s="4"/>
    </row>
    <row r="679" spans="15:15" x14ac:dyDescent="0.15">
      <c r="O679" s="4"/>
    </row>
    <row r="680" spans="15:15" x14ac:dyDescent="0.15">
      <c r="O680" s="4"/>
    </row>
    <row r="681" spans="15:15" x14ac:dyDescent="0.15">
      <c r="O681" s="4"/>
    </row>
    <row r="682" spans="15:15" x14ac:dyDescent="0.15">
      <c r="O682" s="4"/>
    </row>
    <row r="683" spans="15:15" x14ac:dyDescent="0.15">
      <c r="O683" s="4"/>
    </row>
    <row r="684" spans="15:15" x14ac:dyDescent="0.15">
      <c r="O684" s="4"/>
    </row>
    <row r="685" spans="15:15" x14ac:dyDescent="0.15">
      <c r="O685" s="4"/>
    </row>
    <row r="686" spans="15:15" x14ac:dyDescent="0.15">
      <c r="O686" s="4"/>
    </row>
    <row r="687" spans="15:15" x14ac:dyDescent="0.15">
      <c r="O687" s="4"/>
    </row>
    <row r="688" spans="15:15" x14ac:dyDescent="0.15">
      <c r="O688" s="4"/>
    </row>
    <row r="689" spans="15:15" x14ac:dyDescent="0.15">
      <c r="O689" s="4"/>
    </row>
    <row r="690" spans="15:15" x14ac:dyDescent="0.15">
      <c r="O690" s="4"/>
    </row>
    <row r="691" spans="15:15" x14ac:dyDescent="0.15">
      <c r="O691" s="4"/>
    </row>
    <row r="692" spans="15:15" x14ac:dyDescent="0.15">
      <c r="O692" s="4"/>
    </row>
    <row r="693" spans="15:15" x14ac:dyDescent="0.15">
      <c r="O693" s="4"/>
    </row>
    <row r="694" spans="15:15" x14ac:dyDescent="0.15">
      <c r="O694" s="4"/>
    </row>
    <row r="695" spans="15:15" x14ac:dyDescent="0.15">
      <c r="O695" s="4"/>
    </row>
    <row r="696" spans="15:15" x14ac:dyDescent="0.15">
      <c r="O696" s="4"/>
    </row>
    <row r="697" spans="15:15" x14ac:dyDescent="0.15">
      <c r="O697" s="4"/>
    </row>
    <row r="698" spans="15:15" x14ac:dyDescent="0.15">
      <c r="O698" s="4"/>
    </row>
    <row r="699" spans="15:15" x14ac:dyDescent="0.15">
      <c r="O699" s="4"/>
    </row>
    <row r="700" spans="15:15" x14ac:dyDescent="0.15">
      <c r="O700" s="4"/>
    </row>
    <row r="701" spans="15:15" x14ac:dyDescent="0.15">
      <c r="O701" s="4"/>
    </row>
    <row r="702" spans="15:15" x14ac:dyDescent="0.15">
      <c r="O702" s="4"/>
    </row>
    <row r="703" spans="15:15" x14ac:dyDescent="0.15">
      <c r="O703" s="4"/>
    </row>
    <row r="704" spans="15:15" x14ac:dyDescent="0.15">
      <c r="O704" s="4"/>
    </row>
    <row r="705" spans="15:15" x14ac:dyDescent="0.15">
      <c r="O705" s="4"/>
    </row>
    <row r="706" spans="15:15" x14ac:dyDescent="0.15">
      <c r="O706" s="4"/>
    </row>
    <row r="707" spans="15:15" x14ac:dyDescent="0.15">
      <c r="O707" s="4"/>
    </row>
    <row r="708" spans="15:15" x14ac:dyDescent="0.15">
      <c r="O708" s="4"/>
    </row>
    <row r="709" spans="15:15" x14ac:dyDescent="0.15">
      <c r="O709" s="4"/>
    </row>
    <row r="710" spans="15:15" x14ac:dyDescent="0.15">
      <c r="O710" s="4"/>
    </row>
    <row r="711" spans="15:15" x14ac:dyDescent="0.15">
      <c r="O711" s="4"/>
    </row>
    <row r="712" spans="15:15" x14ac:dyDescent="0.15">
      <c r="O712" s="4"/>
    </row>
    <row r="713" spans="15:15" x14ac:dyDescent="0.15">
      <c r="O713" s="4"/>
    </row>
    <row r="714" spans="15:15" x14ac:dyDescent="0.15">
      <c r="O714" s="4"/>
    </row>
    <row r="715" spans="15:15" x14ac:dyDescent="0.15">
      <c r="O715" s="4"/>
    </row>
    <row r="716" spans="15:15" x14ac:dyDescent="0.15">
      <c r="O716" s="4"/>
    </row>
    <row r="717" spans="15:15" x14ac:dyDescent="0.15">
      <c r="O717" s="4"/>
    </row>
    <row r="718" spans="15:15" x14ac:dyDescent="0.15">
      <c r="O718" s="4"/>
    </row>
    <row r="719" spans="15:15" x14ac:dyDescent="0.15">
      <c r="O719" s="4"/>
    </row>
    <row r="720" spans="15:15" x14ac:dyDescent="0.15">
      <c r="O720" s="4"/>
    </row>
    <row r="721" spans="15:15" x14ac:dyDescent="0.15">
      <c r="O721" s="4"/>
    </row>
    <row r="722" spans="15:15" x14ac:dyDescent="0.15">
      <c r="O722" s="4"/>
    </row>
    <row r="723" spans="15:15" x14ac:dyDescent="0.15">
      <c r="O723" s="4"/>
    </row>
    <row r="724" spans="15:15" x14ac:dyDescent="0.15">
      <c r="O724" s="4"/>
    </row>
    <row r="725" spans="15:15" x14ac:dyDescent="0.15">
      <c r="O725" s="4"/>
    </row>
    <row r="726" spans="15:15" x14ac:dyDescent="0.15">
      <c r="O726" s="4"/>
    </row>
    <row r="727" spans="15:15" x14ac:dyDescent="0.15">
      <c r="O727" s="4"/>
    </row>
    <row r="728" spans="15:15" x14ac:dyDescent="0.15">
      <c r="O728" s="4"/>
    </row>
    <row r="729" spans="15:15" x14ac:dyDescent="0.15">
      <c r="O729" s="4"/>
    </row>
    <row r="730" spans="15:15" x14ac:dyDescent="0.15">
      <c r="O730" s="4"/>
    </row>
    <row r="731" spans="15:15" x14ac:dyDescent="0.15">
      <c r="O731" s="4"/>
    </row>
    <row r="732" spans="15:15" x14ac:dyDescent="0.15">
      <c r="O732" s="4"/>
    </row>
    <row r="733" spans="15:15" x14ac:dyDescent="0.15">
      <c r="O733" s="4"/>
    </row>
    <row r="734" spans="15:15" x14ac:dyDescent="0.15">
      <c r="O734" s="4"/>
    </row>
    <row r="735" spans="15:15" x14ac:dyDescent="0.15">
      <c r="O735" s="4"/>
    </row>
    <row r="736" spans="15:15" x14ac:dyDescent="0.15">
      <c r="O736" s="4"/>
    </row>
    <row r="737" spans="15:15" x14ac:dyDescent="0.15">
      <c r="O737" s="4"/>
    </row>
    <row r="738" spans="15:15" x14ac:dyDescent="0.15">
      <c r="O738" s="4"/>
    </row>
    <row r="739" spans="15:15" x14ac:dyDescent="0.15">
      <c r="O739" s="4"/>
    </row>
    <row r="740" spans="15:15" x14ac:dyDescent="0.15">
      <c r="O740" s="4"/>
    </row>
    <row r="741" spans="15:15" x14ac:dyDescent="0.15">
      <c r="O741" s="4"/>
    </row>
    <row r="742" spans="15:15" x14ac:dyDescent="0.15">
      <c r="O742" s="4"/>
    </row>
    <row r="743" spans="15:15" x14ac:dyDescent="0.15">
      <c r="O743" s="4"/>
    </row>
    <row r="744" spans="15:15" x14ac:dyDescent="0.15">
      <c r="O744" s="4"/>
    </row>
    <row r="745" spans="15:15" x14ac:dyDescent="0.15">
      <c r="O745" s="4"/>
    </row>
    <row r="746" spans="15:15" x14ac:dyDescent="0.15">
      <c r="O746" s="4"/>
    </row>
    <row r="747" spans="15:15" x14ac:dyDescent="0.15">
      <c r="O747" s="4"/>
    </row>
    <row r="748" spans="15:15" x14ac:dyDescent="0.15">
      <c r="O748" s="4"/>
    </row>
    <row r="749" spans="15:15" x14ac:dyDescent="0.15">
      <c r="O749" s="4"/>
    </row>
    <row r="750" spans="15:15" x14ac:dyDescent="0.15">
      <c r="O750" s="4"/>
    </row>
    <row r="751" spans="15:15" x14ac:dyDescent="0.15">
      <c r="O751" s="4"/>
    </row>
    <row r="752" spans="15:15" x14ac:dyDescent="0.15">
      <c r="O752" s="4"/>
    </row>
    <row r="753" spans="15:15" x14ac:dyDescent="0.15">
      <c r="O753" s="4"/>
    </row>
    <row r="754" spans="15:15" x14ac:dyDescent="0.15">
      <c r="O754" s="4"/>
    </row>
    <row r="755" spans="15:15" x14ac:dyDescent="0.15">
      <c r="O755" s="4"/>
    </row>
    <row r="756" spans="15:15" x14ac:dyDescent="0.15">
      <c r="O756" s="4"/>
    </row>
    <row r="757" spans="15:15" x14ac:dyDescent="0.15">
      <c r="O757" s="4"/>
    </row>
    <row r="758" spans="15:15" x14ac:dyDescent="0.15">
      <c r="O758" s="4"/>
    </row>
    <row r="759" spans="15:15" x14ac:dyDescent="0.15">
      <c r="O759" s="4"/>
    </row>
    <row r="760" spans="15:15" x14ac:dyDescent="0.15">
      <c r="O760" s="4"/>
    </row>
    <row r="761" spans="15:15" x14ac:dyDescent="0.15">
      <c r="O761" s="4"/>
    </row>
    <row r="762" spans="15:15" x14ac:dyDescent="0.15">
      <c r="O762" s="4"/>
    </row>
    <row r="763" spans="15:15" x14ac:dyDescent="0.15">
      <c r="O763" s="4"/>
    </row>
    <row r="764" spans="15:15" x14ac:dyDescent="0.15">
      <c r="O764" s="4"/>
    </row>
    <row r="765" spans="15:15" x14ac:dyDescent="0.15">
      <c r="O765" s="4"/>
    </row>
    <row r="766" spans="15:15" x14ac:dyDescent="0.15">
      <c r="O766" s="4"/>
    </row>
    <row r="767" spans="15:15" x14ac:dyDescent="0.15">
      <c r="O767" s="4"/>
    </row>
    <row r="768" spans="15:15" x14ac:dyDescent="0.15">
      <c r="O768" s="4"/>
    </row>
    <row r="769" spans="15:15" x14ac:dyDescent="0.15">
      <c r="O769" s="4"/>
    </row>
    <row r="770" spans="15:15" x14ac:dyDescent="0.15">
      <c r="O770" s="4"/>
    </row>
    <row r="771" spans="15:15" x14ac:dyDescent="0.15">
      <c r="O771" s="4"/>
    </row>
    <row r="772" spans="15:15" x14ac:dyDescent="0.15">
      <c r="O772" s="4"/>
    </row>
    <row r="773" spans="15:15" x14ac:dyDescent="0.15">
      <c r="O773" s="4"/>
    </row>
    <row r="774" spans="15:15" x14ac:dyDescent="0.15">
      <c r="O774" s="4"/>
    </row>
    <row r="775" spans="15:15" x14ac:dyDescent="0.15">
      <c r="O775" s="4"/>
    </row>
    <row r="776" spans="15:15" x14ac:dyDescent="0.15">
      <c r="O776" s="4"/>
    </row>
    <row r="777" spans="15:15" x14ac:dyDescent="0.15">
      <c r="O777" s="4"/>
    </row>
    <row r="778" spans="15:15" x14ac:dyDescent="0.15">
      <c r="O778" s="4"/>
    </row>
    <row r="779" spans="15:15" x14ac:dyDescent="0.15">
      <c r="O779" s="4"/>
    </row>
    <row r="780" spans="15:15" x14ac:dyDescent="0.15">
      <c r="O780" s="4"/>
    </row>
    <row r="781" spans="15:15" x14ac:dyDescent="0.15">
      <c r="O781" s="4"/>
    </row>
    <row r="782" spans="15:15" x14ac:dyDescent="0.15">
      <c r="O782" s="4"/>
    </row>
    <row r="783" spans="15:15" x14ac:dyDescent="0.15">
      <c r="O783" s="4"/>
    </row>
    <row r="784" spans="15:15" x14ac:dyDescent="0.15">
      <c r="O784" s="4"/>
    </row>
    <row r="785" spans="15:15" x14ac:dyDescent="0.15">
      <c r="O785" s="4"/>
    </row>
    <row r="786" spans="15:15" x14ac:dyDescent="0.15">
      <c r="O786" s="4"/>
    </row>
    <row r="787" spans="15:15" x14ac:dyDescent="0.15">
      <c r="O787" s="4"/>
    </row>
    <row r="788" spans="15:15" x14ac:dyDescent="0.15">
      <c r="O788" s="4"/>
    </row>
    <row r="789" spans="15:15" x14ac:dyDescent="0.15">
      <c r="O789" s="4"/>
    </row>
    <row r="790" spans="15:15" x14ac:dyDescent="0.15">
      <c r="O790" s="4"/>
    </row>
    <row r="791" spans="15:15" x14ac:dyDescent="0.15">
      <c r="O791" s="4"/>
    </row>
    <row r="792" spans="15:15" x14ac:dyDescent="0.15">
      <c r="O792" s="4"/>
    </row>
    <row r="793" spans="15:15" x14ac:dyDescent="0.15">
      <c r="O793" s="4"/>
    </row>
    <row r="794" spans="15:15" x14ac:dyDescent="0.15">
      <c r="O794" s="4"/>
    </row>
    <row r="795" spans="15:15" x14ac:dyDescent="0.15">
      <c r="O795" s="4"/>
    </row>
    <row r="796" spans="15:15" x14ac:dyDescent="0.15">
      <c r="O796" s="4"/>
    </row>
    <row r="797" spans="15:15" x14ac:dyDescent="0.15">
      <c r="O797" s="4"/>
    </row>
    <row r="798" spans="15:15" x14ac:dyDescent="0.15">
      <c r="O798" s="4"/>
    </row>
    <row r="799" spans="15:15" x14ac:dyDescent="0.15">
      <c r="O799" s="4"/>
    </row>
    <row r="800" spans="15:15" x14ac:dyDescent="0.15">
      <c r="O800" s="4"/>
    </row>
    <row r="801" spans="15:15" x14ac:dyDescent="0.15">
      <c r="O801" s="4"/>
    </row>
    <row r="802" spans="15:15" x14ac:dyDescent="0.15">
      <c r="O802" s="4"/>
    </row>
    <row r="803" spans="15:15" x14ac:dyDescent="0.15">
      <c r="O803" s="4"/>
    </row>
    <row r="804" spans="15:15" x14ac:dyDescent="0.15">
      <c r="O804" s="4"/>
    </row>
    <row r="805" spans="15:15" x14ac:dyDescent="0.15">
      <c r="O805" s="4"/>
    </row>
    <row r="806" spans="15:15" x14ac:dyDescent="0.15">
      <c r="O806" s="4"/>
    </row>
    <row r="807" spans="15:15" x14ac:dyDescent="0.15">
      <c r="O807" s="4"/>
    </row>
    <row r="808" spans="15:15" x14ac:dyDescent="0.15">
      <c r="O808" s="4"/>
    </row>
    <row r="809" spans="15:15" x14ac:dyDescent="0.15">
      <c r="O809" s="4"/>
    </row>
    <row r="810" spans="15:15" x14ac:dyDescent="0.15">
      <c r="O810" s="4"/>
    </row>
    <row r="811" spans="15:15" x14ac:dyDescent="0.15">
      <c r="O811" s="4"/>
    </row>
    <row r="812" spans="15:15" x14ac:dyDescent="0.15">
      <c r="O812" s="4"/>
    </row>
    <row r="813" spans="15:15" x14ac:dyDescent="0.15">
      <c r="O813" s="4"/>
    </row>
    <row r="814" spans="15:15" x14ac:dyDescent="0.15">
      <c r="O814" s="4"/>
    </row>
    <row r="815" spans="15:15" x14ac:dyDescent="0.15">
      <c r="O815" s="4"/>
    </row>
    <row r="816" spans="15:15" x14ac:dyDescent="0.15">
      <c r="O816" s="4"/>
    </row>
    <row r="817" spans="15:15" x14ac:dyDescent="0.15">
      <c r="O817" s="4"/>
    </row>
    <row r="818" spans="15:15" x14ac:dyDescent="0.15">
      <c r="O818" s="4"/>
    </row>
    <row r="819" spans="15:15" x14ac:dyDescent="0.15">
      <c r="O819" s="4"/>
    </row>
    <row r="820" spans="15:15" x14ac:dyDescent="0.15">
      <c r="O820" s="4"/>
    </row>
    <row r="821" spans="15:15" x14ac:dyDescent="0.15">
      <c r="O821" s="4"/>
    </row>
    <row r="822" spans="15:15" x14ac:dyDescent="0.15">
      <c r="O822" s="4"/>
    </row>
    <row r="823" spans="15:15" x14ac:dyDescent="0.15">
      <c r="O823" s="4"/>
    </row>
    <row r="824" spans="15:15" x14ac:dyDescent="0.15">
      <c r="O824" s="4"/>
    </row>
    <row r="825" spans="15:15" x14ac:dyDescent="0.15">
      <c r="O825" s="4"/>
    </row>
    <row r="826" spans="15:15" x14ac:dyDescent="0.15">
      <c r="O826" s="4"/>
    </row>
    <row r="827" spans="15:15" x14ac:dyDescent="0.15">
      <c r="O827" s="4"/>
    </row>
    <row r="828" spans="15:15" x14ac:dyDescent="0.15">
      <c r="O828" s="4"/>
    </row>
    <row r="829" spans="15:15" x14ac:dyDescent="0.15">
      <c r="O829" s="4"/>
    </row>
    <row r="830" spans="15:15" x14ac:dyDescent="0.15">
      <c r="O830" s="4"/>
    </row>
    <row r="831" spans="15:15" x14ac:dyDescent="0.15">
      <c r="O831" s="4"/>
    </row>
    <row r="832" spans="15:15" x14ac:dyDescent="0.15">
      <c r="O832" s="4"/>
    </row>
    <row r="833" spans="15:15" x14ac:dyDescent="0.15">
      <c r="O833" s="4"/>
    </row>
    <row r="834" spans="15:15" x14ac:dyDescent="0.15">
      <c r="O834" s="4"/>
    </row>
    <row r="835" spans="15:15" x14ac:dyDescent="0.15">
      <c r="O835" s="4"/>
    </row>
    <row r="836" spans="15:15" x14ac:dyDescent="0.15">
      <c r="O836" s="4"/>
    </row>
    <row r="837" spans="15:15" x14ac:dyDescent="0.15">
      <c r="O837" s="4"/>
    </row>
    <row r="838" spans="15:15" x14ac:dyDescent="0.15">
      <c r="O838" s="4"/>
    </row>
    <row r="839" spans="15:15" x14ac:dyDescent="0.15">
      <c r="O839" s="4"/>
    </row>
    <row r="840" spans="15:15" x14ac:dyDescent="0.15">
      <c r="O840" s="4"/>
    </row>
    <row r="841" spans="15:15" x14ac:dyDescent="0.15">
      <c r="O841" s="4"/>
    </row>
    <row r="842" spans="15:15" x14ac:dyDescent="0.15">
      <c r="O842" s="4"/>
    </row>
    <row r="843" spans="15:15" x14ac:dyDescent="0.15">
      <c r="O843" s="4"/>
    </row>
    <row r="844" spans="15:15" x14ac:dyDescent="0.15">
      <c r="O844" s="4"/>
    </row>
    <row r="845" spans="15:15" x14ac:dyDescent="0.15">
      <c r="O845" s="4"/>
    </row>
    <row r="846" spans="15:15" x14ac:dyDescent="0.15">
      <c r="O846" s="4"/>
    </row>
    <row r="847" spans="15:15" x14ac:dyDescent="0.15">
      <c r="O847" s="4"/>
    </row>
    <row r="848" spans="15:15" x14ac:dyDescent="0.15">
      <c r="O848" s="4"/>
    </row>
    <row r="849" spans="15:15" x14ac:dyDescent="0.15">
      <c r="O849" s="4"/>
    </row>
    <row r="850" spans="15:15" x14ac:dyDescent="0.15">
      <c r="O850" s="4"/>
    </row>
    <row r="851" spans="15:15" x14ac:dyDescent="0.15">
      <c r="O851" s="4"/>
    </row>
    <row r="852" spans="15:15" x14ac:dyDescent="0.15">
      <c r="O852" s="4"/>
    </row>
    <row r="853" spans="15:15" x14ac:dyDescent="0.15">
      <c r="O853" s="4"/>
    </row>
    <row r="854" spans="15:15" x14ac:dyDescent="0.15">
      <c r="O854" s="4"/>
    </row>
    <row r="855" spans="15:15" x14ac:dyDescent="0.15">
      <c r="O855" s="4"/>
    </row>
    <row r="856" spans="15:15" x14ac:dyDescent="0.15">
      <c r="O856" s="4"/>
    </row>
    <row r="857" spans="15:15" x14ac:dyDescent="0.15">
      <c r="O857" s="4"/>
    </row>
    <row r="858" spans="15:15" x14ac:dyDescent="0.15">
      <c r="O858" s="4"/>
    </row>
    <row r="859" spans="15:15" x14ac:dyDescent="0.15">
      <c r="O859" s="4"/>
    </row>
    <row r="860" spans="15:15" x14ac:dyDescent="0.15">
      <c r="O860" s="4"/>
    </row>
    <row r="861" spans="15:15" x14ac:dyDescent="0.15">
      <c r="O861" s="4"/>
    </row>
    <row r="862" spans="15:15" x14ac:dyDescent="0.15">
      <c r="O862" s="4"/>
    </row>
    <row r="863" spans="15:15" x14ac:dyDescent="0.15">
      <c r="O863" s="4"/>
    </row>
    <row r="864" spans="15:15" x14ac:dyDescent="0.15">
      <c r="O864" s="4"/>
    </row>
    <row r="865" spans="15:15" x14ac:dyDescent="0.15">
      <c r="O865" s="4"/>
    </row>
    <row r="866" spans="15:15" x14ac:dyDescent="0.15">
      <c r="O866" s="4"/>
    </row>
    <row r="867" spans="15:15" x14ac:dyDescent="0.15">
      <c r="O867" s="4"/>
    </row>
    <row r="868" spans="15:15" x14ac:dyDescent="0.15">
      <c r="O868" s="4"/>
    </row>
    <row r="869" spans="15:15" x14ac:dyDescent="0.15">
      <c r="O869" s="4"/>
    </row>
    <row r="870" spans="15:15" x14ac:dyDescent="0.15">
      <c r="O870" s="4"/>
    </row>
    <row r="871" spans="15:15" x14ac:dyDescent="0.15">
      <c r="O871" s="4"/>
    </row>
    <row r="872" spans="15:15" x14ac:dyDescent="0.15">
      <c r="O872" s="4"/>
    </row>
    <row r="873" spans="15:15" x14ac:dyDescent="0.15">
      <c r="O873" s="4"/>
    </row>
    <row r="874" spans="15:15" x14ac:dyDescent="0.15">
      <c r="O874" s="4"/>
    </row>
    <row r="875" spans="15:15" x14ac:dyDescent="0.15">
      <c r="O875" s="4"/>
    </row>
    <row r="876" spans="15:15" x14ac:dyDescent="0.15">
      <c r="O876" s="4"/>
    </row>
    <row r="877" spans="15:15" x14ac:dyDescent="0.15">
      <c r="O877" s="4"/>
    </row>
    <row r="878" spans="15:15" x14ac:dyDescent="0.15">
      <c r="O878" s="4"/>
    </row>
    <row r="879" spans="15:15" x14ac:dyDescent="0.15">
      <c r="O879" s="4"/>
    </row>
    <row r="880" spans="15:15" x14ac:dyDescent="0.15">
      <c r="O880" s="4"/>
    </row>
    <row r="881" spans="15:15" x14ac:dyDescent="0.15">
      <c r="O881" s="4"/>
    </row>
    <row r="882" spans="15:15" x14ac:dyDescent="0.15">
      <c r="O882" s="4"/>
    </row>
    <row r="883" spans="15:15" x14ac:dyDescent="0.15">
      <c r="O883" s="4"/>
    </row>
    <row r="884" spans="15:15" x14ac:dyDescent="0.15">
      <c r="O884" s="4"/>
    </row>
    <row r="885" spans="15:15" x14ac:dyDescent="0.15">
      <c r="O885" s="4"/>
    </row>
    <row r="886" spans="15:15" x14ac:dyDescent="0.15">
      <c r="O886" s="4"/>
    </row>
    <row r="887" spans="15:15" x14ac:dyDescent="0.15">
      <c r="O887" s="4"/>
    </row>
    <row r="888" spans="15:15" x14ac:dyDescent="0.15">
      <c r="O888" s="4"/>
    </row>
    <row r="889" spans="15:15" x14ac:dyDescent="0.15">
      <c r="O889" s="4"/>
    </row>
    <row r="890" spans="15:15" x14ac:dyDescent="0.15">
      <c r="O890" s="4"/>
    </row>
    <row r="891" spans="15:15" x14ac:dyDescent="0.15">
      <c r="O891" s="4"/>
    </row>
    <row r="892" spans="15:15" x14ac:dyDescent="0.15">
      <c r="O892" s="4"/>
    </row>
    <row r="893" spans="15:15" x14ac:dyDescent="0.15">
      <c r="O893" s="4"/>
    </row>
    <row r="894" spans="15:15" x14ac:dyDescent="0.15">
      <c r="O894" s="4"/>
    </row>
    <row r="895" spans="15:15" x14ac:dyDescent="0.15">
      <c r="O895" s="4"/>
    </row>
    <row r="896" spans="15:15" x14ac:dyDescent="0.15">
      <c r="O896" s="4"/>
    </row>
    <row r="897" spans="15:15" x14ac:dyDescent="0.15">
      <c r="O897" s="4"/>
    </row>
    <row r="898" spans="15:15" x14ac:dyDescent="0.15">
      <c r="O898" s="4"/>
    </row>
    <row r="899" spans="15:15" x14ac:dyDescent="0.15">
      <c r="O899" s="4"/>
    </row>
    <row r="900" spans="15:15" x14ac:dyDescent="0.15">
      <c r="O900" s="4"/>
    </row>
    <row r="901" spans="15:15" x14ac:dyDescent="0.15">
      <c r="O901" s="4"/>
    </row>
    <row r="902" spans="15:15" x14ac:dyDescent="0.15">
      <c r="O902" s="4"/>
    </row>
    <row r="903" spans="15:15" x14ac:dyDescent="0.15">
      <c r="O903" s="4"/>
    </row>
    <row r="904" spans="15:15" x14ac:dyDescent="0.15">
      <c r="O904" s="4"/>
    </row>
    <row r="905" spans="15:15" x14ac:dyDescent="0.15">
      <c r="O905" s="4"/>
    </row>
    <row r="906" spans="15:15" x14ac:dyDescent="0.15">
      <c r="O906" s="4"/>
    </row>
    <row r="907" spans="15:15" x14ac:dyDescent="0.15">
      <c r="O907" s="4"/>
    </row>
    <row r="908" spans="15:15" x14ac:dyDescent="0.15">
      <c r="O908" s="4"/>
    </row>
    <row r="909" spans="15:15" x14ac:dyDescent="0.15">
      <c r="O909" s="4"/>
    </row>
    <row r="910" spans="15:15" x14ac:dyDescent="0.15">
      <c r="O910" s="4"/>
    </row>
    <row r="911" spans="15:15" x14ac:dyDescent="0.15">
      <c r="O911" s="4"/>
    </row>
    <row r="912" spans="15:15" x14ac:dyDescent="0.15">
      <c r="O912" s="4"/>
    </row>
    <row r="913" spans="15:15" x14ac:dyDescent="0.15">
      <c r="O913" s="4"/>
    </row>
    <row r="914" spans="15:15" x14ac:dyDescent="0.15">
      <c r="O914" s="4"/>
    </row>
    <row r="915" spans="15:15" x14ac:dyDescent="0.15">
      <c r="O915" s="4"/>
    </row>
    <row r="916" spans="15:15" x14ac:dyDescent="0.15">
      <c r="O916" s="4"/>
    </row>
    <row r="917" spans="15:15" x14ac:dyDescent="0.15">
      <c r="O917" s="4"/>
    </row>
    <row r="918" spans="15:15" x14ac:dyDescent="0.15">
      <c r="O918" s="4"/>
    </row>
    <row r="919" spans="15:15" x14ac:dyDescent="0.15">
      <c r="O919" s="4"/>
    </row>
    <row r="920" spans="15:15" x14ac:dyDescent="0.15">
      <c r="O920" s="4"/>
    </row>
    <row r="921" spans="15:15" x14ac:dyDescent="0.15">
      <c r="O921" s="4"/>
    </row>
    <row r="922" spans="15:15" x14ac:dyDescent="0.15">
      <c r="O922" s="4"/>
    </row>
    <row r="923" spans="15:15" x14ac:dyDescent="0.15">
      <c r="O923" s="4"/>
    </row>
    <row r="924" spans="15:15" x14ac:dyDescent="0.15">
      <c r="O924" s="4"/>
    </row>
    <row r="925" spans="15:15" x14ac:dyDescent="0.15">
      <c r="O925" s="4"/>
    </row>
    <row r="926" spans="15:15" x14ac:dyDescent="0.15">
      <c r="O926" s="4"/>
    </row>
    <row r="927" spans="15:15" x14ac:dyDescent="0.15">
      <c r="O927" s="4"/>
    </row>
    <row r="928" spans="15:15" x14ac:dyDescent="0.15">
      <c r="O928" s="4"/>
    </row>
    <row r="929" spans="15:15" x14ac:dyDescent="0.15">
      <c r="O929" s="4"/>
    </row>
    <row r="930" spans="15:15" x14ac:dyDescent="0.15">
      <c r="O930" s="4"/>
    </row>
    <row r="931" spans="15:15" x14ac:dyDescent="0.15">
      <c r="O931" s="4"/>
    </row>
    <row r="932" spans="15:15" x14ac:dyDescent="0.15">
      <c r="O932" s="4"/>
    </row>
    <row r="933" spans="15:15" x14ac:dyDescent="0.15">
      <c r="O933" s="4"/>
    </row>
    <row r="934" spans="15:15" x14ac:dyDescent="0.15">
      <c r="O934" s="4"/>
    </row>
    <row r="935" spans="15:15" x14ac:dyDescent="0.15">
      <c r="O935" s="4"/>
    </row>
    <row r="936" spans="15:15" x14ac:dyDescent="0.15">
      <c r="O936" s="4"/>
    </row>
    <row r="937" spans="15:15" x14ac:dyDescent="0.15">
      <c r="O937" s="4"/>
    </row>
    <row r="938" spans="15:15" x14ac:dyDescent="0.15">
      <c r="O938" s="4"/>
    </row>
    <row r="939" spans="15:15" x14ac:dyDescent="0.15">
      <c r="O939" s="4"/>
    </row>
    <row r="940" spans="15:15" x14ac:dyDescent="0.15">
      <c r="O940" s="4"/>
    </row>
    <row r="941" spans="15:15" x14ac:dyDescent="0.15">
      <c r="O941" s="4"/>
    </row>
    <row r="942" spans="15:15" x14ac:dyDescent="0.15">
      <c r="O942" s="4"/>
    </row>
    <row r="943" spans="15:15" x14ac:dyDescent="0.15">
      <c r="O943" s="4"/>
    </row>
    <row r="944" spans="15:15" x14ac:dyDescent="0.15">
      <c r="O944" s="4"/>
    </row>
    <row r="945" spans="15:15" x14ac:dyDescent="0.15">
      <c r="O945" s="4"/>
    </row>
    <row r="946" spans="15:15" x14ac:dyDescent="0.15">
      <c r="O946" s="4"/>
    </row>
    <row r="947" spans="15:15" x14ac:dyDescent="0.15">
      <c r="O947" s="4"/>
    </row>
    <row r="948" spans="15:15" x14ac:dyDescent="0.15">
      <c r="O948" s="4"/>
    </row>
    <row r="949" spans="15:15" x14ac:dyDescent="0.15">
      <c r="O949" s="4"/>
    </row>
    <row r="950" spans="15:15" x14ac:dyDescent="0.15">
      <c r="O950" s="4"/>
    </row>
    <row r="951" spans="15:15" x14ac:dyDescent="0.15">
      <c r="O951" s="4"/>
    </row>
    <row r="952" spans="15:15" x14ac:dyDescent="0.15">
      <c r="O952" s="4"/>
    </row>
    <row r="953" spans="15:15" x14ac:dyDescent="0.15">
      <c r="O953" s="4"/>
    </row>
    <row r="954" spans="15:15" x14ac:dyDescent="0.15">
      <c r="O954" s="4"/>
    </row>
    <row r="955" spans="15:15" x14ac:dyDescent="0.15">
      <c r="O955" s="4"/>
    </row>
    <row r="956" spans="15:15" x14ac:dyDescent="0.15">
      <c r="O956" s="4"/>
    </row>
    <row r="957" spans="15:15" x14ac:dyDescent="0.15">
      <c r="O957" s="4"/>
    </row>
    <row r="958" spans="15:15" x14ac:dyDescent="0.15">
      <c r="O958" s="4"/>
    </row>
    <row r="959" spans="15:15" x14ac:dyDescent="0.15">
      <c r="O959" s="4"/>
    </row>
    <row r="960" spans="15:15" x14ac:dyDescent="0.15">
      <c r="O960" s="4"/>
    </row>
    <row r="961" spans="15:15" x14ac:dyDescent="0.15">
      <c r="O961" s="4"/>
    </row>
    <row r="962" spans="15:15" x14ac:dyDescent="0.15">
      <c r="O962" s="4"/>
    </row>
    <row r="963" spans="15:15" x14ac:dyDescent="0.15">
      <c r="O963" s="4"/>
    </row>
    <row r="964" spans="15:15" x14ac:dyDescent="0.15">
      <c r="O964" s="4"/>
    </row>
    <row r="965" spans="15:15" x14ac:dyDescent="0.15">
      <c r="O965" s="4"/>
    </row>
    <row r="966" spans="15:15" x14ac:dyDescent="0.15">
      <c r="O966" s="4"/>
    </row>
    <row r="967" spans="15:15" x14ac:dyDescent="0.15">
      <c r="O967" s="4"/>
    </row>
    <row r="968" spans="15:15" x14ac:dyDescent="0.15">
      <c r="O968" s="4"/>
    </row>
    <row r="969" spans="15:15" x14ac:dyDescent="0.15">
      <c r="O969" s="4"/>
    </row>
    <row r="970" spans="15:15" x14ac:dyDescent="0.15">
      <c r="O970" s="4"/>
    </row>
    <row r="971" spans="15:15" x14ac:dyDescent="0.15">
      <c r="O971" s="4"/>
    </row>
    <row r="972" spans="15:15" x14ac:dyDescent="0.15">
      <c r="O972" s="4"/>
    </row>
    <row r="973" spans="15:15" x14ac:dyDescent="0.15">
      <c r="O973" s="4"/>
    </row>
    <row r="974" spans="15:15" x14ac:dyDescent="0.15">
      <c r="O974" s="4"/>
    </row>
    <row r="975" spans="15:15" x14ac:dyDescent="0.15">
      <c r="O975" s="4"/>
    </row>
    <row r="976" spans="15:15" x14ac:dyDescent="0.15">
      <c r="O976" s="4"/>
    </row>
    <row r="977" spans="15:15" x14ac:dyDescent="0.15">
      <c r="O977" s="4"/>
    </row>
    <row r="978" spans="15:15" x14ac:dyDescent="0.15">
      <c r="O978" s="4"/>
    </row>
    <row r="979" spans="15:15" x14ac:dyDescent="0.15">
      <c r="O979" s="4"/>
    </row>
    <row r="980" spans="15:15" x14ac:dyDescent="0.15">
      <c r="O980" s="4"/>
    </row>
    <row r="981" spans="15:15" x14ac:dyDescent="0.15">
      <c r="O981" s="4"/>
    </row>
    <row r="982" spans="15:15" x14ac:dyDescent="0.15">
      <c r="O982" s="4"/>
    </row>
    <row r="983" spans="15:15" x14ac:dyDescent="0.15">
      <c r="O983" s="4"/>
    </row>
    <row r="984" spans="15:15" x14ac:dyDescent="0.15">
      <c r="O984" s="4"/>
    </row>
    <row r="985" spans="15:15" x14ac:dyDescent="0.15">
      <c r="O985" s="4"/>
    </row>
    <row r="986" spans="15:15" x14ac:dyDescent="0.15">
      <c r="O986" s="4"/>
    </row>
    <row r="987" spans="15:15" x14ac:dyDescent="0.15">
      <c r="O987" s="4"/>
    </row>
    <row r="988" spans="15:15" x14ac:dyDescent="0.15">
      <c r="O988" s="4"/>
    </row>
    <row r="989" spans="15:15" x14ac:dyDescent="0.15">
      <c r="O989" s="4"/>
    </row>
    <row r="990" spans="15:15" x14ac:dyDescent="0.15">
      <c r="O990" s="4"/>
    </row>
    <row r="991" spans="15:15" x14ac:dyDescent="0.15">
      <c r="O991" s="4"/>
    </row>
    <row r="992" spans="15:15" x14ac:dyDescent="0.15">
      <c r="O992" s="4"/>
    </row>
    <row r="993" spans="15:15" x14ac:dyDescent="0.15">
      <c r="O993" s="4"/>
    </row>
    <row r="994" spans="15:15" x14ac:dyDescent="0.15">
      <c r="O994" s="4"/>
    </row>
    <row r="995" spans="15:15" x14ac:dyDescent="0.15">
      <c r="O995" s="4"/>
    </row>
    <row r="996" spans="15:15" x14ac:dyDescent="0.15">
      <c r="O996" s="4"/>
    </row>
    <row r="997" spans="15:15" x14ac:dyDescent="0.15">
      <c r="O997" s="4"/>
    </row>
    <row r="998" spans="15:15" x14ac:dyDescent="0.15">
      <c r="O998" s="4"/>
    </row>
    <row r="999" spans="15:15" x14ac:dyDescent="0.15">
      <c r="O999" s="4"/>
    </row>
    <row r="1000" spans="15:15" x14ac:dyDescent="0.15">
      <c r="O1000" s="4"/>
    </row>
    <row r="1001" spans="15:15" x14ac:dyDescent="0.15">
      <c r="O1001" s="4"/>
    </row>
    <row r="1002" spans="15:15" x14ac:dyDescent="0.15">
      <c r="O1002" s="4"/>
    </row>
    <row r="1003" spans="15:15" x14ac:dyDescent="0.15">
      <c r="O1003" s="4"/>
    </row>
    <row r="1004" spans="15:15" x14ac:dyDescent="0.15">
      <c r="O1004" s="4"/>
    </row>
    <row r="1005" spans="15:15" x14ac:dyDescent="0.15">
      <c r="O1005" s="4"/>
    </row>
    <row r="1006" spans="15:15" x14ac:dyDescent="0.15">
      <c r="O1006" s="4"/>
    </row>
    <row r="1007" spans="15:15" x14ac:dyDescent="0.15">
      <c r="O1007" s="4"/>
    </row>
    <row r="1008" spans="15:15" x14ac:dyDescent="0.15">
      <c r="O1008" s="4"/>
    </row>
    <row r="1009" spans="15:15" x14ac:dyDescent="0.15">
      <c r="O1009" s="4"/>
    </row>
    <row r="1010" spans="15:15" x14ac:dyDescent="0.15">
      <c r="O1010" s="4"/>
    </row>
    <row r="1011" spans="15:15" x14ac:dyDescent="0.15">
      <c r="O1011" s="4"/>
    </row>
    <row r="1012" spans="15:15" x14ac:dyDescent="0.15">
      <c r="O1012" s="4"/>
    </row>
    <row r="1013" spans="15:15" x14ac:dyDescent="0.15">
      <c r="O1013" s="4"/>
    </row>
    <row r="1014" spans="15:15" x14ac:dyDescent="0.15">
      <c r="O1014" s="4"/>
    </row>
    <row r="1015" spans="15:15" x14ac:dyDescent="0.15">
      <c r="O1015" s="4"/>
    </row>
    <row r="1016" spans="15:15" x14ac:dyDescent="0.15">
      <c r="O1016" s="4"/>
    </row>
    <row r="1017" spans="15:15" x14ac:dyDescent="0.15">
      <c r="O1017" s="4"/>
    </row>
    <row r="1018" spans="15:15" x14ac:dyDescent="0.15">
      <c r="O1018" s="4"/>
    </row>
    <row r="1019" spans="15:15" x14ac:dyDescent="0.15">
      <c r="O1019" s="4"/>
    </row>
    <row r="1020" spans="15:15" x14ac:dyDescent="0.15">
      <c r="O1020" s="4"/>
    </row>
    <row r="1021" spans="15:15" x14ac:dyDescent="0.15">
      <c r="O1021" s="4"/>
    </row>
    <row r="1022" spans="15:15" x14ac:dyDescent="0.15">
      <c r="O1022" s="4"/>
    </row>
    <row r="1023" spans="15:15" x14ac:dyDescent="0.15">
      <c r="O1023" s="4"/>
    </row>
    <row r="1024" spans="15:15" x14ac:dyDescent="0.15">
      <c r="O1024" s="4"/>
    </row>
    <row r="1025" spans="15:15" x14ac:dyDescent="0.15">
      <c r="O1025" s="4"/>
    </row>
    <row r="1026" spans="15:15" x14ac:dyDescent="0.15">
      <c r="O1026" s="4"/>
    </row>
    <row r="1027" spans="15:15" x14ac:dyDescent="0.15">
      <c r="O1027" s="4"/>
    </row>
    <row r="1028" spans="15:15" x14ac:dyDescent="0.15">
      <c r="O1028" s="4"/>
    </row>
    <row r="1029" spans="15:15" x14ac:dyDescent="0.15">
      <c r="O1029" s="4"/>
    </row>
    <row r="1030" spans="15:15" x14ac:dyDescent="0.15">
      <c r="O1030" s="4"/>
    </row>
    <row r="1031" spans="15:15" x14ac:dyDescent="0.15">
      <c r="O1031" s="4"/>
    </row>
    <row r="1032" spans="15:15" x14ac:dyDescent="0.15">
      <c r="O1032" s="4"/>
    </row>
    <row r="1033" spans="15:15" x14ac:dyDescent="0.15">
      <c r="O1033" s="4"/>
    </row>
    <row r="1034" spans="15:15" x14ac:dyDescent="0.15">
      <c r="O1034" s="4"/>
    </row>
    <row r="1035" spans="15:15" x14ac:dyDescent="0.15">
      <c r="O1035" s="4"/>
    </row>
    <row r="1036" spans="15:15" x14ac:dyDescent="0.15">
      <c r="O1036" s="4"/>
    </row>
    <row r="1037" spans="15:15" x14ac:dyDescent="0.15">
      <c r="O1037" s="4"/>
    </row>
    <row r="1038" spans="15:15" x14ac:dyDescent="0.15">
      <c r="O1038" s="4"/>
    </row>
    <row r="1039" spans="15:15" x14ac:dyDescent="0.15">
      <c r="O1039" s="4"/>
    </row>
    <row r="1040" spans="15:15" x14ac:dyDescent="0.15">
      <c r="O1040" s="4"/>
    </row>
    <row r="1041" spans="15:15" x14ac:dyDescent="0.15">
      <c r="O1041" s="4"/>
    </row>
    <row r="1042" spans="15:15" x14ac:dyDescent="0.15">
      <c r="O1042" s="4"/>
    </row>
    <row r="1043" spans="15:15" x14ac:dyDescent="0.15">
      <c r="O1043" s="4"/>
    </row>
    <row r="1044" spans="15:15" x14ac:dyDescent="0.15">
      <c r="O1044" s="4"/>
    </row>
    <row r="1045" spans="15:15" x14ac:dyDescent="0.15">
      <c r="O1045" s="4"/>
    </row>
    <row r="1046" spans="15:15" x14ac:dyDescent="0.15">
      <c r="O1046" s="4"/>
    </row>
    <row r="1047" spans="15:15" x14ac:dyDescent="0.15">
      <c r="O1047" s="4"/>
    </row>
    <row r="1048" spans="15:15" x14ac:dyDescent="0.15">
      <c r="O1048" s="4"/>
    </row>
    <row r="1049" spans="15:15" x14ac:dyDescent="0.15">
      <c r="O1049" s="4"/>
    </row>
    <row r="1050" spans="15:15" x14ac:dyDescent="0.15">
      <c r="O1050" s="4"/>
    </row>
    <row r="1051" spans="15:15" x14ac:dyDescent="0.15">
      <c r="O1051" s="4"/>
    </row>
    <row r="1052" spans="15:15" x14ac:dyDescent="0.15">
      <c r="O1052" s="4"/>
    </row>
    <row r="1053" spans="15:15" x14ac:dyDescent="0.15">
      <c r="O1053" s="4"/>
    </row>
    <row r="1054" spans="15:15" x14ac:dyDescent="0.15">
      <c r="O1054" s="4"/>
    </row>
    <row r="1055" spans="15:15" x14ac:dyDescent="0.15">
      <c r="O1055" s="4"/>
    </row>
    <row r="1056" spans="15:15" x14ac:dyDescent="0.15">
      <c r="O1056" s="4"/>
    </row>
    <row r="1057" spans="15:15" x14ac:dyDescent="0.15">
      <c r="O1057" s="4"/>
    </row>
    <row r="1058" spans="15:15" x14ac:dyDescent="0.15">
      <c r="O1058" s="4"/>
    </row>
    <row r="1059" spans="15:15" x14ac:dyDescent="0.15">
      <c r="O1059" s="4"/>
    </row>
    <row r="1060" spans="15:15" x14ac:dyDescent="0.15">
      <c r="O1060" s="4"/>
    </row>
    <row r="1061" spans="15:15" x14ac:dyDescent="0.15">
      <c r="O1061" s="4"/>
    </row>
    <row r="1062" spans="15:15" x14ac:dyDescent="0.15">
      <c r="O1062" s="4"/>
    </row>
    <row r="1063" spans="15:15" x14ac:dyDescent="0.15">
      <c r="O1063" s="4"/>
    </row>
    <row r="1064" spans="15:15" x14ac:dyDescent="0.15">
      <c r="O1064" s="4"/>
    </row>
    <row r="1065" spans="15:15" x14ac:dyDescent="0.15">
      <c r="O1065" s="4"/>
    </row>
    <row r="1066" spans="15:15" x14ac:dyDescent="0.15">
      <c r="O1066" s="4"/>
    </row>
    <row r="1067" spans="15:15" x14ac:dyDescent="0.15">
      <c r="O1067" s="4"/>
    </row>
    <row r="1068" spans="15:15" x14ac:dyDescent="0.15">
      <c r="O1068" s="4"/>
    </row>
    <row r="1069" spans="15:15" x14ac:dyDescent="0.15">
      <c r="O1069" s="4"/>
    </row>
    <row r="1070" spans="15:15" x14ac:dyDescent="0.15">
      <c r="O1070" s="4"/>
    </row>
    <row r="1071" spans="15:15" x14ac:dyDescent="0.15">
      <c r="O1071" s="4"/>
    </row>
    <row r="1072" spans="15:15" x14ac:dyDescent="0.15">
      <c r="O1072" s="4"/>
    </row>
    <row r="1073" spans="15:15" x14ac:dyDescent="0.15">
      <c r="O1073" s="4"/>
    </row>
    <row r="1074" spans="15:15" x14ac:dyDescent="0.15">
      <c r="O1074" s="4"/>
    </row>
    <row r="1075" spans="15:15" x14ac:dyDescent="0.15">
      <c r="O1075" s="4"/>
    </row>
    <row r="1076" spans="15:15" x14ac:dyDescent="0.15">
      <c r="O1076" s="4"/>
    </row>
    <row r="1077" spans="15:15" x14ac:dyDescent="0.15">
      <c r="O1077" s="4"/>
    </row>
    <row r="1078" spans="15:15" x14ac:dyDescent="0.15">
      <c r="O1078" s="4"/>
    </row>
    <row r="1079" spans="15:15" x14ac:dyDescent="0.15">
      <c r="O1079" s="4"/>
    </row>
    <row r="1080" spans="15:15" x14ac:dyDescent="0.15">
      <c r="O1080" s="4"/>
    </row>
    <row r="1081" spans="15:15" x14ac:dyDescent="0.15">
      <c r="O1081" s="4"/>
    </row>
    <row r="1082" spans="15:15" x14ac:dyDescent="0.15">
      <c r="O1082" s="4"/>
    </row>
    <row r="1083" spans="15:15" x14ac:dyDescent="0.15">
      <c r="O1083" s="4"/>
    </row>
    <row r="1084" spans="15:15" x14ac:dyDescent="0.15">
      <c r="O1084" s="4"/>
    </row>
    <row r="1085" spans="15:15" x14ac:dyDescent="0.15">
      <c r="O1085" s="4"/>
    </row>
    <row r="1086" spans="15:15" x14ac:dyDescent="0.15">
      <c r="O1086" s="4"/>
    </row>
    <row r="1087" spans="15:15" x14ac:dyDescent="0.15">
      <c r="O1087" s="4"/>
    </row>
    <row r="1088" spans="15:15" x14ac:dyDescent="0.15">
      <c r="O1088" s="4"/>
    </row>
    <row r="1089" spans="15:15" x14ac:dyDescent="0.15">
      <c r="O1089" s="4"/>
    </row>
    <row r="1090" spans="15:15" x14ac:dyDescent="0.15">
      <c r="O1090" s="4"/>
    </row>
    <row r="1091" spans="15:15" x14ac:dyDescent="0.15">
      <c r="O1091" s="4"/>
    </row>
    <row r="1092" spans="15:15" x14ac:dyDescent="0.15">
      <c r="O1092" s="4"/>
    </row>
    <row r="1093" spans="15:15" x14ac:dyDescent="0.15">
      <c r="O1093" s="4"/>
    </row>
    <row r="1094" spans="15:15" x14ac:dyDescent="0.15">
      <c r="O1094" s="4"/>
    </row>
    <row r="1095" spans="15:15" x14ac:dyDescent="0.15">
      <c r="O1095" s="4"/>
    </row>
    <row r="1096" spans="15:15" x14ac:dyDescent="0.15">
      <c r="O1096" s="4"/>
    </row>
    <row r="1097" spans="15:15" x14ac:dyDescent="0.15">
      <c r="O1097" s="4"/>
    </row>
    <row r="1098" spans="15:15" x14ac:dyDescent="0.15">
      <c r="O1098" s="4"/>
    </row>
    <row r="1099" spans="15:15" x14ac:dyDescent="0.15">
      <c r="O1099" s="4"/>
    </row>
    <row r="1100" spans="15:15" x14ac:dyDescent="0.15">
      <c r="O1100" s="4"/>
    </row>
    <row r="1101" spans="15:15" x14ac:dyDescent="0.15">
      <c r="O1101" s="4"/>
    </row>
    <row r="1102" spans="15:15" x14ac:dyDescent="0.15">
      <c r="O1102" s="4"/>
    </row>
    <row r="1103" spans="15:15" x14ac:dyDescent="0.15">
      <c r="O1103" s="4"/>
    </row>
    <row r="1104" spans="15:15" x14ac:dyDescent="0.15">
      <c r="O1104" s="4"/>
    </row>
    <row r="1105" spans="15:15" x14ac:dyDescent="0.15">
      <c r="O1105" s="4"/>
    </row>
    <row r="1106" spans="15:15" x14ac:dyDescent="0.15">
      <c r="O1106" s="4"/>
    </row>
    <row r="1107" spans="15:15" x14ac:dyDescent="0.15">
      <c r="O1107" s="4"/>
    </row>
    <row r="1108" spans="15:15" x14ac:dyDescent="0.15">
      <c r="O1108" s="4"/>
    </row>
    <row r="1109" spans="15:15" x14ac:dyDescent="0.15">
      <c r="O1109" s="4"/>
    </row>
    <row r="1110" spans="15:15" x14ac:dyDescent="0.15">
      <c r="O1110" s="4"/>
    </row>
    <row r="1111" spans="15:15" x14ac:dyDescent="0.15">
      <c r="O1111" s="4"/>
    </row>
    <row r="1112" spans="15:15" x14ac:dyDescent="0.15">
      <c r="O1112" s="4"/>
    </row>
    <row r="1113" spans="15:15" x14ac:dyDescent="0.15">
      <c r="O1113" s="4"/>
    </row>
    <row r="1114" spans="15:15" x14ac:dyDescent="0.15">
      <c r="O1114" s="4"/>
    </row>
    <row r="1115" spans="15:15" x14ac:dyDescent="0.15">
      <c r="O1115" s="4"/>
    </row>
    <row r="1116" spans="15:15" x14ac:dyDescent="0.15">
      <c r="O1116" s="4"/>
    </row>
    <row r="1117" spans="15:15" x14ac:dyDescent="0.15">
      <c r="O1117" s="4"/>
    </row>
    <row r="1118" spans="15:15" x14ac:dyDescent="0.15">
      <c r="O1118" s="4"/>
    </row>
    <row r="1119" spans="15:15" x14ac:dyDescent="0.15">
      <c r="O1119" s="4"/>
    </row>
    <row r="1120" spans="15:15" x14ac:dyDescent="0.15">
      <c r="O1120" s="4"/>
    </row>
    <row r="1121" spans="15:15" x14ac:dyDescent="0.15">
      <c r="O1121" s="4"/>
    </row>
    <row r="1122" spans="15:15" x14ac:dyDescent="0.15">
      <c r="O1122" s="4"/>
    </row>
    <row r="1123" spans="15:15" x14ac:dyDescent="0.15">
      <c r="O1123" s="4"/>
    </row>
    <row r="1124" spans="15:15" x14ac:dyDescent="0.15">
      <c r="O1124" s="4"/>
    </row>
    <row r="1125" spans="15:15" x14ac:dyDescent="0.15">
      <c r="O1125" s="4"/>
    </row>
    <row r="1126" spans="15:15" x14ac:dyDescent="0.15">
      <c r="O1126" s="4"/>
    </row>
    <row r="1127" spans="15:15" x14ac:dyDescent="0.15">
      <c r="O1127" s="4"/>
    </row>
    <row r="1128" spans="15:15" x14ac:dyDescent="0.15">
      <c r="O1128" s="4"/>
    </row>
    <row r="1129" spans="15:15" x14ac:dyDescent="0.15">
      <c r="O1129" s="4"/>
    </row>
    <row r="1130" spans="15:15" x14ac:dyDescent="0.15">
      <c r="O1130" s="4"/>
    </row>
    <row r="1131" spans="15:15" x14ac:dyDescent="0.15">
      <c r="O1131" s="4"/>
    </row>
    <row r="1132" spans="15:15" x14ac:dyDescent="0.15">
      <c r="O1132" s="4"/>
    </row>
    <row r="1133" spans="15:15" x14ac:dyDescent="0.15">
      <c r="O1133" s="4"/>
    </row>
    <row r="1134" spans="15:15" x14ac:dyDescent="0.15">
      <c r="O1134" s="4"/>
    </row>
    <row r="1135" spans="15:15" x14ac:dyDescent="0.15">
      <c r="O1135" s="4"/>
    </row>
    <row r="1136" spans="15:15" x14ac:dyDescent="0.15">
      <c r="O1136" s="4"/>
    </row>
    <row r="1137" spans="15:15" x14ac:dyDescent="0.15">
      <c r="O1137" s="4"/>
    </row>
    <row r="1138" spans="15:15" x14ac:dyDescent="0.15">
      <c r="O1138" s="4"/>
    </row>
    <row r="1139" spans="15:15" x14ac:dyDescent="0.15">
      <c r="O1139" s="4"/>
    </row>
    <row r="1140" spans="15:15" x14ac:dyDescent="0.15">
      <c r="O1140" s="4"/>
    </row>
    <row r="1141" spans="15:15" x14ac:dyDescent="0.15">
      <c r="O1141" s="4"/>
    </row>
    <row r="1142" spans="15:15" x14ac:dyDescent="0.15">
      <c r="O1142" s="4"/>
    </row>
    <row r="1143" spans="15:15" x14ac:dyDescent="0.15">
      <c r="O1143" s="4"/>
    </row>
    <row r="1144" spans="15:15" x14ac:dyDescent="0.15">
      <c r="O1144" s="4"/>
    </row>
    <row r="1145" spans="15:15" x14ac:dyDescent="0.15">
      <c r="O1145" s="4"/>
    </row>
    <row r="1146" spans="15:15" x14ac:dyDescent="0.15">
      <c r="O1146" s="4"/>
    </row>
    <row r="1147" spans="15:15" x14ac:dyDescent="0.15">
      <c r="O1147" s="4"/>
    </row>
    <row r="1148" spans="15:15" x14ac:dyDescent="0.15">
      <c r="O1148" s="4"/>
    </row>
    <row r="1149" spans="15:15" x14ac:dyDescent="0.15">
      <c r="O1149" s="4"/>
    </row>
    <row r="1150" spans="15:15" x14ac:dyDescent="0.15">
      <c r="O1150" s="4"/>
    </row>
    <row r="1151" spans="15:15" x14ac:dyDescent="0.15">
      <c r="O1151" s="4"/>
    </row>
    <row r="1152" spans="15:15" x14ac:dyDescent="0.15">
      <c r="O1152" s="4"/>
    </row>
    <row r="1153" spans="15:15" x14ac:dyDescent="0.15">
      <c r="O1153" s="4"/>
    </row>
    <row r="1154" spans="15:15" x14ac:dyDescent="0.15">
      <c r="O1154" s="4"/>
    </row>
    <row r="1155" spans="15:15" x14ac:dyDescent="0.15">
      <c r="O1155" s="4"/>
    </row>
    <row r="1156" spans="15:15" x14ac:dyDescent="0.15">
      <c r="O1156" s="4"/>
    </row>
    <row r="1157" spans="15:15" x14ac:dyDescent="0.15">
      <c r="O1157" s="4"/>
    </row>
    <row r="1158" spans="15:15" x14ac:dyDescent="0.15">
      <c r="O1158" s="4"/>
    </row>
    <row r="1159" spans="15:15" x14ac:dyDescent="0.15">
      <c r="O1159" s="4"/>
    </row>
    <row r="1160" spans="15:15" x14ac:dyDescent="0.15">
      <c r="O1160" s="4"/>
    </row>
    <row r="1161" spans="15:15" x14ac:dyDescent="0.15">
      <c r="O1161" s="4"/>
    </row>
    <row r="1162" spans="15:15" x14ac:dyDescent="0.15">
      <c r="O1162" s="4"/>
    </row>
    <row r="1163" spans="15:15" x14ac:dyDescent="0.15">
      <c r="O1163" s="4"/>
    </row>
    <row r="1164" spans="15:15" x14ac:dyDescent="0.15">
      <c r="O1164" s="4"/>
    </row>
    <row r="1165" spans="15:15" x14ac:dyDescent="0.15">
      <c r="O1165" s="4"/>
    </row>
    <row r="1166" spans="15:15" x14ac:dyDescent="0.15">
      <c r="O1166" s="4"/>
    </row>
    <row r="1167" spans="15:15" x14ac:dyDescent="0.15">
      <c r="O1167" s="4"/>
    </row>
    <row r="1168" spans="15:15" x14ac:dyDescent="0.15">
      <c r="O1168" s="4"/>
    </row>
    <row r="1169" spans="15:15" x14ac:dyDescent="0.15">
      <c r="O1169" s="4"/>
    </row>
    <row r="1170" spans="15:15" x14ac:dyDescent="0.15">
      <c r="O1170" s="4"/>
    </row>
    <row r="1171" spans="15:15" x14ac:dyDescent="0.15">
      <c r="O1171" s="4"/>
    </row>
    <row r="1172" spans="15:15" x14ac:dyDescent="0.15">
      <c r="O1172" s="4"/>
    </row>
    <row r="1173" spans="15:15" x14ac:dyDescent="0.15">
      <c r="O1173" s="4"/>
    </row>
    <row r="1174" spans="15:15" x14ac:dyDescent="0.15">
      <c r="O1174" s="4"/>
    </row>
    <row r="1175" spans="15:15" x14ac:dyDescent="0.15">
      <c r="O1175" s="4"/>
    </row>
    <row r="1176" spans="15:15" x14ac:dyDescent="0.15">
      <c r="O1176" s="4"/>
    </row>
    <row r="1177" spans="15:15" x14ac:dyDescent="0.15">
      <c r="O1177" s="4"/>
    </row>
    <row r="1178" spans="15:15" x14ac:dyDescent="0.15">
      <c r="O1178" s="4"/>
    </row>
    <row r="1179" spans="15:15" x14ac:dyDescent="0.15">
      <c r="O1179" s="4"/>
    </row>
    <row r="1180" spans="15:15" x14ac:dyDescent="0.15">
      <c r="O1180" s="4"/>
    </row>
    <row r="1181" spans="15:15" x14ac:dyDescent="0.15">
      <c r="O1181" s="4"/>
    </row>
    <row r="1182" spans="15:15" x14ac:dyDescent="0.15">
      <c r="O1182" s="4"/>
    </row>
    <row r="1183" spans="15:15" x14ac:dyDescent="0.15">
      <c r="O1183" s="4"/>
    </row>
    <row r="1184" spans="15:15" x14ac:dyDescent="0.15">
      <c r="O1184" s="4"/>
    </row>
    <row r="1185" spans="15:15" x14ac:dyDescent="0.15">
      <c r="O1185" s="4"/>
    </row>
    <row r="1186" spans="15:15" x14ac:dyDescent="0.15">
      <c r="O1186" s="4"/>
    </row>
    <row r="1187" spans="15:15" x14ac:dyDescent="0.15">
      <c r="O1187" s="4"/>
    </row>
    <row r="1188" spans="15:15" x14ac:dyDescent="0.15">
      <c r="O1188" s="4"/>
    </row>
    <row r="1189" spans="15:15" x14ac:dyDescent="0.15">
      <c r="O1189" s="4"/>
    </row>
    <row r="1190" spans="15:15" x14ac:dyDescent="0.15">
      <c r="O1190" s="4"/>
    </row>
    <row r="1191" spans="15:15" x14ac:dyDescent="0.15">
      <c r="O1191" s="4"/>
    </row>
    <row r="1192" spans="15:15" x14ac:dyDescent="0.15">
      <c r="O1192" s="4"/>
    </row>
    <row r="1193" spans="15:15" x14ac:dyDescent="0.15">
      <c r="O1193" s="4"/>
    </row>
    <row r="1194" spans="15:15" x14ac:dyDescent="0.15">
      <c r="O1194" s="4"/>
    </row>
    <row r="1195" spans="15:15" x14ac:dyDescent="0.15">
      <c r="O1195" s="4"/>
    </row>
    <row r="1196" spans="15:15" x14ac:dyDescent="0.15">
      <c r="O1196" s="4"/>
    </row>
    <row r="1197" spans="15:15" x14ac:dyDescent="0.15">
      <c r="O1197" s="4"/>
    </row>
    <row r="1198" spans="15:15" x14ac:dyDescent="0.15">
      <c r="O1198" s="4"/>
    </row>
    <row r="1199" spans="15:15" x14ac:dyDescent="0.15">
      <c r="O1199" s="4"/>
    </row>
    <row r="1200" spans="15:15" x14ac:dyDescent="0.15">
      <c r="O1200" s="4"/>
    </row>
    <row r="1201" spans="15:15" x14ac:dyDescent="0.15">
      <c r="O1201" s="4"/>
    </row>
    <row r="1202" spans="15:15" x14ac:dyDescent="0.15">
      <c r="O1202" s="4"/>
    </row>
    <row r="1203" spans="15:15" x14ac:dyDescent="0.15">
      <c r="O1203" s="4"/>
    </row>
    <row r="1204" spans="15:15" x14ac:dyDescent="0.15">
      <c r="O1204" s="4"/>
    </row>
    <row r="1205" spans="15:15" x14ac:dyDescent="0.15">
      <c r="O1205" s="4"/>
    </row>
    <row r="1206" spans="15:15" x14ac:dyDescent="0.15">
      <c r="O1206" s="4"/>
    </row>
    <row r="1207" spans="15:15" x14ac:dyDescent="0.15">
      <c r="O1207" s="4"/>
    </row>
    <row r="1208" spans="15:15" x14ac:dyDescent="0.15">
      <c r="O1208" s="4"/>
    </row>
    <row r="1209" spans="15:15" x14ac:dyDescent="0.15">
      <c r="O1209" s="4"/>
    </row>
    <row r="1210" spans="15:15" x14ac:dyDescent="0.15">
      <c r="O1210" s="4"/>
    </row>
    <row r="1211" spans="15:15" x14ac:dyDescent="0.15">
      <c r="O1211" s="4"/>
    </row>
    <row r="1212" spans="15:15" x14ac:dyDescent="0.15">
      <c r="O1212" s="4"/>
    </row>
    <row r="1213" spans="15:15" x14ac:dyDescent="0.15">
      <c r="O1213" s="4"/>
    </row>
    <row r="1214" spans="15:15" x14ac:dyDescent="0.15">
      <c r="O1214" s="4"/>
    </row>
    <row r="1215" spans="15:15" x14ac:dyDescent="0.15">
      <c r="O1215" s="4"/>
    </row>
    <row r="1216" spans="15:15" x14ac:dyDescent="0.15">
      <c r="O1216" s="4"/>
    </row>
    <row r="1217" spans="15:15" x14ac:dyDescent="0.15">
      <c r="O1217" s="4"/>
    </row>
    <row r="1218" spans="15:15" x14ac:dyDescent="0.15">
      <c r="O1218" s="4"/>
    </row>
    <row r="1219" spans="15:15" x14ac:dyDescent="0.15">
      <c r="O1219" s="4"/>
    </row>
    <row r="1220" spans="15:15" x14ac:dyDescent="0.15">
      <c r="O1220" s="4"/>
    </row>
    <row r="1221" spans="15:15" x14ac:dyDescent="0.15">
      <c r="O1221" s="4"/>
    </row>
    <row r="1222" spans="15:15" x14ac:dyDescent="0.15">
      <c r="O1222" s="4"/>
    </row>
    <row r="1223" spans="15:15" x14ac:dyDescent="0.15">
      <c r="O1223" s="4"/>
    </row>
    <row r="1224" spans="15:15" x14ac:dyDescent="0.15">
      <c r="O1224" s="4"/>
    </row>
    <row r="1225" spans="15:15" x14ac:dyDescent="0.15">
      <c r="O1225" s="4"/>
    </row>
    <row r="1226" spans="15:15" x14ac:dyDescent="0.15">
      <c r="O1226" s="4"/>
    </row>
    <row r="1227" spans="15:15" x14ac:dyDescent="0.15">
      <c r="O1227" s="4"/>
    </row>
    <row r="1228" spans="15:15" x14ac:dyDescent="0.15">
      <c r="O1228" s="4"/>
    </row>
    <row r="1229" spans="15:15" x14ac:dyDescent="0.15">
      <c r="O1229" s="4"/>
    </row>
    <row r="1230" spans="15:15" x14ac:dyDescent="0.15">
      <c r="O1230" s="4"/>
    </row>
    <row r="1231" spans="15:15" x14ac:dyDescent="0.15">
      <c r="O1231" s="4"/>
    </row>
    <row r="1232" spans="15:15" x14ac:dyDescent="0.15">
      <c r="O1232" s="4"/>
    </row>
    <row r="1233" spans="15:15" x14ac:dyDescent="0.15">
      <c r="O1233" s="4"/>
    </row>
    <row r="1234" spans="15:15" x14ac:dyDescent="0.15">
      <c r="O1234" s="4"/>
    </row>
    <row r="1235" spans="15:15" x14ac:dyDescent="0.15">
      <c r="O1235" s="4"/>
    </row>
    <row r="1236" spans="15:15" x14ac:dyDescent="0.15">
      <c r="O1236" s="4"/>
    </row>
    <row r="1237" spans="15:15" x14ac:dyDescent="0.15">
      <c r="O1237" s="4"/>
    </row>
    <row r="1238" spans="15:15" x14ac:dyDescent="0.15">
      <c r="O1238" s="4"/>
    </row>
    <row r="1239" spans="15:15" x14ac:dyDescent="0.15">
      <c r="O1239" s="4"/>
    </row>
    <row r="1240" spans="15:15" x14ac:dyDescent="0.15">
      <c r="O1240" s="4"/>
    </row>
    <row r="1241" spans="15:15" x14ac:dyDescent="0.15">
      <c r="O1241" s="4"/>
    </row>
    <row r="1242" spans="15:15" x14ac:dyDescent="0.15">
      <c r="O1242" s="4"/>
    </row>
    <row r="1243" spans="15:15" x14ac:dyDescent="0.15">
      <c r="O1243" s="4"/>
    </row>
    <row r="1244" spans="15:15" x14ac:dyDescent="0.15">
      <c r="O1244" s="4"/>
    </row>
    <row r="1245" spans="15:15" x14ac:dyDescent="0.15">
      <c r="O1245" s="4"/>
    </row>
    <row r="1246" spans="15:15" x14ac:dyDescent="0.15">
      <c r="O1246" s="4"/>
    </row>
    <row r="1247" spans="15:15" x14ac:dyDescent="0.15">
      <c r="O1247" s="4"/>
    </row>
    <row r="1248" spans="15:15" x14ac:dyDescent="0.15">
      <c r="O1248" s="4"/>
    </row>
    <row r="1249" spans="15:15" x14ac:dyDescent="0.15">
      <c r="O1249" s="4"/>
    </row>
    <row r="1250" spans="15:15" x14ac:dyDescent="0.15">
      <c r="O1250" s="4"/>
    </row>
    <row r="1251" spans="15:15" x14ac:dyDescent="0.15">
      <c r="O1251" s="4"/>
    </row>
    <row r="1252" spans="15:15" x14ac:dyDescent="0.15">
      <c r="O1252" s="4"/>
    </row>
    <row r="1253" spans="15:15" x14ac:dyDescent="0.15">
      <c r="O1253" s="4"/>
    </row>
    <row r="1254" spans="15:15" x14ac:dyDescent="0.15">
      <c r="O1254" s="4"/>
    </row>
    <row r="1255" spans="15:15" x14ac:dyDescent="0.15">
      <c r="O1255" s="4"/>
    </row>
    <row r="1256" spans="15:15" x14ac:dyDescent="0.15">
      <c r="O1256" s="4"/>
    </row>
    <row r="1257" spans="15:15" x14ac:dyDescent="0.15">
      <c r="O1257" s="4"/>
    </row>
    <row r="1258" spans="15:15" x14ac:dyDescent="0.15">
      <c r="O1258" s="4"/>
    </row>
    <row r="1259" spans="15:15" x14ac:dyDescent="0.15">
      <c r="O1259" s="4"/>
    </row>
    <row r="1260" spans="15:15" x14ac:dyDescent="0.15">
      <c r="O1260" s="4"/>
    </row>
    <row r="1261" spans="15:15" x14ac:dyDescent="0.15">
      <c r="O1261" s="4"/>
    </row>
    <row r="1262" spans="15:15" x14ac:dyDescent="0.15">
      <c r="O1262" s="4"/>
    </row>
    <row r="1263" spans="15:15" x14ac:dyDescent="0.15">
      <c r="O1263" s="4"/>
    </row>
    <row r="1264" spans="15:15" x14ac:dyDescent="0.15">
      <c r="O1264" s="4"/>
    </row>
    <row r="1265" spans="15:15" x14ac:dyDescent="0.15">
      <c r="O1265" s="4"/>
    </row>
    <row r="1266" spans="15:15" x14ac:dyDescent="0.15">
      <c r="O1266" s="4"/>
    </row>
    <row r="1267" spans="15:15" x14ac:dyDescent="0.15">
      <c r="O1267" s="4"/>
    </row>
    <row r="1268" spans="15:15" x14ac:dyDescent="0.15">
      <c r="O1268" s="4"/>
    </row>
    <row r="1269" spans="15:15" x14ac:dyDescent="0.15">
      <c r="O1269" s="4"/>
    </row>
    <row r="1270" spans="15:15" x14ac:dyDescent="0.15">
      <c r="O1270" s="4"/>
    </row>
    <row r="1271" spans="15:15" x14ac:dyDescent="0.15">
      <c r="O1271" s="4"/>
    </row>
    <row r="1272" spans="15:15" x14ac:dyDescent="0.15">
      <c r="O1272" s="4"/>
    </row>
    <row r="1273" spans="15:15" x14ac:dyDescent="0.15">
      <c r="O1273" s="4"/>
    </row>
    <row r="1274" spans="15:15" x14ac:dyDescent="0.15">
      <c r="O1274" s="4"/>
    </row>
    <row r="1275" spans="15:15" x14ac:dyDescent="0.15">
      <c r="O1275" s="4"/>
    </row>
    <row r="1276" spans="15:15" x14ac:dyDescent="0.15">
      <c r="O1276" s="4"/>
    </row>
    <row r="1277" spans="15:15" x14ac:dyDescent="0.15">
      <c r="O1277" s="4"/>
    </row>
    <row r="1278" spans="15:15" x14ac:dyDescent="0.15">
      <c r="O1278" s="4"/>
    </row>
    <row r="1279" spans="15:15" x14ac:dyDescent="0.15">
      <c r="O1279" s="4"/>
    </row>
    <row r="1280" spans="15:15" x14ac:dyDescent="0.15">
      <c r="O1280" s="4"/>
    </row>
    <row r="1281" spans="15:15" x14ac:dyDescent="0.15">
      <c r="O1281" s="4"/>
    </row>
    <row r="1282" spans="15:15" x14ac:dyDescent="0.15">
      <c r="O1282" s="4"/>
    </row>
    <row r="1283" spans="15:15" x14ac:dyDescent="0.15">
      <c r="O1283" s="4"/>
    </row>
    <row r="1284" spans="15:15" x14ac:dyDescent="0.15">
      <c r="O1284" s="4"/>
    </row>
    <row r="1285" spans="15:15" x14ac:dyDescent="0.15">
      <c r="O1285" s="4"/>
    </row>
    <row r="1286" spans="15:15" x14ac:dyDescent="0.15">
      <c r="O1286" s="4"/>
    </row>
    <row r="1287" spans="15:15" x14ac:dyDescent="0.15">
      <c r="O1287" s="4"/>
    </row>
    <row r="1288" spans="15:15" x14ac:dyDescent="0.15">
      <c r="O1288" s="4"/>
    </row>
    <row r="1289" spans="15:15" x14ac:dyDescent="0.15">
      <c r="O1289" s="4"/>
    </row>
    <row r="1290" spans="15:15" x14ac:dyDescent="0.15">
      <c r="O1290" s="4"/>
    </row>
    <row r="1291" spans="15:15" x14ac:dyDescent="0.15">
      <c r="O1291" s="4"/>
    </row>
    <row r="1292" spans="15:15" x14ac:dyDescent="0.15">
      <c r="O1292" s="4"/>
    </row>
    <row r="1293" spans="15:15" x14ac:dyDescent="0.15">
      <c r="O1293" s="4"/>
    </row>
    <row r="1294" spans="15:15" x14ac:dyDescent="0.15">
      <c r="O1294" s="4"/>
    </row>
    <row r="1295" spans="15:15" x14ac:dyDescent="0.15">
      <c r="O1295" s="4"/>
    </row>
    <row r="1296" spans="15:15" x14ac:dyDescent="0.15">
      <c r="O1296" s="4"/>
    </row>
    <row r="1297" spans="15:15" x14ac:dyDescent="0.15">
      <c r="O1297" s="4"/>
    </row>
    <row r="1298" spans="15:15" x14ac:dyDescent="0.15">
      <c r="O1298" s="4"/>
    </row>
    <row r="1299" spans="15:15" x14ac:dyDescent="0.15">
      <c r="O1299" s="4"/>
    </row>
    <row r="1300" spans="15:15" x14ac:dyDescent="0.15">
      <c r="O1300" s="4"/>
    </row>
    <row r="1301" spans="15:15" x14ac:dyDescent="0.15">
      <c r="O1301" s="4"/>
    </row>
    <row r="1302" spans="15:15" x14ac:dyDescent="0.15">
      <c r="O1302" s="4"/>
    </row>
    <row r="1303" spans="15:15" x14ac:dyDescent="0.15">
      <c r="O1303" s="4"/>
    </row>
    <row r="1304" spans="15:15" x14ac:dyDescent="0.15">
      <c r="O1304" s="4"/>
    </row>
    <row r="1305" spans="15:15" x14ac:dyDescent="0.15">
      <c r="O1305" s="4"/>
    </row>
    <row r="1306" spans="15:15" x14ac:dyDescent="0.15">
      <c r="O1306" s="4"/>
    </row>
    <row r="1307" spans="15:15" x14ac:dyDescent="0.15">
      <c r="O1307" s="4"/>
    </row>
    <row r="1308" spans="15:15" x14ac:dyDescent="0.15">
      <c r="O1308" s="4"/>
    </row>
    <row r="1309" spans="15:15" x14ac:dyDescent="0.15">
      <c r="O1309" s="4"/>
    </row>
    <row r="1310" spans="15:15" x14ac:dyDescent="0.15">
      <c r="O1310" s="4"/>
    </row>
    <row r="1311" spans="15:15" x14ac:dyDescent="0.15">
      <c r="O1311" s="4"/>
    </row>
    <row r="1312" spans="15:15" x14ac:dyDescent="0.15">
      <c r="O1312" s="4"/>
    </row>
    <row r="1313" spans="15:15" x14ac:dyDescent="0.15">
      <c r="O1313" s="4"/>
    </row>
    <row r="1314" spans="15:15" x14ac:dyDescent="0.15">
      <c r="O1314" s="4"/>
    </row>
    <row r="1315" spans="15:15" x14ac:dyDescent="0.15">
      <c r="O1315" s="4"/>
    </row>
    <row r="1316" spans="15:15" x14ac:dyDescent="0.15">
      <c r="O1316" s="4"/>
    </row>
    <row r="1317" spans="15:15" x14ac:dyDescent="0.15">
      <c r="O1317" s="4"/>
    </row>
    <row r="1318" spans="15:15" x14ac:dyDescent="0.15">
      <c r="O1318" s="4"/>
    </row>
    <row r="1319" spans="15:15" x14ac:dyDescent="0.15">
      <c r="O1319" s="4"/>
    </row>
    <row r="1320" spans="15:15" x14ac:dyDescent="0.15">
      <c r="O1320" s="4"/>
    </row>
    <row r="1321" spans="15:15" x14ac:dyDescent="0.15">
      <c r="O1321" s="4"/>
    </row>
    <row r="1322" spans="15:15" x14ac:dyDescent="0.15">
      <c r="O1322" s="4"/>
    </row>
    <row r="1323" spans="15:15" x14ac:dyDescent="0.15">
      <c r="O1323" s="4"/>
    </row>
    <row r="1324" spans="15:15" x14ac:dyDescent="0.15">
      <c r="O1324" s="4"/>
    </row>
    <row r="1325" spans="15:15" x14ac:dyDescent="0.15">
      <c r="O1325" s="4"/>
    </row>
    <row r="1326" spans="15:15" x14ac:dyDescent="0.15">
      <c r="O1326" s="4"/>
    </row>
    <row r="1327" spans="15:15" x14ac:dyDescent="0.15">
      <c r="O1327" s="4"/>
    </row>
    <row r="1328" spans="15:15" x14ac:dyDescent="0.15">
      <c r="O1328" s="4"/>
    </row>
    <row r="1329" spans="15:15" x14ac:dyDescent="0.15">
      <c r="O1329" s="4"/>
    </row>
    <row r="1330" spans="15:15" x14ac:dyDescent="0.15">
      <c r="O1330" s="4"/>
    </row>
    <row r="1331" spans="15:15" x14ac:dyDescent="0.15">
      <c r="O1331" s="4"/>
    </row>
    <row r="1332" spans="15:15" x14ac:dyDescent="0.15">
      <c r="O1332" s="4"/>
    </row>
    <row r="1333" spans="15:15" x14ac:dyDescent="0.15">
      <c r="O1333" s="4"/>
    </row>
    <row r="1334" spans="15:15" x14ac:dyDescent="0.15">
      <c r="O1334" s="4"/>
    </row>
    <row r="1335" spans="15:15" x14ac:dyDescent="0.15">
      <c r="O1335" s="4"/>
    </row>
    <row r="1336" spans="15:15" x14ac:dyDescent="0.15">
      <c r="O1336" s="4"/>
    </row>
    <row r="1337" spans="15:15" x14ac:dyDescent="0.15">
      <c r="O1337" s="4"/>
    </row>
    <row r="1338" spans="15:15" x14ac:dyDescent="0.15">
      <c r="O1338" s="4"/>
    </row>
    <row r="1339" spans="15:15" x14ac:dyDescent="0.15">
      <c r="O1339" s="4"/>
    </row>
    <row r="1340" spans="15:15" x14ac:dyDescent="0.15">
      <c r="O1340" s="4"/>
    </row>
    <row r="1341" spans="15:15" x14ac:dyDescent="0.15">
      <c r="O1341" s="4"/>
    </row>
    <row r="1342" spans="15:15" x14ac:dyDescent="0.15">
      <c r="O1342" s="4"/>
    </row>
    <row r="1343" spans="15:15" x14ac:dyDescent="0.15">
      <c r="O1343" s="4"/>
    </row>
    <row r="1344" spans="15:15" x14ac:dyDescent="0.15">
      <c r="O1344" s="4"/>
    </row>
    <row r="1345" spans="15:15" x14ac:dyDescent="0.15">
      <c r="O1345" s="4"/>
    </row>
    <row r="1346" spans="15:15" x14ac:dyDescent="0.15">
      <c r="O1346" s="4"/>
    </row>
    <row r="1347" spans="15:15" x14ac:dyDescent="0.15">
      <c r="O1347" s="4"/>
    </row>
    <row r="1348" spans="15:15" x14ac:dyDescent="0.15">
      <c r="O1348" s="4"/>
    </row>
    <row r="1349" spans="15:15" x14ac:dyDescent="0.15">
      <c r="O1349" s="4"/>
    </row>
    <row r="1350" spans="15:15" x14ac:dyDescent="0.15">
      <c r="O1350" s="4"/>
    </row>
    <row r="1351" spans="15:15" x14ac:dyDescent="0.15">
      <c r="O1351" s="4"/>
    </row>
    <row r="1352" spans="15:15" x14ac:dyDescent="0.15">
      <c r="O1352" s="4"/>
    </row>
    <row r="1353" spans="15:15" x14ac:dyDescent="0.15">
      <c r="O1353" s="4"/>
    </row>
    <row r="1354" spans="15:15" x14ac:dyDescent="0.15">
      <c r="O1354" s="4"/>
    </row>
    <row r="1355" spans="15:15" x14ac:dyDescent="0.15">
      <c r="O1355" s="4"/>
    </row>
    <row r="1356" spans="15:15" x14ac:dyDescent="0.15">
      <c r="O1356" s="4"/>
    </row>
    <row r="1357" spans="15:15" x14ac:dyDescent="0.15">
      <c r="O1357" s="4"/>
    </row>
    <row r="1358" spans="15:15" x14ac:dyDescent="0.15">
      <c r="O1358" s="4"/>
    </row>
    <row r="1359" spans="15:15" x14ac:dyDescent="0.15">
      <c r="O1359" s="4"/>
    </row>
    <row r="1360" spans="15:15" x14ac:dyDescent="0.15">
      <c r="O1360" s="4"/>
    </row>
    <row r="1361" spans="15:15" x14ac:dyDescent="0.15">
      <c r="O1361" s="4"/>
    </row>
    <row r="1362" spans="15:15" x14ac:dyDescent="0.15">
      <c r="O1362" s="4"/>
    </row>
    <row r="1363" spans="15:15" x14ac:dyDescent="0.15">
      <c r="O1363" s="4"/>
    </row>
    <row r="1364" spans="15:15" x14ac:dyDescent="0.15">
      <c r="O1364" s="4"/>
    </row>
    <row r="1365" spans="15:15" x14ac:dyDescent="0.15">
      <c r="O1365" s="4"/>
    </row>
    <row r="1366" spans="15:15" x14ac:dyDescent="0.15">
      <c r="O1366" s="4"/>
    </row>
    <row r="1367" spans="15:15" x14ac:dyDescent="0.15">
      <c r="O1367" s="4"/>
    </row>
    <row r="1368" spans="15:15" x14ac:dyDescent="0.15">
      <c r="O1368" s="4"/>
    </row>
    <row r="1369" spans="15:15" x14ac:dyDescent="0.15">
      <c r="O1369" s="4"/>
    </row>
    <row r="1370" spans="15:15" x14ac:dyDescent="0.15">
      <c r="O1370" s="4"/>
    </row>
    <row r="1371" spans="15:15" x14ac:dyDescent="0.15">
      <c r="O1371" s="4"/>
    </row>
    <row r="1372" spans="15:15" x14ac:dyDescent="0.15">
      <c r="O1372" s="4"/>
    </row>
    <row r="1373" spans="15:15" x14ac:dyDescent="0.15">
      <c r="O1373" s="4"/>
    </row>
    <row r="1374" spans="15:15" x14ac:dyDescent="0.15">
      <c r="O1374" s="4"/>
    </row>
    <row r="1375" spans="15:15" x14ac:dyDescent="0.15">
      <c r="O1375" s="4"/>
    </row>
    <row r="1376" spans="15:15" x14ac:dyDescent="0.15">
      <c r="O1376" s="4"/>
    </row>
    <row r="1377" spans="15:15" x14ac:dyDescent="0.15">
      <c r="O1377" s="4"/>
    </row>
    <row r="1378" spans="15:15" x14ac:dyDescent="0.15">
      <c r="O1378" s="4"/>
    </row>
    <row r="1379" spans="15:15" x14ac:dyDescent="0.15">
      <c r="O1379" s="4"/>
    </row>
    <row r="1380" spans="15:15" x14ac:dyDescent="0.15">
      <c r="O1380" s="4"/>
    </row>
    <row r="1381" spans="15:15" x14ac:dyDescent="0.15">
      <c r="O1381" s="4"/>
    </row>
    <row r="1382" spans="15:15" x14ac:dyDescent="0.15">
      <c r="O1382" s="4"/>
    </row>
    <row r="1383" spans="15:15" x14ac:dyDescent="0.15">
      <c r="O1383" s="4"/>
    </row>
    <row r="1384" spans="15:15" x14ac:dyDescent="0.15">
      <c r="O1384" s="4"/>
    </row>
    <row r="1385" spans="15:15" x14ac:dyDescent="0.15">
      <c r="O1385" s="4"/>
    </row>
    <row r="1386" spans="15:15" x14ac:dyDescent="0.15">
      <c r="O1386" s="4"/>
    </row>
    <row r="1387" spans="15:15" x14ac:dyDescent="0.15">
      <c r="O1387" s="4"/>
    </row>
    <row r="1388" spans="15:15" x14ac:dyDescent="0.15">
      <c r="O1388" s="4"/>
    </row>
    <row r="1389" spans="15:15" x14ac:dyDescent="0.15">
      <c r="O1389" s="4"/>
    </row>
    <row r="1390" spans="15:15" x14ac:dyDescent="0.15">
      <c r="O1390" s="4"/>
    </row>
    <row r="1391" spans="15:15" x14ac:dyDescent="0.15">
      <c r="O1391" s="4"/>
    </row>
    <row r="1392" spans="15:15" x14ac:dyDescent="0.15">
      <c r="O1392" s="4"/>
    </row>
    <row r="1393" spans="15:15" x14ac:dyDescent="0.15">
      <c r="O1393" s="4"/>
    </row>
    <row r="1394" spans="15:15" x14ac:dyDescent="0.15">
      <c r="O1394" s="4"/>
    </row>
    <row r="1395" spans="15:15" x14ac:dyDescent="0.15">
      <c r="O1395" s="4"/>
    </row>
    <row r="1396" spans="15:15" x14ac:dyDescent="0.15">
      <c r="O1396" s="4"/>
    </row>
    <row r="1397" spans="15:15" x14ac:dyDescent="0.15">
      <c r="O1397" s="4"/>
    </row>
    <row r="1398" spans="15:15" x14ac:dyDescent="0.15">
      <c r="O1398" s="4"/>
    </row>
    <row r="1399" spans="15:15" x14ac:dyDescent="0.15">
      <c r="O1399" s="4"/>
    </row>
    <row r="1400" spans="15:15" x14ac:dyDescent="0.15">
      <c r="O1400" s="4"/>
    </row>
    <row r="1401" spans="15:15" x14ac:dyDescent="0.15">
      <c r="O1401" s="4"/>
    </row>
    <row r="1402" spans="15:15" x14ac:dyDescent="0.15">
      <c r="O1402" s="4"/>
    </row>
    <row r="1403" spans="15:15" x14ac:dyDescent="0.15">
      <c r="O1403" s="4"/>
    </row>
    <row r="1404" spans="15:15" x14ac:dyDescent="0.15">
      <c r="O1404" s="4"/>
    </row>
    <row r="1405" spans="15:15" x14ac:dyDescent="0.15">
      <c r="O1405" s="4"/>
    </row>
    <row r="1406" spans="15:15" x14ac:dyDescent="0.15">
      <c r="O1406" s="4"/>
    </row>
    <row r="1407" spans="15:15" x14ac:dyDescent="0.15">
      <c r="O1407" s="4"/>
    </row>
    <row r="1408" spans="15:15" x14ac:dyDescent="0.15">
      <c r="O1408" s="4"/>
    </row>
    <row r="1409" spans="15:15" x14ac:dyDescent="0.15">
      <c r="O1409" s="4"/>
    </row>
    <row r="1410" spans="15:15" x14ac:dyDescent="0.15">
      <c r="O1410" s="4"/>
    </row>
    <row r="1411" spans="15:15" x14ac:dyDescent="0.15">
      <c r="O1411" s="4"/>
    </row>
    <row r="1412" spans="15:15" x14ac:dyDescent="0.15">
      <c r="O1412" s="4"/>
    </row>
    <row r="1413" spans="15:15" x14ac:dyDescent="0.15">
      <c r="O1413" s="4"/>
    </row>
    <row r="1414" spans="15:15" x14ac:dyDescent="0.15">
      <c r="O1414" s="4"/>
    </row>
    <row r="1415" spans="15:15" x14ac:dyDescent="0.15">
      <c r="O1415" s="4"/>
    </row>
    <row r="1416" spans="15:15" x14ac:dyDescent="0.15">
      <c r="O1416" s="4"/>
    </row>
    <row r="1417" spans="15:15" x14ac:dyDescent="0.15">
      <c r="O1417" s="4"/>
    </row>
    <row r="1418" spans="15:15" x14ac:dyDescent="0.15">
      <c r="O1418" s="4"/>
    </row>
    <row r="1419" spans="15:15" x14ac:dyDescent="0.15">
      <c r="O1419" s="4"/>
    </row>
    <row r="1420" spans="15:15" x14ac:dyDescent="0.15">
      <c r="O1420" s="4"/>
    </row>
    <row r="1421" spans="15:15" x14ac:dyDescent="0.15">
      <c r="O1421" s="4"/>
    </row>
    <row r="1422" spans="15:15" x14ac:dyDescent="0.15">
      <c r="O1422" s="4"/>
    </row>
    <row r="1423" spans="15:15" x14ac:dyDescent="0.15">
      <c r="O1423" s="4"/>
    </row>
    <row r="1424" spans="15:15" x14ac:dyDescent="0.15">
      <c r="O1424" s="4"/>
    </row>
    <row r="1425" spans="15:15" x14ac:dyDescent="0.15">
      <c r="O1425" s="4"/>
    </row>
    <row r="1426" spans="15:15" x14ac:dyDescent="0.15">
      <c r="O1426" s="4"/>
    </row>
    <row r="1427" spans="15:15" x14ac:dyDescent="0.15">
      <c r="O1427" s="4"/>
    </row>
    <row r="1428" spans="15:15" x14ac:dyDescent="0.15">
      <c r="O1428" s="4"/>
    </row>
    <row r="1429" spans="15:15" x14ac:dyDescent="0.15">
      <c r="O1429" s="4"/>
    </row>
    <row r="1430" spans="15:15" x14ac:dyDescent="0.15">
      <c r="O1430" s="4"/>
    </row>
    <row r="1431" spans="15:15" x14ac:dyDescent="0.15">
      <c r="O1431" s="4"/>
    </row>
    <row r="1432" spans="15:15" x14ac:dyDescent="0.15">
      <c r="O1432" s="4"/>
    </row>
    <row r="1433" spans="15:15" x14ac:dyDescent="0.15">
      <c r="O1433" s="4"/>
    </row>
    <row r="1434" spans="15:15" x14ac:dyDescent="0.15">
      <c r="O1434" s="4"/>
    </row>
    <row r="1435" spans="15:15" x14ac:dyDescent="0.15">
      <c r="O1435" s="4"/>
    </row>
    <row r="1436" spans="15:15" x14ac:dyDescent="0.15">
      <c r="O1436" s="4"/>
    </row>
    <row r="1437" spans="15:15" x14ac:dyDescent="0.15">
      <c r="O1437" s="4"/>
    </row>
    <row r="1438" spans="15:15" x14ac:dyDescent="0.15">
      <c r="O1438" s="4"/>
    </row>
    <row r="1439" spans="15:15" x14ac:dyDescent="0.15">
      <c r="O1439" s="4"/>
    </row>
    <row r="1440" spans="15:15" x14ac:dyDescent="0.15">
      <c r="O1440" s="4"/>
    </row>
    <row r="1441" spans="15:15" x14ac:dyDescent="0.15">
      <c r="O1441" s="4"/>
    </row>
    <row r="1442" spans="15:15" x14ac:dyDescent="0.15">
      <c r="O1442" s="4"/>
    </row>
    <row r="1443" spans="15:15" x14ac:dyDescent="0.15">
      <c r="O1443" s="4"/>
    </row>
    <row r="1444" spans="15:15" x14ac:dyDescent="0.15">
      <c r="O1444" s="4"/>
    </row>
    <row r="1445" spans="15:15" x14ac:dyDescent="0.15">
      <c r="O1445" s="4"/>
    </row>
    <row r="1446" spans="15:15" x14ac:dyDescent="0.15">
      <c r="O1446" s="4"/>
    </row>
    <row r="1447" spans="15:15" x14ac:dyDescent="0.15">
      <c r="O1447" s="4"/>
    </row>
    <row r="1448" spans="15:15" x14ac:dyDescent="0.15">
      <c r="O1448" s="4"/>
    </row>
    <row r="1449" spans="15:15" x14ac:dyDescent="0.15">
      <c r="O1449" s="4"/>
    </row>
    <row r="1450" spans="15:15" x14ac:dyDescent="0.15">
      <c r="O1450" s="4"/>
    </row>
    <row r="1451" spans="15:15" x14ac:dyDescent="0.15">
      <c r="O1451" s="4"/>
    </row>
    <row r="1452" spans="15:15" x14ac:dyDescent="0.15">
      <c r="O1452" s="4"/>
    </row>
    <row r="1453" spans="15:15" x14ac:dyDescent="0.15">
      <c r="O1453" s="4"/>
    </row>
    <row r="1454" spans="15:15" x14ac:dyDescent="0.15">
      <c r="O1454" s="4"/>
    </row>
    <row r="1455" spans="15:15" x14ac:dyDescent="0.15">
      <c r="O1455" s="4"/>
    </row>
    <row r="1456" spans="15:15" x14ac:dyDescent="0.15">
      <c r="O1456" s="4"/>
    </row>
    <row r="1457" spans="15:15" x14ac:dyDescent="0.15">
      <c r="O1457" s="4"/>
    </row>
    <row r="1458" spans="15:15" x14ac:dyDescent="0.15">
      <c r="O1458" s="4"/>
    </row>
    <row r="1459" spans="15:15" x14ac:dyDescent="0.15">
      <c r="O1459" s="4"/>
    </row>
    <row r="1460" spans="15:15" x14ac:dyDescent="0.15">
      <c r="O1460" s="4"/>
    </row>
    <row r="1461" spans="15:15" x14ac:dyDescent="0.15">
      <c r="O1461" s="4"/>
    </row>
    <row r="1462" spans="15:15" x14ac:dyDescent="0.15">
      <c r="O1462" s="4"/>
    </row>
    <row r="1463" spans="15:15" x14ac:dyDescent="0.15">
      <c r="O1463" s="4"/>
    </row>
    <row r="1464" spans="15:15" x14ac:dyDescent="0.15">
      <c r="O1464" s="4"/>
    </row>
    <row r="1465" spans="15:15" x14ac:dyDescent="0.15">
      <c r="O1465" s="4"/>
    </row>
    <row r="1466" spans="15:15" x14ac:dyDescent="0.15">
      <c r="O1466" s="4"/>
    </row>
    <row r="1467" spans="15:15" x14ac:dyDescent="0.15">
      <c r="O1467" s="4"/>
    </row>
    <row r="1468" spans="15:15" x14ac:dyDescent="0.15">
      <c r="O1468" s="4"/>
    </row>
    <row r="1469" spans="15:15" x14ac:dyDescent="0.15">
      <c r="O1469" s="4"/>
    </row>
    <row r="1470" spans="15:15" x14ac:dyDescent="0.15">
      <c r="O1470" s="4"/>
    </row>
    <row r="1471" spans="15:15" x14ac:dyDescent="0.15">
      <c r="O1471" s="4"/>
    </row>
    <row r="1472" spans="15:15" x14ac:dyDescent="0.15">
      <c r="O1472" s="4"/>
    </row>
    <row r="1473" spans="15:15" x14ac:dyDescent="0.15">
      <c r="O1473" s="4"/>
    </row>
    <row r="1474" spans="15:15" x14ac:dyDescent="0.15">
      <c r="O1474" s="4"/>
    </row>
    <row r="1475" spans="15:15" x14ac:dyDescent="0.15">
      <c r="O1475" s="4"/>
    </row>
    <row r="1476" spans="15:15" x14ac:dyDescent="0.15">
      <c r="O1476" s="4"/>
    </row>
    <row r="1477" spans="15:15" x14ac:dyDescent="0.15">
      <c r="O1477" s="4"/>
    </row>
    <row r="1478" spans="15:15" x14ac:dyDescent="0.15">
      <c r="O1478" s="4"/>
    </row>
    <row r="1479" spans="15:15" x14ac:dyDescent="0.15">
      <c r="O1479" s="4"/>
    </row>
    <row r="1480" spans="15:15" x14ac:dyDescent="0.15">
      <c r="O1480" s="4"/>
    </row>
    <row r="1481" spans="15:15" x14ac:dyDescent="0.15">
      <c r="O1481" s="4"/>
    </row>
    <row r="1482" spans="15:15" x14ac:dyDescent="0.15">
      <c r="O1482" s="4"/>
    </row>
    <row r="1483" spans="15:15" x14ac:dyDescent="0.15">
      <c r="O1483" s="4"/>
    </row>
    <row r="1484" spans="15:15" x14ac:dyDescent="0.15">
      <c r="O1484" s="4"/>
    </row>
    <row r="1485" spans="15:15" x14ac:dyDescent="0.15">
      <c r="O1485" s="4"/>
    </row>
    <row r="1486" spans="15:15" x14ac:dyDescent="0.15">
      <c r="O1486" s="4"/>
    </row>
    <row r="1487" spans="15:15" x14ac:dyDescent="0.15">
      <c r="O1487" s="4"/>
    </row>
    <row r="1488" spans="15:15" x14ac:dyDescent="0.15">
      <c r="O1488" s="4"/>
    </row>
    <row r="1489" spans="15:15" x14ac:dyDescent="0.15">
      <c r="O1489" s="4"/>
    </row>
    <row r="1490" spans="15:15" x14ac:dyDescent="0.15">
      <c r="O1490" s="4"/>
    </row>
    <row r="1491" spans="15:15" x14ac:dyDescent="0.15">
      <c r="O1491" s="4"/>
    </row>
    <row r="1492" spans="15:15" x14ac:dyDescent="0.15">
      <c r="O1492" s="4"/>
    </row>
    <row r="1493" spans="15:15" x14ac:dyDescent="0.15">
      <c r="O1493" s="4"/>
    </row>
    <row r="1494" spans="15:15" x14ac:dyDescent="0.15">
      <c r="O1494" s="4"/>
    </row>
    <row r="1495" spans="15:15" x14ac:dyDescent="0.15">
      <c r="O1495" s="4"/>
    </row>
    <row r="1496" spans="15:15" x14ac:dyDescent="0.15">
      <c r="O1496" s="4"/>
    </row>
    <row r="1497" spans="15:15" x14ac:dyDescent="0.15">
      <c r="O1497" s="4"/>
    </row>
    <row r="1498" spans="15:15" x14ac:dyDescent="0.15">
      <c r="O1498" s="4"/>
    </row>
    <row r="1499" spans="15:15" x14ac:dyDescent="0.15">
      <c r="O1499" s="4"/>
    </row>
    <row r="1500" spans="15:15" x14ac:dyDescent="0.15">
      <c r="O1500" s="4"/>
    </row>
    <row r="1501" spans="15:15" x14ac:dyDescent="0.15">
      <c r="O1501" s="4"/>
    </row>
    <row r="1502" spans="15:15" x14ac:dyDescent="0.15">
      <c r="O1502" s="4"/>
    </row>
    <row r="1503" spans="15:15" x14ac:dyDescent="0.15">
      <c r="O1503" s="4"/>
    </row>
    <row r="1504" spans="15:15" x14ac:dyDescent="0.15">
      <c r="O1504" s="4"/>
    </row>
    <row r="1505" spans="15:15" x14ac:dyDescent="0.15">
      <c r="O1505" s="4"/>
    </row>
    <row r="1506" spans="15:15" x14ac:dyDescent="0.15">
      <c r="O1506" s="4"/>
    </row>
    <row r="1507" spans="15:15" x14ac:dyDescent="0.15">
      <c r="O1507" s="4"/>
    </row>
    <row r="1508" spans="15:15" x14ac:dyDescent="0.15">
      <c r="O1508" s="4"/>
    </row>
    <row r="1509" spans="15:15" x14ac:dyDescent="0.15">
      <c r="O1509" s="4"/>
    </row>
    <row r="1510" spans="15:15" x14ac:dyDescent="0.15">
      <c r="O1510" s="4"/>
    </row>
    <row r="1511" spans="15:15" x14ac:dyDescent="0.15">
      <c r="O1511" s="4"/>
    </row>
    <row r="1512" spans="15:15" x14ac:dyDescent="0.15">
      <c r="O1512" s="4"/>
    </row>
    <row r="1513" spans="15:15" x14ac:dyDescent="0.15">
      <c r="O1513" s="4"/>
    </row>
    <row r="1514" spans="15:15" x14ac:dyDescent="0.15">
      <c r="O1514" s="4"/>
    </row>
    <row r="1515" spans="15:15" x14ac:dyDescent="0.15">
      <c r="O1515" s="4"/>
    </row>
    <row r="1516" spans="15:15" x14ac:dyDescent="0.15">
      <c r="O1516" s="4"/>
    </row>
    <row r="1517" spans="15:15" x14ac:dyDescent="0.15">
      <c r="O1517" s="4"/>
    </row>
    <row r="1518" spans="15:15" x14ac:dyDescent="0.15">
      <c r="O1518" s="4"/>
    </row>
    <row r="1519" spans="15:15" x14ac:dyDescent="0.15">
      <c r="O1519" s="4"/>
    </row>
    <row r="1520" spans="15:15" x14ac:dyDescent="0.15">
      <c r="O1520" s="4"/>
    </row>
    <row r="1521" spans="15:15" x14ac:dyDescent="0.15">
      <c r="O1521" s="4"/>
    </row>
    <row r="1522" spans="15:15" x14ac:dyDescent="0.15">
      <c r="O1522" s="4"/>
    </row>
    <row r="1523" spans="15:15" x14ac:dyDescent="0.15">
      <c r="O1523" s="4"/>
    </row>
    <row r="1524" spans="15:15" x14ac:dyDescent="0.15">
      <c r="O1524" s="4"/>
    </row>
    <row r="1525" spans="15:15" x14ac:dyDescent="0.15">
      <c r="O1525" s="4"/>
    </row>
    <row r="1526" spans="15:15" x14ac:dyDescent="0.15">
      <c r="O1526" s="4"/>
    </row>
    <row r="1527" spans="15:15" x14ac:dyDescent="0.15">
      <c r="O1527" s="4"/>
    </row>
    <row r="1528" spans="15:15" x14ac:dyDescent="0.15">
      <c r="O1528" s="4"/>
    </row>
    <row r="1529" spans="15:15" x14ac:dyDescent="0.15">
      <c r="O1529" s="4"/>
    </row>
    <row r="1530" spans="15:15" x14ac:dyDescent="0.15">
      <c r="O1530" s="4"/>
    </row>
    <row r="1531" spans="15:15" x14ac:dyDescent="0.15">
      <c r="O1531" s="4"/>
    </row>
    <row r="1532" spans="15:15" x14ac:dyDescent="0.15">
      <c r="O1532" s="4"/>
    </row>
    <row r="1533" spans="15:15" x14ac:dyDescent="0.15">
      <c r="O1533" s="4"/>
    </row>
    <row r="1534" spans="15:15" x14ac:dyDescent="0.15">
      <c r="O1534" s="4"/>
    </row>
    <row r="1535" spans="15:15" x14ac:dyDescent="0.15">
      <c r="O1535" s="4"/>
    </row>
    <row r="1536" spans="15:15" x14ac:dyDescent="0.15">
      <c r="O1536" s="4"/>
    </row>
    <row r="1537" spans="15:15" x14ac:dyDescent="0.15">
      <c r="O1537" s="4"/>
    </row>
    <row r="1538" spans="15:15" x14ac:dyDescent="0.15">
      <c r="O1538" s="4"/>
    </row>
    <row r="1539" spans="15:15" x14ac:dyDescent="0.15">
      <c r="O1539" s="4"/>
    </row>
    <row r="1540" spans="15:15" x14ac:dyDescent="0.15">
      <c r="O1540" s="4"/>
    </row>
    <row r="1541" spans="15:15" x14ac:dyDescent="0.15">
      <c r="O1541" s="4"/>
    </row>
    <row r="1542" spans="15:15" x14ac:dyDescent="0.15">
      <c r="O1542" s="4"/>
    </row>
    <row r="1543" spans="15:15" x14ac:dyDescent="0.15">
      <c r="O1543" s="4"/>
    </row>
    <row r="1544" spans="15:15" x14ac:dyDescent="0.15">
      <c r="O1544" s="4"/>
    </row>
    <row r="1545" spans="15:15" x14ac:dyDescent="0.15">
      <c r="O1545" s="4"/>
    </row>
    <row r="1546" spans="15:15" x14ac:dyDescent="0.15">
      <c r="O1546" s="4"/>
    </row>
    <row r="1547" spans="15:15" x14ac:dyDescent="0.15">
      <c r="O1547" s="4"/>
    </row>
    <row r="1548" spans="15:15" x14ac:dyDescent="0.15">
      <c r="O1548" s="4"/>
    </row>
    <row r="1549" spans="15:15" x14ac:dyDescent="0.15">
      <c r="O1549" s="4"/>
    </row>
    <row r="1550" spans="15:15" x14ac:dyDescent="0.15">
      <c r="O1550" s="4"/>
    </row>
    <row r="1551" spans="15:15" x14ac:dyDescent="0.15">
      <c r="O1551" s="4"/>
    </row>
    <row r="1552" spans="15:15" x14ac:dyDescent="0.15">
      <c r="O1552" s="4"/>
    </row>
    <row r="1553" spans="15:15" x14ac:dyDescent="0.15">
      <c r="O1553" s="4"/>
    </row>
    <row r="1554" spans="15:15" x14ac:dyDescent="0.15">
      <c r="O1554" s="4"/>
    </row>
    <row r="1555" spans="15:15" x14ac:dyDescent="0.15">
      <c r="O1555" s="4"/>
    </row>
    <row r="1556" spans="15:15" x14ac:dyDescent="0.15">
      <c r="O1556" s="4"/>
    </row>
    <row r="1557" spans="15:15" x14ac:dyDescent="0.15">
      <c r="O1557" s="4"/>
    </row>
    <row r="1558" spans="15:15" x14ac:dyDescent="0.15">
      <c r="O1558" s="4"/>
    </row>
    <row r="1559" spans="15:15" x14ac:dyDescent="0.15">
      <c r="O1559" s="4"/>
    </row>
    <row r="1560" spans="15:15" x14ac:dyDescent="0.15">
      <c r="O1560" s="4"/>
    </row>
    <row r="1561" spans="15:15" x14ac:dyDescent="0.15">
      <c r="O1561" s="4"/>
    </row>
    <row r="1562" spans="15:15" x14ac:dyDescent="0.15">
      <c r="O1562" s="4"/>
    </row>
    <row r="1563" spans="15:15" x14ac:dyDescent="0.15">
      <c r="O1563" s="4"/>
    </row>
    <row r="1564" spans="15:15" x14ac:dyDescent="0.15">
      <c r="O1564" s="4"/>
    </row>
    <row r="1565" spans="15:15" x14ac:dyDescent="0.15">
      <c r="O1565" s="4"/>
    </row>
    <row r="1566" spans="15:15" x14ac:dyDescent="0.15">
      <c r="O1566" s="4"/>
    </row>
    <row r="1567" spans="15:15" x14ac:dyDescent="0.15">
      <c r="O1567" s="4"/>
    </row>
    <row r="1568" spans="15:15" x14ac:dyDescent="0.15">
      <c r="O1568" s="4"/>
    </row>
    <row r="1569" spans="15:15" x14ac:dyDescent="0.15">
      <c r="O1569" s="4"/>
    </row>
    <row r="1570" spans="15:15" x14ac:dyDescent="0.15">
      <c r="O1570" s="4"/>
    </row>
    <row r="1571" spans="15:15" x14ac:dyDescent="0.15">
      <c r="O1571" s="4"/>
    </row>
    <row r="1572" spans="15:15" x14ac:dyDescent="0.15">
      <c r="O1572" s="4"/>
    </row>
    <row r="1573" spans="15:15" x14ac:dyDescent="0.15">
      <c r="O1573" s="4"/>
    </row>
    <row r="1574" spans="15:15" x14ac:dyDescent="0.15">
      <c r="O1574" s="4"/>
    </row>
    <row r="1575" spans="15:15" x14ac:dyDescent="0.15">
      <c r="O1575" s="4"/>
    </row>
    <row r="1576" spans="15:15" x14ac:dyDescent="0.15">
      <c r="O1576" s="4"/>
    </row>
    <row r="1577" spans="15:15" x14ac:dyDescent="0.15">
      <c r="O1577" s="4"/>
    </row>
    <row r="1578" spans="15:15" x14ac:dyDescent="0.15">
      <c r="O1578" s="4"/>
    </row>
    <row r="1579" spans="15:15" x14ac:dyDescent="0.15">
      <c r="O1579" s="4"/>
    </row>
    <row r="1580" spans="15:15" x14ac:dyDescent="0.15">
      <c r="O1580" s="4"/>
    </row>
    <row r="1581" spans="15:15" x14ac:dyDescent="0.15">
      <c r="O1581" s="4"/>
    </row>
    <row r="1582" spans="15:15" x14ac:dyDescent="0.15">
      <c r="O1582" s="4"/>
    </row>
    <row r="1583" spans="15:15" x14ac:dyDescent="0.15">
      <c r="O1583" s="4"/>
    </row>
    <row r="1584" spans="15:15" x14ac:dyDescent="0.15">
      <c r="O1584" s="4"/>
    </row>
    <row r="1585" spans="15:15" x14ac:dyDescent="0.15">
      <c r="O1585" s="4"/>
    </row>
    <row r="1586" spans="15:15" x14ac:dyDescent="0.15">
      <c r="O1586" s="4"/>
    </row>
    <row r="1587" spans="15:15" x14ac:dyDescent="0.15">
      <c r="O1587" s="4"/>
    </row>
  </sheetData>
  <mergeCells count="26">
    <mergeCell ref="B1:C1"/>
    <mergeCell ref="D1:G1"/>
    <mergeCell ref="I1:N1"/>
    <mergeCell ref="E5:E6"/>
    <mergeCell ref="G5:G6"/>
    <mergeCell ref="J5:J6"/>
    <mergeCell ref="L5:L6"/>
    <mergeCell ref="B80:C85"/>
    <mergeCell ref="B7:D7"/>
    <mergeCell ref="B8:D8"/>
    <mergeCell ref="B9:D9"/>
    <mergeCell ref="B10:D10"/>
    <mergeCell ref="C11:C16"/>
    <mergeCell ref="C17:C24"/>
    <mergeCell ref="C25:C40"/>
    <mergeCell ref="B41:C41"/>
    <mergeCell ref="B42:D42"/>
    <mergeCell ref="B43:C78"/>
    <mergeCell ref="B79:D79"/>
    <mergeCell ref="B95:D95"/>
    <mergeCell ref="B86:C89"/>
    <mergeCell ref="B90:D90"/>
    <mergeCell ref="B91:D91"/>
    <mergeCell ref="B92:D92"/>
    <mergeCell ref="B93:D93"/>
    <mergeCell ref="B94:D94"/>
  </mergeCells>
  <phoneticPr fontId="2"/>
  <pageMargins left="0.25" right="0.25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C7DA-2919-4D86-B348-A068215FAE2E}">
  <dimension ref="A1:BW1586"/>
  <sheetViews>
    <sheetView showZeros="0" zoomScale="90" zoomScaleNormal="90" workbookViewId="0">
      <pane xSplit="4" ySplit="1" topLeftCell="E2" activePane="bottomRight" state="frozen"/>
      <selection activeCell="P6" sqref="P6"/>
      <selection pane="topRight" activeCell="P6" sqref="P6"/>
      <selection pane="bottomLeft" activeCell="P6" sqref="P6"/>
      <selection pane="bottomRight" activeCell="I1" sqref="I1:N1"/>
    </sheetView>
  </sheetViews>
  <sheetFormatPr defaultColWidth="9" defaultRowHeight="18.75" x14ac:dyDescent="0.15"/>
  <cols>
    <col min="1" max="1" width="1" style="4" customWidth="1"/>
    <col min="2" max="2" width="2" style="4" customWidth="1"/>
    <col min="3" max="3" width="7.375" style="4" customWidth="1"/>
    <col min="4" max="4" width="17.75" style="4" customWidth="1"/>
    <col min="5" max="5" width="10" style="11" bestFit="1" customWidth="1"/>
    <col min="6" max="6" width="7.375" style="11" bestFit="1" customWidth="1"/>
    <col min="7" max="7" width="10" style="4" bestFit="1" customWidth="1"/>
    <col min="8" max="9" width="7.375" style="4" bestFit="1" customWidth="1"/>
    <col min="10" max="10" width="9" style="4" bestFit="1" customWidth="1"/>
    <col min="11" max="11" width="7.375" style="4" bestFit="1" customWidth="1"/>
    <col min="12" max="12" width="11" style="4" bestFit="1" customWidth="1"/>
    <col min="13" max="13" width="7.375" style="4" bestFit="1" customWidth="1"/>
    <col min="14" max="14" width="7.125" style="4" customWidth="1"/>
    <col min="15" max="15" width="1.5" style="42" customWidth="1"/>
    <col min="16" max="16" width="12.375" style="4" customWidth="1"/>
    <col min="17" max="17" width="7.75" style="4" customWidth="1"/>
    <col min="18" max="18" width="12.375" style="4" customWidth="1"/>
    <col min="19" max="19" width="8.375" style="4" customWidth="1"/>
    <col min="20" max="20" width="11.375" style="4" customWidth="1"/>
    <col min="21" max="16384" width="9" style="4"/>
  </cols>
  <sheetData>
    <row r="1" spans="1:75" ht="19.5" thickBot="1" x14ac:dyDescent="0.2">
      <c r="A1" s="3"/>
      <c r="B1" s="273" t="s">
        <v>23</v>
      </c>
      <c r="C1" s="274"/>
      <c r="D1" s="279" t="s">
        <v>24</v>
      </c>
      <c r="E1" s="280"/>
      <c r="F1" s="280"/>
      <c r="G1" s="281"/>
      <c r="H1" s="6"/>
      <c r="I1" s="263">
        <f>全社!I1</f>
        <v>46093</v>
      </c>
      <c r="J1" s="263"/>
      <c r="K1" s="263"/>
      <c r="L1" s="263"/>
      <c r="M1" s="263"/>
      <c r="N1" s="263"/>
      <c r="O1" s="4"/>
    </row>
    <row r="2" spans="1:75" ht="9.75" customHeight="1" x14ac:dyDescent="0.15">
      <c r="A2" s="3"/>
      <c r="B2" s="5"/>
      <c r="C2" s="5"/>
      <c r="D2" s="6"/>
      <c r="E2" s="90"/>
      <c r="F2" s="90"/>
      <c r="G2" s="3"/>
      <c r="H2" s="3"/>
      <c r="I2" s="3"/>
      <c r="J2" s="3"/>
      <c r="K2" s="3"/>
      <c r="L2" s="3"/>
      <c r="M2" s="3"/>
      <c r="N2" s="3"/>
      <c r="O2" s="4"/>
    </row>
    <row r="3" spans="1:75" ht="14.85" customHeight="1" x14ac:dyDescent="0.15">
      <c r="A3" s="3"/>
      <c r="B3" s="7" t="s">
        <v>25</v>
      </c>
      <c r="C3" s="7"/>
      <c r="D3" s="8"/>
      <c r="E3" s="198" t="s">
        <v>99</v>
      </c>
      <c r="F3" s="91"/>
      <c r="G3" s="8"/>
      <c r="H3" s="8"/>
      <c r="I3" s="8"/>
      <c r="J3" s="91" t="s">
        <v>26</v>
      </c>
      <c r="K3" s="9"/>
      <c r="L3" s="9" t="s">
        <v>27</v>
      </c>
      <c r="M3" s="9"/>
      <c r="N3" s="9"/>
      <c r="O3" s="10"/>
    </row>
    <row r="4" spans="1:75" ht="6.75" customHeight="1" thickBot="1" x14ac:dyDescent="0.2">
      <c r="A4" s="3"/>
      <c r="J4" s="11"/>
      <c r="K4" s="11"/>
      <c r="N4" s="12"/>
      <c r="O4" s="10"/>
    </row>
    <row r="5" spans="1:75" ht="15" customHeight="1" x14ac:dyDescent="0.15">
      <c r="A5" s="3"/>
      <c r="B5" s="161"/>
      <c r="C5" s="162"/>
      <c r="D5" s="163"/>
      <c r="E5" s="277" t="s">
        <v>109</v>
      </c>
      <c r="F5" s="95" t="s">
        <v>89</v>
      </c>
      <c r="G5" s="275" t="s">
        <v>110</v>
      </c>
      <c r="H5" s="95" t="s">
        <v>89</v>
      </c>
      <c r="I5" s="85" t="s">
        <v>28</v>
      </c>
      <c r="J5" s="266" t="s">
        <v>106</v>
      </c>
      <c r="K5" s="123" t="s">
        <v>89</v>
      </c>
      <c r="L5" s="264" t="s">
        <v>107</v>
      </c>
      <c r="M5" s="123" t="s">
        <v>89</v>
      </c>
      <c r="N5" s="72" t="s">
        <v>84</v>
      </c>
      <c r="O5" s="10"/>
      <c r="P5" s="92" t="s">
        <v>111</v>
      </c>
      <c r="Q5" s="93" t="s">
        <v>103</v>
      </c>
      <c r="R5" s="92" t="s">
        <v>105</v>
      </c>
      <c r="S5" s="93" t="s">
        <v>86</v>
      </c>
    </row>
    <row r="6" spans="1:75" ht="15" customHeight="1" thickBot="1" x14ac:dyDescent="0.2">
      <c r="A6" s="3"/>
      <c r="B6" s="158"/>
      <c r="C6" s="159"/>
      <c r="D6" s="160"/>
      <c r="E6" s="278"/>
      <c r="F6" s="94" t="s">
        <v>87</v>
      </c>
      <c r="G6" s="276"/>
      <c r="H6" s="94" t="s">
        <v>87</v>
      </c>
      <c r="I6" s="86" t="s">
        <v>29</v>
      </c>
      <c r="J6" s="267"/>
      <c r="K6" s="121" t="s">
        <v>87</v>
      </c>
      <c r="L6" s="265"/>
      <c r="M6" s="121" t="s">
        <v>87</v>
      </c>
      <c r="N6" s="73" t="s">
        <v>29</v>
      </c>
      <c r="O6" s="13"/>
      <c r="P6" s="14" t="s">
        <v>85</v>
      </c>
      <c r="Q6" s="15" t="s">
        <v>87</v>
      </c>
      <c r="R6" s="14" t="s">
        <v>85</v>
      </c>
      <c r="S6" s="15" t="s">
        <v>87</v>
      </c>
      <c r="T6" s="4" t="s">
        <v>30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</row>
    <row r="7" spans="1:75" ht="15" customHeight="1" x14ac:dyDescent="0.15">
      <c r="A7" s="3"/>
      <c r="B7" s="268" t="s">
        <v>31</v>
      </c>
      <c r="C7" s="269"/>
      <c r="D7" s="270"/>
      <c r="E7" s="17">
        <f>[2]松原工場!L5</f>
        <v>35233078</v>
      </c>
      <c r="F7" s="139">
        <f t="shared" ref="F7:F9" si="0">E7/$E$10</f>
        <v>1</v>
      </c>
      <c r="G7" s="17">
        <f>[3]松原工場!L5</f>
        <v>19285732</v>
      </c>
      <c r="H7" s="96">
        <f>G7/$G$10</f>
        <v>1</v>
      </c>
      <c r="I7" s="120">
        <f t="shared" ref="I7:I74" si="1">IF(E7,G7/E7,"-")</f>
        <v>0.54737573594904199</v>
      </c>
      <c r="J7" s="47">
        <f>E7+[4]松原工場!J7</f>
        <v>481725470</v>
      </c>
      <c r="K7" s="99">
        <f>J7/$J$10</f>
        <v>0.89855197080565197</v>
      </c>
      <c r="L7" s="47">
        <f>G7+[4]松原工場!L7</f>
        <v>152539816</v>
      </c>
      <c r="M7" s="99">
        <f>L7/$L$10</f>
        <v>1.1175773613163691</v>
      </c>
      <c r="N7" s="112">
        <f t="shared" ref="N7:N74" si="2">IF(J7,L7/J7,"-")</f>
        <v>0.31665300155293846</v>
      </c>
      <c r="O7" s="46"/>
      <c r="P7" s="47">
        <f>[5]松原工場!L5</f>
        <v>30350000</v>
      </c>
      <c r="Q7" s="99">
        <f>P7/$P$10</f>
        <v>1</v>
      </c>
      <c r="R7" s="47">
        <f>P7+[4]松原工場!R7</f>
        <v>247150000</v>
      </c>
      <c r="S7" s="16">
        <f>R7/$R$10</f>
        <v>1</v>
      </c>
      <c r="T7" s="48">
        <f>L7-R7</f>
        <v>-94610184</v>
      </c>
      <c r="U7" s="225">
        <f>IF(L7,L7/R7,"-")</f>
        <v>0.61719529030952858</v>
      </c>
    </row>
    <row r="8" spans="1:75" s="57" customFormat="1" ht="15" customHeight="1" x14ac:dyDescent="0.15">
      <c r="A8" s="52"/>
      <c r="B8" s="285" t="s">
        <v>4</v>
      </c>
      <c r="C8" s="286"/>
      <c r="D8" s="287"/>
      <c r="E8" s="53"/>
      <c r="F8" s="145">
        <f t="shared" si="0"/>
        <v>0</v>
      </c>
      <c r="G8" s="53"/>
      <c r="H8" s="97">
        <f t="shared" ref="H8:H75" si="3">G8/$G$10</f>
        <v>0</v>
      </c>
      <c r="I8" s="75" t="str">
        <f t="shared" si="1"/>
        <v>-</v>
      </c>
      <c r="J8" s="81">
        <v>33424736</v>
      </c>
      <c r="K8" s="128"/>
      <c r="L8" s="80">
        <v>96021550</v>
      </c>
      <c r="M8" s="128"/>
      <c r="N8" s="74">
        <f t="shared" si="2"/>
        <v>2.872769137204255</v>
      </c>
      <c r="O8" s="55"/>
      <c r="P8" s="56"/>
      <c r="Q8" s="54">
        <f t="shared" ref="Q8:Q75" si="4">P8/$P$10</f>
        <v>0</v>
      </c>
      <c r="R8" s="56">
        <f t="shared" ref="R8:R9" si="5">P8</f>
        <v>0</v>
      </c>
      <c r="S8" s="54">
        <f t="shared" ref="S8:S75" si="6">R8/$R$10</f>
        <v>0</v>
      </c>
      <c r="T8" s="48">
        <f t="shared" ref="T8:T80" si="7">L8-R8</f>
        <v>96021550</v>
      </c>
      <c r="U8" s="225" t="e">
        <f t="shared" ref="U8:U75" si="8">IF(L8,L8/R8,"-")</f>
        <v>#DIV/0!</v>
      </c>
    </row>
    <row r="9" spans="1:75" s="57" customFormat="1" ht="15" customHeight="1" x14ac:dyDescent="0.15">
      <c r="A9" s="52"/>
      <c r="B9" s="282" t="s">
        <v>5</v>
      </c>
      <c r="C9" s="283"/>
      <c r="D9" s="284"/>
      <c r="E9" s="58"/>
      <c r="F9" s="146">
        <f t="shared" si="0"/>
        <v>0</v>
      </c>
      <c r="G9" s="58"/>
      <c r="H9" s="98">
        <f t="shared" si="3"/>
        <v>0</v>
      </c>
      <c r="I9" s="75" t="str">
        <f t="shared" si="1"/>
        <v>-</v>
      </c>
      <c r="J9" s="82">
        <v>87812352</v>
      </c>
      <c r="K9" s="98"/>
      <c r="L9" s="80">
        <v>79973239</v>
      </c>
      <c r="M9" s="129"/>
      <c r="N9" s="75">
        <f t="shared" si="2"/>
        <v>0.91072881181909349</v>
      </c>
      <c r="O9" s="55"/>
      <c r="P9" s="58"/>
      <c r="Q9" s="54">
        <f t="shared" si="4"/>
        <v>0</v>
      </c>
      <c r="R9" s="58">
        <f t="shared" si="5"/>
        <v>0</v>
      </c>
      <c r="S9" s="54">
        <f t="shared" si="6"/>
        <v>0</v>
      </c>
      <c r="T9" s="48">
        <f t="shared" si="7"/>
        <v>79973239</v>
      </c>
      <c r="U9" s="225" t="e">
        <f t="shared" si="8"/>
        <v>#DIV/0!</v>
      </c>
    </row>
    <row r="10" spans="1:75" ht="15" customHeight="1" x14ac:dyDescent="0.15">
      <c r="A10" s="3"/>
      <c r="B10" s="291" t="s">
        <v>82</v>
      </c>
      <c r="C10" s="292"/>
      <c r="D10" s="293"/>
      <c r="E10" s="43">
        <f>E7-E8+E9</f>
        <v>35233078</v>
      </c>
      <c r="F10" s="147">
        <f>E10/$E$10</f>
        <v>1</v>
      </c>
      <c r="G10" s="43">
        <f>G7-G8+G9</f>
        <v>19285732</v>
      </c>
      <c r="H10" s="99">
        <f t="shared" si="3"/>
        <v>1</v>
      </c>
      <c r="I10" s="112">
        <f t="shared" si="1"/>
        <v>0.54737573594904199</v>
      </c>
      <c r="J10" s="47">
        <f>J7-J8+J9</f>
        <v>536113086</v>
      </c>
      <c r="K10" s="99">
        <f>J10/$J$10</f>
        <v>1</v>
      </c>
      <c r="L10" s="43">
        <f>L7-L8+L9</f>
        <v>136491505</v>
      </c>
      <c r="M10" s="99">
        <f>L10/$L$10</f>
        <v>1</v>
      </c>
      <c r="N10" s="112">
        <f t="shared" si="2"/>
        <v>0.25459461550990753</v>
      </c>
      <c r="O10" s="46"/>
      <c r="P10" s="43">
        <f>P7-P8+P9</f>
        <v>30350000</v>
      </c>
      <c r="Q10" s="2">
        <f t="shared" si="4"/>
        <v>1</v>
      </c>
      <c r="R10" s="43">
        <f>R7-R8+R9</f>
        <v>247150000</v>
      </c>
      <c r="S10" s="2">
        <f t="shared" si="6"/>
        <v>1</v>
      </c>
      <c r="T10" s="48">
        <f t="shared" si="7"/>
        <v>-110658495</v>
      </c>
      <c r="U10" s="225">
        <f t="shared" si="8"/>
        <v>0.55226180457212215</v>
      </c>
    </row>
    <row r="11" spans="1:75" ht="15" customHeight="1" x14ac:dyDescent="0.15">
      <c r="A11" s="3"/>
      <c r="B11" s="148"/>
      <c r="C11" s="233" t="s">
        <v>32</v>
      </c>
      <c r="D11" s="175" t="s">
        <v>34</v>
      </c>
      <c r="E11" s="20"/>
      <c r="F11" s="134">
        <f t="shared" ref="F11:F83" si="9">E11/$E$10</f>
        <v>0</v>
      </c>
      <c r="G11" s="20"/>
      <c r="H11" s="101">
        <f t="shared" si="3"/>
        <v>0</v>
      </c>
      <c r="I11" s="87" t="str">
        <f t="shared" si="1"/>
        <v>-</v>
      </c>
      <c r="J11" s="84">
        <v>8643582</v>
      </c>
      <c r="K11" s="102"/>
      <c r="L11" s="83">
        <v>5270871</v>
      </c>
      <c r="M11" s="102"/>
      <c r="N11" s="76">
        <f t="shared" si="2"/>
        <v>0.60980170026731972</v>
      </c>
      <c r="O11" s="18"/>
      <c r="P11" s="22"/>
      <c r="Q11" s="66">
        <f t="shared" si="4"/>
        <v>0</v>
      </c>
      <c r="R11" s="22">
        <f>P11+[4]松原工場!R11</f>
        <v>0</v>
      </c>
      <c r="S11" s="66">
        <f t="shared" si="6"/>
        <v>0</v>
      </c>
      <c r="T11" s="48">
        <f t="shared" si="7"/>
        <v>5270871</v>
      </c>
      <c r="U11" s="225" t="e">
        <f t="shared" si="8"/>
        <v>#DIV/0!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</row>
    <row r="12" spans="1:75" ht="15" customHeight="1" x14ac:dyDescent="0.15">
      <c r="A12" s="3"/>
      <c r="B12" s="148"/>
      <c r="C12" s="234"/>
      <c r="D12" s="227" t="s">
        <v>101</v>
      </c>
      <c r="E12" s="20">
        <f>[2]松原工場!L11</f>
        <v>18483152</v>
      </c>
      <c r="F12" s="134"/>
      <c r="G12" s="20">
        <f>[3]松原工場!L11</f>
        <v>3106942</v>
      </c>
      <c r="H12" s="101">
        <f t="shared" si="3"/>
        <v>0.16110054832245932</v>
      </c>
      <c r="I12" s="76"/>
      <c r="J12" s="22">
        <f>E12+[4]松原工場!J12</f>
        <v>176420419</v>
      </c>
      <c r="K12" s="102"/>
      <c r="L12" s="68">
        <f>G12+[4]松原工場!L12</f>
        <v>20078281</v>
      </c>
      <c r="M12" s="102"/>
      <c r="N12" s="76"/>
      <c r="O12" s="18"/>
      <c r="P12" s="22"/>
      <c r="Q12" s="67"/>
      <c r="R12" s="22">
        <f>P12+[4]松原工場!R12</f>
        <v>0</v>
      </c>
      <c r="S12" s="66"/>
      <c r="T12" s="48"/>
      <c r="U12" s="225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</row>
    <row r="13" spans="1:75" ht="15" customHeight="1" x14ac:dyDescent="0.15">
      <c r="A13" s="3"/>
      <c r="B13" s="148"/>
      <c r="C13" s="234"/>
      <c r="D13" s="227" t="s">
        <v>102</v>
      </c>
      <c r="E13" s="20">
        <f>[2]松原工場!L12</f>
        <v>4964960</v>
      </c>
      <c r="F13" s="134"/>
      <c r="G13" s="20">
        <f>[3]松原工場!L12</f>
        <v>0</v>
      </c>
      <c r="H13" s="101">
        <f t="shared" si="3"/>
        <v>0</v>
      </c>
      <c r="I13" s="76"/>
      <c r="J13" s="22">
        <f>E13+[4]松原工場!J13</f>
        <v>128639545</v>
      </c>
      <c r="K13" s="102"/>
      <c r="L13" s="68">
        <f>G13+[4]松原工場!L13</f>
        <v>0</v>
      </c>
      <c r="M13" s="102"/>
      <c r="N13" s="76"/>
      <c r="O13" s="18"/>
      <c r="P13" s="22"/>
      <c r="Q13" s="67"/>
      <c r="R13" s="22">
        <f>P13+[4]松原工場!R13</f>
        <v>0</v>
      </c>
      <c r="S13" s="66"/>
      <c r="T13" s="48"/>
      <c r="U13" s="225" t="str">
        <f t="shared" si="8"/>
        <v>-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</row>
    <row r="14" spans="1:75" ht="15" customHeight="1" x14ac:dyDescent="0.15">
      <c r="A14" s="3"/>
      <c r="B14" s="148"/>
      <c r="C14" s="234"/>
      <c r="D14" s="175" t="s">
        <v>100</v>
      </c>
      <c r="E14" s="20">
        <f>SUM(E12:E13)</f>
        <v>23448112</v>
      </c>
      <c r="F14" s="135">
        <f t="shared" si="9"/>
        <v>0.66551415121891988</v>
      </c>
      <c r="G14" s="20">
        <f>SUM(G12:G13)</f>
        <v>3106942</v>
      </c>
      <c r="H14" s="102">
        <f t="shared" si="3"/>
        <v>0.16110054832245932</v>
      </c>
      <c r="I14" s="76">
        <f t="shared" si="1"/>
        <v>0.13250286419648627</v>
      </c>
      <c r="J14" s="22">
        <f>SUM(J12:J13)</f>
        <v>305059964</v>
      </c>
      <c r="K14" s="102">
        <f>J14/$J$10</f>
        <v>0.56902167092410794</v>
      </c>
      <c r="L14" s="22">
        <f>SUM(L12:L13)</f>
        <v>20078281</v>
      </c>
      <c r="M14" s="128">
        <f>L14/$L$10</f>
        <v>0.14710278855815972</v>
      </c>
      <c r="N14" s="76">
        <f t="shared" si="2"/>
        <v>6.5817489573951435E-2</v>
      </c>
      <c r="O14" s="18"/>
      <c r="P14" s="22">
        <f>[5]松原工場!L11</f>
        <v>13050500</v>
      </c>
      <c r="Q14" s="67">
        <f t="shared" si="4"/>
        <v>0.43</v>
      </c>
      <c r="R14" s="22">
        <f>P14+[4]松原工場!R14</f>
        <v>106274500</v>
      </c>
      <c r="S14" s="66">
        <f t="shared" si="6"/>
        <v>0.43</v>
      </c>
      <c r="T14" s="48">
        <f t="shared" si="7"/>
        <v>-86196219</v>
      </c>
      <c r="U14" s="225">
        <f t="shared" si="8"/>
        <v>0.1889284917830712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</row>
    <row r="15" spans="1:75" ht="15" customHeight="1" x14ac:dyDescent="0.15">
      <c r="A15" s="3"/>
      <c r="B15" s="148"/>
      <c r="C15" s="234"/>
      <c r="D15" s="175" t="s">
        <v>35</v>
      </c>
      <c r="E15" s="20"/>
      <c r="F15" s="135">
        <f t="shared" si="9"/>
        <v>0</v>
      </c>
      <c r="G15" s="20"/>
      <c r="H15" s="102">
        <f t="shared" si="3"/>
        <v>0</v>
      </c>
      <c r="I15" s="76" t="str">
        <f t="shared" si="1"/>
        <v>-</v>
      </c>
      <c r="J15" s="84">
        <v>15746761</v>
      </c>
      <c r="K15" s="102"/>
      <c r="L15" s="83">
        <v>4025797</v>
      </c>
      <c r="M15" s="102"/>
      <c r="N15" s="77">
        <f t="shared" si="2"/>
        <v>0.25565873515194648</v>
      </c>
      <c r="O15" s="18"/>
      <c r="P15" s="22"/>
      <c r="Q15" s="67">
        <f t="shared" si="4"/>
        <v>0</v>
      </c>
      <c r="R15" s="22">
        <f>P15+[4]松原工場!R15</f>
        <v>0</v>
      </c>
      <c r="S15" s="66">
        <f t="shared" si="6"/>
        <v>0</v>
      </c>
      <c r="T15" s="48">
        <f t="shared" si="7"/>
        <v>4025797</v>
      </c>
      <c r="U15" s="225" t="e">
        <f t="shared" si="8"/>
        <v>#DIV/0!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</row>
    <row r="16" spans="1:75" ht="15" customHeight="1" x14ac:dyDescent="0.15">
      <c r="A16" s="3"/>
      <c r="B16" s="148"/>
      <c r="C16" s="235"/>
      <c r="D16" s="189" t="s">
        <v>33</v>
      </c>
      <c r="E16" s="176">
        <f>E11+E14-E15</f>
        <v>23448112</v>
      </c>
      <c r="F16" s="133">
        <f>E16/$E$10</f>
        <v>0.66551415121891988</v>
      </c>
      <c r="G16" s="61">
        <f>G11+G14-G15</f>
        <v>3106942</v>
      </c>
      <c r="H16" s="100">
        <f t="shared" si="3"/>
        <v>0.16110054832245932</v>
      </c>
      <c r="I16" s="116">
        <f t="shared" si="1"/>
        <v>0.13250286419648627</v>
      </c>
      <c r="J16" s="61">
        <f>J11+J14-J15</f>
        <v>297956785</v>
      </c>
      <c r="K16" s="100">
        <f t="shared" ref="K16:K82" si="10">J16/$J$10</f>
        <v>0.55577226667434865</v>
      </c>
      <c r="L16" s="59">
        <f>L11+L14-L15</f>
        <v>21323355</v>
      </c>
      <c r="M16" s="100">
        <f t="shared" ref="M16:M82" si="11">L16/$L$10</f>
        <v>0.15622477750538394</v>
      </c>
      <c r="N16" s="116">
        <f>IF(J16,L16/J16,"-")</f>
        <v>7.1565260713898488E-2</v>
      </c>
      <c r="O16" s="18"/>
      <c r="P16" s="59">
        <f>P11+P14-P15</f>
        <v>13050500</v>
      </c>
      <c r="Q16" s="60">
        <f t="shared" si="4"/>
        <v>0.43</v>
      </c>
      <c r="R16" s="59">
        <f>R11+R14-R15</f>
        <v>106274500</v>
      </c>
      <c r="S16" s="60">
        <f t="shared" si="6"/>
        <v>0.43</v>
      </c>
      <c r="T16" s="48">
        <f t="shared" si="7"/>
        <v>-84951145</v>
      </c>
      <c r="U16" s="225">
        <f t="shared" si="8"/>
        <v>0.20064413382325957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</row>
    <row r="17" spans="1:75" ht="15" customHeight="1" x14ac:dyDescent="0.15">
      <c r="A17" s="3"/>
      <c r="B17" s="148"/>
      <c r="C17" s="233" t="s">
        <v>36</v>
      </c>
      <c r="D17" s="175" t="s">
        <v>91</v>
      </c>
      <c r="E17" s="23">
        <f>[2]松原工場!L17</f>
        <v>4871822</v>
      </c>
      <c r="F17" s="135">
        <f t="shared" si="9"/>
        <v>0.1382740957233427</v>
      </c>
      <c r="G17" s="23">
        <f>[3]松原工場!L17</f>
        <v>2950608</v>
      </c>
      <c r="H17" s="102">
        <f t="shared" si="3"/>
        <v>0.15299434836074668</v>
      </c>
      <c r="I17" s="76">
        <f t="shared" si="1"/>
        <v>0.60564774328782944</v>
      </c>
      <c r="J17" s="22">
        <f>E17+[4]松原工場!J17</f>
        <v>39415537</v>
      </c>
      <c r="K17" s="102">
        <f t="shared" si="10"/>
        <v>7.3520938080589959E-2</v>
      </c>
      <c r="L17" s="68">
        <f>G17+[4]松原工場!L17</f>
        <v>31084437</v>
      </c>
      <c r="M17" s="128">
        <f t="shared" si="11"/>
        <v>0.22773898639332901</v>
      </c>
      <c r="N17" s="76">
        <f t="shared" si="2"/>
        <v>0.78863411146726226</v>
      </c>
      <c r="O17" s="18"/>
      <c r="P17" s="22">
        <f>[5]松原工場!L15</f>
        <v>4515000</v>
      </c>
      <c r="Q17" s="67">
        <f t="shared" si="4"/>
        <v>0.1487644151565074</v>
      </c>
      <c r="R17" s="22">
        <f>P17+[4]松原工場!R17</f>
        <v>40635000</v>
      </c>
      <c r="S17" s="66">
        <f t="shared" si="6"/>
        <v>0.16441432328545419</v>
      </c>
      <c r="T17" s="48">
        <f t="shared" si="7"/>
        <v>-9550563</v>
      </c>
      <c r="U17" s="225">
        <f t="shared" si="8"/>
        <v>0.76496707272056108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</row>
    <row r="18" spans="1:75" ht="15" customHeight="1" x14ac:dyDescent="0.15">
      <c r="A18" s="3"/>
      <c r="B18" s="148"/>
      <c r="C18" s="234"/>
      <c r="D18" s="175" t="s">
        <v>92</v>
      </c>
      <c r="E18" s="23">
        <f>[2]松原工場!L18</f>
        <v>400000</v>
      </c>
      <c r="F18" s="135">
        <f t="shared" si="9"/>
        <v>1.1352967799180077E-2</v>
      </c>
      <c r="G18" s="23">
        <f>[3]松原工場!L18</f>
        <v>630000</v>
      </c>
      <c r="H18" s="103">
        <f t="shared" si="3"/>
        <v>3.2666636661755954E-2</v>
      </c>
      <c r="I18" s="87">
        <f t="shared" si="1"/>
        <v>1.575</v>
      </c>
      <c r="J18" s="22">
        <f>E18+[4]松原工場!J18</f>
        <v>3600000</v>
      </c>
      <c r="K18" s="102">
        <f t="shared" si="10"/>
        <v>6.7150011704806625E-3</v>
      </c>
      <c r="L18" s="68">
        <f>G18+[4]松原工場!L18</f>
        <v>5670000</v>
      </c>
      <c r="M18" s="128">
        <f t="shared" si="11"/>
        <v>4.1541046821924922E-2</v>
      </c>
      <c r="N18" s="76">
        <f t="shared" si="2"/>
        <v>1.575</v>
      </c>
      <c r="O18" s="18"/>
      <c r="P18" s="22">
        <f>[5]松原工場!L16</f>
        <v>630000</v>
      </c>
      <c r="Q18" s="66">
        <f t="shared" si="4"/>
        <v>2.0757825370675453E-2</v>
      </c>
      <c r="R18" s="22">
        <f>P18+[4]松原工場!R18</f>
        <v>5670000</v>
      </c>
      <c r="S18" s="66">
        <f t="shared" si="6"/>
        <v>2.2941533481691281E-2</v>
      </c>
      <c r="T18" s="48">
        <f t="shared" si="7"/>
        <v>0</v>
      </c>
      <c r="U18" s="225">
        <f t="shared" si="8"/>
        <v>1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</row>
    <row r="19" spans="1:75" ht="15" customHeight="1" x14ac:dyDescent="0.15">
      <c r="A19" s="3"/>
      <c r="B19" s="148"/>
      <c r="C19" s="234"/>
      <c r="D19" s="175" t="s">
        <v>0</v>
      </c>
      <c r="E19" s="23">
        <f>[2]松原工場!L19</f>
        <v>0</v>
      </c>
      <c r="F19" s="135">
        <f t="shared" si="9"/>
        <v>0</v>
      </c>
      <c r="G19" s="23">
        <f>[3]松原工場!L19</f>
        <v>0</v>
      </c>
      <c r="H19" s="103">
        <f t="shared" si="3"/>
        <v>0</v>
      </c>
      <c r="I19" s="87" t="str">
        <f t="shared" si="1"/>
        <v>-</v>
      </c>
      <c r="J19" s="22">
        <f>E19+[4]松原工場!J19</f>
        <v>0</v>
      </c>
      <c r="K19" s="102">
        <f t="shared" si="10"/>
        <v>0</v>
      </c>
      <c r="L19" s="68">
        <f>G19+[4]松原工場!L19</f>
        <v>0</v>
      </c>
      <c r="M19" s="128">
        <f t="shared" si="11"/>
        <v>0</v>
      </c>
      <c r="N19" s="76" t="str">
        <f t="shared" si="2"/>
        <v>-</v>
      </c>
      <c r="O19" s="18"/>
      <c r="P19" s="22">
        <f>[5]松原工場!L17</f>
        <v>0</v>
      </c>
      <c r="Q19" s="66">
        <f t="shared" si="4"/>
        <v>0</v>
      </c>
      <c r="R19" s="22">
        <f>P19+[4]松原工場!R19</f>
        <v>0</v>
      </c>
      <c r="S19" s="66">
        <f t="shared" si="6"/>
        <v>0</v>
      </c>
      <c r="T19" s="48">
        <f t="shared" si="7"/>
        <v>0</v>
      </c>
      <c r="U19" s="225" t="str">
        <f t="shared" si="8"/>
        <v>-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</row>
    <row r="20" spans="1:75" ht="15" customHeight="1" x14ac:dyDescent="0.15">
      <c r="A20" s="3"/>
      <c r="B20" s="148"/>
      <c r="C20" s="234"/>
      <c r="D20" s="175" t="s">
        <v>38</v>
      </c>
      <c r="E20" s="23">
        <f>[2]松原工場!L20</f>
        <v>605634</v>
      </c>
      <c r="F20" s="135">
        <f t="shared" si="9"/>
        <v>1.7189358250221567E-2</v>
      </c>
      <c r="G20" s="23">
        <f>[3]松原工場!L20</f>
        <v>418792</v>
      </c>
      <c r="H20" s="103">
        <f t="shared" si="3"/>
        <v>2.1715120795000157E-2</v>
      </c>
      <c r="I20" s="87">
        <f t="shared" si="1"/>
        <v>0.69149354230442805</v>
      </c>
      <c r="J20" s="22">
        <f>E20+[4]松原工場!J20</f>
        <v>5715140</v>
      </c>
      <c r="K20" s="102">
        <f t="shared" si="10"/>
        <v>1.066032549707246E-2</v>
      </c>
      <c r="L20" s="68">
        <f>G20+[4]松原工場!L20</f>
        <v>6277626</v>
      </c>
      <c r="M20" s="128">
        <f t="shared" si="11"/>
        <v>4.5992796401504984E-2</v>
      </c>
      <c r="N20" s="76">
        <f t="shared" si="2"/>
        <v>1.0984203361597442</v>
      </c>
      <c r="O20" s="18"/>
      <c r="P20" s="22">
        <f>[5]松原工場!L18</f>
        <v>555000</v>
      </c>
      <c r="Q20" s="67">
        <f t="shared" si="4"/>
        <v>1.828665568369028E-2</v>
      </c>
      <c r="R20" s="22">
        <f>P20+[4]松原工場!R20</f>
        <v>6620000</v>
      </c>
      <c r="S20" s="66">
        <f t="shared" si="6"/>
        <v>2.6785353024479062E-2</v>
      </c>
      <c r="T20" s="48">
        <f t="shared" si="7"/>
        <v>-342374</v>
      </c>
      <c r="U20" s="225">
        <f t="shared" si="8"/>
        <v>0.94828187311178247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</row>
    <row r="21" spans="1:75" ht="15" customHeight="1" x14ac:dyDescent="0.15">
      <c r="A21" s="3"/>
      <c r="B21" s="148"/>
      <c r="C21" s="234"/>
      <c r="D21" s="175" t="s">
        <v>39</v>
      </c>
      <c r="E21" s="23">
        <f>[2]松原工場!L21</f>
        <v>180174</v>
      </c>
      <c r="F21" s="135">
        <f t="shared" si="9"/>
        <v>5.1137740506236777E-3</v>
      </c>
      <c r="G21" s="23">
        <f>[3]松原工場!L21</f>
        <v>120039</v>
      </c>
      <c r="H21" s="102">
        <f t="shared" si="3"/>
        <v>6.2242387273659097E-3</v>
      </c>
      <c r="I21" s="76">
        <f t="shared" si="1"/>
        <v>0.66623930200805892</v>
      </c>
      <c r="J21" s="22">
        <f>E21+[4]松原工場!J21</f>
        <v>1709342</v>
      </c>
      <c r="K21" s="102">
        <f t="shared" si="10"/>
        <v>3.1883982029865992E-3</v>
      </c>
      <c r="L21" s="68">
        <f>G21+[4]松原工場!L21</f>
        <v>1474777</v>
      </c>
      <c r="M21" s="128">
        <f t="shared" si="11"/>
        <v>1.0804899543015516E-2</v>
      </c>
      <c r="N21" s="76">
        <f t="shared" si="2"/>
        <v>0.86277468171963245</v>
      </c>
      <c r="O21" s="18"/>
      <c r="P21" s="22">
        <f>[5]松原工場!L19</f>
        <v>194500</v>
      </c>
      <c r="Q21" s="67">
        <f t="shared" si="4"/>
        <v>6.4085667215815489E-3</v>
      </c>
      <c r="R21" s="22">
        <f>P21+[4]松原工場!R21</f>
        <v>1735500</v>
      </c>
      <c r="S21" s="66">
        <f t="shared" si="6"/>
        <v>7.022051385798098E-3</v>
      </c>
      <c r="T21" s="48">
        <f t="shared" si="7"/>
        <v>-260723</v>
      </c>
      <c r="U21" s="225">
        <f t="shared" si="8"/>
        <v>0.84977067127628925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</row>
    <row r="22" spans="1:75" ht="15" customHeight="1" x14ac:dyDescent="0.15">
      <c r="A22" s="3"/>
      <c r="B22" s="148"/>
      <c r="C22" s="234"/>
      <c r="D22" s="175" t="s">
        <v>93</v>
      </c>
      <c r="E22" s="23">
        <f>[2]松原工場!L22</f>
        <v>423850</v>
      </c>
      <c r="F22" s="135">
        <f t="shared" si="9"/>
        <v>1.202988850420619E-2</v>
      </c>
      <c r="G22" s="23">
        <f>[3]松原工場!L22</f>
        <v>337316</v>
      </c>
      <c r="H22" s="102">
        <f t="shared" si="3"/>
        <v>1.7490443193963288E-2</v>
      </c>
      <c r="I22" s="76">
        <f t="shared" si="1"/>
        <v>0.79583815028901739</v>
      </c>
      <c r="J22" s="22">
        <f>E22+[4]松原工場!J22</f>
        <v>6596683</v>
      </c>
      <c r="K22" s="102">
        <f t="shared" si="10"/>
        <v>1.230464835174719E-2</v>
      </c>
      <c r="L22" s="68">
        <f>G22+[4]松原工場!L22</f>
        <v>3019425</v>
      </c>
      <c r="M22" s="128">
        <f t="shared" si="11"/>
        <v>2.2121706402167665E-2</v>
      </c>
      <c r="N22" s="76">
        <f t="shared" si="2"/>
        <v>0.45771867467331689</v>
      </c>
      <c r="O22" s="18"/>
      <c r="P22" s="22">
        <f>[5]松原工場!L20</f>
        <v>335000</v>
      </c>
      <c r="Q22" s="67">
        <f t="shared" si="4"/>
        <v>1.1037891268533773E-2</v>
      </c>
      <c r="R22" s="22">
        <f>P22+[4]松原工場!R22</f>
        <v>3015000</v>
      </c>
      <c r="S22" s="66">
        <f t="shared" si="6"/>
        <v>1.2199069391058063E-2</v>
      </c>
      <c r="T22" s="48">
        <f t="shared" si="7"/>
        <v>4425</v>
      </c>
      <c r="U22" s="225">
        <f t="shared" si="8"/>
        <v>1.0014676616915423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</row>
    <row r="23" spans="1:75" ht="15" customHeight="1" x14ac:dyDescent="0.15">
      <c r="A23" s="3"/>
      <c r="B23" s="148"/>
      <c r="C23" s="234"/>
      <c r="D23" s="175" t="s">
        <v>90</v>
      </c>
      <c r="E23" s="23">
        <f>[2]松原工場!L23</f>
        <v>21500</v>
      </c>
      <c r="F23" s="135">
        <f t="shared" si="9"/>
        <v>6.1022201920592916E-4</v>
      </c>
      <c r="G23" s="23">
        <f>[3]松原工場!L23</f>
        <v>21500</v>
      </c>
      <c r="H23" s="102">
        <f t="shared" si="3"/>
        <v>1.1148137908377031E-3</v>
      </c>
      <c r="I23" s="76">
        <f t="shared" si="1"/>
        <v>1</v>
      </c>
      <c r="J23" s="22">
        <f>E23+[4]松原工場!J23</f>
        <v>209000</v>
      </c>
      <c r="K23" s="102">
        <f t="shared" si="10"/>
        <v>3.8984312350846069E-4</v>
      </c>
      <c r="L23" s="68">
        <f>G23+[4]松原工場!L23</f>
        <v>172000</v>
      </c>
      <c r="M23" s="128">
        <f t="shared" si="11"/>
        <v>1.260151684897899E-3</v>
      </c>
      <c r="N23" s="76">
        <f t="shared" si="2"/>
        <v>0.82296650717703346</v>
      </c>
      <c r="O23" s="18"/>
      <c r="P23" s="22">
        <f>[5]松原工場!L21</f>
        <v>65000</v>
      </c>
      <c r="Q23" s="67">
        <f t="shared" si="4"/>
        <v>2.1416803953871501E-3</v>
      </c>
      <c r="R23" s="22">
        <f>P23+[4]松原工場!R23</f>
        <v>433000</v>
      </c>
      <c r="S23" s="66">
        <f t="shared" si="6"/>
        <v>1.7519724863443254E-3</v>
      </c>
      <c r="T23" s="48">
        <f t="shared" si="7"/>
        <v>-261000</v>
      </c>
      <c r="U23" s="225">
        <f t="shared" si="8"/>
        <v>0.39722863741339492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</row>
    <row r="24" spans="1:75" ht="15" customHeight="1" x14ac:dyDescent="0.15">
      <c r="A24" s="3"/>
      <c r="B24" s="148"/>
      <c r="C24" s="235"/>
      <c r="D24" s="189" t="s">
        <v>37</v>
      </c>
      <c r="E24" s="62">
        <f>SUM(E17:E23)</f>
        <v>6502980</v>
      </c>
      <c r="F24" s="136">
        <f>E24/$E$10</f>
        <v>0.18457030634678015</v>
      </c>
      <c r="G24" s="62">
        <f>SUM(G17:G23)</f>
        <v>4478255</v>
      </c>
      <c r="H24" s="118">
        <f t="shared" si="3"/>
        <v>0.23220560152966971</v>
      </c>
      <c r="I24" s="117">
        <f t="shared" si="1"/>
        <v>0.68864658971732962</v>
      </c>
      <c r="J24" s="176">
        <f>SUM(J17:J23)</f>
        <v>57245702</v>
      </c>
      <c r="K24" s="118">
        <f t="shared" si="10"/>
        <v>0.10677915442638533</v>
      </c>
      <c r="L24" s="62">
        <f>SUM(L17:L23)</f>
        <v>47698265</v>
      </c>
      <c r="M24" s="118">
        <f t="shared" si="11"/>
        <v>0.34945958724684001</v>
      </c>
      <c r="N24" s="117">
        <f>IF(J24,L24/J24,"-")</f>
        <v>0.83322002060521505</v>
      </c>
      <c r="O24" s="55"/>
      <c r="P24" s="64">
        <f>SUM(P17:P23)</f>
        <v>6294500</v>
      </c>
      <c r="Q24" s="63">
        <f t="shared" si="4"/>
        <v>0.20739703459637562</v>
      </c>
      <c r="R24" s="64">
        <f>SUM(R17:R23)</f>
        <v>58108500</v>
      </c>
      <c r="S24" s="63">
        <f t="shared" si="6"/>
        <v>0.235114303054825</v>
      </c>
      <c r="T24" s="48">
        <f t="shared" si="7"/>
        <v>-10410235</v>
      </c>
      <c r="U24" s="225">
        <f t="shared" si="8"/>
        <v>0.82084832683686548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</row>
    <row r="25" spans="1:75" ht="15" customHeight="1" x14ac:dyDescent="0.15">
      <c r="A25" s="3"/>
      <c r="B25" s="148"/>
      <c r="C25" s="288" t="s">
        <v>2</v>
      </c>
      <c r="D25" s="195" t="s">
        <v>40</v>
      </c>
      <c r="E25" s="23">
        <f>[2]松原工場!L25</f>
        <v>255066</v>
      </c>
      <c r="F25" s="138">
        <f t="shared" si="9"/>
        <v>7.2393902116641637E-3</v>
      </c>
      <c r="G25" s="23">
        <f>[3]松原工場!L25</f>
        <v>0</v>
      </c>
      <c r="H25" s="101">
        <f t="shared" si="3"/>
        <v>0</v>
      </c>
      <c r="I25" s="76">
        <f t="shared" si="1"/>
        <v>0</v>
      </c>
      <c r="J25" s="22">
        <f>E25+[4]松原工場!J25</f>
        <v>2335185</v>
      </c>
      <c r="K25" s="102">
        <f t="shared" si="10"/>
        <v>4.3557694467469127E-3</v>
      </c>
      <c r="L25" s="68">
        <f>G25+[4]松原工場!L25</f>
        <v>0</v>
      </c>
      <c r="M25" s="128">
        <f t="shared" si="11"/>
        <v>0</v>
      </c>
      <c r="N25" s="76">
        <f t="shared" si="2"/>
        <v>0</v>
      </c>
      <c r="O25" s="18"/>
      <c r="P25" s="22">
        <f>[5]松原工場!L23</f>
        <v>0</v>
      </c>
      <c r="Q25" s="67">
        <f t="shared" si="4"/>
        <v>0</v>
      </c>
      <c r="R25" s="22">
        <f>P25+[4]松原工場!R25</f>
        <v>0</v>
      </c>
      <c r="S25" s="66">
        <f t="shared" si="6"/>
        <v>0</v>
      </c>
      <c r="T25" s="48">
        <f t="shared" si="7"/>
        <v>0</v>
      </c>
      <c r="U25" s="225" t="str">
        <f t="shared" si="8"/>
        <v>-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</row>
    <row r="26" spans="1:75" ht="15" customHeight="1" x14ac:dyDescent="0.15">
      <c r="A26" s="3"/>
      <c r="B26" s="148"/>
      <c r="C26" s="289"/>
      <c r="D26" s="195" t="s">
        <v>41</v>
      </c>
      <c r="E26" s="23">
        <f>[2]松原工場!L26</f>
        <v>6336035</v>
      </c>
      <c r="F26" s="138">
        <f t="shared" si="9"/>
        <v>0.17983200332369487</v>
      </c>
      <c r="G26" s="23">
        <f>[3]松原工場!L26</f>
        <v>625065</v>
      </c>
      <c r="H26" s="101">
        <f t="shared" si="3"/>
        <v>3.2410748007905534E-2</v>
      </c>
      <c r="I26" s="76">
        <f t="shared" si="1"/>
        <v>9.8652390651251143E-2</v>
      </c>
      <c r="J26" s="22">
        <f>E26+[4]松原工場!J26</f>
        <v>44706881</v>
      </c>
      <c r="K26" s="102">
        <f t="shared" si="10"/>
        <v>8.3390766178761025E-2</v>
      </c>
      <c r="L26" s="68">
        <f>G26+[4]松原工場!L26</f>
        <v>5197502</v>
      </c>
      <c r="M26" s="128">
        <f t="shared" si="11"/>
        <v>3.8079307573024419E-2</v>
      </c>
      <c r="N26" s="76">
        <f t="shared" si="2"/>
        <v>0.1162573161836094</v>
      </c>
      <c r="O26" s="18"/>
      <c r="P26" s="22">
        <f>[5]松原工場!L24</f>
        <v>500000</v>
      </c>
      <c r="Q26" s="67">
        <f t="shared" si="4"/>
        <v>1.6474464579901153E-2</v>
      </c>
      <c r="R26" s="22">
        <f>P26+[4]松原工場!R26</f>
        <v>4000000</v>
      </c>
      <c r="S26" s="66">
        <f t="shared" si="6"/>
        <v>1.6184503338053813E-2</v>
      </c>
      <c r="T26" s="48">
        <f t="shared" si="7"/>
        <v>1197502</v>
      </c>
      <c r="U26" s="225">
        <f t="shared" si="8"/>
        <v>1.2993755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</row>
    <row r="27" spans="1:75" ht="15" customHeight="1" x14ac:dyDescent="0.15">
      <c r="A27" s="3"/>
      <c r="B27" s="148"/>
      <c r="C27" s="289"/>
      <c r="D27" s="195" t="s">
        <v>42</v>
      </c>
      <c r="E27" s="23">
        <f>[2]松原工場!L27</f>
        <v>575833</v>
      </c>
      <c r="F27" s="134">
        <f t="shared" si="9"/>
        <v>1.6343533766763153E-2</v>
      </c>
      <c r="G27" s="23">
        <f>[3]松原工場!L27</f>
        <v>371398</v>
      </c>
      <c r="H27" s="101">
        <f t="shared" si="3"/>
        <v>1.9257656385560061E-2</v>
      </c>
      <c r="I27" s="76">
        <f t="shared" si="1"/>
        <v>0.64497519246031398</v>
      </c>
      <c r="J27" s="22">
        <f>E27+[4]松原工場!J27</f>
        <v>4539333</v>
      </c>
      <c r="K27" s="102">
        <f t="shared" si="10"/>
        <v>8.4671184467226372E-3</v>
      </c>
      <c r="L27" s="68">
        <f>G27+[4]松原工場!L27</f>
        <v>3633073</v>
      </c>
      <c r="M27" s="128">
        <f t="shared" si="11"/>
        <v>2.6617575943645725E-2</v>
      </c>
      <c r="N27" s="76">
        <f t="shared" si="2"/>
        <v>0.80035392864986987</v>
      </c>
      <c r="O27" s="18"/>
      <c r="P27" s="22">
        <f>[5]松原工場!L25</f>
        <v>600000</v>
      </c>
      <c r="Q27" s="67">
        <f t="shared" si="4"/>
        <v>1.9769357495881382E-2</v>
      </c>
      <c r="R27" s="22">
        <f>P27+[4]松原工場!R27</f>
        <v>5400000</v>
      </c>
      <c r="S27" s="66">
        <f t="shared" si="6"/>
        <v>2.1849079506372649E-2</v>
      </c>
      <c r="T27" s="48">
        <f t="shared" si="7"/>
        <v>-1766927</v>
      </c>
      <c r="U27" s="225">
        <f t="shared" si="8"/>
        <v>0.6727912962962963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</row>
    <row r="28" spans="1:75" ht="15" customHeight="1" x14ac:dyDescent="0.15">
      <c r="A28" s="3"/>
      <c r="B28" s="148"/>
      <c r="C28" s="289"/>
      <c r="D28" s="195" t="s">
        <v>43</v>
      </c>
      <c r="E28" s="23">
        <f>[2]松原工場!L28</f>
        <v>135290</v>
      </c>
      <c r="F28" s="134">
        <f t="shared" si="9"/>
        <v>3.8398575338776816E-3</v>
      </c>
      <c r="G28" s="23">
        <f>[3]松原工場!L28</f>
        <v>75900</v>
      </c>
      <c r="H28" s="101">
        <f t="shared" si="3"/>
        <v>3.9355519406782174E-3</v>
      </c>
      <c r="I28" s="76">
        <f t="shared" si="1"/>
        <v>0.5610170744327001</v>
      </c>
      <c r="J28" s="22">
        <f>E28+[4]松原工場!J28</f>
        <v>1052780</v>
      </c>
      <c r="K28" s="102">
        <f t="shared" si="10"/>
        <v>1.963727481182953E-3</v>
      </c>
      <c r="L28" s="68">
        <f>G28+[4]松原工場!L28</f>
        <v>802540</v>
      </c>
      <c r="M28" s="128">
        <f t="shared" si="11"/>
        <v>5.8797798441741853E-3</v>
      </c>
      <c r="N28" s="76">
        <f t="shared" si="2"/>
        <v>0.76230551492239595</v>
      </c>
      <c r="O28" s="18"/>
      <c r="P28" s="22">
        <f>[5]松原工場!L26</f>
        <v>120000</v>
      </c>
      <c r="Q28" s="67">
        <f t="shared" si="4"/>
        <v>3.953871499176277E-3</v>
      </c>
      <c r="R28" s="22">
        <f>P28+[4]松原工場!R28</f>
        <v>1080000</v>
      </c>
      <c r="S28" s="66">
        <f t="shared" si="6"/>
        <v>4.3698159012745298E-3</v>
      </c>
      <c r="T28" s="48">
        <f t="shared" si="7"/>
        <v>-277460</v>
      </c>
      <c r="U28" s="225">
        <f t="shared" si="8"/>
        <v>0.74309259259259264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</row>
    <row r="29" spans="1:75" ht="15" customHeight="1" x14ac:dyDescent="0.15">
      <c r="A29" s="3"/>
      <c r="B29" s="148"/>
      <c r="C29" s="289"/>
      <c r="D29" s="195" t="s">
        <v>44</v>
      </c>
      <c r="E29" s="23">
        <f>[2]松原工場!L29</f>
        <v>246191</v>
      </c>
      <c r="F29" s="134">
        <f t="shared" si="9"/>
        <v>6.9874962386198558E-3</v>
      </c>
      <c r="G29" s="23">
        <f>[3]松原工場!L29</f>
        <v>1152754</v>
      </c>
      <c r="H29" s="101">
        <f t="shared" si="3"/>
        <v>5.9772374727596549E-2</v>
      </c>
      <c r="I29" s="76">
        <f t="shared" si="1"/>
        <v>4.6823563818336167</v>
      </c>
      <c r="J29" s="22">
        <f>E29+[4]松原工場!J29</f>
        <v>9358948</v>
      </c>
      <c r="K29" s="102">
        <f t="shared" si="10"/>
        <v>1.745704077068546E-2</v>
      </c>
      <c r="L29" s="68">
        <f>G29+[4]松原工場!L29</f>
        <v>8383829</v>
      </c>
      <c r="M29" s="128">
        <f t="shared" si="11"/>
        <v>6.1423815350266669E-2</v>
      </c>
      <c r="N29" s="76">
        <f t="shared" si="2"/>
        <v>0.89580890929194179</v>
      </c>
      <c r="O29" s="18"/>
      <c r="P29" s="22">
        <f>[5]松原工場!L27</f>
        <v>850000</v>
      </c>
      <c r="Q29" s="67">
        <f t="shared" si="4"/>
        <v>2.800658978583196E-2</v>
      </c>
      <c r="R29" s="22">
        <f>P29+[4]松原工場!R29</f>
        <v>6800000</v>
      </c>
      <c r="S29" s="66">
        <f t="shared" si="6"/>
        <v>2.7513655674691481E-2</v>
      </c>
      <c r="T29" s="48">
        <f t="shared" si="7"/>
        <v>1583829</v>
      </c>
      <c r="U29" s="225">
        <f>IF(L29,L29/R29,"-")</f>
        <v>1.2329160294117647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</row>
    <row r="30" spans="1:75" ht="15" customHeight="1" x14ac:dyDescent="0.15">
      <c r="A30" s="3"/>
      <c r="B30" s="148"/>
      <c r="C30" s="289"/>
      <c r="D30" s="195" t="s">
        <v>45</v>
      </c>
      <c r="E30" s="23">
        <f>[2]松原工場!L30</f>
        <v>771419</v>
      </c>
      <c r="F30" s="134">
        <f t="shared" si="9"/>
        <v>2.1894737666689239E-2</v>
      </c>
      <c r="G30" s="23">
        <f>[3]松原工場!L30</f>
        <v>63800</v>
      </c>
      <c r="H30" s="101">
        <f t="shared" si="3"/>
        <v>3.3081451095556031E-3</v>
      </c>
      <c r="I30" s="87">
        <f t="shared" si="1"/>
        <v>8.2704729854981535E-2</v>
      </c>
      <c r="J30" s="22">
        <f>E30+[4]松原工場!J30</f>
        <v>9232377</v>
      </c>
      <c r="K30" s="102">
        <f t="shared" si="10"/>
        <v>1.7220950655921875E-2</v>
      </c>
      <c r="L30" s="68">
        <f>G30+[4]松原工場!L30</f>
        <v>2317040</v>
      </c>
      <c r="M30" s="128">
        <f t="shared" si="11"/>
        <v>1.6975708488231558E-2</v>
      </c>
      <c r="N30" s="76">
        <f t="shared" si="2"/>
        <v>0.25096895414907777</v>
      </c>
      <c r="O30" s="18"/>
      <c r="P30" s="22">
        <f>[5]松原工場!L28</f>
        <v>600000</v>
      </c>
      <c r="Q30" s="67">
        <f t="shared" si="4"/>
        <v>1.9769357495881382E-2</v>
      </c>
      <c r="R30" s="22">
        <f>P30+[4]松原工場!R30</f>
        <v>4800000</v>
      </c>
      <c r="S30" s="66">
        <f t="shared" si="6"/>
        <v>1.9421404005664576E-2</v>
      </c>
      <c r="T30" s="48">
        <f t="shared" si="7"/>
        <v>-2482960</v>
      </c>
      <c r="U30" s="225">
        <f t="shared" si="8"/>
        <v>0.48271666666666668</v>
      </c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</row>
    <row r="31" spans="1:75" ht="15" customHeight="1" x14ac:dyDescent="0.15">
      <c r="A31" s="3"/>
      <c r="B31" s="148"/>
      <c r="C31" s="289"/>
      <c r="D31" s="195" t="s">
        <v>46</v>
      </c>
      <c r="E31" s="23">
        <f>[2]松原工場!L31</f>
        <v>2150000</v>
      </c>
      <c r="F31" s="134">
        <f t="shared" si="9"/>
        <v>6.1022201920592913E-2</v>
      </c>
      <c r="G31" s="23">
        <f>[3]松原工場!L31</f>
        <v>2200000</v>
      </c>
      <c r="H31" s="101">
        <f t="shared" si="3"/>
        <v>0.1140739692950208</v>
      </c>
      <c r="I31" s="76">
        <f t="shared" si="1"/>
        <v>1.0232558139534884</v>
      </c>
      <c r="J31" s="22">
        <f>E31+[4]松原工場!J31</f>
        <v>19350000</v>
      </c>
      <c r="K31" s="102">
        <f t="shared" si="10"/>
        <v>3.6093131291333562E-2</v>
      </c>
      <c r="L31" s="68">
        <f>G31+[4]松原工場!L31</f>
        <v>19800000</v>
      </c>
      <c r="M31" s="128">
        <f t="shared" si="11"/>
        <v>0.14506397302894419</v>
      </c>
      <c r="N31" s="76">
        <f t="shared" si="2"/>
        <v>1.0232558139534884</v>
      </c>
      <c r="O31" s="18"/>
      <c r="P31" s="22">
        <f>[5]松原工場!L29</f>
        <v>2200000</v>
      </c>
      <c r="Q31" s="67">
        <f t="shared" si="4"/>
        <v>7.248764415156507E-2</v>
      </c>
      <c r="R31" s="22">
        <f>P31+[4]松原工場!R31</f>
        <v>19800000</v>
      </c>
      <c r="S31" s="66">
        <f t="shared" si="6"/>
        <v>8.0113291523366381E-2</v>
      </c>
      <c r="T31" s="48">
        <f t="shared" si="7"/>
        <v>0</v>
      </c>
      <c r="U31" s="225">
        <f t="shared" si="8"/>
        <v>1</v>
      </c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</row>
    <row r="32" spans="1:75" ht="15" customHeight="1" x14ac:dyDescent="0.15">
      <c r="A32" s="3"/>
      <c r="B32" s="148"/>
      <c r="C32" s="289"/>
      <c r="D32" s="195" t="s">
        <v>47</v>
      </c>
      <c r="E32" s="23">
        <f>[2]松原工場!L32</f>
        <v>1160412</v>
      </c>
      <c r="F32" s="134">
        <f t="shared" si="9"/>
        <v>3.2935300174455381E-2</v>
      </c>
      <c r="G32" s="23">
        <f>[3]松原工場!L32</f>
        <v>1160412</v>
      </c>
      <c r="H32" s="101">
        <f t="shared" si="3"/>
        <v>6.0169455844351669E-2</v>
      </c>
      <c r="I32" s="76">
        <f t="shared" si="1"/>
        <v>1</v>
      </c>
      <c r="J32" s="22">
        <f>E32+[4]松原工場!J32</f>
        <v>10313708</v>
      </c>
      <c r="K32" s="102">
        <f t="shared" si="10"/>
        <v>1.9237933692221047E-2</v>
      </c>
      <c r="L32" s="68">
        <f>G32+[4]松原工場!L32</f>
        <v>10443708</v>
      </c>
      <c r="M32" s="128">
        <f t="shared" si="11"/>
        <v>7.6515443213846901E-2</v>
      </c>
      <c r="N32" s="76">
        <f t="shared" si="2"/>
        <v>1.0126045841127167</v>
      </c>
      <c r="O32" s="18"/>
      <c r="P32" s="22">
        <f>[5]松原工場!L30</f>
        <v>1175000</v>
      </c>
      <c r="Q32" s="67">
        <f t="shared" si="4"/>
        <v>3.8714991762767707E-2</v>
      </c>
      <c r="R32" s="22">
        <f>P32+[4]松原工場!R32</f>
        <v>10575000</v>
      </c>
      <c r="S32" s="66">
        <f t="shared" si="6"/>
        <v>4.2787780699979766E-2</v>
      </c>
      <c r="T32" s="48">
        <f t="shared" si="7"/>
        <v>-131292</v>
      </c>
      <c r="U32" s="225">
        <f t="shared" si="8"/>
        <v>0.98758468085106388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</row>
    <row r="33" spans="1:75" ht="15" customHeight="1" x14ac:dyDescent="0.15">
      <c r="A33" s="3"/>
      <c r="B33" s="148"/>
      <c r="C33" s="289"/>
      <c r="D33" s="195" t="s">
        <v>22</v>
      </c>
      <c r="E33" s="23">
        <f>[2]松原工場!L33</f>
        <v>50325</v>
      </c>
      <c r="F33" s="134">
        <f t="shared" si="9"/>
        <v>1.4283452612343435E-3</v>
      </c>
      <c r="G33" s="23">
        <f>[3]松原工場!L33</f>
        <v>50325</v>
      </c>
      <c r="H33" s="101">
        <f t="shared" si="3"/>
        <v>2.6094420476236008E-3</v>
      </c>
      <c r="I33" s="76">
        <f t="shared" si="1"/>
        <v>1</v>
      </c>
      <c r="J33" s="22">
        <f>E33+[4]松原工場!J33</f>
        <v>401775</v>
      </c>
      <c r="K33" s="102">
        <f t="shared" si="10"/>
        <v>7.4942210979718558E-4</v>
      </c>
      <c r="L33" s="68">
        <f>G33+[4]松原工場!L33</f>
        <v>401775</v>
      </c>
      <c r="M33" s="128">
        <f t="shared" si="11"/>
        <v>2.943589786045659E-3</v>
      </c>
      <c r="N33" s="76">
        <f t="shared" si="2"/>
        <v>1</v>
      </c>
      <c r="O33" s="18"/>
      <c r="P33" s="22">
        <f>[5]松原工場!L31</f>
        <v>50000</v>
      </c>
      <c r="Q33" s="67">
        <f t="shared" si="4"/>
        <v>1.6474464579901153E-3</v>
      </c>
      <c r="R33" s="22">
        <f>P33+[4]松原工場!R33</f>
        <v>450000</v>
      </c>
      <c r="S33" s="66">
        <f t="shared" si="6"/>
        <v>1.820756625531054E-3</v>
      </c>
      <c r="T33" s="48">
        <f t="shared" si="7"/>
        <v>-48225</v>
      </c>
      <c r="U33" s="225">
        <f t="shared" si="8"/>
        <v>0.89283333333333337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</row>
    <row r="34" spans="1:75" ht="15" customHeight="1" x14ac:dyDescent="0.15">
      <c r="A34" s="3"/>
      <c r="B34" s="148"/>
      <c r="C34" s="289"/>
      <c r="D34" s="195" t="s">
        <v>19</v>
      </c>
      <c r="E34" s="23">
        <f>[2]松原工場!L34</f>
        <v>25075</v>
      </c>
      <c r="F34" s="134">
        <f t="shared" si="9"/>
        <v>7.1168916891110108E-4</v>
      </c>
      <c r="G34" s="23">
        <f>[3]松原工場!L34</f>
        <v>13986</v>
      </c>
      <c r="H34" s="101">
        <f t="shared" si="3"/>
        <v>7.2519933389098218E-4</v>
      </c>
      <c r="I34" s="76">
        <f t="shared" si="1"/>
        <v>0.55776669990029915</v>
      </c>
      <c r="J34" s="22">
        <f>E34+[4]松原工場!J34</f>
        <v>225675</v>
      </c>
      <c r="K34" s="102">
        <f t="shared" si="10"/>
        <v>4.2094663587450654E-4</v>
      </c>
      <c r="L34" s="68">
        <f>G34+[4]松原工場!L34</f>
        <v>125874</v>
      </c>
      <c r="M34" s="128">
        <f t="shared" si="11"/>
        <v>9.2221123944673331E-4</v>
      </c>
      <c r="N34" s="76">
        <f t="shared" si="2"/>
        <v>0.55776669990029915</v>
      </c>
      <c r="O34" s="18"/>
      <c r="P34" s="22">
        <f>[5]松原工場!L32</f>
        <v>22000</v>
      </c>
      <c r="Q34" s="67">
        <f t="shared" si="4"/>
        <v>7.248764415156507E-4</v>
      </c>
      <c r="R34" s="22">
        <f>P34+[4]松原工場!R34</f>
        <v>198000</v>
      </c>
      <c r="S34" s="66">
        <f t="shared" si="6"/>
        <v>8.0113291523366379E-4</v>
      </c>
      <c r="T34" s="48">
        <f t="shared" si="7"/>
        <v>-72126</v>
      </c>
      <c r="U34" s="225">
        <f t="shared" si="8"/>
        <v>0.6357272727272727</v>
      </c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</row>
    <row r="35" spans="1:75" ht="15" customHeight="1" x14ac:dyDescent="0.15">
      <c r="A35" s="3"/>
      <c r="B35" s="148"/>
      <c r="C35" s="289"/>
      <c r="D35" s="195" t="s">
        <v>48</v>
      </c>
      <c r="E35" s="23">
        <f>[2]松原工場!L35</f>
        <v>7333</v>
      </c>
      <c r="F35" s="134">
        <f t="shared" si="9"/>
        <v>2.0812828217846877E-4</v>
      </c>
      <c r="G35" s="23">
        <f>[3]松原工場!L35</f>
        <v>9933</v>
      </c>
      <c r="H35" s="101">
        <f t="shared" si="3"/>
        <v>5.1504397136701891E-4</v>
      </c>
      <c r="I35" s="76">
        <f t="shared" si="1"/>
        <v>1.354561570980499</v>
      </c>
      <c r="J35" s="22">
        <f>E35+[4]松原工場!J35</f>
        <v>14686</v>
      </c>
      <c r="K35" s="102">
        <f t="shared" si="10"/>
        <v>2.7393474219355279E-5</v>
      </c>
      <c r="L35" s="68">
        <f>G35+[4]松原工場!L35</f>
        <v>247797</v>
      </c>
      <c r="M35" s="128">
        <f t="shared" si="11"/>
        <v>1.8154756224572364E-3</v>
      </c>
      <c r="N35" s="76">
        <f t="shared" si="2"/>
        <v>16.873008307231377</v>
      </c>
      <c r="O35" s="18"/>
      <c r="P35" s="22">
        <f>[5]松原工場!L33</f>
        <v>10000</v>
      </c>
      <c r="Q35" s="67">
        <f t="shared" si="4"/>
        <v>3.2948929159802305E-4</v>
      </c>
      <c r="R35" s="22">
        <f>P35+[4]松原工場!R35</f>
        <v>90000</v>
      </c>
      <c r="S35" s="66">
        <f t="shared" si="6"/>
        <v>3.6415132510621078E-4</v>
      </c>
      <c r="T35" s="48">
        <f t="shared" si="7"/>
        <v>157797</v>
      </c>
      <c r="U35" s="225">
        <f t="shared" si="8"/>
        <v>2.7532999999999999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</row>
    <row r="36" spans="1:75" ht="15" customHeight="1" x14ac:dyDescent="0.15">
      <c r="A36" s="3"/>
      <c r="B36" s="148"/>
      <c r="C36" s="289"/>
      <c r="D36" s="195" t="s">
        <v>49</v>
      </c>
      <c r="E36" s="23">
        <f>[2]松原工場!L36</f>
        <v>440000</v>
      </c>
      <c r="F36" s="134">
        <f t="shared" si="9"/>
        <v>1.2488264579098084E-2</v>
      </c>
      <c r="G36" s="23">
        <f>[3]松原工場!L36</f>
        <v>0</v>
      </c>
      <c r="H36" s="101">
        <f t="shared" si="3"/>
        <v>0</v>
      </c>
      <c r="I36" s="76">
        <f t="shared" si="1"/>
        <v>0</v>
      </c>
      <c r="J36" s="22">
        <f>E36+[4]松原工場!J36</f>
        <v>3136628</v>
      </c>
      <c r="K36" s="102">
        <f t="shared" si="10"/>
        <v>5.8506835253784497E-3</v>
      </c>
      <c r="L36" s="68">
        <f>G36+[4]松原工場!L36</f>
        <v>264000</v>
      </c>
      <c r="M36" s="128">
        <f t="shared" si="11"/>
        <v>1.9341863070525891E-3</v>
      </c>
      <c r="N36" s="76">
        <f t="shared" si="2"/>
        <v>8.4166818634533652E-2</v>
      </c>
      <c r="O36" s="18"/>
      <c r="P36" s="22">
        <f>[5]松原工場!L34</f>
        <v>300000</v>
      </c>
      <c r="Q36" s="67">
        <f t="shared" si="4"/>
        <v>9.8846787479406912E-3</v>
      </c>
      <c r="R36" s="22">
        <f>P36+[4]松原工場!R36</f>
        <v>2700000</v>
      </c>
      <c r="S36" s="66">
        <f t="shared" si="6"/>
        <v>1.0924539753186325E-2</v>
      </c>
      <c r="T36" s="48">
        <f t="shared" si="7"/>
        <v>-2436000</v>
      </c>
      <c r="U36" s="225">
        <f t="shared" si="8"/>
        <v>9.7777777777777783E-2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</row>
    <row r="37" spans="1:75" ht="15" customHeight="1" x14ac:dyDescent="0.15">
      <c r="A37" s="3"/>
      <c r="B37" s="148"/>
      <c r="C37" s="289"/>
      <c r="D37" s="195" t="s">
        <v>94</v>
      </c>
      <c r="E37" s="23">
        <f>[2]松原工場!L37</f>
        <v>352000</v>
      </c>
      <c r="F37" s="134">
        <f t="shared" si="9"/>
        <v>9.9906116632784685E-3</v>
      </c>
      <c r="G37" s="23">
        <f>[3]松原工場!L37</f>
        <v>167000</v>
      </c>
      <c r="H37" s="101">
        <f t="shared" si="3"/>
        <v>8.6592513055765794E-3</v>
      </c>
      <c r="I37" s="76">
        <f t="shared" si="1"/>
        <v>0.47443181818181818</v>
      </c>
      <c r="J37" s="22">
        <f>E37+[4]松原工場!J37</f>
        <v>2333000</v>
      </c>
      <c r="K37" s="102">
        <f t="shared" si="10"/>
        <v>4.3516938140920518E-3</v>
      </c>
      <c r="L37" s="68">
        <f>G37+[4]松原工場!L37</f>
        <v>2428000</v>
      </c>
      <c r="M37" s="128">
        <f t="shared" si="11"/>
        <v>1.7788652854256386E-2</v>
      </c>
      <c r="N37" s="76">
        <f t="shared" si="2"/>
        <v>1.0407201028718389</v>
      </c>
      <c r="O37" s="18"/>
      <c r="P37" s="22">
        <f>[5]松原工場!L35</f>
        <v>167000</v>
      </c>
      <c r="Q37" s="67">
        <f t="shared" si="4"/>
        <v>5.502471169686985E-3</v>
      </c>
      <c r="R37" s="22">
        <f>P37+[4]松原工場!R37</f>
        <v>2428000</v>
      </c>
      <c r="S37" s="66">
        <f t="shared" si="6"/>
        <v>9.8239935261986641E-3</v>
      </c>
      <c r="T37" s="48">
        <f t="shared" ref="T37:T39" si="12">L37-R37</f>
        <v>0</v>
      </c>
      <c r="U37" s="225">
        <f t="shared" si="8"/>
        <v>1</v>
      </c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</row>
    <row r="38" spans="1:75" ht="15" customHeight="1" x14ac:dyDescent="0.15">
      <c r="A38" s="3"/>
      <c r="B38" s="148"/>
      <c r="C38" s="289"/>
      <c r="D38" s="195" t="s">
        <v>18</v>
      </c>
      <c r="E38" s="23">
        <f>[2]松原工場!L38</f>
        <v>0</v>
      </c>
      <c r="F38" s="134">
        <f t="shared" ref="F38:F39" si="13">E38/$E$10</f>
        <v>0</v>
      </c>
      <c r="G38" s="23">
        <f>[3]松原工場!L38</f>
        <v>0</v>
      </c>
      <c r="H38" s="101">
        <f t="shared" ref="H38:H39" si="14">G38/$G$10</f>
        <v>0</v>
      </c>
      <c r="I38" s="76" t="str">
        <f t="shared" ref="I38:I39" si="15">IF(E38,G38/E38,"-")</f>
        <v>-</v>
      </c>
      <c r="J38" s="22">
        <f>E38+[4]松原工場!J38</f>
        <v>0</v>
      </c>
      <c r="K38" s="102">
        <f t="shared" ref="K38:K39" si="16">J38/$J$10</f>
        <v>0</v>
      </c>
      <c r="L38" s="68">
        <f>G38+[4]松原工場!L38</f>
        <v>0</v>
      </c>
      <c r="M38" s="128">
        <f t="shared" ref="M38:M39" si="17">L38/$L$10</f>
        <v>0</v>
      </c>
      <c r="N38" s="76" t="str">
        <f t="shared" ref="N38:N39" si="18">IF(J38,L38/J38,"-")</f>
        <v>-</v>
      </c>
      <c r="O38" s="18"/>
      <c r="P38" s="22">
        <f>[5]松原工場!L36</f>
        <v>25000</v>
      </c>
      <c r="Q38" s="67">
        <f t="shared" ref="Q38:Q39" si="19">P38/$P$10</f>
        <v>8.2372322899505767E-4</v>
      </c>
      <c r="R38" s="22">
        <f>P38+[4]松原工場!R38</f>
        <v>225000</v>
      </c>
      <c r="S38" s="66">
        <f t="shared" ref="S38:S39" si="20">R38/$R$10</f>
        <v>9.1037831276552701E-4</v>
      </c>
      <c r="T38" s="48">
        <f>L38-R38</f>
        <v>-225000</v>
      </c>
      <c r="U38" s="225" t="str">
        <f>IF(L38,L38/R38,"-")</f>
        <v>-</v>
      </c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</row>
    <row r="39" spans="1:75" ht="15" customHeight="1" x14ac:dyDescent="0.15">
      <c r="A39" s="3"/>
      <c r="B39" s="148"/>
      <c r="C39" s="289"/>
      <c r="D39" s="195" t="s">
        <v>104</v>
      </c>
      <c r="E39" s="23">
        <f>[2]松原工場!L39</f>
        <v>0</v>
      </c>
      <c r="F39" s="134">
        <f t="shared" si="13"/>
        <v>0</v>
      </c>
      <c r="G39" s="23">
        <f>[3]松原工場!L39</f>
        <v>0</v>
      </c>
      <c r="H39" s="101">
        <f t="shared" si="14"/>
        <v>0</v>
      </c>
      <c r="I39" s="76" t="str">
        <f t="shared" si="15"/>
        <v>-</v>
      </c>
      <c r="J39" s="22">
        <f>E39+[4]松原工場!J39</f>
        <v>0</v>
      </c>
      <c r="K39" s="102">
        <f t="shared" si="16"/>
        <v>0</v>
      </c>
      <c r="L39" s="68">
        <f>G39+[4]松原工場!L39</f>
        <v>0</v>
      </c>
      <c r="M39" s="128">
        <f t="shared" si="17"/>
        <v>0</v>
      </c>
      <c r="N39" s="76" t="str">
        <f t="shared" si="18"/>
        <v>-</v>
      </c>
      <c r="O39" s="18"/>
      <c r="P39" s="22">
        <f>[5]松原工場!L37</f>
        <v>0</v>
      </c>
      <c r="Q39" s="67">
        <f t="shared" si="19"/>
        <v>0</v>
      </c>
      <c r="R39" s="22">
        <f>P39+[4]松原工場!R39</f>
        <v>0</v>
      </c>
      <c r="S39" s="66">
        <f t="shared" si="20"/>
        <v>0</v>
      </c>
      <c r="T39" s="48">
        <f t="shared" si="12"/>
        <v>0</v>
      </c>
      <c r="U39" s="225" t="str">
        <f t="shared" si="8"/>
        <v>-</v>
      </c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</row>
    <row r="40" spans="1:75" ht="15" customHeight="1" x14ac:dyDescent="0.15">
      <c r="A40" s="3"/>
      <c r="B40" s="148"/>
      <c r="C40" s="290"/>
      <c r="D40" s="190" t="s">
        <v>3</v>
      </c>
      <c r="E40" s="183">
        <f>SUM(E25:E39)</f>
        <v>12504979</v>
      </c>
      <c r="F40" s="137">
        <f>E40/$E$10</f>
        <v>0.35492155979105772</v>
      </c>
      <c r="G40" s="183">
        <f>SUM(G25:G39)</f>
        <v>5890573</v>
      </c>
      <c r="H40" s="104">
        <f t="shared" si="3"/>
        <v>0.30543683796912663</v>
      </c>
      <c r="I40" s="116">
        <f t="shared" si="1"/>
        <v>0.47105820809455179</v>
      </c>
      <c r="J40" s="183">
        <f>SUM(J25:J39)</f>
        <v>107000976</v>
      </c>
      <c r="K40" s="196">
        <f t="shared" si="10"/>
        <v>0.19958657752293701</v>
      </c>
      <c r="L40" s="183">
        <f>SUM(L25:L39)</f>
        <v>54045138</v>
      </c>
      <c r="M40" s="104">
        <f t="shared" si="11"/>
        <v>0.39595971925139223</v>
      </c>
      <c r="N40" s="116">
        <f>IF(J40,L40/J40,"-")</f>
        <v>0.50509014048619516</v>
      </c>
      <c r="O40" s="55"/>
      <c r="P40" s="65">
        <f>SUM(P25:P39)</f>
        <v>6619000</v>
      </c>
      <c r="Q40" s="60">
        <f t="shared" si="4"/>
        <v>0.21808896210873147</v>
      </c>
      <c r="R40" s="183">
        <f>SUM(R25:R39)</f>
        <v>58546000</v>
      </c>
      <c r="S40" s="63">
        <f t="shared" si="6"/>
        <v>0.23688448310742463</v>
      </c>
      <c r="T40" s="48">
        <f>L40-R40</f>
        <v>-4500862</v>
      </c>
      <c r="U40" s="225">
        <f>IF(L40,L40/R40,"-")</f>
        <v>0.92312263860895705</v>
      </c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</row>
    <row r="41" spans="1:75" ht="15" customHeight="1" x14ac:dyDescent="0.15">
      <c r="A41" s="3"/>
      <c r="B41" s="271" t="s">
        <v>6</v>
      </c>
      <c r="C41" s="272"/>
      <c r="D41" s="191" t="s">
        <v>83</v>
      </c>
      <c r="E41" s="49">
        <f>E16+E24+E40</f>
        <v>42456071</v>
      </c>
      <c r="F41" s="132">
        <f>E41/$E$10</f>
        <v>1.2050060173567578</v>
      </c>
      <c r="G41" s="49">
        <f>G16+G24+G40</f>
        <v>13475770</v>
      </c>
      <c r="H41" s="124">
        <f t="shared" si="3"/>
        <v>0.69874298782125566</v>
      </c>
      <c r="I41" s="119">
        <f t="shared" si="1"/>
        <v>0.31740501847191654</v>
      </c>
      <c r="J41" s="51">
        <f>J40+J24+J16</f>
        <v>462203463</v>
      </c>
      <c r="K41" s="130">
        <f t="shared" si="10"/>
        <v>0.86213799862367102</v>
      </c>
      <c r="L41" s="45">
        <f>L16+L24+L40</f>
        <v>123066758</v>
      </c>
      <c r="M41" s="130">
        <f t="shared" si="11"/>
        <v>0.90164408400361618</v>
      </c>
      <c r="N41" s="127">
        <f>IF(J41,L41/J41,"-")</f>
        <v>0.26626100376058842</v>
      </c>
      <c r="O41" s="46"/>
      <c r="P41" s="51">
        <f>P40+P24+P16</f>
        <v>25964000</v>
      </c>
      <c r="Q41" s="50">
        <f t="shared" si="4"/>
        <v>0.85548599670510705</v>
      </c>
      <c r="R41" s="51">
        <f>R40+R24+R16</f>
        <v>222929000</v>
      </c>
      <c r="S41" s="44">
        <f t="shared" si="6"/>
        <v>0.9019987861622496</v>
      </c>
      <c r="T41" s="48">
        <f t="shared" si="7"/>
        <v>-99862242</v>
      </c>
      <c r="U41" s="225">
        <f t="shared" si="8"/>
        <v>0.55204463304460161</v>
      </c>
    </row>
    <row r="42" spans="1:75" ht="15" customHeight="1" x14ac:dyDescent="0.15">
      <c r="A42" s="3"/>
      <c r="B42" s="251" t="s">
        <v>50</v>
      </c>
      <c r="C42" s="252"/>
      <c r="D42" s="253"/>
      <c r="E42" s="17">
        <f>E10-E41</f>
        <v>-7222993</v>
      </c>
      <c r="F42" s="139">
        <f t="shared" si="9"/>
        <v>-0.20500601735675775</v>
      </c>
      <c r="G42" s="17">
        <f>G10-G41</f>
        <v>5809962</v>
      </c>
      <c r="H42" s="96">
        <f t="shared" si="3"/>
        <v>0.30125701217874434</v>
      </c>
      <c r="I42" s="112">
        <f t="shared" si="1"/>
        <v>-0.80437043203558412</v>
      </c>
      <c r="J42" s="69">
        <f>J10-J41</f>
        <v>73909623</v>
      </c>
      <c r="K42" s="164">
        <f t="shared" si="10"/>
        <v>0.13786200137632904</v>
      </c>
      <c r="L42" s="17">
        <f>L10-L41</f>
        <v>13424747</v>
      </c>
      <c r="M42" s="96">
        <f t="shared" si="11"/>
        <v>9.8355915996383811E-2</v>
      </c>
      <c r="N42" s="112">
        <f t="shared" si="2"/>
        <v>0.18163733564166604</v>
      </c>
      <c r="O42" s="46"/>
      <c r="P42" s="69">
        <f>P10-P41</f>
        <v>4386000</v>
      </c>
      <c r="Q42" s="2">
        <f t="shared" si="4"/>
        <v>0.14451400329489292</v>
      </c>
      <c r="R42" s="69">
        <f>R10-R41</f>
        <v>24221000</v>
      </c>
      <c r="S42" s="2">
        <f t="shared" si="6"/>
        <v>9.8001213837750359E-2</v>
      </c>
      <c r="T42" s="48">
        <f t="shared" si="7"/>
        <v>-10796253</v>
      </c>
      <c r="U42" s="225">
        <f t="shared" si="8"/>
        <v>0.55426064159200694</v>
      </c>
    </row>
    <row r="43" spans="1:75" ht="15" customHeight="1" x14ac:dyDescent="0.15">
      <c r="A43" s="3"/>
      <c r="B43" s="254" t="s">
        <v>51</v>
      </c>
      <c r="C43" s="255"/>
      <c r="D43" s="192" t="s">
        <v>53</v>
      </c>
      <c r="E43" s="24">
        <f>[2]松原工場!L45</f>
        <v>150000</v>
      </c>
      <c r="F43" s="141">
        <f t="shared" si="9"/>
        <v>4.2573629246925289E-3</v>
      </c>
      <c r="G43" s="24">
        <f>[3]松原工場!L45</f>
        <v>0</v>
      </c>
      <c r="H43" s="106">
        <f t="shared" si="3"/>
        <v>0</v>
      </c>
      <c r="I43" s="88">
        <f t="shared" si="1"/>
        <v>0</v>
      </c>
      <c r="J43" s="22">
        <f>E43+[4]松原工場!J43</f>
        <v>1350000</v>
      </c>
      <c r="K43" s="166">
        <f t="shared" si="10"/>
        <v>2.5181254389302484E-3</v>
      </c>
      <c r="L43" s="68">
        <f>G43+[4]松原工場!L43</f>
        <v>0</v>
      </c>
      <c r="M43" s="128">
        <f t="shared" si="11"/>
        <v>0</v>
      </c>
      <c r="N43" s="78">
        <f>IF(J43,L43/J43,"-")</f>
        <v>0</v>
      </c>
      <c r="O43" s="18"/>
      <c r="P43" s="34">
        <f>[5]松原工場!L43</f>
        <v>0</v>
      </c>
      <c r="Q43" s="33">
        <f t="shared" si="4"/>
        <v>0</v>
      </c>
      <c r="R43" s="22">
        <f>P43+[4]松原工場!R43</f>
        <v>0</v>
      </c>
      <c r="S43" s="33">
        <f t="shared" si="6"/>
        <v>0</v>
      </c>
      <c r="T43" s="48">
        <f t="shared" si="7"/>
        <v>0</v>
      </c>
      <c r="U43" s="225" t="str">
        <f t="shared" si="8"/>
        <v>-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</row>
    <row r="44" spans="1:75" ht="15" customHeight="1" x14ac:dyDescent="0.15">
      <c r="A44" s="3"/>
      <c r="B44" s="256"/>
      <c r="C44" s="257"/>
      <c r="D44" s="192" t="s">
        <v>7</v>
      </c>
      <c r="E44" s="24">
        <f>[2]松原工場!L46</f>
        <v>0</v>
      </c>
      <c r="F44" s="141">
        <f t="shared" si="9"/>
        <v>0</v>
      </c>
      <c r="G44" s="24">
        <f>[3]松原工場!L46</f>
        <v>0</v>
      </c>
      <c r="H44" s="106">
        <f t="shared" si="3"/>
        <v>0</v>
      </c>
      <c r="I44" s="88" t="str">
        <f t="shared" si="1"/>
        <v>-</v>
      </c>
      <c r="J44" s="22">
        <f>E44+[4]松原工場!J44</f>
        <v>0</v>
      </c>
      <c r="K44" s="166">
        <f t="shared" si="10"/>
        <v>0</v>
      </c>
      <c r="L44" s="68">
        <f>G44+[4]松原工場!L44</f>
        <v>0</v>
      </c>
      <c r="M44" s="128">
        <f t="shared" si="11"/>
        <v>0</v>
      </c>
      <c r="N44" s="78" t="str">
        <f t="shared" si="2"/>
        <v>-</v>
      </c>
      <c r="O44" s="18"/>
      <c r="P44" s="34">
        <f>[5]松原工場!L44</f>
        <v>0</v>
      </c>
      <c r="Q44" s="33">
        <f t="shared" si="4"/>
        <v>0</v>
      </c>
      <c r="R44" s="22">
        <f>P44+[4]松原工場!R44</f>
        <v>0</v>
      </c>
      <c r="S44" s="33">
        <f t="shared" si="6"/>
        <v>0</v>
      </c>
      <c r="T44" s="48">
        <f t="shared" si="7"/>
        <v>0</v>
      </c>
      <c r="U44" s="225" t="str">
        <f t="shared" si="8"/>
        <v>-</v>
      </c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</row>
    <row r="45" spans="1:75" ht="15" customHeight="1" x14ac:dyDescent="0.15">
      <c r="A45" s="3"/>
      <c r="B45" s="256"/>
      <c r="C45" s="257"/>
      <c r="D45" s="192" t="s">
        <v>8</v>
      </c>
      <c r="E45" s="24">
        <f>[2]松原工場!L47</f>
        <v>208968</v>
      </c>
      <c r="F45" s="141">
        <f t="shared" si="9"/>
        <v>5.9310174376476562E-3</v>
      </c>
      <c r="G45" s="24">
        <f>[3]松原工場!L47</f>
        <v>214210</v>
      </c>
      <c r="H45" s="106">
        <f t="shared" si="3"/>
        <v>1.1107174983039274E-2</v>
      </c>
      <c r="I45" s="88">
        <f t="shared" si="1"/>
        <v>1.0250851805061063</v>
      </c>
      <c r="J45" s="22">
        <f>E45+[4]松原工場!J45</f>
        <v>1958557</v>
      </c>
      <c r="K45" s="166">
        <f t="shared" si="10"/>
        <v>3.6532534854036374E-3</v>
      </c>
      <c r="L45" s="68">
        <f>G45+[4]松原工場!L45</f>
        <v>1930249</v>
      </c>
      <c r="M45" s="128">
        <f t="shared" si="11"/>
        <v>1.4141898428037701E-2</v>
      </c>
      <c r="N45" s="78">
        <f t="shared" si="2"/>
        <v>0.98554650183783266</v>
      </c>
      <c r="O45" s="18"/>
      <c r="P45" s="34">
        <f>[5]松原工場!L45</f>
        <v>211000</v>
      </c>
      <c r="Q45" s="33">
        <f t="shared" si="4"/>
        <v>6.9522240527182862E-3</v>
      </c>
      <c r="R45" s="22">
        <f>P45+[4]松原工場!R45</f>
        <v>1899000</v>
      </c>
      <c r="S45" s="33">
        <f t="shared" si="6"/>
        <v>7.6835929597410483E-3</v>
      </c>
      <c r="T45" s="48">
        <f t="shared" si="7"/>
        <v>31249</v>
      </c>
      <c r="U45" s="225">
        <f t="shared" si="8"/>
        <v>1.0164555028962612</v>
      </c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</row>
    <row r="46" spans="1:75" ht="15" customHeight="1" x14ac:dyDescent="0.15">
      <c r="A46" s="3"/>
      <c r="B46" s="256"/>
      <c r="C46" s="257"/>
      <c r="D46" s="192" t="s">
        <v>9</v>
      </c>
      <c r="E46" s="24">
        <f>[2]松原工場!L48</f>
        <v>20000</v>
      </c>
      <c r="F46" s="141">
        <f t="shared" si="9"/>
        <v>5.6764838995900391E-4</v>
      </c>
      <c r="G46" s="24">
        <f>[3]松原工場!L48</f>
        <v>53000</v>
      </c>
      <c r="H46" s="106">
        <f t="shared" si="3"/>
        <v>2.7481456239255011E-3</v>
      </c>
      <c r="I46" s="88">
        <f t="shared" si="1"/>
        <v>2.65</v>
      </c>
      <c r="J46" s="22">
        <f>E46+[4]松原工場!J46</f>
        <v>180000</v>
      </c>
      <c r="K46" s="166">
        <f t="shared" si="10"/>
        <v>3.3575005852403312E-4</v>
      </c>
      <c r="L46" s="68">
        <f>G46+[4]松原工場!L46</f>
        <v>477000</v>
      </c>
      <c r="M46" s="128">
        <f t="shared" si="11"/>
        <v>3.4947229866063825E-3</v>
      </c>
      <c r="N46" s="78">
        <f t="shared" si="2"/>
        <v>2.65</v>
      </c>
      <c r="O46" s="18"/>
      <c r="P46" s="34">
        <f>[5]松原工場!L46</f>
        <v>53000</v>
      </c>
      <c r="Q46" s="33">
        <f t="shared" si="4"/>
        <v>1.7462932454695222E-3</v>
      </c>
      <c r="R46" s="22">
        <f>P46+[4]松原工場!R46</f>
        <v>477000</v>
      </c>
      <c r="S46" s="33">
        <f t="shared" si="6"/>
        <v>1.9300020230629174E-3</v>
      </c>
      <c r="T46" s="48">
        <f t="shared" si="7"/>
        <v>0</v>
      </c>
      <c r="U46" s="225">
        <f t="shared" si="8"/>
        <v>1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</row>
    <row r="47" spans="1:75" ht="15" customHeight="1" x14ac:dyDescent="0.15">
      <c r="A47" s="3"/>
      <c r="B47" s="256"/>
      <c r="C47" s="257"/>
      <c r="D47" s="192" t="s">
        <v>0</v>
      </c>
      <c r="E47" s="24">
        <f>[2]松原工場!L49</f>
        <v>0</v>
      </c>
      <c r="F47" s="141">
        <f t="shared" si="9"/>
        <v>0</v>
      </c>
      <c r="G47" s="24">
        <f>[3]松原工場!L49</f>
        <v>0</v>
      </c>
      <c r="H47" s="106">
        <f t="shared" si="3"/>
        <v>0</v>
      </c>
      <c r="I47" s="88" t="str">
        <f t="shared" si="1"/>
        <v>-</v>
      </c>
      <c r="J47" s="22">
        <f>E47+[4]松原工場!J47</f>
        <v>0</v>
      </c>
      <c r="K47" s="166">
        <f t="shared" si="10"/>
        <v>0</v>
      </c>
      <c r="L47" s="68">
        <f>G47+[4]松原工場!L47</f>
        <v>0</v>
      </c>
      <c r="M47" s="128">
        <f t="shared" si="11"/>
        <v>0</v>
      </c>
      <c r="N47" s="78" t="str">
        <f t="shared" si="2"/>
        <v>-</v>
      </c>
      <c r="O47" s="18"/>
      <c r="P47" s="34">
        <f>[5]松原工場!L47</f>
        <v>0</v>
      </c>
      <c r="Q47" s="33">
        <f t="shared" si="4"/>
        <v>0</v>
      </c>
      <c r="R47" s="22">
        <f>P47+[4]松原工場!R47</f>
        <v>0</v>
      </c>
      <c r="S47" s="33">
        <f t="shared" si="6"/>
        <v>0</v>
      </c>
      <c r="T47" s="48">
        <f t="shared" si="7"/>
        <v>0</v>
      </c>
      <c r="U47" s="225" t="str">
        <f t="shared" si="8"/>
        <v>-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</row>
    <row r="48" spans="1:75" ht="15" customHeight="1" x14ac:dyDescent="0.15">
      <c r="A48" s="3"/>
      <c r="B48" s="256"/>
      <c r="C48" s="257"/>
      <c r="D48" s="192" t="s">
        <v>54</v>
      </c>
      <c r="E48" s="24">
        <f>[2]松原工場!L50</f>
        <v>0</v>
      </c>
      <c r="F48" s="141">
        <f t="shared" si="9"/>
        <v>0</v>
      </c>
      <c r="G48" s="24">
        <f>[3]松原工場!L50</f>
        <v>0</v>
      </c>
      <c r="H48" s="106">
        <f t="shared" si="3"/>
        <v>0</v>
      </c>
      <c r="I48" s="88" t="str">
        <f t="shared" si="1"/>
        <v>-</v>
      </c>
      <c r="J48" s="22">
        <f>E48+[4]松原工場!J48</f>
        <v>6437</v>
      </c>
      <c r="K48" s="166">
        <f t="shared" si="10"/>
        <v>1.2006795148440006E-5</v>
      </c>
      <c r="L48" s="68">
        <f>G48+[4]松原工場!L48</f>
        <v>10518</v>
      </c>
      <c r="M48" s="128">
        <f t="shared" si="11"/>
        <v>7.7059740824163376E-5</v>
      </c>
      <c r="N48" s="78">
        <f t="shared" si="2"/>
        <v>1.6339909895914246</v>
      </c>
      <c r="O48" s="18"/>
      <c r="P48" s="34">
        <f>[5]松原工場!L48</f>
        <v>0</v>
      </c>
      <c r="Q48" s="33">
        <f t="shared" si="4"/>
        <v>0</v>
      </c>
      <c r="R48" s="22">
        <f>P48+[4]松原工場!R48</f>
        <v>0</v>
      </c>
      <c r="S48" s="33">
        <f t="shared" si="6"/>
        <v>0</v>
      </c>
      <c r="T48" s="48">
        <f t="shared" si="7"/>
        <v>10518</v>
      </c>
      <c r="U48" s="225" t="e">
        <f t="shared" si="8"/>
        <v>#DIV/0!</v>
      </c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</row>
    <row r="49" spans="1:75" ht="15" customHeight="1" x14ac:dyDescent="0.15">
      <c r="A49" s="3"/>
      <c r="B49" s="256"/>
      <c r="C49" s="257"/>
      <c r="D49" s="193" t="s">
        <v>10</v>
      </c>
      <c r="E49" s="24">
        <f>[2]松原工場!L51</f>
        <v>29360</v>
      </c>
      <c r="F49" s="141">
        <f t="shared" si="9"/>
        <v>8.3330783645981768E-4</v>
      </c>
      <c r="G49" s="24">
        <f>[3]松原工場!L51</f>
        <v>32186</v>
      </c>
      <c r="H49" s="106">
        <f t="shared" si="3"/>
        <v>1.6689021707861542E-3</v>
      </c>
      <c r="I49" s="88">
        <f t="shared" si="1"/>
        <v>1.0962534059945503</v>
      </c>
      <c r="J49" s="22">
        <f>E49+[4]松原工場!J49</f>
        <v>212860</v>
      </c>
      <c r="K49" s="166">
        <f t="shared" si="10"/>
        <v>3.9704309698569825E-4</v>
      </c>
      <c r="L49" s="68">
        <f>G49+[4]松原工場!L49</f>
        <v>270487</v>
      </c>
      <c r="M49" s="128">
        <f t="shared" si="11"/>
        <v>1.9817130743777791E-3</v>
      </c>
      <c r="N49" s="78">
        <f t="shared" si="2"/>
        <v>1.2707272385605561</v>
      </c>
      <c r="O49" s="18"/>
      <c r="P49" s="34">
        <f>[5]松原工場!L49</f>
        <v>32000</v>
      </c>
      <c r="Q49" s="33">
        <f t="shared" si="4"/>
        <v>1.0543657331136738E-3</v>
      </c>
      <c r="R49" s="22">
        <f>P49+[4]松原工場!R49</f>
        <v>318000</v>
      </c>
      <c r="S49" s="33">
        <f t="shared" si="6"/>
        <v>1.2866680153752782E-3</v>
      </c>
      <c r="T49" s="48">
        <f t="shared" si="7"/>
        <v>-47513</v>
      </c>
      <c r="U49" s="225">
        <f t="shared" si="8"/>
        <v>0.85058805031446538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</row>
    <row r="50" spans="1:75" ht="15" customHeight="1" x14ac:dyDescent="0.15">
      <c r="A50" s="3"/>
      <c r="B50" s="256"/>
      <c r="C50" s="257"/>
      <c r="D50" s="193" t="s">
        <v>55</v>
      </c>
      <c r="E50" s="24">
        <f>[2]松原工場!L52</f>
        <v>94356</v>
      </c>
      <c r="F50" s="141">
        <f t="shared" si="9"/>
        <v>2.6780515741485884E-3</v>
      </c>
      <c r="G50" s="24">
        <f>[3]松原工場!L52</f>
        <v>0</v>
      </c>
      <c r="H50" s="106">
        <f t="shared" si="3"/>
        <v>0</v>
      </c>
      <c r="I50" s="88">
        <f t="shared" si="1"/>
        <v>0</v>
      </c>
      <c r="J50" s="22">
        <f>E50+[4]松原工場!J50</f>
        <v>840834</v>
      </c>
      <c r="K50" s="166">
        <f t="shared" si="10"/>
        <v>1.568389248383316E-3</v>
      </c>
      <c r="L50" s="68">
        <f>G50+[4]松原工場!L50</f>
        <v>78910</v>
      </c>
      <c r="M50" s="128">
        <f t="shared" si="11"/>
        <v>5.7813121776333261E-4</v>
      </c>
      <c r="N50" s="78">
        <f t="shared" si="2"/>
        <v>9.3847299229098721E-2</v>
      </c>
      <c r="O50" s="18"/>
      <c r="P50" s="34">
        <f>[5]松原工場!L50</f>
        <v>50000</v>
      </c>
      <c r="Q50" s="35">
        <f t="shared" si="4"/>
        <v>1.6474464579901153E-3</v>
      </c>
      <c r="R50" s="22">
        <f>P50+[4]松原工場!R50</f>
        <v>450000</v>
      </c>
      <c r="S50" s="21">
        <f t="shared" si="6"/>
        <v>1.820756625531054E-3</v>
      </c>
      <c r="T50" s="48">
        <f t="shared" si="7"/>
        <v>-371090</v>
      </c>
      <c r="U50" s="225">
        <f t="shared" si="8"/>
        <v>0.17535555555555554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</row>
    <row r="51" spans="1:75" ht="15" customHeight="1" x14ac:dyDescent="0.15">
      <c r="A51" s="3"/>
      <c r="B51" s="256"/>
      <c r="C51" s="257"/>
      <c r="D51" s="193" t="s">
        <v>56</v>
      </c>
      <c r="E51" s="24">
        <f>[2]松原工場!L53</f>
        <v>0</v>
      </c>
      <c r="F51" s="141">
        <f t="shared" si="9"/>
        <v>0</v>
      </c>
      <c r="G51" s="24">
        <f>[3]松原工場!L53</f>
        <v>0</v>
      </c>
      <c r="H51" s="106">
        <f t="shared" si="3"/>
        <v>0</v>
      </c>
      <c r="I51" s="88" t="str">
        <f t="shared" si="1"/>
        <v>-</v>
      </c>
      <c r="J51" s="22">
        <f>E51+[4]松原工場!J51</f>
        <v>0</v>
      </c>
      <c r="K51" s="166">
        <f t="shared" si="10"/>
        <v>0</v>
      </c>
      <c r="L51" s="68">
        <f>G51+[4]松原工場!L51</f>
        <v>0</v>
      </c>
      <c r="M51" s="128">
        <f t="shared" si="11"/>
        <v>0</v>
      </c>
      <c r="N51" s="78" t="str">
        <f t="shared" si="2"/>
        <v>-</v>
      </c>
      <c r="O51" s="18"/>
      <c r="P51" s="34">
        <f>[5]松原工場!L51</f>
        <v>0</v>
      </c>
      <c r="Q51" s="25">
        <f t="shared" si="4"/>
        <v>0</v>
      </c>
      <c r="R51" s="22">
        <f>P51+[4]松原工場!R51</f>
        <v>0</v>
      </c>
      <c r="S51" s="25">
        <f t="shared" si="6"/>
        <v>0</v>
      </c>
      <c r="T51" s="48">
        <f t="shared" si="7"/>
        <v>0</v>
      </c>
      <c r="U51" s="225" t="str">
        <f t="shared" si="8"/>
        <v>-</v>
      </c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</row>
    <row r="52" spans="1:75" ht="15" customHeight="1" x14ac:dyDescent="0.15">
      <c r="A52" s="3"/>
      <c r="B52" s="256"/>
      <c r="C52" s="257"/>
      <c r="D52" s="193" t="s">
        <v>57</v>
      </c>
      <c r="E52" s="24">
        <f>[2]松原工場!L54</f>
        <v>704869</v>
      </c>
      <c r="F52" s="141">
        <f t="shared" si="9"/>
        <v>2.0005887649100655E-2</v>
      </c>
      <c r="G52" s="24">
        <f>[3]松原工場!L54</f>
        <v>299277</v>
      </c>
      <c r="H52" s="106">
        <f t="shared" si="3"/>
        <v>1.5518052413048154E-2</v>
      </c>
      <c r="I52" s="88">
        <f t="shared" si="1"/>
        <v>0.42458527754802666</v>
      </c>
      <c r="J52" s="22">
        <f>E52+[4]松原工場!J52</f>
        <v>9987676</v>
      </c>
      <c r="K52" s="166">
        <f t="shared" si="10"/>
        <v>1.8629793341772671E-2</v>
      </c>
      <c r="L52" s="68">
        <f>G52+[4]松原工場!L52</f>
        <v>2263234</v>
      </c>
      <c r="M52" s="128">
        <f t="shared" si="11"/>
        <v>1.6581500804757045E-2</v>
      </c>
      <c r="N52" s="78">
        <f t="shared" si="2"/>
        <v>0.22660266512449942</v>
      </c>
      <c r="O52" s="18"/>
      <c r="P52" s="34">
        <f>[5]松原工場!L52</f>
        <v>750000</v>
      </c>
      <c r="Q52" s="25">
        <f t="shared" si="4"/>
        <v>2.4711696869851731E-2</v>
      </c>
      <c r="R52" s="22">
        <f>P52+[4]松原工場!R52</f>
        <v>6000000</v>
      </c>
      <c r="S52" s="25">
        <f t="shared" si="6"/>
        <v>2.4276755007080719E-2</v>
      </c>
      <c r="T52" s="48">
        <f t="shared" si="7"/>
        <v>-3736766</v>
      </c>
      <c r="U52" s="225">
        <f t="shared" si="8"/>
        <v>0.37720566666666666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</row>
    <row r="53" spans="1:75" ht="15" customHeight="1" x14ac:dyDescent="0.15">
      <c r="A53" s="3"/>
      <c r="B53" s="256"/>
      <c r="C53" s="257"/>
      <c r="D53" s="193" t="s">
        <v>58</v>
      </c>
      <c r="E53" s="24">
        <f>[2]松原工場!L55</f>
        <v>617643</v>
      </c>
      <c r="F53" s="141">
        <f t="shared" si="9"/>
        <v>1.753020272597245E-2</v>
      </c>
      <c r="G53" s="24">
        <f>[3]松原工場!L55</f>
        <v>328446</v>
      </c>
      <c r="H53" s="106">
        <f t="shared" si="3"/>
        <v>1.7030517690487454E-2</v>
      </c>
      <c r="I53" s="88">
        <f t="shared" si="1"/>
        <v>0.53177320879537204</v>
      </c>
      <c r="J53" s="22">
        <f>E53+[4]松原工場!J53</f>
        <v>7074345</v>
      </c>
      <c r="K53" s="166">
        <f t="shared" si="10"/>
        <v>1.3195620820940005E-2</v>
      </c>
      <c r="L53" s="68">
        <f>G53+[4]松原工場!L53</f>
        <v>1715905</v>
      </c>
      <c r="M53" s="128">
        <f t="shared" si="11"/>
        <v>1.2571514981829821E-2</v>
      </c>
      <c r="N53" s="78">
        <f t="shared" si="2"/>
        <v>0.24255319750450394</v>
      </c>
      <c r="O53" s="18"/>
      <c r="P53" s="34">
        <f>[5]松原工場!L53</f>
        <v>600000</v>
      </c>
      <c r="Q53" s="35">
        <f t="shared" si="4"/>
        <v>1.9769357495881382E-2</v>
      </c>
      <c r="R53" s="22">
        <f>P53+[4]松原工場!R53</f>
        <v>4800000</v>
      </c>
      <c r="S53" s="21">
        <f t="shared" si="6"/>
        <v>1.9421404005664576E-2</v>
      </c>
      <c r="T53" s="48">
        <f t="shared" si="7"/>
        <v>-3084095</v>
      </c>
      <c r="U53" s="225">
        <f t="shared" si="8"/>
        <v>0.35748020833333333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</row>
    <row r="54" spans="1:75" ht="15" customHeight="1" x14ac:dyDescent="0.15">
      <c r="A54" s="3"/>
      <c r="B54" s="256"/>
      <c r="C54" s="257"/>
      <c r="D54" s="193" t="s">
        <v>88</v>
      </c>
      <c r="E54" s="24">
        <f>[2]松原工場!L56</f>
        <v>0</v>
      </c>
      <c r="F54" s="141">
        <f t="shared" si="9"/>
        <v>0</v>
      </c>
      <c r="G54" s="24">
        <f>[3]松原工場!L56</f>
        <v>40700</v>
      </c>
      <c r="H54" s="106">
        <f t="shared" si="3"/>
        <v>2.1103684319578849E-3</v>
      </c>
      <c r="I54" s="88" t="str">
        <f t="shared" si="1"/>
        <v>-</v>
      </c>
      <c r="J54" s="22">
        <f>E54+[4]松原工場!J54</f>
        <v>0</v>
      </c>
      <c r="K54" s="166">
        <f t="shared" si="10"/>
        <v>0</v>
      </c>
      <c r="L54" s="68">
        <f>G54+[4]松原工場!L54</f>
        <v>40700</v>
      </c>
      <c r="M54" s="128">
        <f t="shared" si="11"/>
        <v>2.981870556706075E-4</v>
      </c>
      <c r="N54" s="78" t="str">
        <f t="shared" si="2"/>
        <v>-</v>
      </c>
      <c r="O54" s="18"/>
      <c r="P54" s="34">
        <f>[5]松原工場!L54</f>
        <v>0</v>
      </c>
      <c r="Q54" s="25">
        <f t="shared" si="4"/>
        <v>0</v>
      </c>
      <c r="R54" s="22">
        <f>P54+[4]松原工場!R54</f>
        <v>0</v>
      </c>
      <c r="S54" s="21">
        <f t="shared" si="6"/>
        <v>0</v>
      </c>
      <c r="T54" s="48">
        <f t="shared" si="7"/>
        <v>40700</v>
      </c>
      <c r="U54" s="225" t="e">
        <f t="shared" si="8"/>
        <v>#DIV/0!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</row>
    <row r="55" spans="1:75" ht="15" customHeight="1" x14ac:dyDescent="0.15">
      <c r="A55" s="3"/>
      <c r="B55" s="256"/>
      <c r="C55" s="257"/>
      <c r="D55" s="193" t="s">
        <v>59</v>
      </c>
      <c r="E55" s="24">
        <f>[2]松原工場!L57</f>
        <v>13707</v>
      </c>
      <c r="F55" s="141">
        <f t="shared" si="9"/>
        <v>3.8903782405840328E-4</v>
      </c>
      <c r="G55" s="24">
        <f>[3]松原工場!L57</f>
        <v>0</v>
      </c>
      <c r="H55" s="106">
        <f t="shared" si="3"/>
        <v>0</v>
      </c>
      <c r="I55" s="88">
        <f t="shared" si="1"/>
        <v>0</v>
      </c>
      <c r="J55" s="22">
        <f>E55+[4]松原工場!J55</f>
        <v>525293</v>
      </c>
      <c r="K55" s="166">
        <f t="shared" si="10"/>
        <v>9.7981753051258288E-4</v>
      </c>
      <c r="L55" s="68">
        <f>G55+[4]松原工場!L55</f>
        <v>58125</v>
      </c>
      <c r="M55" s="128">
        <f t="shared" si="11"/>
        <v>4.2585067839936264E-4</v>
      </c>
      <c r="N55" s="78">
        <f t="shared" si="2"/>
        <v>0.11065253106361593</v>
      </c>
      <c r="O55" s="18"/>
      <c r="P55" s="34">
        <f>[5]松原工場!L55</f>
        <v>65000</v>
      </c>
      <c r="Q55" s="25">
        <f t="shared" si="4"/>
        <v>2.1416803953871501E-3</v>
      </c>
      <c r="R55" s="22">
        <f>P55+[4]松原工場!R55</f>
        <v>585000</v>
      </c>
      <c r="S55" s="21">
        <f t="shared" si="6"/>
        <v>2.36698361319037E-3</v>
      </c>
      <c r="T55" s="48">
        <f t="shared" si="7"/>
        <v>-526875</v>
      </c>
      <c r="U55" s="225">
        <f t="shared" si="8"/>
        <v>9.9358974358974353E-2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</row>
    <row r="56" spans="1:75" ht="15" customHeight="1" x14ac:dyDescent="0.15">
      <c r="A56" s="3"/>
      <c r="B56" s="256"/>
      <c r="C56" s="257"/>
      <c r="D56" s="193" t="s">
        <v>60</v>
      </c>
      <c r="E56" s="24">
        <f>[2]松原工場!L58</f>
        <v>1395</v>
      </c>
      <c r="F56" s="141">
        <f t="shared" si="9"/>
        <v>3.959347519964052E-5</v>
      </c>
      <c r="G56" s="24">
        <f>[3]松原工場!L58</f>
        <v>0</v>
      </c>
      <c r="H56" s="106">
        <f t="shared" si="3"/>
        <v>0</v>
      </c>
      <c r="I56" s="88">
        <f t="shared" si="1"/>
        <v>0</v>
      </c>
      <c r="J56" s="22">
        <f>E56+[4]松原工場!J56</f>
        <v>9402</v>
      </c>
      <c r="K56" s="166">
        <f t="shared" si="10"/>
        <v>1.7537344723571996E-5</v>
      </c>
      <c r="L56" s="68">
        <f>G56+[4]松原工場!L56</f>
        <v>41806</v>
      </c>
      <c r="M56" s="128">
        <f t="shared" si="11"/>
        <v>3.0629012406303233E-4</v>
      </c>
      <c r="N56" s="78">
        <f t="shared" si="2"/>
        <v>4.4465007445224423</v>
      </c>
      <c r="O56" s="18"/>
      <c r="P56" s="34">
        <f>[5]松原工場!L56</f>
        <v>1500</v>
      </c>
      <c r="Q56" s="25">
        <f t="shared" si="4"/>
        <v>4.9423393739703457E-5</v>
      </c>
      <c r="R56" s="22">
        <f>P56+[4]松原工場!R56</f>
        <v>13500</v>
      </c>
      <c r="S56" s="21">
        <f t="shared" si="6"/>
        <v>5.4622698765931619E-5</v>
      </c>
      <c r="T56" s="48">
        <f t="shared" si="7"/>
        <v>28306</v>
      </c>
      <c r="U56" s="225">
        <f t="shared" si="8"/>
        <v>3.0967407407407408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</row>
    <row r="57" spans="1:75" ht="15" customHeight="1" x14ac:dyDescent="0.15">
      <c r="A57" s="3"/>
      <c r="B57" s="256"/>
      <c r="C57" s="257"/>
      <c r="D57" s="193" t="s">
        <v>43</v>
      </c>
      <c r="E57" s="24">
        <f>[2]松原工場!L59</f>
        <v>42180</v>
      </c>
      <c r="F57" s="141">
        <f t="shared" si="9"/>
        <v>1.1971704544235392E-3</v>
      </c>
      <c r="G57" s="24">
        <f>[3]松原工場!L59</f>
        <v>32028</v>
      </c>
      <c r="H57" s="106">
        <f t="shared" si="3"/>
        <v>1.6607095857186028E-3</v>
      </c>
      <c r="I57" s="88">
        <f t="shared" si="1"/>
        <v>0.75931721194879087</v>
      </c>
      <c r="J57" s="22">
        <f>E57+[4]松原工場!J57</f>
        <v>316590</v>
      </c>
      <c r="K57" s="166">
        <f t="shared" si="10"/>
        <v>5.9052839460068686E-4</v>
      </c>
      <c r="L57" s="68">
        <f>G57+[4]松原工場!L57</f>
        <v>159688</v>
      </c>
      <c r="M57" s="128">
        <f t="shared" si="11"/>
        <v>1.169948268941719E-3</v>
      </c>
      <c r="N57" s="78">
        <f t="shared" si="2"/>
        <v>0.50440001263463785</v>
      </c>
      <c r="O57" s="18"/>
      <c r="P57" s="34">
        <f>[5]松原工場!L57</f>
        <v>35000</v>
      </c>
      <c r="Q57" s="25">
        <f t="shared" si="4"/>
        <v>1.1532125205930808E-3</v>
      </c>
      <c r="R57" s="22">
        <f>P57+[4]松原工場!R57</f>
        <v>315000</v>
      </c>
      <c r="S57" s="21">
        <f t="shared" si="6"/>
        <v>1.2745296378717378E-3</v>
      </c>
      <c r="T57" s="48">
        <f t="shared" si="7"/>
        <v>-155312</v>
      </c>
      <c r="U57" s="225">
        <f t="shared" si="8"/>
        <v>0.5069460317460317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</row>
    <row r="58" spans="1:75" ht="15" customHeight="1" x14ac:dyDescent="0.15">
      <c r="A58" s="3"/>
      <c r="B58" s="256"/>
      <c r="C58" s="257"/>
      <c r="D58" s="193" t="s">
        <v>61</v>
      </c>
      <c r="E58" s="24">
        <f>[2]松原工場!L60</f>
        <v>113922</v>
      </c>
      <c r="F58" s="141">
        <f t="shared" si="9"/>
        <v>3.2333819940454818E-3</v>
      </c>
      <c r="G58" s="24">
        <f>[3]松原工場!L60</f>
        <v>31990</v>
      </c>
      <c r="H58" s="106">
        <f t="shared" si="3"/>
        <v>1.6587392171580524E-3</v>
      </c>
      <c r="I58" s="88">
        <f t="shared" si="1"/>
        <v>0.28080616562209232</v>
      </c>
      <c r="J58" s="22">
        <f>E58+[4]松原工場!J58</f>
        <v>751728</v>
      </c>
      <c r="K58" s="166">
        <f t="shared" si="10"/>
        <v>1.4021817777453021E-3</v>
      </c>
      <c r="L58" s="68">
        <f>G58+[4]松原工場!L58</f>
        <v>676363</v>
      </c>
      <c r="M58" s="128">
        <f t="shared" si="11"/>
        <v>4.9553486863523118E-3</v>
      </c>
      <c r="N58" s="78">
        <f t="shared" si="2"/>
        <v>0.89974432241449032</v>
      </c>
      <c r="O58" s="18"/>
      <c r="P58" s="34">
        <f>[5]松原工場!L58</f>
        <v>85000</v>
      </c>
      <c r="Q58" s="25">
        <f t="shared" si="4"/>
        <v>2.800658978583196E-3</v>
      </c>
      <c r="R58" s="22">
        <f>P58+[4]松原工場!R58</f>
        <v>765000</v>
      </c>
      <c r="S58" s="21">
        <f t="shared" si="6"/>
        <v>3.0952862634027918E-3</v>
      </c>
      <c r="T58" s="48">
        <f t="shared" si="7"/>
        <v>-88637</v>
      </c>
      <c r="U58" s="225">
        <f t="shared" si="8"/>
        <v>0.88413464052287583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</row>
    <row r="59" spans="1:75" ht="15" customHeight="1" x14ac:dyDescent="0.15">
      <c r="A59" s="3"/>
      <c r="B59" s="256"/>
      <c r="C59" s="257"/>
      <c r="D59" s="193" t="s">
        <v>44</v>
      </c>
      <c r="E59" s="24">
        <f>[2]松原工場!L61</f>
        <v>7920</v>
      </c>
      <c r="F59" s="141">
        <f t="shared" si="9"/>
        <v>2.2478876242376552E-4</v>
      </c>
      <c r="G59" s="24">
        <f>[3]松原工場!L61</f>
        <v>20470</v>
      </c>
      <c r="H59" s="106">
        <f t="shared" si="3"/>
        <v>1.0614064324859435E-3</v>
      </c>
      <c r="I59" s="88">
        <f t="shared" si="1"/>
        <v>2.5845959595959598</v>
      </c>
      <c r="J59" s="22">
        <f>E59+[4]松原工場!J59</f>
        <v>116081</v>
      </c>
      <c r="K59" s="166">
        <f t="shared" si="10"/>
        <v>2.1652334746404605E-4</v>
      </c>
      <c r="L59" s="68">
        <f>G59+[4]松原工場!L59</f>
        <v>103907</v>
      </c>
      <c r="M59" s="128">
        <f t="shared" si="11"/>
        <v>7.6127082048073249E-4</v>
      </c>
      <c r="N59" s="78">
        <f t="shared" si="2"/>
        <v>0.89512495584979457</v>
      </c>
      <c r="O59" s="18"/>
      <c r="P59" s="34">
        <f>[5]松原工場!L59</f>
        <v>21000</v>
      </c>
      <c r="Q59" s="35">
        <f t="shared" si="4"/>
        <v>6.9192751235584845E-4</v>
      </c>
      <c r="R59" s="22">
        <f>P59+[4]松原工場!R59</f>
        <v>189000</v>
      </c>
      <c r="S59" s="21">
        <f t="shared" si="6"/>
        <v>7.6471778272304267E-4</v>
      </c>
      <c r="T59" s="48">
        <f t="shared" si="7"/>
        <v>-85093</v>
      </c>
      <c r="U59" s="225">
        <f t="shared" si="8"/>
        <v>0.5497724867724868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</row>
    <row r="60" spans="1:75" ht="15" customHeight="1" x14ac:dyDescent="0.15">
      <c r="A60" s="3"/>
      <c r="B60" s="256"/>
      <c r="C60" s="257"/>
      <c r="D60" s="193" t="s">
        <v>11</v>
      </c>
      <c r="E60" s="24">
        <f>[2]松原工場!L62</f>
        <v>24288</v>
      </c>
      <c r="F60" s="141">
        <f t="shared" si="9"/>
        <v>6.8935220476621425E-4</v>
      </c>
      <c r="G60" s="24">
        <f>[3]松原工場!L62</f>
        <v>14053</v>
      </c>
      <c r="H60" s="106">
        <f t="shared" si="3"/>
        <v>7.286734047740578E-4</v>
      </c>
      <c r="I60" s="88">
        <f t="shared" si="1"/>
        <v>0.57859848484848486</v>
      </c>
      <c r="J60" s="22">
        <f>E60+[4]松原工場!J60</f>
        <v>397851</v>
      </c>
      <c r="K60" s="166">
        <f t="shared" si="10"/>
        <v>7.4210275852136162E-4</v>
      </c>
      <c r="L60" s="68">
        <f>G60+[4]松原工場!L60</f>
        <v>209163</v>
      </c>
      <c r="M60" s="128">
        <f t="shared" si="11"/>
        <v>1.5324250399319722E-3</v>
      </c>
      <c r="N60" s="78">
        <f t="shared" si="2"/>
        <v>0.52573199514391067</v>
      </c>
      <c r="O60" s="18"/>
      <c r="P60" s="34">
        <f>[5]松原工場!L60</f>
        <v>48000</v>
      </c>
      <c r="Q60" s="35">
        <f t="shared" si="4"/>
        <v>1.5815485996705106E-3</v>
      </c>
      <c r="R60" s="22">
        <f>P60+[4]松原工場!R60</f>
        <v>432000</v>
      </c>
      <c r="S60" s="21">
        <f t="shared" si="6"/>
        <v>1.7479263605098118E-3</v>
      </c>
      <c r="T60" s="48">
        <f t="shared" si="7"/>
        <v>-222837</v>
      </c>
      <c r="U60" s="225">
        <f t="shared" si="8"/>
        <v>0.48417361111111112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</row>
    <row r="61" spans="1:75" ht="15" customHeight="1" x14ac:dyDescent="0.15">
      <c r="A61" s="3"/>
      <c r="B61" s="256"/>
      <c r="C61" s="257"/>
      <c r="D61" s="193" t="s">
        <v>45</v>
      </c>
      <c r="E61" s="24">
        <f>[2]松原工場!L63</f>
        <v>7480</v>
      </c>
      <c r="F61" s="141">
        <f t="shared" si="9"/>
        <v>2.1230049784466744E-4</v>
      </c>
      <c r="G61" s="24">
        <f>[3]松原工場!L63</f>
        <v>7480</v>
      </c>
      <c r="H61" s="106">
        <f t="shared" si="3"/>
        <v>3.8785149560307072E-4</v>
      </c>
      <c r="I61" s="88">
        <f t="shared" si="1"/>
        <v>1</v>
      </c>
      <c r="J61" s="22">
        <f>E61+[4]松原工場!J61</f>
        <v>196570</v>
      </c>
      <c r="K61" s="166">
        <f t="shared" si="10"/>
        <v>3.666577166892733E-4</v>
      </c>
      <c r="L61" s="68">
        <f>G61+[4]松原工場!L61</f>
        <v>59840</v>
      </c>
      <c r="M61" s="128">
        <f t="shared" si="11"/>
        <v>4.384155629319202E-4</v>
      </c>
      <c r="N61" s="78">
        <f t="shared" si="2"/>
        <v>0.30442081701175155</v>
      </c>
      <c r="O61" s="18"/>
      <c r="P61" s="34">
        <f>[5]松原工場!L61</f>
        <v>7500</v>
      </c>
      <c r="Q61" s="35">
        <f t="shared" si="4"/>
        <v>2.4711696869851731E-4</v>
      </c>
      <c r="R61" s="22">
        <f>P61+[4]松原工場!R61</f>
        <v>60000</v>
      </c>
      <c r="S61" s="21">
        <f t="shared" si="6"/>
        <v>2.427675500708072E-4</v>
      </c>
      <c r="T61" s="48">
        <f t="shared" si="7"/>
        <v>-160</v>
      </c>
      <c r="U61" s="225">
        <f t="shared" si="8"/>
        <v>0.99733333333333329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</row>
    <row r="62" spans="1:75" ht="15" customHeight="1" x14ac:dyDescent="0.15">
      <c r="A62" s="3"/>
      <c r="B62" s="256"/>
      <c r="C62" s="257"/>
      <c r="D62" s="193" t="s">
        <v>12</v>
      </c>
      <c r="E62" s="24">
        <f>[2]松原工場!L64</f>
        <v>0</v>
      </c>
      <c r="F62" s="141">
        <f t="shared" si="9"/>
        <v>0</v>
      </c>
      <c r="G62" s="24">
        <f>[3]松原工場!L64</f>
        <v>0</v>
      </c>
      <c r="H62" s="106">
        <f t="shared" si="3"/>
        <v>0</v>
      </c>
      <c r="I62" s="88" t="str">
        <f t="shared" si="1"/>
        <v>-</v>
      </c>
      <c r="J62" s="22">
        <f>E62+[4]松原工場!J62</f>
        <v>13918</v>
      </c>
      <c r="K62" s="166">
        <f t="shared" si="10"/>
        <v>2.5960940636319404E-5</v>
      </c>
      <c r="L62" s="68">
        <f>G62+[4]松原工場!L62</f>
        <v>8560</v>
      </c>
      <c r="M62" s="128">
        <f t="shared" si="11"/>
        <v>6.2714525713523342E-5</v>
      </c>
      <c r="N62" s="78">
        <f t="shared" si="2"/>
        <v>0.61503089524356946</v>
      </c>
      <c r="O62" s="18"/>
      <c r="P62" s="34">
        <f>[5]松原工場!L62</f>
        <v>0</v>
      </c>
      <c r="Q62" s="25">
        <f t="shared" si="4"/>
        <v>0</v>
      </c>
      <c r="R62" s="22">
        <f>P62+[4]松原工場!R62</f>
        <v>14000</v>
      </c>
      <c r="S62" s="21">
        <f t="shared" si="6"/>
        <v>5.6645761683188348E-5</v>
      </c>
      <c r="T62" s="48">
        <f t="shared" si="7"/>
        <v>-5440</v>
      </c>
      <c r="U62" s="225">
        <f t="shared" si="8"/>
        <v>0.61142857142857143</v>
      </c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</row>
    <row r="63" spans="1:75" ht="15" customHeight="1" x14ac:dyDescent="0.15">
      <c r="A63" s="3"/>
      <c r="B63" s="256"/>
      <c r="C63" s="257"/>
      <c r="D63" s="193" t="s">
        <v>13</v>
      </c>
      <c r="E63" s="24">
        <f>[2]松原工場!L65</f>
        <v>0</v>
      </c>
      <c r="F63" s="141">
        <f t="shared" si="9"/>
        <v>0</v>
      </c>
      <c r="G63" s="24">
        <f>[3]松原工場!L65</f>
        <v>0</v>
      </c>
      <c r="H63" s="106">
        <f t="shared" si="3"/>
        <v>0</v>
      </c>
      <c r="I63" s="88" t="str">
        <f t="shared" si="1"/>
        <v>-</v>
      </c>
      <c r="J63" s="22">
        <f>E63+[4]松原工場!J63</f>
        <v>0</v>
      </c>
      <c r="K63" s="166">
        <f t="shared" si="10"/>
        <v>0</v>
      </c>
      <c r="L63" s="68">
        <f>G63+[4]松原工場!L63</f>
        <v>0</v>
      </c>
      <c r="M63" s="128">
        <f t="shared" si="11"/>
        <v>0</v>
      </c>
      <c r="N63" s="78" t="str">
        <f t="shared" si="2"/>
        <v>-</v>
      </c>
      <c r="O63" s="18"/>
      <c r="P63" s="34">
        <f>[5]松原工場!L63</f>
        <v>0</v>
      </c>
      <c r="Q63" s="25">
        <f t="shared" si="4"/>
        <v>0</v>
      </c>
      <c r="R63" s="22">
        <f>P63+[4]松原工場!R63</f>
        <v>0</v>
      </c>
      <c r="S63" s="21">
        <f t="shared" si="6"/>
        <v>0</v>
      </c>
      <c r="T63" s="48">
        <f t="shared" si="7"/>
        <v>0</v>
      </c>
      <c r="U63" s="225" t="str">
        <f t="shared" si="8"/>
        <v>-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</row>
    <row r="64" spans="1:75" ht="15" customHeight="1" x14ac:dyDescent="0.15">
      <c r="A64" s="3"/>
      <c r="B64" s="256"/>
      <c r="C64" s="257"/>
      <c r="D64" s="193" t="s">
        <v>14</v>
      </c>
      <c r="E64" s="24">
        <f>[2]松原工場!L66</f>
        <v>0</v>
      </c>
      <c r="F64" s="141">
        <f t="shared" si="9"/>
        <v>0</v>
      </c>
      <c r="G64" s="24">
        <f>[3]松原工場!L66</f>
        <v>0</v>
      </c>
      <c r="H64" s="106">
        <f t="shared" si="3"/>
        <v>0</v>
      </c>
      <c r="I64" s="88" t="str">
        <f t="shared" si="1"/>
        <v>-</v>
      </c>
      <c r="J64" s="22">
        <f>E64+[4]松原工場!J64</f>
        <v>0</v>
      </c>
      <c r="K64" s="166">
        <f t="shared" si="10"/>
        <v>0</v>
      </c>
      <c r="L64" s="68">
        <f>G64+[4]松原工場!L64</f>
        <v>31344</v>
      </c>
      <c r="M64" s="128">
        <f t="shared" si="11"/>
        <v>2.2964066518278922E-4</v>
      </c>
      <c r="N64" s="78" t="str">
        <f t="shared" si="2"/>
        <v>-</v>
      </c>
      <c r="O64" s="18"/>
      <c r="P64" s="34">
        <f>[5]松原工場!L64</f>
        <v>0</v>
      </c>
      <c r="Q64" s="25">
        <f t="shared" si="4"/>
        <v>0</v>
      </c>
      <c r="R64" s="22">
        <f>P64+[4]松原工場!R64</f>
        <v>0</v>
      </c>
      <c r="S64" s="21">
        <f t="shared" si="6"/>
        <v>0</v>
      </c>
      <c r="T64" s="48">
        <f t="shared" si="7"/>
        <v>31344</v>
      </c>
      <c r="U64" s="225" t="e">
        <f t="shared" si="8"/>
        <v>#DIV/0!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</row>
    <row r="65" spans="1:75" ht="15" customHeight="1" x14ac:dyDescent="0.15">
      <c r="A65" s="3"/>
      <c r="B65" s="256"/>
      <c r="C65" s="257"/>
      <c r="D65" s="193" t="s">
        <v>15</v>
      </c>
      <c r="E65" s="24">
        <f>[2]松原工場!L67</f>
        <v>71165</v>
      </c>
      <c r="F65" s="141">
        <f t="shared" si="9"/>
        <v>2.0198348835716255E-3</v>
      </c>
      <c r="G65" s="24">
        <f>[3]松原工場!L67</f>
        <v>50790</v>
      </c>
      <c r="H65" s="106">
        <f t="shared" si="3"/>
        <v>2.6335531365882302E-3</v>
      </c>
      <c r="I65" s="88">
        <f t="shared" si="1"/>
        <v>0.71369352912246187</v>
      </c>
      <c r="J65" s="22">
        <f>E65+[4]松原工場!J65</f>
        <v>1047290</v>
      </c>
      <c r="K65" s="166">
        <f t="shared" si="10"/>
        <v>1.9534871043979701E-3</v>
      </c>
      <c r="L65" s="68">
        <f>G65+[4]松原工場!L65</f>
        <v>886050</v>
      </c>
      <c r="M65" s="128">
        <f t="shared" si="11"/>
        <v>6.4916127930452518E-3</v>
      </c>
      <c r="N65" s="78">
        <f t="shared" si="2"/>
        <v>0.84604073370317678</v>
      </c>
      <c r="O65" s="18"/>
      <c r="P65" s="34">
        <f>[5]松原工場!L65</f>
        <v>60000</v>
      </c>
      <c r="Q65" s="25">
        <f t="shared" si="4"/>
        <v>1.9769357495881385E-3</v>
      </c>
      <c r="R65" s="22">
        <f>P65+[4]松原工場!R65</f>
        <v>845000</v>
      </c>
      <c r="S65" s="21">
        <f t="shared" si="6"/>
        <v>3.4189763301638683E-3</v>
      </c>
      <c r="T65" s="48">
        <f t="shared" si="7"/>
        <v>41050</v>
      </c>
      <c r="U65" s="225">
        <f t="shared" si="8"/>
        <v>1.0485798816568048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</row>
    <row r="66" spans="1:75" ht="15" customHeight="1" x14ac:dyDescent="0.15">
      <c r="A66" s="3"/>
      <c r="B66" s="256"/>
      <c r="C66" s="257"/>
      <c r="D66" s="193" t="s">
        <v>16</v>
      </c>
      <c r="E66" s="24">
        <f>[2]松原工場!L68</f>
        <v>0</v>
      </c>
      <c r="F66" s="141">
        <f t="shared" si="9"/>
        <v>0</v>
      </c>
      <c r="G66" s="24">
        <f>[3]松原工場!L68</f>
        <v>0</v>
      </c>
      <c r="H66" s="106">
        <f t="shared" si="3"/>
        <v>0</v>
      </c>
      <c r="I66" s="88" t="str">
        <f t="shared" si="1"/>
        <v>-</v>
      </c>
      <c r="J66" s="22">
        <f>E66+[4]松原工場!J66</f>
        <v>0</v>
      </c>
      <c r="K66" s="166">
        <f t="shared" si="10"/>
        <v>0</v>
      </c>
      <c r="L66" s="68">
        <f>G66+[4]松原工場!L66</f>
        <v>0</v>
      </c>
      <c r="M66" s="128">
        <f t="shared" si="11"/>
        <v>0</v>
      </c>
      <c r="N66" s="78" t="str">
        <f t="shared" si="2"/>
        <v>-</v>
      </c>
      <c r="O66" s="18"/>
      <c r="P66" s="34">
        <f>[5]松原工場!L66</f>
        <v>0</v>
      </c>
      <c r="Q66" s="25">
        <f t="shared" si="4"/>
        <v>0</v>
      </c>
      <c r="R66" s="22">
        <f>P66+[4]松原工場!R66</f>
        <v>0</v>
      </c>
      <c r="S66" s="21">
        <f t="shared" si="6"/>
        <v>0</v>
      </c>
      <c r="T66" s="48">
        <f t="shared" si="7"/>
        <v>0</v>
      </c>
      <c r="U66" s="225" t="str">
        <f t="shared" si="8"/>
        <v>-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</row>
    <row r="67" spans="1:75" ht="15" customHeight="1" x14ac:dyDescent="0.15">
      <c r="A67" s="3"/>
      <c r="B67" s="256"/>
      <c r="C67" s="257"/>
      <c r="D67" s="193" t="s">
        <v>47</v>
      </c>
      <c r="E67" s="24">
        <f>[2]松原工場!L69</f>
        <v>0</v>
      </c>
      <c r="F67" s="141">
        <f t="shared" si="9"/>
        <v>0</v>
      </c>
      <c r="G67" s="24">
        <f>[3]松原工場!L69</f>
        <v>0</v>
      </c>
      <c r="H67" s="106">
        <f t="shared" si="3"/>
        <v>0</v>
      </c>
      <c r="I67" s="88" t="str">
        <f t="shared" si="1"/>
        <v>-</v>
      </c>
      <c r="J67" s="22">
        <f>E67+[4]松原工場!J67</f>
        <v>0</v>
      </c>
      <c r="K67" s="166">
        <f t="shared" si="10"/>
        <v>0</v>
      </c>
      <c r="L67" s="68">
        <f>G67+[4]松原工場!L67</f>
        <v>0</v>
      </c>
      <c r="M67" s="128">
        <f t="shared" si="11"/>
        <v>0</v>
      </c>
      <c r="N67" s="78" t="str">
        <f t="shared" si="2"/>
        <v>-</v>
      </c>
      <c r="O67" s="18"/>
      <c r="P67" s="34">
        <f>[5]松原工場!L67</f>
        <v>0</v>
      </c>
      <c r="Q67" s="25">
        <f t="shared" si="4"/>
        <v>0</v>
      </c>
      <c r="R67" s="22">
        <f>P67+[4]松原工場!R67</f>
        <v>0</v>
      </c>
      <c r="S67" s="21">
        <f t="shared" si="6"/>
        <v>0</v>
      </c>
      <c r="T67" s="48">
        <f t="shared" si="7"/>
        <v>0</v>
      </c>
      <c r="U67" s="225" t="str">
        <f t="shared" si="8"/>
        <v>-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</row>
    <row r="68" spans="1:75" ht="15" customHeight="1" x14ac:dyDescent="0.15">
      <c r="A68" s="3"/>
      <c r="B68" s="256"/>
      <c r="C68" s="257"/>
      <c r="D68" s="193" t="s">
        <v>22</v>
      </c>
      <c r="E68" s="24">
        <f>[2]松原工場!L70</f>
        <v>0</v>
      </c>
      <c r="F68" s="141">
        <f t="shared" si="9"/>
        <v>0</v>
      </c>
      <c r="G68" s="24">
        <f>[3]松原工場!L70</f>
        <v>0</v>
      </c>
      <c r="H68" s="106">
        <f t="shared" si="3"/>
        <v>0</v>
      </c>
      <c r="I68" s="88" t="str">
        <f t="shared" si="1"/>
        <v>-</v>
      </c>
      <c r="J68" s="22">
        <f>E68+[4]松原工場!J68</f>
        <v>14850</v>
      </c>
      <c r="K68" s="166">
        <f t="shared" si="10"/>
        <v>2.7699379828232733E-5</v>
      </c>
      <c r="L68" s="68">
        <f>G68+[4]松原工場!L68</f>
        <v>0</v>
      </c>
      <c r="M68" s="128">
        <f t="shared" si="11"/>
        <v>0</v>
      </c>
      <c r="N68" s="78">
        <f t="shared" si="2"/>
        <v>0</v>
      </c>
      <c r="O68" s="18"/>
      <c r="P68" s="34">
        <f>[5]松原工場!L68</f>
        <v>0</v>
      </c>
      <c r="Q68" s="25">
        <f t="shared" si="4"/>
        <v>0</v>
      </c>
      <c r="R68" s="22">
        <f>P68+[4]松原工場!R68</f>
        <v>0</v>
      </c>
      <c r="S68" s="21">
        <f t="shared" si="6"/>
        <v>0</v>
      </c>
      <c r="T68" s="48">
        <f t="shared" si="7"/>
        <v>0</v>
      </c>
      <c r="U68" s="225" t="str">
        <f t="shared" si="8"/>
        <v>-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</row>
    <row r="69" spans="1:75" ht="15" customHeight="1" x14ac:dyDescent="0.15">
      <c r="A69" s="3"/>
      <c r="B69" s="256"/>
      <c r="C69" s="257"/>
      <c r="D69" s="193" t="s">
        <v>17</v>
      </c>
      <c r="E69" s="24">
        <f>[2]松原工場!L71</f>
        <v>10497</v>
      </c>
      <c r="F69" s="141">
        <f t="shared" si="9"/>
        <v>2.9793025746998317E-4</v>
      </c>
      <c r="G69" s="24">
        <f>[3]松原工場!L71</f>
        <v>8906</v>
      </c>
      <c r="H69" s="106">
        <f t="shared" si="3"/>
        <v>4.6179216842793418E-4</v>
      </c>
      <c r="I69" s="88">
        <f t="shared" si="1"/>
        <v>0.84843288558635799</v>
      </c>
      <c r="J69" s="22">
        <f>E69+[4]松原工場!J69</f>
        <v>92968</v>
      </c>
      <c r="K69" s="166">
        <f t="shared" si="10"/>
        <v>1.7341117467145728E-4</v>
      </c>
      <c r="L69" s="68">
        <f>G69+[4]松原工場!L69</f>
        <v>104808</v>
      </c>
      <c r="M69" s="128">
        <f t="shared" si="11"/>
        <v>7.6787196389987782E-4</v>
      </c>
      <c r="N69" s="78">
        <f t="shared" si="2"/>
        <v>1.1273556492556578</v>
      </c>
      <c r="O69" s="18"/>
      <c r="P69" s="34">
        <f>[5]松原工場!L69</f>
        <v>11000</v>
      </c>
      <c r="Q69" s="25">
        <f t="shared" si="4"/>
        <v>3.6243822075782535E-4</v>
      </c>
      <c r="R69" s="22">
        <f>P69+[4]松原工場!R69</f>
        <v>88000</v>
      </c>
      <c r="S69" s="21">
        <f t="shared" si="6"/>
        <v>3.5605907343718389E-4</v>
      </c>
      <c r="T69" s="48">
        <f t="shared" si="7"/>
        <v>16808</v>
      </c>
      <c r="U69" s="225">
        <f t="shared" si="8"/>
        <v>1.1910000000000001</v>
      </c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</row>
    <row r="70" spans="1:75" ht="15" customHeight="1" x14ac:dyDescent="0.15">
      <c r="A70" s="3"/>
      <c r="B70" s="256"/>
      <c r="C70" s="257"/>
      <c r="D70" s="192" t="s">
        <v>18</v>
      </c>
      <c r="E70" s="24">
        <f>[2]松原工場!L72</f>
        <v>111760</v>
      </c>
      <c r="F70" s="141">
        <f t="shared" si="9"/>
        <v>3.1720192030909138E-3</v>
      </c>
      <c r="G70" s="24">
        <f>[3]松原工場!L72</f>
        <v>119680</v>
      </c>
      <c r="H70" s="106">
        <f t="shared" si="3"/>
        <v>6.2056239296491315E-3</v>
      </c>
      <c r="I70" s="88">
        <f t="shared" si="1"/>
        <v>1.0708661417322836</v>
      </c>
      <c r="J70" s="22">
        <f>E70+[4]松原工場!J70</f>
        <v>1005840</v>
      </c>
      <c r="K70" s="166">
        <f t="shared" si="10"/>
        <v>1.8761713270322971E-3</v>
      </c>
      <c r="L70" s="68">
        <f>G70+[4]松原工場!L70</f>
        <v>1077120</v>
      </c>
      <c r="M70" s="128">
        <f t="shared" si="11"/>
        <v>7.8914801327745632E-3</v>
      </c>
      <c r="N70" s="78">
        <f t="shared" si="2"/>
        <v>1.0708661417322836</v>
      </c>
      <c r="O70" s="18"/>
      <c r="P70" s="34">
        <f>[5]松原工場!L70</f>
        <v>120000</v>
      </c>
      <c r="Q70" s="25">
        <f t="shared" si="4"/>
        <v>3.953871499176277E-3</v>
      </c>
      <c r="R70" s="22">
        <f>P70+[4]松原工場!R70</f>
        <v>1080000</v>
      </c>
      <c r="S70" s="21">
        <f t="shared" si="6"/>
        <v>4.3698159012745298E-3</v>
      </c>
      <c r="T70" s="48">
        <f t="shared" si="7"/>
        <v>-2880</v>
      </c>
      <c r="U70" s="225">
        <f t="shared" si="8"/>
        <v>0.99733333333333329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</row>
    <row r="71" spans="1:75" ht="15" customHeight="1" x14ac:dyDescent="0.15">
      <c r="A71" s="3"/>
      <c r="B71" s="256"/>
      <c r="C71" s="257"/>
      <c r="D71" s="193" t="s">
        <v>19</v>
      </c>
      <c r="E71" s="24">
        <f>[2]松原工場!L73</f>
        <v>1800</v>
      </c>
      <c r="F71" s="141">
        <f t="shared" si="9"/>
        <v>5.108835509631035E-5</v>
      </c>
      <c r="G71" s="24">
        <f>[3]松原工場!L73</f>
        <v>1450</v>
      </c>
      <c r="H71" s="106">
        <f t="shared" si="3"/>
        <v>7.5185116126263708E-5</v>
      </c>
      <c r="I71" s="88">
        <f t="shared" si="1"/>
        <v>0.80555555555555558</v>
      </c>
      <c r="J71" s="22">
        <f>E71+[4]松原工場!J71</f>
        <v>100639</v>
      </c>
      <c r="K71" s="166">
        <f t="shared" si="10"/>
        <v>1.8771972299888983E-4</v>
      </c>
      <c r="L71" s="68">
        <f>G71+[4]松原工場!L71</f>
        <v>178058</v>
      </c>
      <c r="M71" s="128">
        <f t="shared" si="11"/>
        <v>1.3045353994741284E-3</v>
      </c>
      <c r="N71" s="78">
        <f t="shared" si="2"/>
        <v>1.7692743369866553</v>
      </c>
      <c r="O71" s="18"/>
      <c r="P71" s="34">
        <f>[5]松原工場!L71</f>
        <v>4000</v>
      </c>
      <c r="Q71" s="25">
        <f t="shared" si="4"/>
        <v>1.3179571663920922E-4</v>
      </c>
      <c r="R71" s="22">
        <f>P71+[4]松原工場!R71</f>
        <v>103000</v>
      </c>
      <c r="S71" s="21">
        <f t="shared" si="6"/>
        <v>4.1675096095488567E-4</v>
      </c>
      <c r="T71" s="48">
        <f t="shared" si="7"/>
        <v>75058</v>
      </c>
      <c r="U71" s="225">
        <f t="shared" si="8"/>
        <v>1.7287184466019418</v>
      </c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</row>
    <row r="72" spans="1:75" ht="15" customHeight="1" x14ac:dyDescent="0.15">
      <c r="A72" s="3"/>
      <c r="B72" s="256"/>
      <c r="C72" s="257"/>
      <c r="D72" s="193" t="s">
        <v>20</v>
      </c>
      <c r="E72" s="24">
        <f>[2]松原工場!L74</f>
        <v>1450</v>
      </c>
      <c r="F72" s="141">
        <f t="shared" si="9"/>
        <v>4.1154508272027778E-5</v>
      </c>
      <c r="G72" s="24">
        <f>[3]松原工場!L74</f>
        <v>0</v>
      </c>
      <c r="H72" s="106">
        <f t="shared" si="3"/>
        <v>0</v>
      </c>
      <c r="I72" s="88">
        <f t="shared" si="1"/>
        <v>0</v>
      </c>
      <c r="J72" s="22">
        <f>E72+[4]松原工場!J72</f>
        <v>13050</v>
      </c>
      <c r="K72" s="166">
        <f t="shared" si="10"/>
        <v>2.4341879242992401E-5</v>
      </c>
      <c r="L72" s="68">
        <f>G72+[4]松原工場!L72</f>
        <v>2000</v>
      </c>
      <c r="M72" s="128">
        <f t="shared" si="11"/>
        <v>1.465292656858022E-5</v>
      </c>
      <c r="N72" s="78">
        <f t="shared" si="2"/>
        <v>0.1532567049808429</v>
      </c>
      <c r="O72" s="18"/>
      <c r="P72" s="34">
        <f>[5]松原工場!L72</f>
        <v>0</v>
      </c>
      <c r="Q72" s="25">
        <f t="shared" si="4"/>
        <v>0</v>
      </c>
      <c r="R72" s="22">
        <f>P72+[4]松原工場!R72</f>
        <v>0</v>
      </c>
      <c r="S72" s="21">
        <f t="shared" si="6"/>
        <v>0</v>
      </c>
      <c r="T72" s="48">
        <f t="shared" si="7"/>
        <v>2000</v>
      </c>
      <c r="U72" s="225" t="e">
        <f t="shared" si="8"/>
        <v>#DIV/0!</v>
      </c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</row>
    <row r="73" spans="1:75" ht="15" customHeight="1" x14ac:dyDescent="0.15">
      <c r="A73" s="3"/>
      <c r="B73" s="256"/>
      <c r="C73" s="257"/>
      <c r="D73" s="193" t="s">
        <v>1</v>
      </c>
      <c r="E73" s="24">
        <f>[2]松原工場!L75</f>
        <v>96000</v>
      </c>
      <c r="F73" s="141">
        <f t="shared" si="9"/>
        <v>2.7247122718032186E-3</v>
      </c>
      <c r="G73" s="24">
        <f>[3]松原工場!L75</f>
        <v>160000</v>
      </c>
      <c r="H73" s="106">
        <f t="shared" si="3"/>
        <v>8.2962886760015123E-3</v>
      </c>
      <c r="I73" s="88">
        <f t="shared" si="1"/>
        <v>1.6666666666666667</v>
      </c>
      <c r="J73" s="22">
        <f>E73+[4]松原工場!J73</f>
        <v>864000</v>
      </c>
      <c r="K73" s="166">
        <f t="shared" si="10"/>
        <v>1.611600280915359E-3</v>
      </c>
      <c r="L73" s="68">
        <f>G73+[4]松原工場!L73</f>
        <v>1440000</v>
      </c>
      <c r="M73" s="128">
        <f t="shared" si="11"/>
        <v>1.0550107129377758E-2</v>
      </c>
      <c r="N73" s="78">
        <f t="shared" si="2"/>
        <v>1.6666666666666667</v>
      </c>
      <c r="O73" s="18"/>
      <c r="P73" s="34">
        <f>[5]松原工場!L73</f>
        <v>160000</v>
      </c>
      <c r="Q73" s="25">
        <f t="shared" si="4"/>
        <v>5.2718286655683688E-3</v>
      </c>
      <c r="R73" s="22">
        <f>P73+[4]松原工場!R73</f>
        <v>1440000</v>
      </c>
      <c r="S73" s="21">
        <f t="shared" si="6"/>
        <v>5.8264212016993725E-3</v>
      </c>
      <c r="T73" s="48">
        <f t="shared" si="7"/>
        <v>0</v>
      </c>
      <c r="U73" s="225">
        <f t="shared" si="8"/>
        <v>1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</row>
    <row r="74" spans="1:75" ht="15" customHeight="1" x14ac:dyDescent="0.15">
      <c r="A74" s="3"/>
      <c r="B74" s="256"/>
      <c r="C74" s="257"/>
      <c r="D74" s="193" t="s">
        <v>62</v>
      </c>
      <c r="E74" s="24">
        <f>[2]松原工場!L76</f>
        <v>0</v>
      </c>
      <c r="F74" s="141">
        <f t="shared" si="9"/>
        <v>0</v>
      </c>
      <c r="G74" s="24">
        <f>[3]松原工場!L76</f>
        <v>0</v>
      </c>
      <c r="H74" s="106">
        <f t="shared" si="3"/>
        <v>0</v>
      </c>
      <c r="I74" s="88" t="str">
        <f t="shared" si="1"/>
        <v>-</v>
      </c>
      <c r="J74" s="22">
        <f>E74+[4]松原工場!J74</f>
        <v>0</v>
      </c>
      <c r="K74" s="166">
        <f t="shared" si="10"/>
        <v>0</v>
      </c>
      <c r="L74" s="68">
        <f>G74+[4]松原工場!L74</f>
        <v>0</v>
      </c>
      <c r="M74" s="128">
        <f t="shared" si="11"/>
        <v>0</v>
      </c>
      <c r="N74" s="78" t="str">
        <f t="shared" si="2"/>
        <v>-</v>
      </c>
      <c r="O74" s="18"/>
      <c r="P74" s="34">
        <f>[5]松原工場!L74</f>
        <v>0</v>
      </c>
      <c r="Q74" s="25">
        <f t="shared" si="4"/>
        <v>0</v>
      </c>
      <c r="R74" s="22">
        <f>P74+[4]松原工場!R74</f>
        <v>0</v>
      </c>
      <c r="S74" s="21">
        <f t="shared" si="6"/>
        <v>0</v>
      </c>
      <c r="T74" s="48">
        <f t="shared" si="7"/>
        <v>0</v>
      </c>
      <c r="U74" s="225" t="str">
        <f t="shared" si="8"/>
        <v>-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</row>
    <row r="75" spans="1:75" ht="15" customHeight="1" x14ac:dyDescent="0.15">
      <c r="A75" s="3"/>
      <c r="B75" s="256"/>
      <c r="C75" s="257"/>
      <c r="D75" s="193" t="s">
        <v>21</v>
      </c>
      <c r="E75" s="24">
        <f>[2]松原工場!L77</f>
        <v>0</v>
      </c>
      <c r="F75" s="141">
        <f t="shared" si="9"/>
        <v>0</v>
      </c>
      <c r="G75" s="24">
        <f>[3]松原工場!L77</f>
        <v>0</v>
      </c>
      <c r="H75" s="106">
        <f t="shared" si="3"/>
        <v>0</v>
      </c>
      <c r="I75" s="88" t="str">
        <f t="shared" ref="I75:I95" si="21">IF(E75,G75/E75,"-")</f>
        <v>-</v>
      </c>
      <c r="J75" s="22">
        <f>E75+[4]松原工場!J75</f>
        <v>3400</v>
      </c>
      <c r="K75" s="166">
        <f t="shared" si="10"/>
        <v>6.3419455498984031E-6</v>
      </c>
      <c r="L75" s="68">
        <f>G75+[4]松原工場!L75</f>
        <v>1020000</v>
      </c>
      <c r="M75" s="128">
        <f t="shared" si="11"/>
        <v>7.4729925499759124E-3</v>
      </c>
      <c r="N75" s="78">
        <f t="shared" ref="N75:N76" si="22">IF(J75,L75/J75,"-")</f>
        <v>300</v>
      </c>
      <c r="O75" s="18"/>
      <c r="P75" s="34">
        <f>[5]松原工場!L75</f>
        <v>0</v>
      </c>
      <c r="Q75" s="25">
        <f t="shared" si="4"/>
        <v>0</v>
      </c>
      <c r="R75" s="22">
        <f>P75+[4]松原工場!R75</f>
        <v>0</v>
      </c>
      <c r="S75" s="21">
        <f t="shared" si="6"/>
        <v>0</v>
      </c>
      <c r="T75" s="48">
        <f t="shared" si="7"/>
        <v>1020000</v>
      </c>
      <c r="U75" s="225" t="e">
        <f t="shared" si="8"/>
        <v>#DIV/0!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</row>
    <row r="76" spans="1:75" ht="15" customHeight="1" x14ac:dyDescent="0.15">
      <c r="A76" s="3"/>
      <c r="B76" s="256"/>
      <c r="C76" s="257"/>
      <c r="D76" s="193" t="s">
        <v>63</v>
      </c>
      <c r="E76" s="24">
        <f>[2]松原工場!L78</f>
        <v>93500</v>
      </c>
      <c r="F76" s="141">
        <f t="shared" si="9"/>
        <v>2.6537562230583432E-3</v>
      </c>
      <c r="G76" s="24">
        <f>[3]松原工場!L78</f>
        <v>93500</v>
      </c>
      <c r="H76" s="106">
        <f t="shared" ref="H76:H95" si="23">G76/$G$10</f>
        <v>4.8481436950383837E-3</v>
      </c>
      <c r="I76" s="88">
        <f t="shared" si="21"/>
        <v>1</v>
      </c>
      <c r="J76" s="22">
        <f>E76+[4]松原工場!J76</f>
        <v>841500</v>
      </c>
      <c r="K76" s="166">
        <f t="shared" si="10"/>
        <v>1.5696315235998548E-3</v>
      </c>
      <c r="L76" s="68">
        <f>G76+[4]松原工場!L76</f>
        <v>841500</v>
      </c>
      <c r="M76" s="128">
        <f t="shared" si="11"/>
        <v>6.1652188537301275E-3</v>
      </c>
      <c r="N76" s="78">
        <f t="shared" si="22"/>
        <v>1</v>
      </c>
      <c r="O76" s="18"/>
      <c r="P76" s="34">
        <f>[5]松原工場!L76</f>
        <v>93500</v>
      </c>
      <c r="Q76" s="25">
        <f t="shared" ref="Q76:Q95" si="24">P76/$P$10</f>
        <v>3.0807248764415157E-3</v>
      </c>
      <c r="R76" s="22">
        <f>P76+[4]松原工場!R76</f>
        <v>841500</v>
      </c>
      <c r="S76" s="21">
        <f t="shared" ref="S76:S95" si="25">R76/$R$10</f>
        <v>3.4048148897430708E-3</v>
      </c>
      <c r="T76" s="48">
        <f t="shared" si="7"/>
        <v>0</v>
      </c>
      <c r="U76" s="225">
        <f t="shared" ref="U76:U95" si="26">IF(L76,L76/R76,"-")</f>
        <v>1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</row>
    <row r="77" spans="1:75" ht="15" customHeight="1" x14ac:dyDescent="0.15">
      <c r="A77" s="3"/>
      <c r="B77" s="256"/>
      <c r="C77" s="257"/>
      <c r="D77" s="192" t="s">
        <v>98</v>
      </c>
      <c r="E77" s="24">
        <f>[2]松原工場!L79</f>
        <v>711364</v>
      </c>
      <c r="F77" s="141">
        <f t="shared" ref="F77" si="27">E77/$E$10</f>
        <v>2.0190231463739841E-2</v>
      </c>
      <c r="G77" s="24">
        <f>[3]松原工場!L79</f>
        <v>219604</v>
      </c>
      <c r="H77" s="106">
        <f t="shared" ref="H77" si="28">G77/$G$10</f>
        <v>1.1386863615028976E-2</v>
      </c>
      <c r="I77" s="88">
        <f t="shared" ref="I77" si="29">IF(E77,G77/E77,"-")</f>
        <v>0.30870834059637542</v>
      </c>
      <c r="J77" s="22">
        <f>E77+[4]松原工場!J77</f>
        <v>3842216</v>
      </c>
      <c r="K77" s="166">
        <f t="shared" ref="K77" si="30">J77/$J$10</f>
        <v>7.166801371455425E-3</v>
      </c>
      <c r="L77" s="68">
        <f>G77+[4]松原工場!L77</f>
        <v>2474284</v>
      </c>
      <c r="M77" s="128">
        <f t="shared" ref="M77" si="31">L77/$L$10</f>
        <v>1.8127750880906471E-2</v>
      </c>
      <c r="N77" s="78">
        <f t="shared" ref="N77" si="32">IF(J77,L77/J77,"-")</f>
        <v>0.6439731654857509</v>
      </c>
      <c r="O77" s="18"/>
      <c r="P77" s="34">
        <f>[5]松原工場!L77</f>
        <v>455000</v>
      </c>
      <c r="Q77" s="25">
        <f t="shared" ref="Q77" si="33">P77/$P$10</f>
        <v>1.4991762767710049E-2</v>
      </c>
      <c r="R77" s="22">
        <f>P77+[4]松原工場!R77</f>
        <v>3640000</v>
      </c>
      <c r="S77" s="21">
        <f t="shared" ref="S77" si="34">R77/$R$10</f>
        <v>1.4727898037628971E-2</v>
      </c>
      <c r="T77" s="48">
        <f t="shared" si="7"/>
        <v>-1165716</v>
      </c>
      <c r="U77" s="225">
        <f t="shared" si="26"/>
        <v>0.67974835164835168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</row>
    <row r="78" spans="1:75" ht="15" customHeight="1" x14ac:dyDescent="0.15">
      <c r="A78" s="3"/>
      <c r="B78" s="258"/>
      <c r="C78" s="259"/>
      <c r="D78" s="194" t="s">
        <v>52</v>
      </c>
      <c r="E78" s="27">
        <f>SUM(E43:E77)</f>
        <v>3133624</v>
      </c>
      <c r="F78" s="140">
        <f>E78/$E$10</f>
        <v>8.8939830916844681E-2</v>
      </c>
      <c r="G78" s="27">
        <f>SUM(G43:G77)</f>
        <v>1727770</v>
      </c>
      <c r="H78" s="105">
        <f t="shared" si="23"/>
        <v>8.9587991785844576E-2</v>
      </c>
      <c r="I78" s="114">
        <f>IF(E78,G78/E78,"-")</f>
        <v>0.55136480956234701</v>
      </c>
      <c r="J78" s="32">
        <f>SUM(J43:J77)</f>
        <v>31763895</v>
      </c>
      <c r="K78" s="165">
        <f t="shared" si="10"/>
        <v>5.9248497806673572E-2</v>
      </c>
      <c r="L78" s="27">
        <f>SUM(L43:L77)</f>
        <v>16159619</v>
      </c>
      <c r="M78" s="105">
        <f t="shared" si="11"/>
        <v>0.11839285529161686</v>
      </c>
      <c r="N78" s="126">
        <f>IF(J78,L78/J78,"-")</f>
        <v>0.50874173334221129</v>
      </c>
      <c r="O78" s="18"/>
      <c r="P78" s="27">
        <f>SUM(P43:P77)</f>
        <v>2862500</v>
      </c>
      <c r="Q78" s="1">
        <f t="shared" si="24"/>
        <v>9.4316309719934099E-2</v>
      </c>
      <c r="R78" s="27">
        <f>SUM(R43:R77)</f>
        <v>24355000</v>
      </c>
      <c r="S78" s="1">
        <f t="shared" si="25"/>
        <v>9.8543394699575154E-2</v>
      </c>
      <c r="T78" s="48">
        <f t="shared" si="7"/>
        <v>-8195381</v>
      </c>
      <c r="U78" s="225">
        <f t="shared" si="26"/>
        <v>0.66350314103880104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</row>
    <row r="79" spans="1:75" ht="15" customHeight="1" x14ac:dyDescent="0.15">
      <c r="A79" s="3"/>
      <c r="B79" s="251" t="s">
        <v>64</v>
      </c>
      <c r="C79" s="252"/>
      <c r="D79" s="253"/>
      <c r="E79" s="17">
        <f>E42-E78</f>
        <v>-10356617</v>
      </c>
      <c r="F79" s="142">
        <f t="shared" si="9"/>
        <v>-0.29394584827360243</v>
      </c>
      <c r="G79" s="17">
        <f>G42-G78</f>
        <v>4082192</v>
      </c>
      <c r="H79" s="96">
        <f t="shared" si="23"/>
        <v>0.21166902039289978</v>
      </c>
      <c r="I79" s="112">
        <f t="shared" si="21"/>
        <v>-0.39416268845318891</v>
      </c>
      <c r="J79" s="36">
        <f>J42-J78</f>
        <v>42145728</v>
      </c>
      <c r="K79" s="167">
        <f t="shared" si="10"/>
        <v>7.8613503569655449E-2</v>
      </c>
      <c r="L79" s="17">
        <f>L42-L78</f>
        <v>-2734872</v>
      </c>
      <c r="M79" s="99">
        <f t="shared" si="11"/>
        <v>-2.0036939295233064E-2</v>
      </c>
      <c r="N79" s="125">
        <f t="shared" ref="N79:N95" si="35">IF(J79,L79/J79,"-")</f>
        <v>-6.4890847300110702E-2</v>
      </c>
      <c r="O79" s="18"/>
      <c r="P79" s="17">
        <f>P42-P78</f>
        <v>1523500</v>
      </c>
      <c r="Q79" s="2">
        <f t="shared" si="24"/>
        <v>5.0197693574958811E-2</v>
      </c>
      <c r="R79" s="17">
        <f>R42-R78</f>
        <v>-134000</v>
      </c>
      <c r="S79" s="2">
        <f t="shared" si="25"/>
        <v>-5.4218086182480278E-4</v>
      </c>
      <c r="T79" s="48">
        <f t="shared" si="7"/>
        <v>-2600872</v>
      </c>
      <c r="U79" s="225">
        <f t="shared" si="26"/>
        <v>20.409492537313433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</row>
    <row r="80" spans="1:75" ht="15" customHeight="1" x14ac:dyDescent="0.15">
      <c r="A80" s="3"/>
      <c r="B80" s="254" t="s">
        <v>65</v>
      </c>
      <c r="C80" s="255"/>
      <c r="D80" s="192" t="s">
        <v>67</v>
      </c>
      <c r="E80" s="24">
        <f>[2]松原工場!L84</f>
        <v>0</v>
      </c>
      <c r="F80" s="134">
        <f t="shared" si="9"/>
        <v>0</v>
      </c>
      <c r="G80" s="24">
        <f>[3]松原工場!L84</f>
        <v>0</v>
      </c>
      <c r="H80" s="108">
        <f t="shared" si="23"/>
        <v>0</v>
      </c>
      <c r="I80" s="78" t="str">
        <f t="shared" si="21"/>
        <v>-</v>
      </c>
      <c r="J80" s="22">
        <f>E80+[4]松原工場!J80</f>
        <v>0</v>
      </c>
      <c r="K80" s="169">
        <f t="shared" si="10"/>
        <v>0</v>
      </c>
      <c r="L80" s="68">
        <f>G80+[4]松原工場!L80</f>
        <v>0</v>
      </c>
      <c r="M80" s="128">
        <f t="shared" si="11"/>
        <v>0</v>
      </c>
      <c r="N80" s="78" t="str">
        <f t="shared" si="35"/>
        <v>-</v>
      </c>
      <c r="O80" s="18"/>
      <c r="P80" s="22">
        <f>[5]松原工場!L82</f>
        <v>0</v>
      </c>
      <c r="Q80" s="25">
        <f t="shared" si="24"/>
        <v>0</v>
      </c>
      <c r="R80" s="22">
        <f>P80+[4]松原工場!R80</f>
        <v>0</v>
      </c>
      <c r="S80" s="25">
        <f t="shared" si="25"/>
        <v>0</v>
      </c>
      <c r="T80" s="48">
        <f t="shared" si="7"/>
        <v>0</v>
      </c>
      <c r="U80" s="225" t="str">
        <f t="shared" si="26"/>
        <v>-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</row>
    <row r="81" spans="1:75" ht="15" customHeight="1" x14ac:dyDescent="0.15">
      <c r="A81" s="3"/>
      <c r="B81" s="256"/>
      <c r="C81" s="257"/>
      <c r="D81" s="192" t="s">
        <v>68</v>
      </c>
      <c r="E81" s="24">
        <f>[2]松原工場!L85</f>
        <v>0</v>
      </c>
      <c r="F81" s="134">
        <f t="shared" si="9"/>
        <v>0</v>
      </c>
      <c r="G81" s="24">
        <f>[3]松原工場!L85</f>
        <v>0</v>
      </c>
      <c r="H81" s="108">
        <f t="shared" si="23"/>
        <v>0</v>
      </c>
      <c r="I81" s="78" t="str">
        <f t="shared" si="21"/>
        <v>-</v>
      </c>
      <c r="J81" s="22">
        <f>E81+[4]松原工場!J81</f>
        <v>0</v>
      </c>
      <c r="K81" s="169">
        <f t="shared" si="10"/>
        <v>0</v>
      </c>
      <c r="L81" s="68">
        <f>G81+[4]松原工場!L81</f>
        <v>0</v>
      </c>
      <c r="M81" s="128">
        <f t="shared" si="11"/>
        <v>0</v>
      </c>
      <c r="N81" s="78" t="str">
        <f t="shared" si="35"/>
        <v>-</v>
      </c>
      <c r="O81" s="18"/>
      <c r="P81" s="22">
        <f>[5]松原工場!L83</f>
        <v>0</v>
      </c>
      <c r="Q81" s="25">
        <f t="shared" si="24"/>
        <v>0</v>
      </c>
      <c r="R81" s="22">
        <f>P81+[4]松原工場!R81</f>
        <v>0</v>
      </c>
      <c r="S81" s="25">
        <f t="shared" si="25"/>
        <v>0</v>
      </c>
      <c r="T81" s="48">
        <f t="shared" ref="T81:T83" si="36">L81-R81</f>
        <v>0</v>
      </c>
      <c r="U81" s="225" t="str">
        <f t="shared" si="26"/>
        <v>-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</row>
    <row r="82" spans="1:75" ht="15" customHeight="1" x14ac:dyDescent="0.15">
      <c r="A82" s="3"/>
      <c r="B82" s="256"/>
      <c r="C82" s="257"/>
      <c r="D82" s="192" t="s">
        <v>95</v>
      </c>
      <c r="E82" s="24">
        <f>[2]松原工場!L86</f>
        <v>0</v>
      </c>
      <c r="F82" s="134">
        <f t="shared" si="9"/>
        <v>0</v>
      </c>
      <c r="G82" s="24">
        <f>[3]松原工場!L86</f>
        <v>0</v>
      </c>
      <c r="H82" s="108">
        <f t="shared" si="23"/>
        <v>0</v>
      </c>
      <c r="I82" s="78" t="str">
        <f t="shared" si="21"/>
        <v>-</v>
      </c>
      <c r="J82" s="22">
        <f>E82+[4]松原工場!J82</f>
        <v>0</v>
      </c>
      <c r="K82" s="169">
        <f t="shared" si="10"/>
        <v>0</v>
      </c>
      <c r="L82" s="68">
        <f>G82+[4]松原工場!L82</f>
        <v>0</v>
      </c>
      <c r="M82" s="128">
        <f t="shared" si="11"/>
        <v>0</v>
      </c>
      <c r="N82" s="78" t="str">
        <f t="shared" si="35"/>
        <v>-</v>
      </c>
      <c r="O82" s="18"/>
      <c r="P82" s="22">
        <f>[5]松原工場!L84</f>
        <v>0</v>
      </c>
      <c r="Q82" s="25">
        <f t="shared" si="24"/>
        <v>0</v>
      </c>
      <c r="R82" s="22">
        <f>P82+[4]松原工場!R82</f>
        <v>0</v>
      </c>
      <c r="S82" s="25">
        <f t="shared" si="25"/>
        <v>0</v>
      </c>
      <c r="T82" s="48">
        <f t="shared" si="36"/>
        <v>0</v>
      </c>
      <c r="U82" s="225" t="str">
        <f t="shared" si="26"/>
        <v>-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</row>
    <row r="83" spans="1:75" ht="15" customHeight="1" x14ac:dyDescent="0.15">
      <c r="A83" s="3"/>
      <c r="B83" s="256"/>
      <c r="C83" s="257"/>
      <c r="D83" s="192" t="s">
        <v>69</v>
      </c>
      <c r="E83" s="24">
        <f>[2]松原工場!L87</f>
        <v>0</v>
      </c>
      <c r="F83" s="134">
        <f t="shared" si="9"/>
        <v>0</v>
      </c>
      <c r="G83" s="24">
        <f>[3]松原工場!L87</f>
        <v>0</v>
      </c>
      <c r="H83" s="108">
        <f t="shared" si="23"/>
        <v>0</v>
      </c>
      <c r="I83" s="78" t="str">
        <f t="shared" si="21"/>
        <v>-</v>
      </c>
      <c r="J83" s="22">
        <f>E83+[4]松原工場!J83</f>
        <v>0</v>
      </c>
      <c r="K83" s="169">
        <f t="shared" ref="K83:K95" si="37">J83/$J$10</f>
        <v>0</v>
      </c>
      <c r="L83" s="68">
        <f>G83+[4]松原工場!L83</f>
        <v>0</v>
      </c>
      <c r="M83" s="128">
        <f t="shared" ref="M83:M95" si="38">L83/$L$10</f>
        <v>0</v>
      </c>
      <c r="N83" s="78" t="str">
        <f t="shared" si="35"/>
        <v>-</v>
      </c>
      <c r="O83" s="18"/>
      <c r="P83" s="22">
        <f>[5]松原工場!L85</f>
        <v>0</v>
      </c>
      <c r="Q83" s="25">
        <f t="shared" si="24"/>
        <v>0</v>
      </c>
      <c r="R83" s="22">
        <f>P83+[4]松原工場!R83</f>
        <v>0</v>
      </c>
      <c r="S83" s="25">
        <f t="shared" si="25"/>
        <v>0</v>
      </c>
      <c r="T83" s="48">
        <f t="shared" si="36"/>
        <v>0</v>
      </c>
      <c r="U83" s="225" t="str">
        <f t="shared" si="26"/>
        <v>-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</row>
    <row r="84" spans="1:75" ht="15" customHeight="1" x14ac:dyDescent="0.15">
      <c r="A84" s="3"/>
      <c r="B84" s="256"/>
      <c r="C84" s="257"/>
      <c r="D84" s="192" t="s">
        <v>70</v>
      </c>
      <c r="E84" s="24">
        <f>[2]松原工場!L88</f>
        <v>192463</v>
      </c>
      <c r="F84" s="135">
        <f t="shared" ref="F84:F95" si="39">E84/$E$10</f>
        <v>5.462565603833988E-3</v>
      </c>
      <c r="G84" s="24">
        <f>[3]松原工場!L88</f>
        <v>316080</v>
      </c>
      <c r="H84" s="108">
        <f t="shared" si="23"/>
        <v>1.6389318279440988E-2</v>
      </c>
      <c r="I84" s="78">
        <f t="shared" si="21"/>
        <v>1.6422896868489008</v>
      </c>
      <c r="J84" s="22">
        <f>E84+[4]松原工場!J84</f>
        <v>13322445</v>
      </c>
      <c r="K84" s="169">
        <f t="shared" si="37"/>
        <v>2.485006493574007E-2</v>
      </c>
      <c r="L84" s="68">
        <f>G84+[4]松原工場!L84</f>
        <v>1307935</v>
      </c>
      <c r="M84" s="128">
        <f t="shared" si="38"/>
        <v>9.5825377557379847E-3</v>
      </c>
      <c r="N84" s="78">
        <f t="shared" si="35"/>
        <v>9.817529740224111E-2</v>
      </c>
      <c r="O84" s="18"/>
      <c r="P84" s="22">
        <f>[5]松原工場!L86</f>
        <v>330000</v>
      </c>
      <c r="Q84" s="25">
        <f t="shared" si="24"/>
        <v>1.0873146622734762E-2</v>
      </c>
      <c r="R84" s="22">
        <f>P84+[4]松原工場!R84</f>
        <v>2970000</v>
      </c>
      <c r="S84" s="25">
        <f t="shared" si="25"/>
        <v>1.2016993728504956E-2</v>
      </c>
      <c r="T84" s="48">
        <f t="shared" ref="T84:T95" si="40">L84-R84</f>
        <v>-1662065</v>
      </c>
      <c r="U84" s="225">
        <f t="shared" si="26"/>
        <v>0.44038215488215487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</row>
    <row r="85" spans="1:75" ht="15" customHeight="1" x14ac:dyDescent="0.15">
      <c r="A85" s="3"/>
      <c r="B85" s="258"/>
      <c r="C85" s="259"/>
      <c r="D85" s="194" t="s">
        <v>66</v>
      </c>
      <c r="E85" s="37">
        <f>SUM(E80:E84)</f>
        <v>192463</v>
      </c>
      <c r="F85" s="140">
        <f>E85/$E$10</f>
        <v>5.462565603833988E-3</v>
      </c>
      <c r="G85" s="37">
        <f>SUM(G80:G84)</f>
        <v>316080</v>
      </c>
      <c r="H85" s="107">
        <f>G85/$G$10</f>
        <v>1.6389318279440988E-2</v>
      </c>
      <c r="I85" s="113">
        <f t="shared" si="21"/>
        <v>1.6422896868489008</v>
      </c>
      <c r="J85" s="70">
        <f>SUM(J80:J84)</f>
        <v>13322445</v>
      </c>
      <c r="K85" s="168">
        <f>J85/$J$10</f>
        <v>2.485006493574007E-2</v>
      </c>
      <c r="L85" s="37">
        <f>SUM(L80:L84)</f>
        <v>1307935</v>
      </c>
      <c r="M85" s="107">
        <f>L85/$L$10</f>
        <v>9.5825377557379847E-3</v>
      </c>
      <c r="N85" s="113">
        <f>IF(J85,L85/J85,"-")</f>
        <v>9.817529740224111E-2</v>
      </c>
      <c r="O85" s="18"/>
      <c r="P85" s="37">
        <f>SUM(P80:P84)</f>
        <v>330000</v>
      </c>
      <c r="Q85" s="29">
        <f t="shared" si="24"/>
        <v>1.0873146622734762E-2</v>
      </c>
      <c r="R85" s="37">
        <f>SUM(R80:R84)</f>
        <v>2970000</v>
      </c>
      <c r="S85" s="29">
        <f t="shared" si="25"/>
        <v>1.2016993728504956E-2</v>
      </c>
      <c r="T85" s="48">
        <f t="shared" si="40"/>
        <v>-1662065</v>
      </c>
      <c r="U85" s="225">
        <f t="shared" si="26"/>
        <v>0.44038215488215487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</row>
    <row r="86" spans="1:75" ht="15" customHeight="1" x14ac:dyDescent="0.15">
      <c r="A86" s="3"/>
      <c r="B86" s="256" t="s">
        <v>71</v>
      </c>
      <c r="C86" s="257"/>
      <c r="D86" s="192" t="s">
        <v>73</v>
      </c>
      <c r="E86" s="24">
        <f>[2]松原工場!L90</f>
        <v>0</v>
      </c>
      <c r="F86" s="138">
        <f t="shared" si="39"/>
        <v>0</v>
      </c>
      <c r="G86" s="24">
        <f>[3]松原工場!L90</f>
        <v>0</v>
      </c>
      <c r="H86" s="106">
        <f t="shared" si="23"/>
        <v>0</v>
      </c>
      <c r="I86" s="89" t="str">
        <f t="shared" si="21"/>
        <v>-</v>
      </c>
      <c r="J86" s="22">
        <f>E86+[4]松原工場!J86</f>
        <v>0</v>
      </c>
      <c r="K86" s="169">
        <f t="shared" si="37"/>
        <v>0</v>
      </c>
      <c r="L86" s="68">
        <f>G86+[4]松原工場!L86</f>
        <v>0</v>
      </c>
      <c r="M86" s="128">
        <f t="shared" si="38"/>
        <v>0</v>
      </c>
      <c r="N86" s="78" t="str">
        <f t="shared" si="35"/>
        <v>-</v>
      </c>
      <c r="O86" s="18"/>
      <c r="P86" s="22">
        <f>[5]松原工場!L88</f>
        <v>0</v>
      </c>
      <c r="Q86" s="21">
        <f t="shared" si="24"/>
        <v>0</v>
      </c>
      <c r="R86" s="22">
        <f>P86+[4]松原工場!R86</f>
        <v>0</v>
      </c>
      <c r="S86" s="21">
        <f t="shared" si="25"/>
        <v>0</v>
      </c>
      <c r="T86" s="48">
        <f t="shared" si="40"/>
        <v>0</v>
      </c>
      <c r="U86" s="225" t="str">
        <f t="shared" si="26"/>
        <v>-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</row>
    <row r="87" spans="1:75" ht="15" customHeight="1" x14ac:dyDescent="0.15">
      <c r="A87" s="3"/>
      <c r="B87" s="256"/>
      <c r="C87" s="257"/>
      <c r="D87" s="192" t="s">
        <v>74</v>
      </c>
      <c r="E87" s="24">
        <f>[2]松原工場!L91</f>
        <v>0</v>
      </c>
      <c r="F87" s="138">
        <f t="shared" si="39"/>
        <v>0</v>
      </c>
      <c r="G87" s="24">
        <f>[3]松原工場!L91</f>
        <v>0</v>
      </c>
      <c r="H87" s="106">
        <f t="shared" si="23"/>
        <v>0</v>
      </c>
      <c r="I87" s="89" t="str">
        <f t="shared" si="21"/>
        <v>-</v>
      </c>
      <c r="J87" s="22">
        <f>E87+[4]松原工場!J87</f>
        <v>0</v>
      </c>
      <c r="K87" s="169">
        <f t="shared" si="37"/>
        <v>0</v>
      </c>
      <c r="L87" s="68">
        <f>G87+[4]松原工場!L87</f>
        <v>0</v>
      </c>
      <c r="M87" s="128">
        <f t="shared" si="38"/>
        <v>0</v>
      </c>
      <c r="N87" s="78" t="str">
        <f t="shared" si="35"/>
        <v>-</v>
      </c>
      <c r="O87" s="18"/>
      <c r="P87" s="22">
        <f>[5]松原工場!L89</f>
        <v>0</v>
      </c>
      <c r="Q87" s="21">
        <f t="shared" si="24"/>
        <v>0</v>
      </c>
      <c r="R87" s="22">
        <f>P87+[4]松原工場!R87</f>
        <v>0</v>
      </c>
      <c r="S87" s="21">
        <f t="shared" si="25"/>
        <v>0</v>
      </c>
      <c r="T87" s="48">
        <f t="shared" si="40"/>
        <v>0</v>
      </c>
      <c r="U87" s="225" t="str">
        <f t="shared" si="26"/>
        <v>-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</row>
    <row r="88" spans="1:75" ht="15" customHeight="1" x14ac:dyDescent="0.15">
      <c r="A88" s="3"/>
      <c r="B88" s="256"/>
      <c r="C88" s="257"/>
      <c r="D88" s="192" t="s">
        <v>75</v>
      </c>
      <c r="E88" s="24">
        <f>[2]松原工場!L92</f>
        <v>0</v>
      </c>
      <c r="F88" s="138">
        <f t="shared" si="39"/>
        <v>0</v>
      </c>
      <c r="G88" s="24">
        <f>[3]松原工場!L92</f>
        <v>0</v>
      </c>
      <c r="H88" s="106">
        <f t="shared" si="23"/>
        <v>0</v>
      </c>
      <c r="I88" s="89" t="str">
        <f t="shared" si="21"/>
        <v>-</v>
      </c>
      <c r="J88" s="22">
        <f>E88+[4]松原工場!J88</f>
        <v>0</v>
      </c>
      <c r="K88" s="171">
        <f t="shared" si="37"/>
        <v>0</v>
      </c>
      <c r="L88" s="68">
        <f>G88+[4]松原工場!L88</f>
        <v>0</v>
      </c>
      <c r="M88" s="128">
        <f t="shared" si="38"/>
        <v>0</v>
      </c>
      <c r="N88" s="78" t="str">
        <f t="shared" si="35"/>
        <v>-</v>
      </c>
      <c r="O88" s="18"/>
      <c r="P88" s="22">
        <f>[5]松原工場!L90</f>
        <v>0</v>
      </c>
      <c r="Q88" s="21">
        <f t="shared" si="24"/>
        <v>0</v>
      </c>
      <c r="R88" s="22">
        <f>P88+[4]松原工場!R88</f>
        <v>0</v>
      </c>
      <c r="S88" s="21">
        <f t="shared" si="25"/>
        <v>0</v>
      </c>
      <c r="T88" s="48">
        <f t="shared" si="40"/>
        <v>0</v>
      </c>
      <c r="U88" s="225" t="str">
        <f t="shared" si="26"/>
        <v>-</v>
      </c>
    </row>
    <row r="89" spans="1:75" ht="15" customHeight="1" x14ac:dyDescent="0.15">
      <c r="A89" s="3"/>
      <c r="B89" s="258"/>
      <c r="C89" s="259"/>
      <c r="D89" s="194" t="s">
        <v>72</v>
      </c>
      <c r="E89" s="27">
        <f>SUM(E86:E88)</f>
        <v>0</v>
      </c>
      <c r="F89" s="143">
        <f>E89/$E$10</f>
        <v>0</v>
      </c>
      <c r="G89" s="27">
        <f>SUM(G86:G88)</f>
        <v>0</v>
      </c>
      <c r="H89" s="105">
        <f>G89/$G$10</f>
        <v>0</v>
      </c>
      <c r="I89" s="114" t="str">
        <f t="shared" si="21"/>
        <v>-</v>
      </c>
      <c r="J89" s="28">
        <f>SUM(J86:J88)</f>
        <v>0</v>
      </c>
      <c r="K89" s="170">
        <f>J89/$J$10</f>
        <v>0</v>
      </c>
      <c r="L89" s="27">
        <f>SUM(L86:L88)</f>
        <v>0</v>
      </c>
      <c r="M89" s="107">
        <f>L89/$L$10</f>
        <v>0</v>
      </c>
      <c r="N89" s="113" t="str">
        <f>IF(J89,L89/J89,"-")</f>
        <v>-</v>
      </c>
      <c r="O89" s="18"/>
      <c r="P89" s="27">
        <f>SUM(P86:P88)</f>
        <v>0</v>
      </c>
      <c r="Q89" s="26">
        <f t="shared" si="24"/>
        <v>0</v>
      </c>
      <c r="R89" s="27">
        <f>SUM(R86:R88)</f>
        <v>0</v>
      </c>
      <c r="S89" s="26">
        <f t="shared" si="25"/>
        <v>0</v>
      </c>
      <c r="T89" s="48">
        <f t="shared" si="40"/>
        <v>0</v>
      </c>
      <c r="U89" s="225" t="str">
        <f t="shared" si="26"/>
        <v>-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</row>
    <row r="90" spans="1:75" ht="15" customHeight="1" x14ac:dyDescent="0.15">
      <c r="A90" s="3"/>
      <c r="B90" s="251" t="s">
        <v>76</v>
      </c>
      <c r="C90" s="252"/>
      <c r="D90" s="253"/>
      <c r="E90" s="31">
        <f>E79+E85-E89</f>
        <v>-10164154</v>
      </c>
      <c r="F90" s="144">
        <f t="shared" si="39"/>
        <v>-0.28848328266976847</v>
      </c>
      <c r="G90" s="31">
        <f>G79+G85-G89</f>
        <v>4398272</v>
      </c>
      <c r="H90" s="109">
        <f t="shared" si="23"/>
        <v>0.22805833867234077</v>
      </c>
      <c r="I90" s="115">
        <f t="shared" si="21"/>
        <v>-0.43272386467186547</v>
      </c>
      <c r="J90" s="71">
        <f>J79+J85-J89</f>
        <v>55468173</v>
      </c>
      <c r="K90" s="172">
        <f t="shared" si="37"/>
        <v>0.10346356850539552</v>
      </c>
      <c r="L90" s="31">
        <f>L79+L85-L89</f>
        <v>-1426937</v>
      </c>
      <c r="M90" s="131">
        <f t="shared" si="38"/>
        <v>-1.0454401539495077E-2</v>
      </c>
      <c r="N90" s="125">
        <f t="shared" si="35"/>
        <v>-2.5725329009844981E-2</v>
      </c>
      <c r="O90" s="18"/>
      <c r="P90" s="31">
        <f>P79+P85-P89</f>
        <v>1853500</v>
      </c>
      <c r="Q90" s="2">
        <f t="shared" si="24"/>
        <v>6.1070840197693578E-2</v>
      </c>
      <c r="R90" s="31">
        <f>R79+R85-R89</f>
        <v>2836000</v>
      </c>
      <c r="S90" s="2">
        <f t="shared" si="25"/>
        <v>1.1474812866680154E-2</v>
      </c>
      <c r="T90" s="48">
        <f t="shared" si="40"/>
        <v>-4262937</v>
      </c>
      <c r="U90" s="225">
        <f t="shared" si="26"/>
        <v>-0.50315126939351196</v>
      </c>
    </row>
    <row r="91" spans="1:75" ht="15" customHeight="1" x14ac:dyDescent="0.15">
      <c r="A91" s="3"/>
      <c r="B91" s="260" t="s">
        <v>77</v>
      </c>
      <c r="C91" s="261"/>
      <c r="D91" s="262"/>
      <c r="E91" s="24">
        <f>[2]松原工場!L96</f>
        <v>0</v>
      </c>
      <c r="F91" s="141">
        <f t="shared" si="39"/>
        <v>0</v>
      </c>
      <c r="G91" s="24">
        <f>[3]松原工場!L97</f>
        <v>0</v>
      </c>
      <c r="H91" s="106">
        <f t="shared" si="23"/>
        <v>0</v>
      </c>
      <c r="I91" s="89" t="str">
        <f t="shared" si="21"/>
        <v>-</v>
      </c>
      <c r="J91" s="22">
        <f>E91+[4]松原工場!J91</f>
        <v>0</v>
      </c>
      <c r="K91" s="103">
        <f t="shared" si="37"/>
        <v>0</v>
      </c>
      <c r="L91" s="68">
        <f>G91+[4]松原工場!L91</f>
        <v>0</v>
      </c>
      <c r="M91" s="128">
        <f t="shared" si="38"/>
        <v>0</v>
      </c>
      <c r="N91" s="78" t="str">
        <f t="shared" si="35"/>
        <v>-</v>
      </c>
      <c r="O91" s="18"/>
      <c r="P91" s="23"/>
      <c r="Q91" s="21">
        <f t="shared" si="24"/>
        <v>0</v>
      </c>
      <c r="R91" s="23"/>
      <c r="S91" s="21">
        <f t="shared" si="25"/>
        <v>0</v>
      </c>
      <c r="T91" s="48">
        <f t="shared" si="40"/>
        <v>0</v>
      </c>
      <c r="U91" s="225" t="str">
        <f t="shared" si="26"/>
        <v>-</v>
      </c>
    </row>
    <row r="92" spans="1:75" ht="15" customHeight="1" x14ac:dyDescent="0.15">
      <c r="A92" s="3"/>
      <c r="B92" s="260" t="s">
        <v>78</v>
      </c>
      <c r="C92" s="261"/>
      <c r="D92" s="262"/>
      <c r="E92" s="24">
        <f>[2]松原工場!L98</f>
        <v>0</v>
      </c>
      <c r="F92" s="141">
        <f t="shared" si="39"/>
        <v>0</v>
      </c>
      <c r="G92" s="24">
        <f>[3]松原工場!L99</f>
        <v>0</v>
      </c>
      <c r="H92" s="110">
        <f t="shared" si="23"/>
        <v>0</v>
      </c>
      <c r="I92" s="89" t="str">
        <f t="shared" si="21"/>
        <v>-</v>
      </c>
      <c r="J92" s="22">
        <f>E92+[4]松原工場!J92</f>
        <v>0</v>
      </c>
      <c r="K92" s="103">
        <f t="shared" si="37"/>
        <v>0</v>
      </c>
      <c r="L92" s="68">
        <f>G92+[4]松原工場!L92</f>
        <v>0</v>
      </c>
      <c r="M92" s="128">
        <f t="shared" si="38"/>
        <v>0</v>
      </c>
      <c r="N92" s="78" t="str">
        <f t="shared" si="35"/>
        <v>-</v>
      </c>
      <c r="O92" s="18"/>
      <c r="P92" s="23"/>
      <c r="Q92" s="21">
        <f t="shared" si="24"/>
        <v>0</v>
      </c>
      <c r="R92" s="23"/>
      <c r="S92" s="21">
        <f t="shared" si="25"/>
        <v>0</v>
      </c>
      <c r="T92" s="48">
        <f t="shared" si="40"/>
        <v>0</v>
      </c>
      <c r="U92" s="225" t="str">
        <f t="shared" si="26"/>
        <v>-</v>
      </c>
    </row>
    <row r="93" spans="1:75" ht="15" customHeight="1" x14ac:dyDescent="0.15">
      <c r="A93" s="3"/>
      <c r="B93" s="251" t="s">
        <v>79</v>
      </c>
      <c r="C93" s="252"/>
      <c r="D93" s="253"/>
      <c r="E93" s="17">
        <f>E90+E91-E92</f>
        <v>-10164154</v>
      </c>
      <c r="F93" s="142">
        <f t="shared" si="39"/>
        <v>-0.28848328266976847</v>
      </c>
      <c r="G93" s="17">
        <f>G90+G91-G92</f>
        <v>4398272</v>
      </c>
      <c r="H93" s="96">
        <f t="shared" si="23"/>
        <v>0.22805833867234077</v>
      </c>
      <c r="I93" s="112">
        <f t="shared" si="21"/>
        <v>-0.43272386467186547</v>
      </c>
      <c r="J93" s="19">
        <f>J90+J91-J92</f>
        <v>55468173</v>
      </c>
      <c r="K93" s="167">
        <f t="shared" si="37"/>
        <v>0.10346356850539552</v>
      </c>
      <c r="L93" s="17">
        <f>L90+L91-L92</f>
        <v>-1426937</v>
      </c>
      <c r="M93" s="99">
        <f t="shared" si="38"/>
        <v>-1.0454401539495077E-2</v>
      </c>
      <c r="N93" s="125">
        <f t="shared" si="35"/>
        <v>-2.5725329009844981E-2</v>
      </c>
      <c r="O93" s="18"/>
      <c r="P93" s="17">
        <f>P90+P91-P92</f>
        <v>1853500</v>
      </c>
      <c r="Q93" s="2">
        <f t="shared" si="24"/>
        <v>6.1070840197693578E-2</v>
      </c>
      <c r="R93" s="17">
        <f>R90+R91-R92</f>
        <v>2836000</v>
      </c>
      <c r="S93" s="2">
        <f t="shared" si="25"/>
        <v>1.1474812866680154E-2</v>
      </c>
      <c r="T93" s="48">
        <f t="shared" si="40"/>
        <v>-4262937</v>
      </c>
      <c r="U93" s="225">
        <f t="shared" si="26"/>
        <v>-0.50315126939351196</v>
      </c>
    </row>
    <row r="94" spans="1:75" ht="15" customHeight="1" x14ac:dyDescent="0.15">
      <c r="A94" s="3"/>
      <c r="B94" s="245" t="s">
        <v>80</v>
      </c>
      <c r="C94" s="246"/>
      <c r="D94" s="247"/>
      <c r="E94" s="174"/>
      <c r="F94" s="138">
        <f t="shared" si="39"/>
        <v>0</v>
      </c>
      <c r="G94" s="174"/>
      <c r="H94" s="111">
        <f t="shared" si="23"/>
        <v>0</v>
      </c>
      <c r="I94" s="89" t="str">
        <f t="shared" si="21"/>
        <v>-</v>
      </c>
      <c r="J94" s="34">
        <f>E94</f>
        <v>0</v>
      </c>
      <c r="K94" s="169">
        <f t="shared" si="37"/>
        <v>0</v>
      </c>
      <c r="L94" s="68">
        <f>G94+[4]松原工場!L94</f>
        <v>0</v>
      </c>
      <c r="M94" s="128">
        <f t="shared" si="38"/>
        <v>0</v>
      </c>
      <c r="N94" s="79" t="str">
        <f t="shared" si="35"/>
        <v>-</v>
      </c>
      <c r="O94" s="18"/>
      <c r="P94" s="30"/>
      <c r="Q94" s="21">
        <f t="shared" si="24"/>
        <v>0</v>
      </c>
      <c r="R94" s="30"/>
      <c r="S94" s="21">
        <f t="shared" si="25"/>
        <v>0</v>
      </c>
      <c r="T94" s="48">
        <f t="shared" si="40"/>
        <v>0</v>
      </c>
      <c r="U94" s="225" t="str">
        <f t="shared" si="26"/>
        <v>-</v>
      </c>
    </row>
    <row r="95" spans="1:75" ht="15" customHeight="1" thickBot="1" x14ac:dyDescent="0.2">
      <c r="A95" s="3"/>
      <c r="B95" s="248" t="s">
        <v>81</v>
      </c>
      <c r="C95" s="249"/>
      <c r="D95" s="250"/>
      <c r="E95" s="152">
        <f>E93-E94</f>
        <v>-10164154</v>
      </c>
      <c r="F95" s="151">
        <f t="shared" si="39"/>
        <v>-0.28848328266976847</v>
      </c>
      <c r="G95" s="152">
        <f>G93-G94</f>
        <v>4398272</v>
      </c>
      <c r="H95" s="153">
        <f t="shared" si="23"/>
        <v>0.22805833867234077</v>
      </c>
      <c r="I95" s="154">
        <f t="shared" si="21"/>
        <v>-0.43272386467186547</v>
      </c>
      <c r="J95" s="155">
        <f>J93-J94</f>
        <v>55468173</v>
      </c>
      <c r="K95" s="173">
        <f t="shared" si="37"/>
        <v>0.10346356850539552</v>
      </c>
      <c r="L95" s="152">
        <f>L93-L94</f>
        <v>-1426937</v>
      </c>
      <c r="M95" s="156">
        <f t="shared" si="38"/>
        <v>-1.0454401539495077E-2</v>
      </c>
      <c r="N95" s="157">
        <f t="shared" si="35"/>
        <v>-2.5725329009844981E-2</v>
      </c>
      <c r="O95" s="18"/>
      <c r="P95" s="17">
        <f>P93-P94</f>
        <v>1853500</v>
      </c>
      <c r="Q95" s="2">
        <f t="shared" si="24"/>
        <v>6.1070840197693578E-2</v>
      </c>
      <c r="R95" s="17">
        <f>R93-R94</f>
        <v>2836000</v>
      </c>
      <c r="S95" s="2">
        <f t="shared" si="25"/>
        <v>1.1474812866680154E-2</v>
      </c>
      <c r="T95" s="48">
        <f t="shared" si="40"/>
        <v>-4262937</v>
      </c>
      <c r="U95" s="225">
        <f t="shared" si="26"/>
        <v>-0.50315126939351196</v>
      </c>
    </row>
    <row r="96" spans="1:75" ht="14.85" customHeight="1" x14ac:dyDescent="0.15">
      <c r="A96" s="3"/>
      <c r="B96" s="122"/>
      <c r="C96" s="122"/>
      <c r="D96" s="122"/>
      <c r="E96" s="149"/>
      <c r="F96" s="149"/>
      <c r="G96" s="122"/>
      <c r="H96" s="122"/>
      <c r="I96" s="150"/>
      <c r="L96" s="122"/>
      <c r="M96" s="122"/>
      <c r="N96" s="38"/>
      <c r="O96" s="4"/>
    </row>
    <row r="97" spans="1:15" ht="14.85" customHeight="1" x14ac:dyDescent="0.15">
      <c r="A97" s="3"/>
      <c r="J97" s="40"/>
      <c r="K97" s="40"/>
      <c r="N97" s="39"/>
      <c r="O97" s="4"/>
    </row>
    <row r="98" spans="1:15" x14ac:dyDescent="0.15">
      <c r="A98" s="3"/>
      <c r="B98" s="40"/>
      <c r="C98" s="40"/>
      <c r="D98" s="40"/>
      <c r="G98" s="40"/>
      <c r="H98" s="40"/>
      <c r="J98" s="40"/>
      <c r="K98" s="40"/>
      <c r="L98" s="40"/>
      <c r="M98" s="40"/>
      <c r="N98" s="40"/>
      <c r="O98" s="3"/>
    </row>
    <row r="99" spans="1:15" ht="14.85" customHeight="1" x14ac:dyDescent="0.15">
      <c r="A99" s="3"/>
      <c r="B99" s="40"/>
      <c r="C99" s="40"/>
      <c r="D99" s="40"/>
      <c r="G99" s="40"/>
      <c r="H99" s="40"/>
      <c r="L99" s="40"/>
      <c r="M99" s="40"/>
      <c r="O99" s="41"/>
    </row>
    <row r="100" spans="1:15" ht="14.85" customHeight="1" x14ac:dyDescent="0.15">
      <c r="A100" s="3"/>
      <c r="O100" s="10"/>
    </row>
    <row r="101" spans="1:15" ht="14.85" customHeight="1" x14ac:dyDescent="0.15">
      <c r="A101" s="3"/>
      <c r="O101" s="10"/>
    </row>
    <row r="102" spans="1:15" ht="14.85" customHeight="1" x14ac:dyDescent="0.15">
      <c r="A102" s="3"/>
      <c r="O102" s="10"/>
    </row>
    <row r="103" spans="1:15" ht="14.85" customHeight="1" x14ac:dyDescent="0.15">
      <c r="A103" s="3"/>
      <c r="O103" s="10"/>
    </row>
    <row r="104" spans="1:15" ht="14.85" customHeight="1" x14ac:dyDescent="0.15">
      <c r="A104" s="3"/>
      <c r="O104" s="10"/>
    </row>
    <row r="105" spans="1:15" ht="14.85" customHeight="1" x14ac:dyDescent="0.15">
      <c r="A105" s="3"/>
      <c r="O105" s="10"/>
    </row>
    <row r="106" spans="1:15" ht="14.85" customHeight="1" x14ac:dyDescent="0.15">
      <c r="A106" s="3"/>
      <c r="O106" s="10"/>
    </row>
    <row r="107" spans="1:15" ht="14.85" customHeight="1" x14ac:dyDescent="0.15">
      <c r="A107" s="3"/>
      <c r="O107" s="13"/>
    </row>
    <row r="108" spans="1:15" ht="14.85" customHeight="1" x14ac:dyDescent="0.15">
      <c r="A108" s="3"/>
      <c r="O108" s="4"/>
    </row>
    <row r="109" spans="1:15" ht="14.85" customHeight="1" x14ac:dyDescent="0.15">
      <c r="A109" s="3"/>
      <c r="O109" s="4"/>
    </row>
    <row r="110" spans="1:15" ht="14.85" customHeight="1" x14ac:dyDescent="0.15">
      <c r="A110" s="3"/>
      <c r="O110" s="4"/>
    </row>
    <row r="111" spans="1:15" ht="14.85" customHeight="1" x14ac:dyDescent="0.15">
      <c r="A111" s="3"/>
      <c r="O111" s="4"/>
    </row>
    <row r="112" spans="1:15" ht="14.85" customHeight="1" x14ac:dyDescent="0.15">
      <c r="A112" s="3"/>
      <c r="O112" s="4"/>
    </row>
    <row r="113" spans="1:15" ht="14.85" customHeight="1" x14ac:dyDescent="0.15">
      <c r="A113" s="3"/>
      <c r="O113" s="4"/>
    </row>
    <row r="114" spans="1:15" ht="14.85" customHeight="1" x14ac:dyDescent="0.15">
      <c r="A114" s="3"/>
      <c r="O114" s="4"/>
    </row>
    <row r="115" spans="1:15" ht="14.85" customHeight="1" x14ac:dyDescent="0.15">
      <c r="A115" s="3"/>
      <c r="O115" s="4"/>
    </row>
    <row r="116" spans="1:15" ht="14.85" customHeight="1" x14ac:dyDescent="0.15">
      <c r="A116" s="3"/>
      <c r="O116" s="4"/>
    </row>
    <row r="117" spans="1:15" ht="14.85" customHeight="1" x14ac:dyDescent="0.15">
      <c r="A117" s="3"/>
      <c r="O117" s="4"/>
    </row>
    <row r="118" spans="1:15" ht="14.85" customHeight="1" x14ac:dyDescent="0.15">
      <c r="A118" s="3"/>
      <c r="O118" s="4"/>
    </row>
    <row r="119" spans="1:15" ht="14.85" customHeight="1" x14ac:dyDescent="0.15">
      <c r="A119" s="3"/>
      <c r="O119" s="4"/>
    </row>
    <row r="120" spans="1:15" ht="14.85" customHeight="1" x14ac:dyDescent="0.15">
      <c r="A120" s="3"/>
      <c r="O120" s="4"/>
    </row>
    <row r="121" spans="1:15" ht="14.85" customHeight="1" x14ac:dyDescent="0.15">
      <c r="A121" s="3"/>
      <c r="O121" s="4"/>
    </row>
    <row r="122" spans="1:15" ht="14.85" customHeight="1" x14ac:dyDescent="0.15">
      <c r="A122" s="3"/>
      <c r="O122" s="4"/>
    </row>
    <row r="123" spans="1:15" ht="14.85" customHeight="1" x14ac:dyDescent="0.15">
      <c r="A123" s="3"/>
      <c r="O123" s="4"/>
    </row>
    <row r="124" spans="1:15" ht="14.85" customHeight="1" x14ac:dyDescent="0.15">
      <c r="A124" s="3"/>
      <c r="O124" s="4"/>
    </row>
    <row r="125" spans="1:15" ht="14.85" customHeight="1" x14ac:dyDescent="0.15">
      <c r="A125" s="3"/>
      <c r="O125" s="4"/>
    </row>
    <row r="126" spans="1:15" ht="14.85" customHeight="1" x14ac:dyDescent="0.15">
      <c r="A126" s="3"/>
      <c r="O126" s="4"/>
    </row>
    <row r="127" spans="1:15" ht="14.85" customHeight="1" x14ac:dyDescent="0.15">
      <c r="A127" s="3"/>
      <c r="O127" s="4"/>
    </row>
    <row r="128" spans="1:15" ht="14.85" customHeight="1" x14ac:dyDescent="0.15">
      <c r="A128" s="3"/>
      <c r="O128" s="4"/>
    </row>
    <row r="129" spans="1:15" ht="14.85" customHeight="1" x14ac:dyDescent="0.15">
      <c r="A129" s="3"/>
      <c r="O129" s="4"/>
    </row>
    <row r="130" spans="1:15" ht="14.85" customHeight="1" x14ac:dyDescent="0.15">
      <c r="A130" s="3"/>
      <c r="O130" s="4"/>
    </row>
    <row r="131" spans="1:15" ht="14.85" customHeight="1" x14ac:dyDescent="0.15">
      <c r="A131" s="3"/>
      <c r="O131" s="4"/>
    </row>
    <row r="132" spans="1:15" ht="14.85" customHeight="1" x14ac:dyDescent="0.15">
      <c r="A132" s="3"/>
      <c r="O132" s="4"/>
    </row>
    <row r="133" spans="1:15" ht="14.85" customHeight="1" x14ac:dyDescent="0.15">
      <c r="A133" s="3"/>
      <c r="O133" s="4"/>
    </row>
    <row r="134" spans="1:15" ht="14.85" customHeight="1" x14ac:dyDescent="0.15">
      <c r="A134" s="3"/>
      <c r="O134" s="4"/>
    </row>
    <row r="135" spans="1:15" ht="14.85" customHeight="1" x14ac:dyDescent="0.15">
      <c r="A135" s="3"/>
      <c r="O135" s="4"/>
    </row>
    <row r="136" spans="1:15" ht="14.85" customHeight="1" x14ac:dyDescent="0.15">
      <c r="A136" s="3"/>
      <c r="O136" s="4"/>
    </row>
    <row r="137" spans="1:15" ht="14.85" customHeight="1" x14ac:dyDescent="0.15">
      <c r="A137" s="3"/>
      <c r="O137" s="4"/>
    </row>
    <row r="138" spans="1:15" ht="14.85" customHeight="1" x14ac:dyDescent="0.15">
      <c r="A138" s="3"/>
      <c r="O138" s="4"/>
    </row>
    <row r="139" spans="1:15" ht="14.85" customHeight="1" x14ac:dyDescent="0.15">
      <c r="A139" s="3"/>
      <c r="O139" s="4"/>
    </row>
    <row r="140" spans="1:15" ht="14.85" customHeight="1" x14ac:dyDescent="0.15">
      <c r="A140" s="3"/>
      <c r="O140" s="4"/>
    </row>
    <row r="141" spans="1:15" ht="14.85" customHeight="1" x14ac:dyDescent="0.15">
      <c r="A141" s="3"/>
      <c r="O141" s="4"/>
    </row>
    <row r="142" spans="1:15" ht="14.85" customHeight="1" x14ac:dyDescent="0.15">
      <c r="A142" s="3"/>
      <c r="O142" s="4"/>
    </row>
    <row r="143" spans="1:15" ht="14.85" customHeight="1" x14ac:dyDescent="0.15">
      <c r="A143" s="3"/>
      <c r="O143" s="4"/>
    </row>
    <row r="144" spans="1:15" ht="14.85" customHeight="1" x14ac:dyDescent="0.15">
      <c r="A144" s="3"/>
      <c r="O144" s="4"/>
    </row>
    <row r="145" spans="1:15" ht="14.85" customHeight="1" x14ac:dyDescent="0.15">
      <c r="A145" s="3"/>
      <c r="O145" s="4"/>
    </row>
    <row r="146" spans="1:15" ht="14.85" customHeight="1" x14ac:dyDescent="0.15">
      <c r="A146" s="3"/>
      <c r="O146" s="4"/>
    </row>
    <row r="147" spans="1:15" ht="14.85" customHeight="1" x14ac:dyDescent="0.15">
      <c r="A147" s="3"/>
      <c r="O147" s="4"/>
    </row>
    <row r="148" spans="1:15" ht="14.85" customHeight="1" x14ac:dyDescent="0.15">
      <c r="A148" s="3"/>
      <c r="O148" s="4"/>
    </row>
    <row r="149" spans="1:15" ht="14.85" customHeight="1" x14ac:dyDescent="0.15">
      <c r="A149" s="3"/>
      <c r="O149" s="4"/>
    </row>
    <row r="150" spans="1:15" ht="14.85" customHeight="1" x14ac:dyDescent="0.15">
      <c r="A150" s="3"/>
      <c r="O150" s="4"/>
    </row>
    <row r="151" spans="1:15" ht="14.85" customHeight="1" x14ac:dyDescent="0.15">
      <c r="A151" s="3"/>
      <c r="O151" s="4"/>
    </row>
    <row r="152" spans="1:15" ht="14.85" customHeight="1" x14ac:dyDescent="0.15">
      <c r="A152" s="3"/>
      <c r="O152" s="4"/>
    </row>
    <row r="153" spans="1:15" ht="14.85" customHeight="1" x14ac:dyDescent="0.15">
      <c r="A153" s="3"/>
      <c r="O153" s="4"/>
    </row>
    <row r="154" spans="1:15" ht="14.85" customHeight="1" x14ac:dyDescent="0.15">
      <c r="A154" s="3"/>
      <c r="O154" s="4"/>
    </row>
    <row r="155" spans="1:15" ht="14.85" customHeight="1" x14ac:dyDescent="0.15">
      <c r="A155" s="3"/>
      <c r="O155" s="4"/>
    </row>
    <row r="156" spans="1:15" ht="14.85" customHeight="1" x14ac:dyDescent="0.15">
      <c r="A156" s="3"/>
      <c r="O156" s="4"/>
    </row>
    <row r="157" spans="1:15" ht="14.85" customHeight="1" x14ac:dyDescent="0.15">
      <c r="A157" s="3"/>
      <c r="O157" s="10"/>
    </row>
    <row r="158" spans="1:15" ht="14.85" customHeight="1" x14ac:dyDescent="0.15">
      <c r="A158" s="3"/>
      <c r="O158" s="10"/>
    </row>
    <row r="159" spans="1:15" ht="14.85" customHeight="1" x14ac:dyDescent="0.15">
      <c r="A159" s="3"/>
      <c r="O159" s="10"/>
    </row>
    <row r="160" spans="1:15" ht="14.85" customHeight="1" x14ac:dyDescent="0.15">
      <c r="A160" s="3"/>
      <c r="O160" s="10"/>
    </row>
    <row r="161" spans="1:15" ht="14.85" customHeight="1" x14ac:dyDescent="0.15">
      <c r="A161" s="3"/>
      <c r="O161" s="10"/>
    </row>
    <row r="162" spans="1:15" ht="14.85" customHeight="1" x14ac:dyDescent="0.15">
      <c r="A162" s="3"/>
      <c r="O162" s="10"/>
    </row>
    <row r="163" spans="1:15" ht="14.85" customHeight="1" x14ac:dyDescent="0.15">
      <c r="A163" s="3"/>
      <c r="O163" s="10"/>
    </row>
    <row r="164" spans="1:15" ht="14.85" customHeight="1" x14ac:dyDescent="0.15">
      <c r="O164" s="4"/>
    </row>
    <row r="165" spans="1:15" ht="14.85" customHeight="1" x14ac:dyDescent="0.15">
      <c r="O165" s="4"/>
    </row>
    <row r="166" spans="1:15" ht="14.85" customHeight="1" x14ac:dyDescent="0.15">
      <c r="O166" s="4"/>
    </row>
    <row r="167" spans="1:15" ht="14.85" customHeight="1" x14ac:dyDescent="0.15">
      <c r="O167" s="4"/>
    </row>
    <row r="168" spans="1:15" ht="14.85" customHeight="1" x14ac:dyDescent="0.15">
      <c r="O168" s="4"/>
    </row>
    <row r="169" spans="1:15" ht="14.85" customHeight="1" x14ac:dyDescent="0.15">
      <c r="O169" s="4"/>
    </row>
    <row r="170" spans="1:15" ht="14.85" customHeight="1" x14ac:dyDescent="0.15">
      <c r="O170" s="4"/>
    </row>
    <row r="171" spans="1:15" ht="14.85" customHeight="1" x14ac:dyDescent="0.15">
      <c r="O171" s="4"/>
    </row>
    <row r="172" spans="1:15" ht="14.85" customHeight="1" x14ac:dyDescent="0.15">
      <c r="O172" s="4"/>
    </row>
    <row r="173" spans="1:15" ht="14.85" customHeight="1" x14ac:dyDescent="0.15">
      <c r="O173" s="4"/>
    </row>
    <row r="174" spans="1:15" ht="14.85" customHeight="1" x14ac:dyDescent="0.15">
      <c r="O174" s="4"/>
    </row>
    <row r="175" spans="1:15" ht="14.85" customHeight="1" x14ac:dyDescent="0.15">
      <c r="O175" s="4"/>
    </row>
    <row r="176" spans="1:15" ht="14.85" customHeight="1" x14ac:dyDescent="0.15">
      <c r="O176" s="4"/>
    </row>
    <row r="177" spans="15:15" ht="14.85" customHeight="1" x14ac:dyDescent="0.15">
      <c r="O177" s="4"/>
    </row>
    <row r="178" spans="15:15" ht="14.85" customHeight="1" x14ac:dyDescent="0.15">
      <c r="O178" s="4"/>
    </row>
    <row r="179" spans="15:15" ht="14.85" customHeight="1" x14ac:dyDescent="0.15">
      <c r="O179" s="4"/>
    </row>
    <row r="180" spans="15:15" ht="14.85" customHeight="1" x14ac:dyDescent="0.15">
      <c r="O180" s="4"/>
    </row>
    <row r="181" spans="15:15" ht="14.85" customHeight="1" x14ac:dyDescent="0.15">
      <c r="O181" s="4"/>
    </row>
    <row r="182" spans="15:15" ht="14.85" customHeight="1" x14ac:dyDescent="0.15">
      <c r="O182" s="4"/>
    </row>
    <row r="183" spans="15:15" ht="14.85" customHeight="1" x14ac:dyDescent="0.15">
      <c r="O183" s="4"/>
    </row>
    <row r="184" spans="15:15" ht="14.85" customHeight="1" x14ac:dyDescent="0.15">
      <c r="O184" s="4"/>
    </row>
    <row r="185" spans="15:15" ht="14.85" customHeight="1" x14ac:dyDescent="0.15">
      <c r="O185" s="4"/>
    </row>
    <row r="186" spans="15:15" ht="14.85" customHeight="1" x14ac:dyDescent="0.15">
      <c r="O186" s="4"/>
    </row>
    <row r="187" spans="15:15" ht="14.85" customHeight="1" x14ac:dyDescent="0.15">
      <c r="O187" s="4"/>
    </row>
    <row r="188" spans="15:15" ht="14.85" customHeight="1" x14ac:dyDescent="0.15">
      <c r="O188" s="4"/>
    </row>
    <row r="189" spans="15:15" ht="14.85" customHeight="1" x14ac:dyDescent="0.15">
      <c r="O189" s="4"/>
    </row>
    <row r="190" spans="15:15" ht="14.85" customHeight="1" x14ac:dyDescent="0.15">
      <c r="O190" s="4"/>
    </row>
    <row r="191" spans="15:15" ht="14.85" customHeight="1" x14ac:dyDescent="0.15">
      <c r="O191" s="4"/>
    </row>
    <row r="192" spans="15:15" ht="14.85" customHeight="1" x14ac:dyDescent="0.15">
      <c r="O192" s="4"/>
    </row>
    <row r="193" spans="15:15" ht="14.85" customHeight="1" x14ac:dyDescent="0.15">
      <c r="O193" s="4"/>
    </row>
    <row r="194" spans="15:15" ht="14.85" customHeight="1" x14ac:dyDescent="0.15">
      <c r="O194" s="4"/>
    </row>
    <row r="195" spans="15:15" ht="14.85" customHeight="1" x14ac:dyDescent="0.15">
      <c r="O195" s="4"/>
    </row>
    <row r="196" spans="15:15" ht="14.85" customHeight="1" x14ac:dyDescent="0.15">
      <c r="O196" s="4"/>
    </row>
    <row r="197" spans="15:15" ht="14.85" customHeight="1" x14ac:dyDescent="0.15">
      <c r="O197" s="4"/>
    </row>
    <row r="198" spans="15:15" ht="14.85" customHeight="1" x14ac:dyDescent="0.15">
      <c r="O198" s="4"/>
    </row>
    <row r="199" spans="15:15" x14ac:dyDescent="0.15">
      <c r="O199" s="4"/>
    </row>
    <row r="200" spans="15:15" x14ac:dyDescent="0.15">
      <c r="O200" s="4"/>
    </row>
    <row r="201" spans="15:15" x14ac:dyDescent="0.15">
      <c r="O201" s="4"/>
    </row>
    <row r="202" spans="15:15" x14ac:dyDescent="0.15">
      <c r="O202" s="4"/>
    </row>
    <row r="203" spans="15:15" x14ac:dyDescent="0.15">
      <c r="O203" s="4"/>
    </row>
    <row r="204" spans="15:15" x14ac:dyDescent="0.15">
      <c r="O204" s="4"/>
    </row>
    <row r="205" spans="15:15" x14ac:dyDescent="0.15">
      <c r="O205" s="4"/>
    </row>
    <row r="206" spans="15:15" x14ac:dyDescent="0.15">
      <c r="O206" s="4"/>
    </row>
    <row r="207" spans="15:15" x14ac:dyDescent="0.15">
      <c r="O207" s="4"/>
    </row>
    <row r="208" spans="15:15" x14ac:dyDescent="0.15">
      <c r="O208" s="4"/>
    </row>
    <row r="209" spans="15:15" x14ac:dyDescent="0.15">
      <c r="O209" s="4"/>
    </row>
    <row r="210" spans="15:15" x14ac:dyDescent="0.15">
      <c r="O210" s="4"/>
    </row>
    <row r="211" spans="15:15" x14ac:dyDescent="0.15">
      <c r="O211" s="4"/>
    </row>
    <row r="212" spans="15:15" x14ac:dyDescent="0.15">
      <c r="O212" s="4"/>
    </row>
    <row r="213" spans="15:15" x14ac:dyDescent="0.15">
      <c r="O213" s="4"/>
    </row>
    <row r="214" spans="15:15" x14ac:dyDescent="0.15">
      <c r="O214" s="4"/>
    </row>
    <row r="215" spans="15:15" x14ac:dyDescent="0.15">
      <c r="O215" s="4"/>
    </row>
    <row r="216" spans="15:15" x14ac:dyDescent="0.15">
      <c r="O216" s="4"/>
    </row>
    <row r="217" spans="15:15" x14ac:dyDescent="0.15">
      <c r="O217" s="4"/>
    </row>
    <row r="218" spans="15:15" x14ac:dyDescent="0.15">
      <c r="O218" s="4"/>
    </row>
    <row r="219" spans="15:15" x14ac:dyDescent="0.15">
      <c r="O219" s="4"/>
    </row>
    <row r="220" spans="15:15" x14ac:dyDescent="0.15">
      <c r="O220" s="4"/>
    </row>
    <row r="221" spans="15:15" x14ac:dyDescent="0.15">
      <c r="O221" s="4"/>
    </row>
    <row r="222" spans="15:15" x14ac:dyDescent="0.15">
      <c r="O222" s="4"/>
    </row>
    <row r="223" spans="15:15" x14ac:dyDescent="0.15">
      <c r="O223" s="4"/>
    </row>
    <row r="224" spans="15:15" x14ac:dyDescent="0.15">
      <c r="O224" s="4"/>
    </row>
    <row r="225" spans="15:15" x14ac:dyDescent="0.15">
      <c r="O225" s="4"/>
    </row>
    <row r="226" spans="15:15" x14ac:dyDescent="0.15">
      <c r="O226" s="4"/>
    </row>
    <row r="227" spans="15:15" x14ac:dyDescent="0.15">
      <c r="O227" s="4"/>
    </row>
    <row r="228" spans="15:15" x14ac:dyDescent="0.15">
      <c r="O228" s="4"/>
    </row>
    <row r="229" spans="15:15" x14ac:dyDescent="0.15">
      <c r="O229" s="4"/>
    </row>
    <row r="230" spans="15:15" x14ac:dyDescent="0.15">
      <c r="O230" s="4"/>
    </row>
    <row r="231" spans="15:15" x14ac:dyDescent="0.15">
      <c r="O231" s="4"/>
    </row>
    <row r="232" spans="15:15" x14ac:dyDescent="0.15">
      <c r="O232" s="4"/>
    </row>
    <row r="233" spans="15:15" x14ac:dyDescent="0.15">
      <c r="O233" s="4"/>
    </row>
    <row r="234" spans="15:15" x14ac:dyDescent="0.15">
      <c r="O234" s="4"/>
    </row>
    <row r="235" spans="15:15" x14ac:dyDescent="0.15">
      <c r="O235" s="4"/>
    </row>
    <row r="236" spans="15:15" x14ac:dyDescent="0.15">
      <c r="O236" s="4"/>
    </row>
    <row r="237" spans="15:15" x14ac:dyDescent="0.15">
      <c r="O237" s="4"/>
    </row>
    <row r="238" spans="15:15" x14ac:dyDescent="0.15">
      <c r="O238" s="4"/>
    </row>
    <row r="239" spans="15:15" x14ac:dyDescent="0.15">
      <c r="O239" s="4"/>
    </row>
    <row r="240" spans="15:15" x14ac:dyDescent="0.15">
      <c r="O240" s="4"/>
    </row>
    <row r="241" spans="15:15" x14ac:dyDescent="0.15">
      <c r="O241" s="4"/>
    </row>
    <row r="242" spans="15:15" x14ac:dyDescent="0.15">
      <c r="O242" s="4"/>
    </row>
    <row r="243" spans="15:15" x14ac:dyDescent="0.15">
      <c r="O243" s="4"/>
    </row>
    <row r="244" spans="15:15" x14ac:dyDescent="0.15">
      <c r="O244" s="4"/>
    </row>
    <row r="245" spans="15:15" x14ac:dyDescent="0.15">
      <c r="O245" s="4"/>
    </row>
    <row r="246" spans="15:15" x14ac:dyDescent="0.15">
      <c r="O246" s="4"/>
    </row>
    <row r="247" spans="15:15" x14ac:dyDescent="0.15">
      <c r="O247" s="4"/>
    </row>
    <row r="248" spans="15:15" x14ac:dyDescent="0.15">
      <c r="O248" s="4"/>
    </row>
    <row r="249" spans="15:15" x14ac:dyDescent="0.15">
      <c r="O249" s="4"/>
    </row>
    <row r="250" spans="15:15" x14ac:dyDescent="0.15">
      <c r="O250" s="4"/>
    </row>
    <row r="251" spans="15:15" x14ac:dyDescent="0.15">
      <c r="O251" s="4"/>
    </row>
    <row r="252" spans="15:15" x14ac:dyDescent="0.15">
      <c r="O252" s="4"/>
    </row>
    <row r="253" spans="15:15" x14ac:dyDescent="0.15">
      <c r="O253" s="4"/>
    </row>
    <row r="254" spans="15:15" x14ac:dyDescent="0.15">
      <c r="O254" s="4"/>
    </row>
    <row r="255" spans="15:15" x14ac:dyDescent="0.15">
      <c r="O255" s="4"/>
    </row>
    <row r="256" spans="15:15" x14ac:dyDescent="0.15">
      <c r="O256" s="4"/>
    </row>
    <row r="257" spans="15:15" x14ac:dyDescent="0.15">
      <c r="O257" s="4"/>
    </row>
    <row r="258" spans="15:15" x14ac:dyDescent="0.15">
      <c r="O258" s="4"/>
    </row>
    <row r="259" spans="15:15" x14ac:dyDescent="0.15">
      <c r="O259" s="4"/>
    </row>
    <row r="260" spans="15:15" x14ac:dyDescent="0.15">
      <c r="O260" s="4"/>
    </row>
    <row r="261" spans="15:15" x14ac:dyDescent="0.15">
      <c r="O261" s="4"/>
    </row>
    <row r="262" spans="15:15" x14ac:dyDescent="0.15">
      <c r="O262" s="4"/>
    </row>
    <row r="263" spans="15:15" x14ac:dyDescent="0.15">
      <c r="O263" s="4"/>
    </row>
    <row r="264" spans="15:15" x14ac:dyDescent="0.15">
      <c r="O264" s="4"/>
    </row>
    <row r="265" spans="15:15" x14ac:dyDescent="0.15">
      <c r="O265" s="4"/>
    </row>
    <row r="266" spans="15:15" x14ac:dyDescent="0.15">
      <c r="O266" s="4"/>
    </row>
    <row r="267" spans="15:15" x14ac:dyDescent="0.15">
      <c r="O267" s="4"/>
    </row>
    <row r="268" spans="15:15" x14ac:dyDescent="0.15">
      <c r="O268" s="4"/>
    </row>
    <row r="269" spans="15:15" x14ac:dyDescent="0.15">
      <c r="O269" s="4"/>
    </row>
    <row r="270" spans="15:15" x14ac:dyDescent="0.15">
      <c r="O270" s="4"/>
    </row>
    <row r="271" spans="15:15" x14ac:dyDescent="0.15">
      <c r="O271" s="4"/>
    </row>
    <row r="272" spans="15:15" x14ac:dyDescent="0.15">
      <c r="O272" s="4"/>
    </row>
    <row r="273" spans="15:15" x14ac:dyDescent="0.15">
      <c r="O273" s="4"/>
    </row>
    <row r="274" spans="15:15" x14ac:dyDescent="0.15">
      <c r="O274" s="4"/>
    </row>
    <row r="275" spans="15:15" x14ac:dyDescent="0.15">
      <c r="O275" s="4"/>
    </row>
    <row r="276" spans="15:15" x14ac:dyDescent="0.15">
      <c r="O276" s="4"/>
    </row>
    <row r="277" spans="15:15" x14ac:dyDescent="0.15">
      <c r="O277" s="4"/>
    </row>
    <row r="278" spans="15:15" x14ac:dyDescent="0.15">
      <c r="O278" s="4"/>
    </row>
    <row r="279" spans="15:15" x14ac:dyDescent="0.15">
      <c r="O279" s="4"/>
    </row>
    <row r="280" spans="15:15" x14ac:dyDescent="0.15">
      <c r="O280" s="4"/>
    </row>
    <row r="281" spans="15:15" x14ac:dyDescent="0.15">
      <c r="O281" s="4"/>
    </row>
    <row r="282" spans="15:15" x14ac:dyDescent="0.15">
      <c r="O282" s="4"/>
    </row>
    <row r="283" spans="15:15" x14ac:dyDescent="0.15">
      <c r="O283" s="4"/>
    </row>
    <row r="284" spans="15:15" x14ac:dyDescent="0.15">
      <c r="O284" s="4"/>
    </row>
    <row r="285" spans="15:15" x14ac:dyDescent="0.15">
      <c r="O285" s="4"/>
    </row>
    <row r="286" spans="15:15" x14ac:dyDescent="0.15">
      <c r="O286" s="4"/>
    </row>
    <row r="287" spans="15:15" x14ac:dyDescent="0.15">
      <c r="O287" s="4"/>
    </row>
    <row r="288" spans="15:15" x14ac:dyDescent="0.15">
      <c r="O288" s="4"/>
    </row>
    <row r="289" spans="15:15" x14ac:dyDescent="0.15">
      <c r="O289" s="4"/>
    </row>
    <row r="290" spans="15:15" x14ac:dyDescent="0.15">
      <c r="O290" s="4"/>
    </row>
    <row r="291" spans="15:15" x14ac:dyDescent="0.15">
      <c r="O291" s="4"/>
    </row>
    <row r="292" spans="15:15" x14ac:dyDescent="0.15">
      <c r="O292" s="4"/>
    </row>
    <row r="293" spans="15:15" x14ac:dyDescent="0.15">
      <c r="O293" s="4"/>
    </row>
    <row r="294" spans="15:15" x14ac:dyDescent="0.15">
      <c r="O294" s="4"/>
    </row>
    <row r="295" spans="15:15" x14ac:dyDescent="0.15">
      <c r="O295" s="4"/>
    </row>
    <row r="296" spans="15:15" x14ac:dyDescent="0.15">
      <c r="O296" s="4"/>
    </row>
    <row r="297" spans="15:15" x14ac:dyDescent="0.15">
      <c r="O297" s="4"/>
    </row>
    <row r="298" spans="15:15" x14ac:dyDescent="0.15">
      <c r="O298" s="4"/>
    </row>
    <row r="299" spans="15:15" x14ac:dyDescent="0.15">
      <c r="O299" s="4"/>
    </row>
    <row r="300" spans="15:15" x14ac:dyDescent="0.15">
      <c r="O300" s="4"/>
    </row>
    <row r="301" spans="15:15" x14ac:dyDescent="0.15">
      <c r="O301" s="4"/>
    </row>
    <row r="302" spans="15:15" x14ac:dyDescent="0.15">
      <c r="O302" s="4"/>
    </row>
    <row r="303" spans="15:15" x14ac:dyDescent="0.15">
      <c r="O303" s="4"/>
    </row>
    <row r="304" spans="15:15" x14ac:dyDescent="0.15">
      <c r="O304" s="4"/>
    </row>
    <row r="305" spans="15:15" x14ac:dyDescent="0.15">
      <c r="O305" s="4"/>
    </row>
    <row r="306" spans="15:15" x14ac:dyDescent="0.15">
      <c r="O306" s="4"/>
    </row>
    <row r="307" spans="15:15" x14ac:dyDescent="0.15">
      <c r="O307" s="4"/>
    </row>
    <row r="308" spans="15:15" x14ac:dyDescent="0.15">
      <c r="O308" s="4"/>
    </row>
    <row r="309" spans="15:15" x14ac:dyDescent="0.15">
      <c r="O309" s="4"/>
    </row>
    <row r="310" spans="15:15" x14ac:dyDescent="0.15">
      <c r="O310" s="4"/>
    </row>
    <row r="311" spans="15:15" x14ac:dyDescent="0.15">
      <c r="O311" s="4"/>
    </row>
    <row r="312" spans="15:15" x14ac:dyDescent="0.15">
      <c r="O312" s="4"/>
    </row>
    <row r="313" spans="15:15" x14ac:dyDescent="0.15">
      <c r="O313" s="4"/>
    </row>
    <row r="314" spans="15:15" x14ac:dyDescent="0.15">
      <c r="O314" s="4"/>
    </row>
    <row r="315" spans="15:15" x14ac:dyDescent="0.15">
      <c r="O315" s="4"/>
    </row>
    <row r="316" spans="15:15" x14ac:dyDescent="0.15">
      <c r="O316" s="4"/>
    </row>
    <row r="317" spans="15:15" x14ac:dyDescent="0.15">
      <c r="O317" s="4"/>
    </row>
    <row r="318" spans="15:15" x14ac:dyDescent="0.15">
      <c r="O318" s="4"/>
    </row>
    <row r="319" spans="15:15" x14ac:dyDescent="0.15">
      <c r="O319" s="4"/>
    </row>
    <row r="320" spans="15:15" x14ac:dyDescent="0.15">
      <c r="O320" s="4"/>
    </row>
    <row r="321" spans="15:15" x14ac:dyDescent="0.15">
      <c r="O321" s="4"/>
    </row>
    <row r="322" spans="15:15" x14ac:dyDescent="0.15">
      <c r="O322" s="4"/>
    </row>
    <row r="323" spans="15:15" x14ac:dyDescent="0.15">
      <c r="O323" s="4"/>
    </row>
    <row r="324" spans="15:15" x14ac:dyDescent="0.15">
      <c r="O324" s="4"/>
    </row>
    <row r="325" spans="15:15" x14ac:dyDescent="0.15">
      <c r="O325" s="4"/>
    </row>
    <row r="326" spans="15:15" x14ac:dyDescent="0.15">
      <c r="O326" s="4"/>
    </row>
    <row r="327" spans="15:15" x14ac:dyDescent="0.15">
      <c r="O327" s="4"/>
    </row>
    <row r="328" spans="15:15" x14ac:dyDescent="0.15">
      <c r="O328" s="4"/>
    </row>
    <row r="329" spans="15:15" x14ac:dyDescent="0.15">
      <c r="O329" s="4"/>
    </row>
    <row r="330" spans="15:15" x14ac:dyDescent="0.15">
      <c r="O330" s="4"/>
    </row>
    <row r="331" spans="15:15" x14ac:dyDescent="0.15">
      <c r="O331" s="4"/>
    </row>
    <row r="332" spans="15:15" x14ac:dyDescent="0.15">
      <c r="O332" s="4"/>
    </row>
    <row r="333" spans="15:15" x14ac:dyDescent="0.15">
      <c r="O333" s="4"/>
    </row>
    <row r="334" spans="15:15" x14ac:dyDescent="0.15">
      <c r="O334" s="4"/>
    </row>
    <row r="335" spans="15:15" x14ac:dyDescent="0.15">
      <c r="O335" s="4"/>
    </row>
    <row r="336" spans="15:15" x14ac:dyDescent="0.15">
      <c r="O336" s="4"/>
    </row>
    <row r="337" spans="15:15" x14ac:dyDescent="0.15">
      <c r="O337" s="4"/>
    </row>
    <row r="338" spans="15:15" x14ac:dyDescent="0.15">
      <c r="O338" s="4"/>
    </row>
    <row r="339" spans="15:15" x14ac:dyDescent="0.15">
      <c r="O339" s="4"/>
    </row>
    <row r="340" spans="15:15" x14ac:dyDescent="0.15">
      <c r="O340" s="4"/>
    </row>
    <row r="341" spans="15:15" x14ac:dyDescent="0.15">
      <c r="O341" s="4"/>
    </row>
    <row r="342" spans="15:15" x14ac:dyDescent="0.15">
      <c r="O342" s="4"/>
    </row>
    <row r="343" spans="15:15" x14ac:dyDescent="0.15">
      <c r="O343" s="4"/>
    </row>
    <row r="344" spans="15:15" x14ac:dyDescent="0.15">
      <c r="O344" s="4"/>
    </row>
    <row r="345" spans="15:15" x14ac:dyDescent="0.15">
      <c r="O345" s="4"/>
    </row>
    <row r="346" spans="15:15" x14ac:dyDescent="0.15">
      <c r="O346" s="4"/>
    </row>
    <row r="347" spans="15:15" x14ac:dyDescent="0.15">
      <c r="O347" s="4"/>
    </row>
    <row r="348" spans="15:15" x14ac:dyDescent="0.15">
      <c r="O348" s="4"/>
    </row>
    <row r="349" spans="15:15" x14ac:dyDescent="0.15">
      <c r="O349" s="4"/>
    </row>
    <row r="350" spans="15:15" x14ac:dyDescent="0.15">
      <c r="O350" s="4"/>
    </row>
    <row r="351" spans="15:15" x14ac:dyDescent="0.15">
      <c r="O351" s="4"/>
    </row>
    <row r="352" spans="15:15" x14ac:dyDescent="0.15">
      <c r="O352" s="4"/>
    </row>
    <row r="353" spans="15:15" x14ac:dyDescent="0.15">
      <c r="O353" s="4"/>
    </row>
    <row r="354" spans="15:15" x14ac:dyDescent="0.15">
      <c r="O354" s="4"/>
    </row>
    <row r="355" spans="15:15" x14ac:dyDescent="0.15">
      <c r="O355" s="4"/>
    </row>
    <row r="356" spans="15:15" x14ac:dyDescent="0.15">
      <c r="O356" s="4"/>
    </row>
    <row r="357" spans="15:15" x14ac:dyDescent="0.15">
      <c r="O357" s="4"/>
    </row>
    <row r="358" spans="15:15" x14ac:dyDescent="0.15">
      <c r="O358" s="4"/>
    </row>
    <row r="359" spans="15:15" x14ac:dyDescent="0.15">
      <c r="O359" s="4"/>
    </row>
    <row r="360" spans="15:15" x14ac:dyDescent="0.15">
      <c r="O360" s="4"/>
    </row>
    <row r="361" spans="15:15" x14ac:dyDescent="0.15">
      <c r="O361" s="4"/>
    </row>
    <row r="362" spans="15:15" x14ac:dyDescent="0.15">
      <c r="O362" s="4"/>
    </row>
    <row r="363" spans="15:15" x14ac:dyDescent="0.15">
      <c r="O363" s="4"/>
    </row>
    <row r="364" spans="15:15" x14ac:dyDescent="0.15">
      <c r="O364" s="4"/>
    </row>
    <row r="365" spans="15:15" x14ac:dyDescent="0.15">
      <c r="O365" s="4"/>
    </row>
    <row r="366" spans="15:15" x14ac:dyDescent="0.15">
      <c r="O366" s="4"/>
    </row>
    <row r="367" spans="15:15" x14ac:dyDescent="0.15">
      <c r="O367" s="4"/>
    </row>
    <row r="368" spans="15:15" x14ac:dyDescent="0.15">
      <c r="O368" s="4"/>
    </row>
    <row r="369" spans="15:15" x14ac:dyDescent="0.15">
      <c r="O369" s="4"/>
    </row>
    <row r="370" spans="15:15" x14ac:dyDescent="0.15">
      <c r="O370" s="4"/>
    </row>
    <row r="371" spans="15:15" x14ac:dyDescent="0.15">
      <c r="O371" s="4"/>
    </row>
    <row r="372" spans="15:15" x14ac:dyDescent="0.15">
      <c r="O372" s="4"/>
    </row>
    <row r="373" spans="15:15" x14ac:dyDescent="0.15">
      <c r="O373" s="4"/>
    </row>
    <row r="374" spans="15:15" x14ac:dyDescent="0.15">
      <c r="O374" s="4"/>
    </row>
    <row r="375" spans="15:15" x14ac:dyDescent="0.15">
      <c r="O375" s="4"/>
    </row>
    <row r="376" spans="15:15" x14ac:dyDescent="0.15">
      <c r="O376" s="4"/>
    </row>
    <row r="377" spans="15:15" x14ac:dyDescent="0.15">
      <c r="O377" s="4"/>
    </row>
    <row r="378" spans="15:15" x14ac:dyDescent="0.15">
      <c r="O378" s="4"/>
    </row>
    <row r="379" spans="15:15" x14ac:dyDescent="0.15">
      <c r="O379" s="4"/>
    </row>
    <row r="380" spans="15:15" x14ac:dyDescent="0.15">
      <c r="O380" s="4"/>
    </row>
    <row r="381" spans="15:15" x14ac:dyDescent="0.15">
      <c r="O381" s="4"/>
    </row>
    <row r="382" spans="15:15" x14ac:dyDescent="0.15">
      <c r="O382" s="4"/>
    </row>
    <row r="383" spans="15:15" x14ac:dyDescent="0.15">
      <c r="O383" s="4"/>
    </row>
    <row r="384" spans="15:15" x14ac:dyDescent="0.15">
      <c r="O384" s="4"/>
    </row>
    <row r="385" spans="15:15" x14ac:dyDescent="0.15">
      <c r="O385" s="4"/>
    </row>
    <row r="386" spans="15:15" x14ac:dyDescent="0.15">
      <c r="O386" s="4"/>
    </row>
    <row r="387" spans="15:15" x14ac:dyDescent="0.15">
      <c r="O387" s="4"/>
    </row>
    <row r="388" spans="15:15" x14ac:dyDescent="0.15">
      <c r="O388" s="4"/>
    </row>
    <row r="389" spans="15:15" x14ac:dyDescent="0.15">
      <c r="O389" s="4"/>
    </row>
    <row r="390" spans="15:15" x14ac:dyDescent="0.15">
      <c r="O390" s="4"/>
    </row>
    <row r="391" spans="15:15" x14ac:dyDescent="0.15">
      <c r="O391" s="4"/>
    </row>
    <row r="392" spans="15:15" x14ac:dyDescent="0.15">
      <c r="O392" s="4"/>
    </row>
    <row r="393" spans="15:15" x14ac:dyDescent="0.15">
      <c r="O393" s="4"/>
    </row>
    <row r="394" spans="15:15" x14ac:dyDescent="0.15">
      <c r="O394" s="4"/>
    </row>
    <row r="395" spans="15:15" x14ac:dyDescent="0.15">
      <c r="O395" s="4"/>
    </row>
    <row r="396" spans="15:15" x14ac:dyDescent="0.15">
      <c r="O396" s="4"/>
    </row>
    <row r="397" spans="15:15" x14ac:dyDescent="0.15">
      <c r="O397" s="4"/>
    </row>
    <row r="398" spans="15:15" x14ac:dyDescent="0.15">
      <c r="O398" s="4"/>
    </row>
    <row r="399" spans="15:15" x14ac:dyDescent="0.15">
      <c r="O399" s="4"/>
    </row>
    <row r="400" spans="15:15" x14ac:dyDescent="0.15">
      <c r="O400" s="4"/>
    </row>
    <row r="401" spans="15:15" x14ac:dyDescent="0.15">
      <c r="O401" s="4"/>
    </row>
    <row r="402" spans="15:15" x14ac:dyDescent="0.15">
      <c r="O402" s="4"/>
    </row>
    <row r="403" spans="15:15" x14ac:dyDescent="0.15">
      <c r="O403" s="4"/>
    </row>
    <row r="404" spans="15:15" x14ac:dyDescent="0.15">
      <c r="O404" s="4"/>
    </row>
    <row r="405" spans="15:15" x14ac:dyDescent="0.15">
      <c r="O405" s="4"/>
    </row>
    <row r="406" spans="15:15" x14ac:dyDescent="0.15">
      <c r="O406" s="4"/>
    </row>
    <row r="407" spans="15:15" x14ac:dyDescent="0.15">
      <c r="O407" s="4"/>
    </row>
    <row r="408" spans="15:15" x14ac:dyDescent="0.15">
      <c r="O408" s="4"/>
    </row>
    <row r="409" spans="15:15" x14ac:dyDescent="0.15">
      <c r="O409" s="4"/>
    </row>
    <row r="410" spans="15:15" x14ac:dyDescent="0.15">
      <c r="O410" s="4"/>
    </row>
    <row r="411" spans="15:15" x14ac:dyDescent="0.15">
      <c r="O411" s="4"/>
    </row>
    <row r="412" spans="15:15" x14ac:dyDescent="0.15">
      <c r="O412" s="4"/>
    </row>
    <row r="413" spans="15:15" x14ac:dyDescent="0.15">
      <c r="O413" s="4"/>
    </row>
    <row r="414" spans="15:15" x14ac:dyDescent="0.15">
      <c r="O414" s="4"/>
    </row>
    <row r="415" spans="15:15" x14ac:dyDescent="0.15">
      <c r="O415" s="4"/>
    </row>
    <row r="416" spans="15:15" x14ac:dyDescent="0.15">
      <c r="O416" s="4"/>
    </row>
    <row r="417" spans="15:15" x14ac:dyDescent="0.15">
      <c r="O417" s="4"/>
    </row>
    <row r="418" spans="15:15" x14ac:dyDescent="0.15">
      <c r="O418" s="4"/>
    </row>
    <row r="419" spans="15:15" x14ac:dyDescent="0.15">
      <c r="O419" s="4"/>
    </row>
    <row r="420" spans="15:15" x14ac:dyDescent="0.15">
      <c r="O420" s="4"/>
    </row>
    <row r="421" spans="15:15" x14ac:dyDescent="0.15">
      <c r="O421" s="4"/>
    </row>
    <row r="422" spans="15:15" x14ac:dyDescent="0.15">
      <c r="O422" s="4"/>
    </row>
    <row r="423" spans="15:15" x14ac:dyDescent="0.15">
      <c r="O423" s="4"/>
    </row>
    <row r="424" spans="15:15" x14ac:dyDescent="0.15">
      <c r="O424" s="4"/>
    </row>
    <row r="425" spans="15:15" x14ac:dyDescent="0.15">
      <c r="O425" s="4"/>
    </row>
    <row r="426" spans="15:15" x14ac:dyDescent="0.15">
      <c r="O426" s="4"/>
    </row>
    <row r="427" spans="15:15" x14ac:dyDescent="0.15">
      <c r="O427" s="4"/>
    </row>
    <row r="428" spans="15:15" x14ac:dyDescent="0.15">
      <c r="O428" s="4"/>
    </row>
    <row r="429" spans="15:15" x14ac:dyDescent="0.15">
      <c r="O429" s="4"/>
    </row>
    <row r="430" spans="15:15" x14ac:dyDescent="0.15">
      <c r="O430" s="4"/>
    </row>
    <row r="431" spans="15:15" x14ac:dyDescent="0.15">
      <c r="O431" s="4"/>
    </row>
    <row r="432" spans="15:15" x14ac:dyDescent="0.15">
      <c r="O432" s="4"/>
    </row>
    <row r="433" spans="15:15" x14ac:dyDescent="0.15">
      <c r="O433" s="4"/>
    </row>
    <row r="434" spans="15:15" x14ac:dyDescent="0.15">
      <c r="O434" s="4"/>
    </row>
    <row r="435" spans="15:15" x14ac:dyDescent="0.15">
      <c r="O435" s="4"/>
    </row>
    <row r="436" spans="15:15" x14ac:dyDescent="0.15">
      <c r="O436" s="4"/>
    </row>
    <row r="437" spans="15:15" x14ac:dyDescent="0.15">
      <c r="O437" s="4"/>
    </row>
    <row r="438" spans="15:15" x14ac:dyDescent="0.15">
      <c r="O438" s="4"/>
    </row>
    <row r="439" spans="15:15" x14ac:dyDescent="0.15">
      <c r="O439" s="4"/>
    </row>
    <row r="440" spans="15:15" x14ac:dyDescent="0.15">
      <c r="O440" s="4"/>
    </row>
    <row r="441" spans="15:15" x14ac:dyDescent="0.15">
      <c r="O441" s="4"/>
    </row>
    <row r="442" spans="15:15" x14ac:dyDescent="0.15">
      <c r="O442" s="4"/>
    </row>
    <row r="443" spans="15:15" x14ac:dyDescent="0.15">
      <c r="O443" s="4"/>
    </row>
    <row r="444" spans="15:15" x14ac:dyDescent="0.15">
      <c r="O444" s="4"/>
    </row>
    <row r="445" spans="15:15" x14ac:dyDescent="0.15">
      <c r="O445" s="4"/>
    </row>
    <row r="446" spans="15:15" x14ac:dyDescent="0.15">
      <c r="O446" s="4"/>
    </row>
    <row r="447" spans="15:15" x14ac:dyDescent="0.15">
      <c r="O447" s="4"/>
    </row>
    <row r="448" spans="15:15" x14ac:dyDescent="0.15">
      <c r="O448" s="4"/>
    </row>
    <row r="449" spans="15:15" x14ac:dyDescent="0.15">
      <c r="O449" s="4"/>
    </row>
    <row r="450" spans="15:15" x14ac:dyDescent="0.15">
      <c r="O450" s="4"/>
    </row>
    <row r="451" spans="15:15" x14ac:dyDescent="0.15">
      <c r="O451" s="4"/>
    </row>
    <row r="452" spans="15:15" x14ac:dyDescent="0.15">
      <c r="O452" s="4"/>
    </row>
    <row r="453" spans="15:15" x14ac:dyDescent="0.15">
      <c r="O453" s="4"/>
    </row>
    <row r="454" spans="15:15" x14ac:dyDescent="0.15">
      <c r="O454" s="4"/>
    </row>
    <row r="455" spans="15:15" x14ac:dyDescent="0.15">
      <c r="O455" s="4"/>
    </row>
    <row r="456" spans="15:15" x14ac:dyDescent="0.15">
      <c r="O456" s="4"/>
    </row>
    <row r="457" spans="15:15" x14ac:dyDescent="0.15">
      <c r="O457" s="4"/>
    </row>
    <row r="458" spans="15:15" x14ac:dyDescent="0.15">
      <c r="O458" s="4"/>
    </row>
    <row r="459" spans="15:15" x14ac:dyDescent="0.15">
      <c r="O459" s="4"/>
    </row>
    <row r="460" spans="15:15" x14ac:dyDescent="0.15">
      <c r="O460" s="4"/>
    </row>
    <row r="461" spans="15:15" x14ac:dyDescent="0.15">
      <c r="O461" s="4"/>
    </row>
    <row r="462" spans="15:15" x14ac:dyDescent="0.15">
      <c r="O462" s="4"/>
    </row>
    <row r="463" spans="15:15" x14ac:dyDescent="0.15">
      <c r="O463" s="4"/>
    </row>
    <row r="464" spans="15:15" x14ac:dyDescent="0.15">
      <c r="O464" s="4"/>
    </row>
    <row r="465" spans="15:15" x14ac:dyDescent="0.15">
      <c r="O465" s="4"/>
    </row>
    <row r="466" spans="15:15" x14ac:dyDescent="0.15">
      <c r="O466" s="4"/>
    </row>
    <row r="467" spans="15:15" x14ac:dyDescent="0.15">
      <c r="O467" s="4"/>
    </row>
    <row r="468" spans="15:15" x14ac:dyDescent="0.15">
      <c r="O468" s="4"/>
    </row>
    <row r="469" spans="15:15" x14ac:dyDescent="0.15">
      <c r="O469" s="4"/>
    </row>
    <row r="470" spans="15:15" x14ac:dyDescent="0.15">
      <c r="O470" s="4"/>
    </row>
    <row r="471" spans="15:15" x14ac:dyDescent="0.15">
      <c r="O471" s="4"/>
    </row>
    <row r="472" spans="15:15" x14ac:dyDescent="0.15">
      <c r="O472" s="4"/>
    </row>
    <row r="473" spans="15:15" x14ac:dyDescent="0.15">
      <c r="O473" s="4"/>
    </row>
    <row r="474" spans="15:15" x14ac:dyDescent="0.15">
      <c r="O474" s="4"/>
    </row>
    <row r="475" spans="15:15" x14ac:dyDescent="0.15">
      <c r="O475" s="4"/>
    </row>
    <row r="476" spans="15:15" x14ac:dyDescent="0.15">
      <c r="O476" s="4"/>
    </row>
    <row r="477" spans="15:15" x14ac:dyDescent="0.15">
      <c r="O477" s="4"/>
    </row>
    <row r="478" spans="15:15" x14ac:dyDescent="0.15">
      <c r="O478" s="4"/>
    </row>
    <row r="479" spans="15:15" x14ac:dyDescent="0.15">
      <c r="O479" s="4"/>
    </row>
    <row r="480" spans="15:15" x14ac:dyDescent="0.15">
      <c r="O480" s="4"/>
    </row>
    <row r="481" spans="15:15" x14ac:dyDescent="0.15">
      <c r="O481" s="4"/>
    </row>
    <row r="482" spans="15:15" x14ac:dyDescent="0.15">
      <c r="O482" s="4"/>
    </row>
    <row r="483" spans="15:15" x14ac:dyDescent="0.15">
      <c r="O483" s="4"/>
    </row>
    <row r="484" spans="15:15" x14ac:dyDescent="0.15">
      <c r="O484" s="4"/>
    </row>
    <row r="485" spans="15:15" x14ac:dyDescent="0.15">
      <c r="O485" s="4"/>
    </row>
    <row r="486" spans="15:15" x14ac:dyDescent="0.15">
      <c r="O486" s="4"/>
    </row>
    <row r="487" spans="15:15" x14ac:dyDescent="0.15">
      <c r="O487" s="4"/>
    </row>
    <row r="488" spans="15:15" x14ac:dyDescent="0.15">
      <c r="O488" s="4"/>
    </row>
    <row r="489" spans="15:15" x14ac:dyDescent="0.15">
      <c r="O489" s="4"/>
    </row>
    <row r="490" spans="15:15" x14ac:dyDescent="0.15">
      <c r="O490" s="4"/>
    </row>
    <row r="491" spans="15:15" x14ac:dyDescent="0.15">
      <c r="O491" s="4"/>
    </row>
    <row r="492" spans="15:15" x14ac:dyDescent="0.15">
      <c r="O492" s="4"/>
    </row>
    <row r="493" spans="15:15" x14ac:dyDescent="0.15">
      <c r="O493" s="4"/>
    </row>
    <row r="494" spans="15:15" x14ac:dyDescent="0.15">
      <c r="O494" s="4"/>
    </row>
    <row r="495" spans="15:15" x14ac:dyDescent="0.15">
      <c r="O495" s="4"/>
    </row>
    <row r="496" spans="15:15" x14ac:dyDescent="0.15">
      <c r="O496" s="4"/>
    </row>
    <row r="497" spans="15:15" x14ac:dyDescent="0.15">
      <c r="O497" s="4"/>
    </row>
    <row r="498" spans="15:15" x14ac:dyDescent="0.15">
      <c r="O498" s="4"/>
    </row>
    <row r="499" spans="15:15" x14ac:dyDescent="0.15">
      <c r="O499" s="4"/>
    </row>
    <row r="500" spans="15:15" x14ac:dyDescent="0.15">
      <c r="O500" s="4"/>
    </row>
    <row r="501" spans="15:15" x14ac:dyDescent="0.15">
      <c r="O501" s="4"/>
    </row>
    <row r="502" spans="15:15" x14ac:dyDescent="0.15">
      <c r="O502" s="4"/>
    </row>
    <row r="503" spans="15:15" x14ac:dyDescent="0.15">
      <c r="O503" s="4"/>
    </row>
    <row r="504" spans="15:15" x14ac:dyDescent="0.15">
      <c r="O504" s="4"/>
    </row>
    <row r="505" spans="15:15" x14ac:dyDescent="0.15">
      <c r="O505" s="4"/>
    </row>
    <row r="506" spans="15:15" x14ac:dyDescent="0.15">
      <c r="O506" s="4"/>
    </row>
    <row r="507" spans="15:15" x14ac:dyDescent="0.15">
      <c r="O507" s="4"/>
    </row>
    <row r="508" spans="15:15" x14ac:dyDescent="0.15">
      <c r="O508" s="4"/>
    </row>
    <row r="509" spans="15:15" x14ac:dyDescent="0.15">
      <c r="O509" s="4"/>
    </row>
    <row r="510" spans="15:15" x14ac:dyDescent="0.15">
      <c r="O510" s="4"/>
    </row>
    <row r="511" spans="15:15" x14ac:dyDescent="0.15">
      <c r="O511" s="4"/>
    </row>
    <row r="512" spans="15:15" x14ac:dyDescent="0.15">
      <c r="O512" s="4"/>
    </row>
    <row r="513" spans="15:15" x14ac:dyDescent="0.15">
      <c r="O513" s="4"/>
    </row>
    <row r="514" spans="15:15" x14ac:dyDescent="0.15">
      <c r="O514" s="4"/>
    </row>
    <row r="515" spans="15:15" x14ac:dyDescent="0.15">
      <c r="O515" s="4"/>
    </row>
    <row r="516" spans="15:15" x14ac:dyDescent="0.15">
      <c r="O516" s="4"/>
    </row>
    <row r="517" spans="15:15" x14ac:dyDescent="0.15">
      <c r="O517" s="4"/>
    </row>
    <row r="518" spans="15:15" x14ac:dyDescent="0.15">
      <c r="O518" s="4"/>
    </row>
    <row r="519" spans="15:15" x14ac:dyDescent="0.15">
      <c r="O519" s="4"/>
    </row>
    <row r="520" spans="15:15" x14ac:dyDescent="0.15">
      <c r="O520" s="4"/>
    </row>
    <row r="521" spans="15:15" x14ac:dyDescent="0.15">
      <c r="O521" s="4"/>
    </row>
    <row r="522" spans="15:15" x14ac:dyDescent="0.15">
      <c r="O522" s="4"/>
    </row>
    <row r="523" spans="15:15" x14ac:dyDescent="0.15">
      <c r="O523" s="4"/>
    </row>
    <row r="524" spans="15:15" x14ac:dyDescent="0.15">
      <c r="O524" s="4"/>
    </row>
    <row r="525" spans="15:15" x14ac:dyDescent="0.15">
      <c r="O525" s="4"/>
    </row>
    <row r="526" spans="15:15" x14ac:dyDescent="0.15">
      <c r="O526" s="4"/>
    </row>
    <row r="527" spans="15:15" x14ac:dyDescent="0.15">
      <c r="O527" s="4"/>
    </row>
    <row r="528" spans="15:15" x14ac:dyDescent="0.15">
      <c r="O528" s="4"/>
    </row>
    <row r="529" spans="15:15" x14ac:dyDescent="0.15">
      <c r="O529" s="4"/>
    </row>
    <row r="530" spans="15:15" x14ac:dyDescent="0.15">
      <c r="O530" s="4"/>
    </row>
    <row r="531" spans="15:15" x14ac:dyDescent="0.15">
      <c r="O531" s="4"/>
    </row>
    <row r="532" spans="15:15" x14ac:dyDescent="0.15">
      <c r="O532" s="4"/>
    </row>
    <row r="533" spans="15:15" x14ac:dyDescent="0.15">
      <c r="O533" s="4"/>
    </row>
    <row r="534" spans="15:15" x14ac:dyDescent="0.15">
      <c r="O534" s="4"/>
    </row>
    <row r="535" spans="15:15" x14ac:dyDescent="0.15">
      <c r="O535" s="4"/>
    </row>
    <row r="536" spans="15:15" x14ac:dyDescent="0.15">
      <c r="O536" s="4"/>
    </row>
    <row r="537" spans="15:15" x14ac:dyDescent="0.15">
      <c r="O537" s="4"/>
    </row>
    <row r="538" spans="15:15" x14ac:dyDescent="0.15">
      <c r="O538" s="4"/>
    </row>
    <row r="539" spans="15:15" x14ac:dyDescent="0.15">
      <c r="O539" s="4"/>
    </row>
    <row r="540" spans="15:15" x14ac:dyDescent="0.15">
      <c r="O540" s="4"/>
    </row>
    <row r="541" spans="15:15" x14ac:dyDescent="0.15">
      <c r="O541" s="4"/>
    </row>
    <row r="542" spans="15:15" x14ac:dyDescent="0.15">
      <c r="O542" s="4"/>
    </row>
    <row r="543" spans="15:15" x14ac:dyDescent="0.15">
      <c r="O543" s="4"/>
    </row>
    <row r="544" spans="15:15" x14ac:dyDescent="0.15">
      <c r="O544" s="4"/>
    </row>
    <row r="545" spans="15:15" x14ac:dyDescent="0.15">
      <c r="O545" s="4"/>
    </row>
    <row r="546" spans="15:15" x14ac:dyDescent="0.15">
      <c r="O546" s="4"/>
    </row>
    <row r="547" spans="15:15" x14ac:dyDescent="0.15">
      <c r="O547" s="4"/>
    </row>
    <row r="548" spans="15:15" x14ac:dyDescent="0.15">
      <c r="O548" s="4"/>
    </row>
    <row r="549" spans="15:15" x14ac:dyDescent="0.15">
      <c r="O549" s="4"/>
    </row>
    <row r="550" spans="15:15" x14ac:dyDescent="0.15">
      <c r="O550" s="4"/>
    </row>
    <row r="551" spans="15:15" x14ac:dyDescent="0.15">
      <c r="O551" s="4"/>
    </row>
    <row r="552" spans="15:15" x14ac:dyDescent="0.15">
      <c r="O552" s="4"/>
    </row>
    <row r="553" spans="15:15" x14ac:dyDescent="0.15">
      <c r="O553" s="4"/>
    </row>
    <row r="554" spans="15:15" x14ac:dyDescent="0.15">
      <c r="O554" s="4"/>
    </row>
    <row r="555" spans="15:15" x14ac:dyDescent="0.15">
      <c r="O555" s="4"/>
    </row>
    <row r="556" spans="15:15" x14ac:dyDescent="0.15">
      <c r="O556" s="4"/>
    </row>
    <row r="557" spans="15:15" x14ac:dyDescent="0.15">
      <c r="O557" s="4"/>
    </row>
    <row r="558" spans="15:15" x14ac:dyDescent="0.15">
      <c r="O558" s="4"/>
    </row>
    <row r="559" spans="15:15" x14ac:dyDescent="0.15">
      <c r="O559" s="4"/>
    </row>
    <row r="560" spans="15:15" x14ac:dyDescent="0.15">
      <c r="O560" s="4"/>
    </row>
    <row r="561" spans="15:15" x14ac:dyDescent="0.15">
      <c r="O561" s="4"/>
    </row>
    <row r="562" spans="15:15" x14ac:dyDescent="0.15">
      <c r="O562" s="4"/>
    </row>
    <row r="563" spans="15:15" x14ac:dyDescent="0.15">
      <c r="O563" s="4"/>
    </row>
    <row r="564" spans="15:15" x14ac:dyDescent="0.15">
      <c r="O564" s="4"/>
    </row>
    <row r="565" spans="15:15" x14ac:dyDescent="0.15">
      <c r="O565" s="4"/>
    </row>
    <row r="566" spans="15:15" x14ac:dyDescent="0.15">
      <c r="O566" s="4"/>
    </row>
    <row r="567" spans="15:15" x14ac:dyDescent="0.15">
      <c r="O567" s="4"/>
    </row>
    <row r="568" spans="15:15" x14ac:dyDescent="0.15">
      <c r="O568" s="4"/>
    </row>
    <row r="569" spans="15:15" x14ac:dyDescent="0.15">
      <c r="O569" s="4"/>
    </row>
    <row r="570" spans="15:15" x14ac:dyDescent="0.15">
      <c r="O570" s="4"/>
    </row>
    <row r="571" spans="15:15" x14ac:dyDescent="0.15">
      <c r="O571" s="4"/>
    </row>
    <row r="572" spans="15:15" x14ac:dyDescent="0.15">
      <c r="O572" s="4"/>
    </row>
    <row r="573" spans="15:15" x14ac:dyDescent="0.15">
      <c r="O573" s="4"/>
    </row>
    <row r="574" spans="15:15" x14ac:dyDescent="0.15">
      <c r="O574" s="4"/>
    </row>
    <row r="575" spans="15:15" x14ac:dyDescent="0.15">
      <c r="O575" s="4"/>
    </row>
    <row r="576" spans="15:15" x14ac:dyDescent="0.15">
      <c r="O576" s="4"/>
    </row>
    <row r="577" spans="15:15" x14ac:dyDescent="0.15">
      <c r="O577" s="4"/>
    </row>
    <row r="578" spans="15:15" x14ac:dyDescent="0.15">
      <c r="O578" s="4"/>
    </row>
    <row r="579" spans="15:15" x14ac:dyDescent="0.15">
      <c r="O579" s="4"/>
    </row>
    <row r="580" spans="15:15" x14ac:dyDescent="0.15">
      <c r="O580" s="4"/>
    </row>
    <row r="581" spans="15:15" x14ac:dyDescent="0.15">
      <c r="O581" s="4"/>
    </row>
    <row r="582" spans="15:15" x14ac:dyDescent="0.15">
      <c r="O582" s="4"/>
    </row>
    <row r="583" spans="15:15" x14ac:dyDescent="0.15">
      <c r="O583" s="4"/>
    </row>
    <row r="584" spans="15:15" x14ac:dyDescent="0.15">
      <c r="O584" s="4"/>
    </row>
    <row r="585" spans="15:15" x14ac:dyDescent="0.15">
      <c r="O585" s="4"/>
    </row>
    <row r="586" spans="15:15" x14ac:dyDescent="0.15">
      <c r="O586" s="4"/>
    </row>
    <row r="587" spans="15:15" x14ac:dyDescent="0.15">
      <c r="O587" s="4"/>
    </row>
    <row r="588" spans="15:15" x14ac:dyDescent="0.15">
      <c r="O588" s="4"/>
    </row>
    <row r="589" spans="15:15" x14ac:dyDescent="0.15">
      <c r="O589" s="4"/>
    </row>
    <row r="590" spans="15:15" x14ac:dyDescent="0.15">
      <c r="O590" s="4"/>
    </row>
    <row r="591" spans="15:15" x14ac:dyDescent="0.15">
      <c r="O591" s="4"/>
    </row>
    <row r="592" spans="15:15" x14ac:dyDescent="0.15">
      <c r="O592" s="4"/>
    </row>
    <row r="593" spans="15:15" x14ac:dyDescent="0.15">
      <c r="O593" s="4"/>
    </row>
    <row r="594" spans="15:15" x14ac:dyDescent="0.15">
      <c r="O594" s="4"/>
    </row>
    <row r="595" spans="15:15" x14ac:dyDescent="0.15">
      <c r="O595" s="4"/>
    </row>
    <row r="596" spans="15:15" x14ac:dyDescent="0.15">
      <c r="O596" s="4"/>
    </row>
    <row r="597" spans="15:15" x14ac:dyDescent="0.15">
      <c r="O597" s="4"/>
    </row>
    <row r="598" spans="15:15" x14ac:dyDescent="0.15">
      <c r="O598" s="4"/>
    </row>
    <row r="599" spans="15:15" x14ac:dyDescent="0.15">
      <c r="O599" s="4"/>
    </row>
    <row r="600" spans="15:15" x14ac:dyDescent="0.15">
      <c r="O600" s="4"/>
    </row>
    <row r="601" spans="15:15" x14ac:dyDescent="0.15">
      <c r="O601" s="4"/>
    </row>
    <row r="602" spans="15:15" x14ac:dyDescent="0.15">
      <c r="O602" s="4"/>
    </row>
    <row r="603" spans="15:15" x14ac:dyDescent="0.15">
      <c r="O603" s="4"/>
    </row>
    <row r="604" spans="15:15" x14ac:dyDescent="0.15">
      <c r="O604" s="4"/>
    </row>
    <row r="605" spans="15:15" x14ac:dyDescent="0.15">
      <c r="O605" s="4"/>
    </row>
    <row r="606" spans="15:15" x14ac:dyDescent="0.15">
      <c r="O606" s="4"/>
    </row>
    <row r="607" spans="15:15" x14ac:dyDescent="0.15">
      <c r="O607" s="4"/>
    </row>
    <row r="608" spans="15:15" x14ac:dyDescent="0.15">
      <c r="O608" s="4"/>
    </row>
    <row r="609" spans="15:15" x14ac:dyDescent="0.15">
      <c r="O609" s="4"/>
    </row>
    <row r="610" spans="15:15" x14ac:dyDescent="0.15">
      <c r="O610" s="4"/>
    </row>
    <row r="611" spans="15:15" x14ac:dyDescent="0.15">
      <c r="O611" s="4"/>
    </row>
    <row r="612" spans="15:15" x14ac:dyDescent="0.15">
      <c r="O612" s="4"/>
    </row>
    <row r="613" spans="15:15" x14ac:dyDescent="0.15">
      <c r="O613" s="4"/>
    </row>
    <row r="614" spans="15:15" x14ac:dyDescent="0.15">
      <c r="O614" s="4"/>
    </row>
    <row r="615" spans="15:15" x14ac:dyDescent="0.15">
      <c r="O615" s="4"/>
    </row>
    <row r="616" spans="15:15" x14ac:dyDescent="0.15">
      <c r="O616" s="4"/>
    </row>
    <row r="617" spans="15:15" x14ac:dyDescent="0.15">
      <c r="O617" s="4"/>
    </row>
    <row r="618" spans="15:15" x14ac:dyDescent="0.15">
      <c r="O618" s="4"/>
    </row>
    <row r="619" spans="15:15" x14ac:dyDescent="0.15">
      <c r="O619" s="4"/>
    </row>
    <row r="620" spans="15:15" x14ac:dyDescent="0.15">
      <c r="O620" s="4"/>
    </row>
    <row r="621" spans="15:15" x14ac:dyDescent="0.15">
      <c r="O621" s="4"/>
    </row>
    <row r="622" spans="15:15" x14ac:dyDescent="0.15">
      <c r="O622" s="4"/>
    </row>
    <row r="623" spans="15:15" x14ac:dyDescent="0.15">
      <c r="O623" s="4"/>
    </row>
    <row r="624" spans="15:15" x14ac:dyDescent="0.15">
      <c r="O624" s="4"/>
    </row>
    <row r="625" spans="15:15" x14ac:dyDescent="0.15">
      <c r="O625" s="4"/>
    </row>
    <row r="626" spans="15:15" x14ac:dyDescent="0.15">
      <c r="O626" s="4"/>
    </row>
    <row r="627" spans="15:15" x14ac:dyDescent="0.15">
      <c r="O627" s="4"/>
    </row>
    <row r="628" spans="15:15" x14ac:dyDescent="0.15">
      <c r="O628" s="4"/>
    </row>
    <row r="629" spans="15:15" x14ac:dyDescent="0.15">
      <c r="O629" s="4"/>
    </row>
    <row r="630" spans="15:15" x14ac:dyDescent="0.15">
      <c r="O630" s="4"/>
    </row>
    <row r="631" spans="15:15" x14ac:dyDescent="0.15">
      <c r="O631" s="4"/>
    </row>
    <row r="632" spans="15:15" x14ac:dyDescent="0.15">
      <c r="O632" s="4"/>
    </row>
    <row r="633" spans="15:15" x14ac:dyDescent="0.15">
      <c r="O633" s="4"/>
    </row>
    <row r="634" spans="15:15" x14ac:dyDescent="0.15">
      <c r="O634" s="4"/>
    </row>
    <row r="635" spans="15:15" x14ac:dyDescent="0.15">
      <c r="O635" s="4"/>
    </row>
    <row r="636" spans="15:15" x14ac:dyDescent="0.15">
      <c r="O636" s="4"/>
    </row>
    <row r="637" spans="15:15" x14ac:dyDescent="0.15">
      <c r="O637" s="4"/>
    </row>
    <row r="638" spans="15:15" x14ac:dyDescent="0.15">
      <c r="O638" s="4"/>
    </row>
    <row r="639" spans="15:15" x14ac:dyDescent="0.15">
      <c r="O639" s="4"/>
    </row>
    <row r="640" spans="15:15" x14ac:dyDescent="0.15">
      <c r="O640" s="4"/>
    </row>
    <row r="641" spans="15:15" x14ac:dyDescent="0.15">
      <c r="O641" s="4"/>
    </row>
    <row r="642" spans="15:15" x14ac:dyDescent="0.15">
      <c r="O642" s="4"/>
    </row>
    <row r="643" spans="15:15" x14ac:dyDescent="0.15">
      <c r="O643" s="4"/>
    </row>
    <row r="644" spans="15:15" x14ac:dyDescent="0.15">
      <c r="O644" s="4"/>
    </row>
    <row r="645" spans="15:15" x14ac:dyDescent="0.15">
      <c r="O645" s="4"/>
    </row>
    <row r="646" spans="15:15" x14ac:dyDescent="0.15">
      <c r="O646" s="4"/>
    </row>
    <row r="647" spans="15:15" x14ac:dyDescent="0.15">
      <c r="O647" s="4"/>
    </row>
    <row r="648" spans="15:15" x14ac:dyDescent="0.15">
      <c r="O648" s="4"/>
    </row>
    <row r="649" spans="15:15" x14ac:dyDescent="0.15">
      <c r="O649" s="4"/>
    </row>
    <row r="650" spans="15:15" x14ac:dyDescent="0.15">
      <c r="O650" s="4"/>
    </row>
    <row r="651" spans="15:15" x14ac:dyDescent="0.15">
      <c r="O651" s="4"/>
    </row>
    <row r="652" spans="15:15" x14ac:dyDescent="0.15">
      <c r="O652" s="4"/>
    </row>
    <row r="653" spans="15:15" x14ac:dyDescent="0.15">
      <c r="O653" s="4"/>
    </row>
    <row r="654" spans="15:15" x14ac:dyDescent="0.15">
      <c r="O654" s="4"/>
    </row>
    <row r="655" spans="15:15" x14ac:dyDescent="0.15">
      <c r="O655" s="4"/>
    </row>
    <row r="656" spans="15:15" x14ac:dyDescent="0.15">
      <c r="O656" s="4"/>
    </row>
    <row r="657" spans="15:15" x14ac:dyDescent="0.15">
      <c r="O657" s="4"/>
    </row>
    <row r="658" spans="15:15" x14ac:dyDescent="0.15">
      <c r="O658" s="4"/>
    </row>
    <row r="659" spans="15:15" x14ac:dyDescent="0.15">
      <c r="O659" s="4"/>
    </row>
    <row r="660" spans="15:15" x14ac:dyDescent="0.15">
      <c r="O660" s="4"/>
    </row>
    <row r="661" spans="15:15" x14ac:dyDescent="0.15">
      <c r="O661" s="4"/>
    </row>
    <row r="662" spans="15:15" x14ac:dyDescent="0.15">
      <c r="O662" s="4"/>
    </row>
    <row r="663" spans="15:15" x14ac:dyDescent="0.15">
      <c r="O663" s="4"/>
    </row>
    <row r="664" spans="15:15" x14ac:dyDescent="0.15">
      <c r="O664" s="4"/>
    </row>
    <row r="665" spans="15:15" x14ac:dyDescent="0.15">
      <c r="O665" s="4"/>
    </row>
    <row r="666" spans="15:15" x14ac:dyDescent="0.15">
      <c r="O666" s="4"/>
    </row>
    <row r="667" spans="15:15" x14ac:dyDescent="0.15">
      <c r="O667" s="4"/>
    </row>
    <row r="668" spans="15:15" x14ac:dyDescent="0.15">
      <c r="O668" s="4"/>
    </row>
    <row r="669" spans="15:15" x14ac:dyDescent="0.15">
      <c r="O669" s="4"/>
    </row>
    <row r="670" spans="15:15" x14ac:dyDescent="0.15">
      <c r="O670" s="4"/>
    </row>
    <row r="671" spans="15:15" x14ac:dyDescent="0.15">
      <c r="O671" s="4"/>
    </row>
    <row r="672" spans="15:15" x14ac:dyDescent="0.15">
      <c r="O672" s="4"/>
    </row>
    <row r="673" spans="15:15" x14ac:dyDescent="0.15">
      <c r="O673" s="4"/>
    </row>
    <row r="674" spans="15:15" x14ac:dyDescent="0.15">
      <c r="O674" s="4"/>
    </row>
    <row r="675" spans="15:15" x14ac:dyDescent="0.15">
      <c r="O675" s="4"/>
    </row>
    <row r="676" spans="15:15" x14ac:dyDescent="0.15">
      <c r="O676" s="4"/>
    </row>
    <row r="677" spans="15:15" x14ac:dyDescent="0.15">
      <c r="O677" s="4"/>
    </row>
    <row r="678" spans="15:15" x14ac:dyDescent="0.15">
      <c r="O678" s="4"/>
    </row>
    <row r="679" spans="15:15" x14ac:dyDescent="0.15">
      <c r="O679" s="4"/>
    </row>
    <row r="680" spans="15:15" x14ac:dyDescent="0.15">
      <c r="O680" s="4"/>
    </row>
    <row r="681" spans="15:15" x14ac:dyDescent="0.15">
      <c r="O681" s="4"/>
    </row>
    <row r="682" spans="15:15" x14ac:dyDescent="0.15">
      <c r="O682" s="4"/>
    </row>
    <row r="683" spans="15:15" x14ac:dyDescent="0.15">
      <c r="O683" s="4"/>
    </row>
    <row r="684" spans="15:15" x14ac:dyDescent="0.15">
      <c r="O684" s="4"/>
    </row>
    <row r="685" spans="15:15" x14ac:dyDescent="0.15">
      <c r="O685" s="4"/>
    </row>
    <row r="686" spans="15:15" x14ac:dyDescent="0.15">
      <c r="O686" s="4"/>
    </row>
    <row r="687" spans="15:15" x14ac:dyDescent="0.15">
      <c r="O687" s="4"/>
    </row>
    <row r="688" spans="15:15" x14ac:dyDescent="0.15">
      <c r="O688" s="4"/>
    </row>
    <row r="689" spans="15:15" x14ac:dyDescent="0.15">
      <c r="O689" s="4"/>
    </row>
    <row r="690" spans="15:15" x14ac:dyDescent="0.15">
      <c r="O690" s="4"/>
    </row>
    <row r="691" spans="15:15" x14ac:dyDescent="0.15">
      <c r="O691" s="4"/>
    </row>
    <row r="692" spans="15:15" x14ac:dyDescent="0.15">
      <c r="O692" s="4"/>
    </row>
    <row r="693" spans="15:15" x14ac:dyDescent="0.15">
      <c r="O693" s="4"/>
    </row>
    <row r="694" spans="15:15" x14ac:dyDescent="0.15">
      <c r="O694" s="4"/>
    </row>
    <row r="695" spans="15:15" x14ac:dyDescent="0.15">
      <c r="O695" s="4"/>
    </row>
    <row r="696" spans="15:15" x14ac:dyDescent="0.15">
      <c r="O696" s="4"/>
    </row>
    <row r="697" spans="15:15" x14ac:dyDescent="0.15">
      <c r="O697" s="4"/>
    </row>
    <row r="698" spans="15:15" x14ac:dyDescent="0.15">
      <c r="O698" s="4"/>
    </row>
    <row r="699" spans="15:15" x14ac:dyDescent="0.15">
      <c r="O699" s="4"/>
    </row>
    <row r="700" spans="15:15" x14ac:dyDescent="0.15">
      <c r="O700" s="4"/>
    </row>
    <row r="701" spans="15:15" x14ac:dyDescent="0.15">
      <c r="O701" s="4"/>
    </row>
    <row r="702" spans="15:15" x14ac:dyDescent="0.15">
      <c r="O702" s="4"/>
    </row>
    <row r="703" spans="15:15" x14ac:dyDescent="0.15">
      <c r="O703" s="4"/>
    </row>
    <row r="704" spans="15:15" x14ac:dyDescent="0.15">
      <c r="O704" s="4"/>
    </row>
    <row r="705" spans="15:15" x14ac:dyDescent="0.15">
      <c r="O705" s="4"/>
    </row>
    <row r="706" spans="15:15" x14ac:dyDescent="0.15">
      <c r="O706" s="4"/>
    </row>
    <row r="707" spans="15:15" x14ac:dyDescent="0.15">
      <c r="O707" s="4"/>
    </row>
    <row r="708" spans="15:15" x14ac:dyDescent="0.15">
      <c r="O708" s="4"/>
    </row>
    <row r="709" spans="15:15" x14ac:dyDescent="0.15">
      <c r="O709" s="4"/>
    </row>
    <row r="710" spans="15:15" x14ac:dyDescent="0.15">
      <c r="O710" s="4"/>
    </row>
    <row r="711" spans="15:15" x14ac:dyDescent="0.15">
      <c r="O711" s="4"/>
    </row>
    <row r="712" spans="15:15" x14ac:dyDescent="0.15">
      <c r="O712" s="4"/>
    </row>
    <row r="713" spans="15:15" x14ac:dyDescent="0.15">
      <c r="O713" s="4"/>
    </row>
    <row r="714" spans="15:15" x14ac:dyDescent="0.15">
      <c r="O714" s="4"/>
    </row>
    <row r="715" spans="15:15" x14ac:dyDescent="0.15">
      <c r="O715" s="4"/>
    </row>
    <row r="716" spans="15:15" x14ac:dyDescent="0.15">
      <c r="O716" s="4"/>
    </row>
    <row r="717" spans="15:15" x14ac:dyDescent="0.15">
      <c r="O717" s="4"/>
    </row>
    <row r="718" spans="15:15" x14ac:dyDescent="0.15">
      <c r="O718" s="4"/>
    </row>
    <row r="719" spans="15:15" x14ac:dyDescent="0.15">
      <c r="O719" s="4"/>
    </row>
    <row r="720" spans="15:15" x14ac:dyDescent="0.15">
      <c r="O720" s="4"/>
    </row>
    <row r="721" spans="15:15" x14ac:dyDescent="0.15">
      <c r="O721" s="4"/>
    </row>
    <row r="722" spans="15:15" x14ac:dyDescent="0.15">
      <c r="O722" s="4"/>
    </row>
    <row r="723" spans="15:15" x14ac:dyDescent="0.15">
      <c r="O723" s="4"/>
    </row>
    <row r="724" spans="15:15" x14ac:dyDescent="0.15">
      <c r="O724" s="4"/>
    </row>
    <row r="725" spans="15:15" x14ac:dyDescent="0.15">
      <c r="O725" s="4"/>
    </row>
    <row r="726" spans="15:15" x14ac:dyDescent="0.15">
      <c r="O726" s="4"/>
    </row>
    <row r="727" spans="15:15" x14ac:dyDescent="0.15">
      <c r="O727" s="4"/>
    </row>
    <row r="728" spans="15:15" x14ac:dyDescent="0.15">
      <c r="O728" s="4"/>
    </row>
    <row r="729" spans="15:15" x14ac:dyDescent="0.15">
      <c r="O729" s="4"/>
    </row>
    <row r="730" spans="15:15" x14ac:dyDescent="0.15">
      <c r="O730" s="4"/>
    </row>
    <row r="731" spans="15:15" x14ac:dyDescent="0.15">
      <c r="O731" s="4"/>
    </row>
    <row r="732" spans="15:15" x14ac:dyDescent="0.15">
      <c r="O732" s="4"/>
    </row>
    <row r="733" spans="15:15" x14ac:dyDescent="0.15">
      <c r="O733" s="4"/>
    </row>
    <row r="734" spans="15:15" x14ac:dyDescent="0.15">
      <c r="O734" s="4"/>
    </row>
    <row r="735" spans="15:15" x14ac:dyDescent="0.15">
      <c r="O735" s="4"/>
    </row>
    <row r="736" spans="15:15" x14ac:dyDescent="0.15">
      <c r="O736" s="4"/>
    </row>
    <row r="737" spans="15:15" x14ac:dyDescent="0.15">
      <c r="O737" s="4"/>
    </row>
    <row r="738" spans="15:15" x14ac:dyDescent="0.15">
      <c r="O738" s="4"/>
    </row>
    <row r="739" spans="15:15" x14ac:dyDescent="0.15">
      <c r="O739" s="4"/>
    </row>
    <row r="740" spans="15:15" x14ac:dyDescent="0.15">
      <c r="O740" s="4"/>
    </row>
    <row r="741" spans="15:15" x14ac:dyDescent="0.15">
      <c r="O741" s="4"/>
    </row>
    <row r="742" spans="15:15" x14ac:dyDescent="0.15">
      <c r="O742" s="4"/>
    </row>
    <row r="743" spans="15:15" x14ac:dyDescent="0.15">
      <c r="O743" s="4"/>
    </row>
    <row r="744" spans="15:15" x14ac:dyDescent="0.15">
      <c r="O744" s="4"/>
    </row>
    <row r="745" spans="15:15" x14ac:dyDescent="0.15">
      <c r="O745" s="4"/>
    </row>
    <row r="746" spans="15:15" x14ac:dyDescent="0.15">
      <c r="O746" s="4"/>
    </row>
    <row r="747" spans="15:15" x14ac:dyDescent="0.15">
      <c r="O747" s="4"/>
    </row>
    <row r="748" spans="15:15" x14ac:dyDescent="0.15">
      <c r="O748" s="4"/>
    </row>
    <row r="749" spans="15:15" x14ac:dyDescent="0.15">
      <c r="O749" s="4"/>
    </row>
    <row r="750" spans="15:15" x14ac:dyDescent="0.15">
      <c r="O750" s="4"/>
    </row>
    <row r="751" spans="15:15" x14ac:dyDescent="0.15">
      <c r="O751" s="4"/>
    </row>
    <row r="752" spans="15:15" x14ac:dyDescent="0.15">
      <c r="O752" s="4"/>
    </row>
    <row r="753" spans="15:15" x14ac:dyDescent="0.15">
      <c r="O753" s="4"/>
    </row>
    <row r="754" spans="15:15" x14ac:dyDescent="0.15">
      <c r="O754" s="4"/>
    </row>
    <row r="755" spans="15:15" x14ac:dyDescent="0.15">
      <c r="O755" s="4"/>
    </row>
    <row r="756" spans="15:15" x14ac:dyDescent="0.15">
      <c r="O756" s="4"/>
    </row>
    <row r="757" spans="15:15" x14ac:dyDescent="0.15">
      <c r="O757" s="4"/>
    </row>
    <row r="758" spans="15:15" x14ac:dyDescent="0.15">
      <c r="O758" s="4"/>
    </row>
    <row r="759" spans="15:15" x14ac:dyDescent="0.15">
      <c r="O759" s="4"/>
    </row>
    <row r="760" spans="15:15" x14ac:dyDescent="0.15">
      <c r="O760" s="4"/>
    </row>
    <row r="761" spans="15:15" x14ac:dyDescent="0.15">
      <c r="O761" s="4"/>
    </row>
    <row r="762" spans="15:15" x14ac:dyDescent="0.15">
      <c r="O762" s="4"/>
    </row>
    <row r="763" spans="15:15" x14ac:dyDescent="0.15">
      <c r="O763" s="4"/>
    </row>
    <row r="764" spans="15:15" x14ac:dyDescent="0.15">
      <c r="O764" s="4"/>
    </row>
    <row r="765" spans="15:15" x14ac:dyDescent="0.15">
      <c r="O765" s="4"/>
    </row>
    <row r="766" spans="15:15" x14ac:dyDescent="0.15">
      <c r="O766" s="4"/>
    </row>
    <row r="767" spans="15:15" x14ac:dyDescent="0.15">
      <c r="O767" s="4"/>
    </row>
    <row r="768" spans="15:15" x14ac:dyDescent="0.15">
      <c r="O768" s="4"/>
    </row>
    <row r="769" spans="15:15" x14ac:dyDescent="0.15">
      <c r="O769" s="4"/>
    </row>
    <row r="770" spans="15:15" x14ac:dyDescent="0.15">
      <c r="O770" s="4"/>
    </row>
    <row r="771" spans="15:15" x14ac:dyDescent="0.15">
      <c r="O771" s="4"/>
    </row>
    <row r="772" spans="15:15" x14ac:dyDescent="0.15">
      <c r="O772" s="4"/>
    </row>
    <row r="773" spans="15:15" x14ac:dyDescent="0.15">
      <c r="O773" s="4"/>
    </row>
    <row r="774" spans="15:15" x14ac:dyDescent="0.15">
      <c r="O774" s="4"/>
    </row>
    <row r="775" spans="15:15" x14ac:dyDescent="0.15">
      <c r="O775" s="4"/>
    </row>
    <row r="776" spans="15:15" x14ac:dyDescent="0.15">
      <c r="O776" s="4"/>
    </row>
    <row r="777" spans="15:15" x14ac:dyDescent="0.15">
      <c r="O777" s="4"/>
    </row>
    <row r="778" spans="15:15" x14ac:dyDescent="0.15">
      <c r="O778" s="4"/>
    </row>
    <row r="779" spans="15:15" x14ac:dyDescent="0.15">
      <c r="O779" s="4"/>
    </row>
    <row r="780" spans="15:15" x14ac:dyDescent="0.15">
      <c r="O780" s="4"/>
    </row>
    <row r="781" spans="15:15" x14ac:dyDescent="0.15">
      <c r="O781" s="4"/>
    </row>
    <row r="782" spans="15:15" x14ac:dyDescent="0.15">
      <c r="O782" s="4"/>
    </row>
    <row r="783" spans="15:15" x14ac:dyDescent="0.15">
      <c r="O783" s="4"/>
    </row>
    <row r="784" spans="15:15" x14ac:dyDescent="0.15">
      <c r="O784" s="4"/>
    </row>
    <row r="785" spans="15:15" x14ac:dyDescent="0.15">
      <c r="O785" s="4"/>
    </row>
    <row r="786" spans="15:15" x14ac:dyDescent="0.15">
      <c r="O786" s="4"/>
    </row>
    <row r="787" spans="15:15" x14ac:dyDescent="0.15">
      <c r="O787" s="4"/>
    </row>
    <row r="788" spans="15:15" x14ac:dyDescent="0.15">
      <c r="O788" s="4"/>
    </row>
    <row r="789" spans="15:15" x14ac:dyDescent="0.15">
      <c r="O789" s="4"/>
    </row>
    <row r="790" spans="15:15" x14ac:dyDescent="0.15">
      <c r="O790" s="4"/>
    </row>
    <row r="791" spans="15:15" x14ac:dyDescent="0.15">
      <c r="O791" s="4"/>
    </row>
    <row r="792" spans="15:15" x14ac:dyDescent="0.15">
      <c r="O792" s="4"/>
    </row>
    <row r="793" spans="15:15" x14ac:dyDescent="0.15">
      <c r="O793" s="4"/>
    </row>
    <row r="794" spans="15:15" x14ac:dyDescent="0.15">
      <c r="O794" s="4"/>
    </row>
    <row r="795" spans="15:15" x14ac:dyDescent="0.15">
      <c r="O795" s="4"/>
    </row>
    <row r="796" spans="15:15" x14ac:dyDescent="0.15">
      <c r="O796" s="4"/>
    </row>
    <row r="797" spans="15:15" x14ac:dyDescent="0.15">
      <c r="O797" s="4"/>
    </row>
    <row r="798" spans="15:15" x14ac:dyDescent="0.15">
      <c r="O798" s="4"/>
    </row>
    <row r="799" spans="15:15" x14ac:dyDescent="0.15">
      <c r="O799" s="4"/>
    </row>
    <row r="800" spans="15:15" x14ac:dyDescent="0.15">
      <c r="O800" s="4"/>
    </row>
    <row r="801" spans="15:15" x14ac:dyDescent="0.15">
      <c r="O801" s="4"/>
    </row>
    <row r="802" spans="15:15" x14ac:dyDescent="0.15">
      <c r="O802" s="4"/>
    </row>
    <row r="803" spans="15:15" x14ac:dyDescent="0.15">
      <c r="O803" s="4"/>
    </row>
    <row r="804" spans="15:15" x14ac:dyDescent="0.15">
      <c r="O804" s="4"/>
    </row>
    <row r="805" spans="15:15" x14ac:dyDescent="0.15">
      <c r="O805" s="4"/>
    </row>
    <row r="806" spans="15:15" x14ac:dyDescent="0.15">
      <c r="O806" s="4"/>
    </row>
    <row r="807" spans="15:15" x14ac:dyDescent="0.15">
      <c r="O807" s="4"/>
    </row>
    <row r="808" spans="15:15" x14ac:dyDescent="0.15">
      <c r="O808" s="4"/>
    </row>
    <row r="809" spans="15:15" x14ac:dyDescent="0.15">
      <c r="O809" s="4"/>
    </row>
    <row r="810" spans="15:15" x14ac:dyDescent="0.15">
      <c r="O810" s="4"/>
    </row>
    <row r="811" spans="15:15" x14ac:dyDescent="0.15">
      <c r="O811" s="4"/>
    </row>
    <row r="812" spans="15:15" x14ac:dyDescent="0.15">
      <c r="O812" s="4"/>
    </row>
    <row r="813" spans="15:15" x14ac:dyDescent="0.15">
      <c r="O813" s="4"/>
    </row>
    <row r="814" spans="15:15" x14ac:dyDescent="0.15">
      <c r="O814" s="4"/>
    </row>
    <row r="815" spans="15:15" x14ac:dyDescent="0.15">
      <c r="O815" s="4"/>
    </row>
    <row r="816" spans="15:15" x14ac:dyDescent="0.15">
      <c r="O816" s="4"/>
    </row>
    <row r="817" spans="15:15" x14ac:dyDescent="0.15">
      <c r="O817" s="4"/>
    </row>
    <row r="818" spans="15:15" x14ac:dyDescent="0.15">
      <c r="O818" s="4"/>
    </row>
    <row r="819" spans="15:15" x14ac:dyDescent="0.15">
      <c r="O819" s="4"/>
    </row>
    <row r="820" spans="15:15" x14ac:dyDescent="0.15">
      <c r="O820" s="4"/>
    </row>
    <row r="821" spans="15:15" x14ac:dyDescent="0.15">
      <c r="O821" s="4"/>
    </row>
    <row r="822" spans="15:15" x14ac:dyDescent="0.15">
      <c r="O822" s="4"/>
    </row>
    <row r="823" spans="15:15" x14ac:dyDescent="0.15">
      <c r="O823" s="4"/>
    </row>
    <row r="824" spans="15:15" x14ac:dyDescent="0.15">
      <c r="O824" s="4"/>
    </row>
    <row r="825" spans="15:15" x14ac:dyDescent="0.15">
      <c r="O825" s="4"/>
    </row>
    <row r="826" spans="15:15" x14ac:dyDescent="0.15">
      <c r="O826" s="4"/>
    </row>
    <row r="827" spans="15:15" x14ac:dyDescent="0.15">
      <c r="O827" s="4"/>
    </row>
    <row r="828" spans="15:15" x14ac:dyDescent="0.15">
      <c r="O828" s="4"/>
    </row>
    <row r="829" spans="15:15" x14ac:dyDescent="0.15">
      <c r="O829" s="4"/>
    </row>
    <row r="830" spans="15:15" x14ac:dyDescent="0.15">
      <c r="O830" s="4"/>
    </row>
    <row r="831" spans="15:15" x14ac:dyDescent="0.15">
      <c r="O831" s="4"/>
    </row>
    <row r="832" spans="15:15" x14ac:dyDescent="0.15">
      <c r="O832" s="4"/>
    </row>
    <row r="833" spans="15:15" x14ac:dyDescent="0.15">
      <c r="O833" s="4"/>
    </row>
    <row r="834" spans="15:15" x14ac:dyDescent="0.15">
      <c r="O834" s="4"/>
    </row>
    <row r="835" spans="15:15" x14ac:dyDescent="0.15">
      <c r="O835" s="4"/>
    </row>
    <row r="836" spans="15:15" x14ac:dyDescent="0.15">
      <c r="O836" s="4"/>
    </row>
    <row r="837" spans="15:15" x14ac:dyDescent="0.15">
      <c r="O837" s="4"/>
    </row>
    <row r="838" spans="15:15" x14ac:dyDescent="0.15">
      <c r="O838" s="4"/>
    </row>
    <row r="839" spans="15:15" x14ac:dyDescent="0.15">
      <c r="O839" s="4"/>
    </row>
    <row r="840" spans="15:15" x14ac:dyDescent="0.15">
      <c r="O840" s="4"/>
    </row>
    <row r="841" spans="15:15" x14ac:dyDescent="0.15">
      <c r="O841" s="4"/>
    </row>
    <row r="842" spans="15:15" x14ac:dyDescent="0.15">
      <c r="O842" s="4"/>
    </row>
    <row r="843" spans="15:15" x14ac:dyDescent="0.15">
      <c r="O843" s="4"/>
    </row>
    <row r="844" spans="15:15" x14ac:dyDescent="0.15">
      <c r="O844" s="4"/>
    </row>
    <row r="845" spans="15:15" x14ac:dyDescent="0.15">
      <c r="O845" s="4"/>
    </row>
    <row r="846" spans="15:15" x14ac:dyDescent="0.15">
      <c r="O846" s="4"/>
    </row>
    <row r="847" spans="15:15" x14ac:dyDescent="0.15">
      <c r="O847" s="4"/>
    </row>
    <row r="848" spans="15:15" x14ac:dyDescent="0.15">
      <c r="O848" s="4"/>
    </row>
    <row r="849" spans="15:15" x14ac:dyDescent="0.15">
      <c r="O849" s="4"/>
    </row>
    <row r="850" spans="15:15" x14ac:dyDescent="0.15">
      <c r="O850" s="4"/>
    </row>
    <row r="851" spans="15:15" x14ac:dyDescent="0.15">
      <c r="O851" s="4"/>
    </row>
    <row r="852" spans="15:15" x14ac:dyDescent="0.15">
      <c r="O852" s="4"/>
    </row>
    <row r="853" spans="15:15" x14ac:dyDescent="0.15">
      <c r="O853" s="4"/>
    </row>
    <row r="854" spans="15:15" x14ac:dyDescent="0.15">
      <c r="O854" s="4"/>
    </row>
    <row r="855" spans="15:15" x14ac:dyDescent="0.15">
      <c r="O855" s="4"/>
    </row>
    <row r="856" spans="15:15" x14ac:dyDescent="0.15">
      <c r="O856" s="4"/>
    </row>
    <row r="857" spans="15:15" x14ac:dyDescent="0.15">
      <c r="O857" s="4"/>
    </row>
    <row r="858" spans="15:15" x14ac:dyDescent="0.15">
      <c r="O858" s="4"/>
    </row>
    <row r="859" spans="15:15" x14ac:dyDescent="0.15">
      <c r="O859" s="4"/>
    </row>
    <row r="860" spans="15:15" x14ac:dyDescent="0.15">
      <c r="O860" s="4"/>
    </row>
    <row r="861" spans="15:15" x14ac:dyDescent="0.15">
      <c r="O861" s="4"/>
    </row>
    <row r="862" spans="15:15" x14ac:dyDescent="0.15">
      <c r="O862" s="4"/>
    </row>
    <row r="863" spans="15:15" x14ac:dyDescent="0.15">
      <c r="O863" s="4"/>
    </row>
    <row r="864" spans="15:15" x14ac:dyDescent="0.15">
      <c r="O864" s="4"/>
    </row>
    <row r="865" spans="15:15" x14ac:dyDescent="0.15">
      <c r="O865" s="4"/>
    </row>
    <row r="866" spans="15:15" x14ac:dyDescent="0.15">
      <c r="O866" s="4"/>
    </row>
    <row r="867" spans="15:15" x14ac:dyDescent="0.15">
      <c r="O867" s="4"/>
    </row>
    <row r="868" spans="15:15" x14ac:dyDescent="0.15">
      <c r="O868" s="4"/>
    </row>
    <row r="869" spans="15:15" x14ac:dyDescent="0.15">
      <c r="O869" s="4"/>
    </row>
    <row r="870" spans="15:15" x14ac:dyDescent="0.15">
      <c r="O870" s="4"/>
    </row>
    <row r="871" spans="15:15" x14ac:dyDescent="0.15">
      <c r="O871" s="4"/>
    </row>
    <row r="872" spans="15:15" x14ac:dyDescent="0.15">
      <c r="O872" s="4"/>
    </row>
    <row r="873" spans="15:15" x14ac:dyDescent="0.15">
      <c r="O873" s="4"/>
    </row>
    <row r="874" spans="15:15" x14ac:dyDescent="0.15">
      <c r="O874" s="4"/>
    </row>
    <row r="875" spans="15:15" x14ac:dyDescent="0.15">
      <c r="O875" s="4"/>
    </row>
    <row r="876" spans="15:15" x14ac:dyDescent="0.15">
      <c r="O876" s="4"/>
    </row>
    <row r="877" spans="15:15" x14ac:dyDescent="0.15">
      <c r="O877" s="4"/>
    </row>
    <row r="878" spans="15:15" x14ac:dyDescent="0.15">
      <c r="O878" s="4"/>
    </row>
    <row r="879" spans="15:15" x14ac:dyDescent="0.15">
      <c r="O879" s="4"/>
    </row>
    <row r="880" spans="15:15" x14ac:dyDescent="0.15">
      <c r="O880" s="4"/>
    </row>
    <row r="881" spans="15:15" x14ac:dyDescent="0.15">
      <c r="O881" s="4"/>
    </row>
    <row r="882" spans="15:15" x14ac:dyDescent="0.15">
      <c r="O882" s="4"/>
    </row>
    <row r="883" spans="15:15" x14ac:dyDescent="0.15">
      <c r="O883" s="4"/>
    </row>
    <row r="884" spans="15:15" x14ac:dyDescent="0.15">
      <c r="O884" s="4"/>
    </row>
    <row r="885" spans="15:15" x14ac:dyDescent="0.15">
      <c r="O885" s="4"/>
    </row>
    <row r="886" spans="15:15" x14ac:dyDescent="0.15">
      <c r="O886" s="4"/>
    </row>
    <row r="887" spans="15:15" x14ac:dyDescent="0.15">
      <c r="O887" s="4"/>
    </row>
    <row r="888" spans="15:15" x14ac:dyDescent="0.15">
      <c r="O888" s="4"/>
    </row>
    <row r="889" spans="15:15" x14ac:dyDescent="0.15">
      <c r="O889" s="4"/>
    </row>
    <row r="890" spans="15:15" x14ac:dyDescent="0.15">
      <c r="O890" s="4"/>
    </row>
    <row r="891" spans="15:15" x14ac:dyDescent="0.15">
      <c r="O891" s="4"/>
    </row>
    <row r="892" spans="15:15" x14ac:dyDescent="0.15">
      <c r="O892" s="4"/>
    </row>
    <row r="893" spans="15:15" x14ac:dyDescent="0.15">
      <c r="O893" s="4"/>
    </row>
    <row r="894" spans="15:15" x14ac:dyDescent="0.15">
      <c r="O894" s="4"/>
    </row>
    <row r="895" spans="15:15" x14ac:dyDescent="0.15">
      <c r="O895" s="4"/>
    </row>
    <row r="896" spans="15:15" x14ac:dyDescent="0.15">
      <c r="O896" s="4"/>
    </row>
    <row r="897" spans="15:15" x14ac:dyDescent="0.15">
      <c r="O897" s="4"/>
    </row>
    <row r="898" spans="15:15" x14ac:dyDescent="0.15">
      <c r="O898" s="4"/>
    </row>
    <row r="899" spans="15:15" x14ac:dyDescent="0.15">
      <c r="O899" s="4"/>
    </row>
    <row r="900" spans="15:15" x14ac:dyDescent="0.15">
      <c r="O900" s="4"/>
    </row>
    <row r="901" spans="15:15" x14ac:dyDescent="0.15">
      <c r="O901" s="4"/>
    </row>
    <row r="902" spans="15:15" x14ac:dyDescent="0.15">
      <c r="O902" s="4"/>
    </row>
    <row r="903" spans="15:15" x14ac:dyDescent="0.15">
      <c r="O903" s="4"/>
    </row>
    <row r="904" spans="15:15" x14ac:dyDescent="0.15">
      <c r="O904" s="4"/>
    </row>
    <row r="905" spans="15:15" x14ac:dyDescent="0.15">
      <c r="O905" s="4"/>
    </row>
    <row r="906" spans="15:15" x14ac:dyDescent="0.15">
      <c r="O906" s="4"/>
    </row>
    <row r="907" spans="15:15" x14ac:dyDescent="0.15">
      <c r="O907" s="4"/>
    </row>
    <row r="908" spans="15:15" x14ac:dyDescent="0.15">
      <c r="O908" s="4"/>
    </row>
    <row r="909" spans="15:15" x14ac:dyDescent="0.15">
      <c r="O909" s="4"/>
    </row>
    <row r="910" spans="15:15" x14ac:dyDescent="0.15">
      <c r="O910" s="4"/>
    </row>
    <row r="911" spans="15:15" x14ac:dyDescent="0.15">
      <c r="O911" s="4"/>
    </row>
    <row r="912" spans="15:15" x14ac:dyDescent="0.15">
      <c r="O912" s="4"/>
    </row>
    <row r="913" spans="15:15" x14ac:dyDescent="0.15">
      <c r="O913" s="4"/>
    </row>
    <row r="914" spans="15:15" x14ac:dyDescent="0.15">
      <c r="O914" s="4"/>
    </row>
    <row r="915" spans="15:15" x14ac:dyDescent="0.15">
      <c r="O915" s="4"/>
    </row>
    <row r="916" spans="15:15" x14ac:dyDescent="0.15">
      <c r="O916" s="4"/>
    </row>
    <row r="917" spans="15:15" x14ac:dyDescent="0.15">
      <c r="O917" s="4"/>
    </row>
    <row r="918" spans="15:15" x14ac:dyDescent="0.15">
      <c r="O918" s="4"/>
    </row>
    <row r="919" spans="15:15" x14ac:dyDescent="0.15">
      <c r="O919" s="4"/>
    </row>
    <row r="920" spans="15:15" x14ac:dyDescent="0.15">
      <c r="O920" s="4"/>
    </row>
    <row r="921" spans="15:15" x14ac:dyDescent="0.15">
      <c r="O921" s="4"/>
    </row>
    <row r="922" spans="15:15" x14ac:dyDescent="0.15">
      <c r="O922" s="4"/>
    </row>
    <row r="923" spans="15:15" x14ac:dyDescent="0.15">
      <c r="O923" s="4"/>
    </row>
    <row r="924" spans="15:15" x14ac:dyDescent="0.15">
      <c r="O924" s="4"/>
    </row>
    <row r="925" spans="15:15" x14ac:dyDescent="0.15">
      <c r="O925" s="4"/>
    </row>
    <row r="926" spans="15:15" x14ac:dyDescent="0.15">
      <c r="O926" s="4"/>
    </row>
    <row r="927" spans="15:15" x14ac:dyDescent="0.15">
      <c r="O927" s="4"/>
    </row>
    <row r="928" spans="15:15" x14ac:dyDescent="0.15">
      <c r="O928" s="4"/>
    </row>
    <row r="929" spans="15:15" x14ac:dyDescent="0.15">
      <c r="O929" s="4"/>
    </row>
    <row r="930" spans="15:15" x14ac:dyDescent="0.15">
      <c r="O930" s="4"/>
    </row>
    <row r="931" spans="15:15" x14ac:dyDescent="0.15">
      <c r="O931" s="4"/>
    </row>
    <row r="932" spans="15:15" x14ac:dyDescent="0.15">
      <c r="O932" s="4"/>
    </row>
    <row r="933" spans="15:15" x14ac:dyDescent="0.15">
      <c r="O933" s="4"/>
    </row>
    <row r="934" spans="15:15" x14ac:dyDescent="0.15">
      <c r="O934" s="4"/>
    </row>
    <row r="935" spans="15:15" x14ac:dyDescent="0.15">
      <c r="O935" s="4"/>
    </row>
    <row r="936" spans="15:15" x14ac:dyDescent="0.15">
      <c r="O936" s="4"/>
    </row>
    <row r="937" spans="15:15" x14ac:dyDescent="0.15">
      <c r="O937" s="4"/>
    </row>
    <row r="938" spans="15:15" x14ac:dyDescent="0.15">
      <c r="O938" s="4"/>
    </row>
    <row r="939" spans="15:15" x14ac:dyDescent="0.15">
      <c r="O939" s="4"/>
    </row>
    <row r="940" spans="15:15" x14ac:dyDescent="0.15">
      <c r="O940" s="4"/>
    </row>
    <row r="941" spans="15:15" x14ac:dyDescent="0.15">
      <c r="O941" s="4"/>
    </row>
    <row r="942" spans="15:15" x14ac:dyDescent="0.15">
      <c r="O942" s="4"/>
    </row>
    <row r="943" spans="15:15" x14ac:dyDescent="0.15">
      <c r="O943" s="4"/>
    </row>
    <row r="944" spans="15:15" x14ac:dyDescent="0.15">
      <c r="O944" s="4"/>
    </row>
    <row r="945" spans="15:15" x14ac:dyDescent="0.15">
      <c r="O945" s="4"/>
    </row>
    <row r="946" spans="15:15" x14ac:dyDescent="0.15">
      <c r="O946" s="4"/>
    </row>
    <row r="947" spans="15:15" x14ac:dyDescent="0.15">
      <c r="O947" s="4"/>
    </row>
    <row r="948" spans="15:15" x14ac:dyDescent="0.15">
      <c r="O948" s="4"/>
    </row>
    <row r="949" spans="15:15" x14ac:dyDescent="0.15">
      <c r="O949" s="4"/>
    </row>
    <row r="950" spans="15:15" x14ac:dyDescent="0.15">
      <c r="O950" s="4"/>
    </row>
    <row r="951" spans="15:15" x14ac:dyDescent="0.15">
      <c r="O951" s="4"/>
    </row>
    <row r="952" spans="15:15" x14ac:dyDescent="0.15">
      <c r="O952" s="4"/>
    </row>
    <row r="953" spans="15:15" x14ac:dyDescent="0.15">
      <c r="O953" s="4"/>
    </row>
    <row r="954" spans="15:15" x14ac:dyDescent="0.15">
      <c r="O954" s="4"/>
    </row>
    <row r="955" spans="15:15" x14ac:dyDescent="0.15">
      <c r="O955" s="4"/>
    </row>
    <row r="956" spans="15:15" x14ac:dyDescent="0.15">
      <c r="O956" s="4"/>
    </row>
    <row r="957" spans="15:15" x14ac:dyDescent="0.15">
      <c r="O957" s="4"/>
    </row>
    <row r="958" spans="15:15" x14ac:dyDescent="0.15">
      <c r="O958" s="4"/>
    </row>
    <row r="959" spans="15:15" x14ac:dyDescent="0.15">
      <c r="O959" s="4"/>
    </row>
    <row r="960" spans="15:15" x14ac:dyDescent="0.15">
      <c r="O960" s="4"/>
    </row>
    <row r="961" spans="15:15" x14ac:dyDescent="0.15">
      <c r="O961" s="4"/>
    </row>
    <row r="962" spans="15:15" x14ac:dyDescent="0.15">
      <c r="O962" s="4"/>
    </row>
    <row r="963" spans="15:15" x14ac:dyDescent="0.15">
      <c r="O963" s="4"/>
    </row>
    <row r="964" spans="15:15" x14ac:dyDescent="0.15">
      <c r="O964" s="4"/>
    </row>
    <row r="965" spans="15:15" x14ac:dyDescent="0.15">
      <c r="O965" s="4"/>
    </row>
    <row r="966" spans="15:15" x14ac:dyDescent="0.15">
      <c r="O966" s="4"/>
    </row>
    <row r="967" spans="15:15" x14ac:dyDescent="0.15">
      <c r="O967" s="4"/>
    </row>
    <row r="968" spans="15:15" x14ac:dyDescent="0.15">
      <c r="O968" s="4"/>
    </row>
    <row r="969" spans="15:15" x14ac:dyDescent="0.15">
      <c r="O969" s="4"/>
    </row>
    <row r="970" spans="15:15" x14ac:dyDescent="0.15">
      <c r="O970" s="4"/>
    </row>
    <row r="971" spans="15:15" x14ac:dyDescent="0.15">
      <c r="O971" s="4"/>
    </row>
    <row r="972" spans="15:15" x14ac:dyDescent="0.15">
      <c r="O972" s="4"/>
    </row>
    <row r="973" spans="15:15" x14ac:dyDescent="0.15">
      <c r="O973" s="4"/>
    </row>
    <row r="974" spans="15:15" x14ac:dyDescent="0.15">
      <c r="O974" s="4"/>
    </row>
    <row r="975" spans="15:15" x14ac:dyDescent="0.15">
      <c r="O975" s="4"/>
    </row>
    <row r="976" spans="15:15" x14ac:dyDescent="0.15">
      <c r="O976" s="4"/>
    </row>
    <row r="977" spans="15:15" x14ac:dyDescent="0.15">
      <c r="O977" s="4"/>
    </row>
    <row r="978" spans="15:15" x14ac:dyDescent="0.15">
      <c r="O978" s="4"/>
    </row>
    <row r="979" spans="15:15" x14ac:dyDescent="0.15">
      <c r="O979" s="4"/>
    </row>
    <row r="980" spans="15:15" x14ac:dyDescent="0.15">
      <c r="O980" s="4"/>
    </row>
    <row r="981" spans="15:15" x14ac:dyDescent="0.15">
      <c r="O981" s="4"/>
    </row>
    <row r="982" spans="15:15" x14ac:dyDescent="0.15">
      <c r="O982" s="4"/>
    </row>
    <row r="983" spans="15:15" x14ac:dyDescent="0.15">
      <c r="O983" s="4"/>
    </row>
    <row r="984" spans="15:15" x14ac:dyDescent="0.15">
      <c r="O984" s="4"/>
    </row>
    <row r="985" spans="15:15" x14ac:dyDescent="0.15">
      <c r="O985" s="4"/>
    </row>
    <row r="986" spans="15:15" x14ac:dyDescent="0.15">
      <c r="O986" s="4"/>
    </row>
    <row r="987" spans="15:15" x14ac:dyDescent="0.15">
      <c r="O987" s="4"/>
    </row>
    <row r="988" spans="15:15" x14ac:dyDescent="0.15">
      <c r="O988" s="4"/>
    </row>
    <row r="989" spans="15:15" x14ac:dyDescent="0.15">
      <c r="O989" s="4"/>
    </row>
    <row r="990" spans="15:15" x14ac:dyDescent="0.15">
      <c r="O990" s="4"/>
    </row>
    <row r="991" spans="15:15" x14ac:dyDescent="0.15">
      <c r="O991" s="4"/>
    </row>
    <row r="992" spans="15:15" x14ac:dyDescent="0.15">
      <c r="O992" s="4"/>
    </row>
    <row r="993" spans="15:15" x14ac:dyDescent="0.15">
      <c r="O993" s="4"/>
    </row>
    <row r="994" spans="15:15" x14ac:dyDescent="0.15">
      <c r="O994" s="4"/>
    </row>
    <row r="995" spans="15:15" x14ac:dyDescent="0.15">
      <c r="O995" s="4"/>
    </row>
    <row r="996" spans="15:15" x14ac:dyDescent="0.15">
      <c r="O996" s="4"/>
    </row>
    <row r="997" spans="15:15" x14ac:dyDescent="0.15">
      <c r="O997" s="4"/>
    </row>
    <row r="998" spans="15:15" x14ac:dyDescent="0.15">
      <c r="O998" s="4"/>
    </row>
    <row r="999" spans="15:15" x14ac:dyDescent="0.15">
      <c r="O999" s="4"/>
    </row>
    <row r="1000" spans="15:15" x14ac:dyDescent="0.15">
      <c r="O1000" s="4"/>
    </row>
    <row r="1001" spans="15:15" x14ac:dyDescent="0.15">
      <c r="O1001" s="4"/>
    </row>
    <row r="1002" spans="15:15" x14ac:dyDescent="0.15">
      <c r="O1002" s="4"/>
    </row>
    <row r="1003" spans="15:15" x14ac:dyDescent="0.15">
      <c r="O1003" s="4"/>
    </row>
    <row r="1004" spans="15:15" x14ac:dyDescent="0.15">
      <c r="O1004" s="4"/>
    </row>
    <row r="1005" spans="15:15" x14ac:dyDescent="0.15">
      <c r="O1005" s="4"/>
    </row>
    <row r="1006" spans="15:15" x14ac:dyDescent="0.15">
      <c r="O1006" s="4"/>
    </row>
    <row r="1007" spans="15:15" x14ac:dyDescent="0.15">
      <c r="O1007" s="4"/>
    </row>
    <row r="1008" spans="15:15" x14ac:dyDescent="0.15">
      <c r="O1008" s="4"/>
    </row>
    <row r="1009" spans="15:15" x14ac:dyDescent="0.15">
      <c r="O1009" s="4"/>
    </row>
    <row r="1010" spans="15:15" x14ac:dyDescent="0.15">
      <c r="O1010" s="4"/>
    </row>
    <row r="1011" spans="15:15" x14ac:dyDescent="0.15">
      <c r="O1011" s="4"/>
    </row>
    <row r="1012" spans="15:15" x14ac:dyDescent="0.15">
      <c r="O1012" s="4"/>
    </row>
    <row r="1013" spans="15:15" x14ac:dyDescent="0.15">
      <c r="O1013" s="4"/>
    </row>
    <row r="1014" spans="15:15" x14ac:dyDescent="0.15">
      <c r="O1014" s="4"/>
    </row>
    <row r="1015" spans="15:15" x14ac:dyDescent="0.15">
      <c r="O1015" s="4"/>
    </row>
    <row r="1016" spans="15:15" x14ac:dyDescent="0.15">
      <c r="O1016" s="4"/>
    </row>
    <row r="1017" spans="15:15" x14ac:dyDescent="0.15">
      <c r="O1017" s="4"/>
    </row>
    <row r="1018" spans="15:15" x14ac:dyDescent="0.15">
      <c r="O1018" s="4"/>
    </row>
    <row r="1019" spans="15:15" x14ac:dyDescent="0.15">
      <c r="O1019" s="4"/>
    </row>
    <row r="1020" spans="15:15" x14ac:dyDescent="0.15">
      <c r="O1020" s="4"/>
    </row>
    <row r="1021" spans="15:15" x14ac:dyDescent="0.15">
      <c r="O1021" s="4"/>
    </row>
    <row r="1022" spans="15:15" x14ac:dyDescent="0.15">
      <c r="O1022" s="4"/>
    </row>
    <row r="1023" spans="15:15" x14ac:dyDescent="0.15">
      <c r="O1023" s="4"/>
    </row>
    <row r="1024" spans="15:15" x14ac:dyDescent="0.15">
      <c r="O1024" s="4"/>
    </row>
    <row r="1025" spans="15:15" x14ac:dyDescent="0.15">
      <c r="O1025" s="4"/>
    </row>
    <row r="1026" spans="15:15" x14ac:dyDescent="0.15">
      <c r="O1026" s="4"/>
    </row>
    <row r="1027" spans="15:15" x14ac:dyDescent="0.15">
      <c r="O1027" s="4"/>
    </row>
    <row r="1028" spans="15:15" x14ac:dyDescent="0.15">
      <c r="O1028" s="4"/>
    </row>
    <row r="1029" spans="15:15" x14ac:dyDescent="0.15">
      <c r="O1029" s="4"/>
    </row>
    <row r="1030" spans="15:15" x14ac:dyDescent="0.15">
      <c r="O1030" s="4"/>
    </row>
    <row r="1031" spans="15:15" x14ac:dyDescent="0.15">
      <c r="O1031" s="4"/>
    </row>
    <row r="1032" spans="15:15" x14ac:dyDescent="0.15">
      <c r="O1032" s="4"/>
    </row>
    <row r="1033" spans="15:15" x14ac:dyDescent="0.15">
      <c r="O1033" s="4"/>
    </row>
    <row r="1034" spans="15:15" x14ac:dyDescent="0.15">
      <c r="O1034" s="4"/>
    </row>
    <row r="1035" spans="15:15" x14ac:dyDescent="0.15">
      <c r="O1035" s="4"/>
    </row>
    <row r="1036" spans="15:15" x14ac:dyDescent="0.15">
      <c r="O1036" s="4"/>
    </row>
    <row r="1037" spans="15:15" x14ac:dyDescent="0.15">
      <c r="O1037" s="4"/>
    </row>
    <row r="1038" spans="15:15" x14ac:dyDescent="0.15">
      <c r="O1038" s="4"/>
    </row>
    <row r="1039" spans="15:15" x14ac:dyDescent="0.15">
      <c r="O1039" s="4"/>
    </row>
    <row r="1040" spans="15:15" x14ac:dyDescent="0.15">
      <c r="O1040" s="4"/>
    </row>
    <row r="1041" spans="15:15" x14ac:dyDescent="0.15">
      <c r="O1041" s="4"/>
    </row>
    <row r="1042" spans="15:15" x14ac:dyDescent="0.15">
      <c r="O1042" s="4"/>
    </row>
    <row r="1043" spans="15:15" x14ac:dyDescent="0.15">
      <c r="O1043" s="4"/>
    </row>
    <row r="1044" spans="15:15" x14ac:dyDescent="0.15">
      <c r="O1044" s="4"/>
    </row>
    <row r="1045" spans="15:15" x14ac:dyDescent="0.15">
      <c r="O1045" s="4"/>
    </row>
    <row r="1046" spans="15:15" x14ac:dyDescent="0.15">
      <c r="O1046" s="4"/>
    </row>
    <row r="1047" spans="15:15" x14ac:dyDescent="0.15">
      <c r="O1047" s="4"/>
    </row>
    <row r="1048" spans="15:15" x14ac:dyDescent="0.15">
      <c r="O1048" s="4"/>
    </row>
    <row r="1049" spans="15:15" x14ac:dyDescent="0.15">
      <c r="O1049" s="4"/>
    </row>
    <row r="1050" spans="15:15" x14ac:dyDescent="0.15">
      <c r="O1050" s="4"/>
    </row>
    <row r="1051" spans="15:15" x14ac:dyDescent="0.15">
      <c r="O1051" s="4"/>
    </row>
    <row r="1052" spans="15:15" x14ac:dyDescent="0.15">
      <c r="O1052" s="4"/>
    </row>
    <row r="1053" spans="15:15" x14ac:dyDescent="0.15">
      <c r="O1053" s="4"/>
    </row>
    <row r="1054" spans="15:15" x14ac:dyDescent="0.15">
      <c r="O1054" s="4"/>
    </row>
    <row r="1055" spans="15:15" x14ac:dyDescent="0.15">
      <c r="O1055" s="4"/>
    </row>
    <row r="1056" spans="15:15" x14ac:dyDescent="0.15">
      <c r="O1056" s="4"/>
    </row>
    <row r="1057" spans="15:15" x14ac:dyDescent="0.15">
      <c r="O1057" s="4"/>
    </row>
    <row r="1058" spans="15:15" x14ac:dyDescent="0.15">
      <c r="O1058" s="4"/>
    </row>
    <row r="1059" spans="15:15" x14ac:dyDescent="0.15">
      <c r="O1059" s="4"/>
    </row>
    <row r="1060" spans="15:15" x14ac:dyDescent="0.15">
      <c r="O1060" s="4"/>
    </row>
    <row r="1061" spans="15:15" x14ac:dyDescent="0.15">
      <c r="O1061" s="4"/>
    </row>
    <row r="1062" spans="15:15" x14ac:dyDescent="0.15">
      <c r="O1062" s="4"/>
    </row>
    <row r="1063" spans="15:15" x14ac:dyDescent="0.15">
      <c r="O1063" s="4"/>
    </row>
    <row r="1064" spans="15:15" x14ac:dyDescent="0.15">
      <c r="O1064" s="4"/>
    </row>
    <row r="1065" spans="15:15" x14ac:dyDescent="0.15">
      <c r="O1065" s="4"/>
    </row>
    <row r="1066" spans="15:15" x14ac:dyDescent="0.15">
      <c r="O1066" s="4"/>
    </row>
    <row r="1067" spans="15:15" x14ac:dyDescent="0.15">
      <c r="O1067" s="4"/>
    </row>
    <row r="1068" spans="15:15" x14ac:dyDescent="0.15">
      <c r="O1068" s="4"/>
    </row>
    <row r="1069" spans="15:15" x14ac:dyDescent="0.15">
      <c r="O1069" s="4"/>
    </row>
    <row r="1070" spans="15:15" x14ac:dyDescent="0.15">
      <c r="O1070" s="4"/>
    </row>
    <row r="1071" spans="15:15" x14ac:dyDescent="0.15">
      <c r="O1071" s="4"/>
    </row>
    <row r="1072" spans="15:15" x14ac:dyDescent="0.15">
      <c r="O1072" s="4"/>
    </row>
    <row r="1073" spans="15:15" x14ac:dyDescent="0.15">
      <c r="O1073" s="4"/>
    </row>
    <row r="1074" spans="15:15" x14ac:dyDescent="0.15">
      <c r="O1074" s="4"/>
    </row>
    <row r="1075" spans="15:15" x14ac:dyDescent="0.15">
      <c r="O1075" s="4"/>
    </row>
    <row r="1076" spans="15:15" x14ac:dyDescent="0.15">
      <c r="O1076" s="4"/>
    </row>
    <row r="1077" spans="15:15" x14ac:dyDescent="0.15">
      <c r="O1077" s="4"/>
    </row>
    <row r="1078" spans="15:15" x14ac:dyDescent="0.15">
      <c r="O1078" s="4"/>
    </row>
    <row r="1079" spans="15:15" x14ac:dyDescent="0.15">
      <c r="O1079" s="4"/>
    </row>
    <row r="1080" spans="15:15" x14ac:dyDescent="0.15">
      <c r="O1080" s="4"/>
    </row>
    <row r="1081" spans="15:15" x14ac:dyDescent="0.15">
      <c r="O1081" s="4"/>
    </row>
    <row r="1082" spans="15:15" x14ac:dyDescent="0.15">
      <c r="O1082" s="4"/>
    </row>
    <row r="1083" spans="15:15" x14ac:dyDescent="0.15">
      <c r="O1083" s="4"/>
    </row>
    <row r="1084" spans="15:15" x14ac:dyDescent="0.15">
      <c r="O1084" s="4"/>
    </row>
    <row r="1085" spans="15:15" x14ac:dyDescent="0.15">
      <c r="O1085" s="4"/>
    </row>
    <row r="1086" spans="15:15" x14ac:dyDescent="0.15">
      <c r="O1086" s="4"/>
    </row>
    <row r="1087" spans="15:15" x14ac:dyDescent="0.15">
      <c r="O1087" s="4"/>
    </row>
    <row r="1088" spans="15:15" x14ac:dyDescent="0.15">
      <c r="O1088" s="4"/>
    </row>
    <row r="1089" spans="15:15" x14ac:dyDescent="0.15">
      <c r="O1089" s="4"/>
    </row>
    <row r="1090" spans="15:15" x14ac:dyDescent="0.15">
      <c r="O1090" s="4"/>
    </row>
    <row r="1091" spans="15:15" x14ac:dyDescent="0.15">
      <c r="O1091" s="4"/>
    </row>
    <row r="1092" spans="15:15" x14ac:dyDescent="0.15">
      <c r="O1092" s="4"/>
    </row>
    <row r="1093" spans="15:15" x14ac:dyDescent="0.15">
      <c r="O1093" s="4"/>
    </row>
    <row r="1094" spans="15:15" x14ac:dyDescent="0.15">
      <c r="O1094" s="4"/>
    </row>
    <row r="1095" spans="15:15" x14ac:dyDescent="0.15">
      <c r="O1095" s="4"/>
    </row>
    <row r="1096" spans="15:15" x14ac:dyDescent="0.15">
      <c r="O1096" s="4"/>
    </row>
    <row r="1097" spans="15:15" x14ac:dyDescent="0.15">
      <c r="O1097" s="4"/>
    </row>
    <row r="1098" spans="15:15" x14ac:dyDescent="0.15">
      <c r="O1098" s="4"/>
    </row>
    <row r="1099" spans="15:15" x14ac:dyDescent="0.15">
      <c r="O1099" s="4"/>
    </row>
    <row r="1100" spans="15:15" x14ac:dyDescent="0.15">
      <c r="O1100" s="4"/>
    </row>
    <row r="1101" spans="15:15" x14ac:dyDescent="0.15">
      <c r="O1101" s="4"/>
    </row>
    <row r="1102" spans="15:15" x14ac:dyDescent="0.15">
      <c r="O1102" s="4"/>
    </row>
    <row r="1103" spans="15:15" x14ac:dyDescent="0.15">
      <c r="O1103" s="4"/>
    </row>
    <row r="1104" spans="15:15" x14ac:dyDescent="0.15">
      <c r="O1104" s="4"/>
    </row>
    <row r="1105" spans="15:15" x14ac:dyDescent="0.15">
      <c r="O1105" s="4"/>
    </row>
    <row r="1106" spans="15:15" x14ac:dyDescent="0.15">
      <c r="O1106" s="4"/>
    </row>
    <row r="1107" spans="15:15" x14ac:dyDescent="0.15">
      <c r="O1107" s="4"/>
    </row>
    <row r="1108" spans="15:15" x14ac:dyDescent="0.15">
      <c r="O1108" s="4"/>
    </row>
    <row r="1109" spans="15:15" x14ac:dyDescent="0.15">
      <c r="O1109" s="4"/>
    </row>
    <row r="1110" spans="15:15" x14ac:dyDescent="0.15">
      <c r="O1110" s="4"/>
    </row>
    <row r="1111" spans="15:15" x14ac:dyDescent="0.15">
      <c r="O1111" s="4"/>
    </row>
    <row r="1112" spans="15:15" x14ac:dyDescent="0.15">
      <c r="O1112" s="4"/>
    </row>
    <row r="1113" spans="15:15" x14ac:dyDescent="0.15">
      <c r="O1113" s="4"/>
    </row>
    <row r="1114" spans="15:15" x14ac:dyDescent="0.15">
      <c r="O1114" s="4"/>
    </row>
    <row r="1115" spans="15:15" x14ac:dyDescent="0.15">
      <c r="O1115" s="4"/>
    </row>
    <row r="1116" spans="15:15" x14ac:dyDescent="0.15">
      <c r="O1116" s="4"/>
    </row>
    <row r="1117" spans="15:15" x14ac:dyDescent="0.15">
      <c r="O1117" s="4"/>
    </row>
    <row r="1118" spans="15:15" x14ac:dyDescent="0.15">
      <c r="O1118" s="4"/>
    </row>
    <row r="1119" spans="15:15" x14ac:dyDescent="0.15">
      <c r="O1119" s="4"/>
    </row>
    <row r="1120" spans="15:15" x14ac:dyDescent="0.15">
      <c r="O1120" s="4"/>
    </row>
    <row r="1121" spans="15:15" x14ac:dyDescent="0.15">
      <c r="O1121" s="4"/>
    </row>
    <row r="1122" spans="15:15" x14ac:dyDescent="0.15">
      <c r="O1122" s="4"/>
    </row>
    <row r="1123" spans="15:15" x14ac:dyDescent="0.15">
      <c r="O1123" s="4"/>
    </row>
    <row r="1124" spans="15:15" x14ac:dyDescent="0.15">
      <c r="O1124" s="4"/>
    </row>
    <row r="1125" spans="15:15" x14ac:dyDescent="0.15">
      <c r="O1125" s="4"/>
    </row>
    <row r="1126" spans="15:15" x14ac:dyDescent="0.15">
      <c r="O1126" s="4"/>
    </row>
    <row r="1127" spans="15:15" x14ac:dyDescent="0.15">
      <c r="O1127" s="4"/>
    </row>
    <row r="1128" spans="15:15" x14ac:dyDescent="0.15">
      <c r="O1128" s="4"/>
    </row>
    <row r="1129" spans="15:15" x14ac:dyDescent="0.15">
      <c r="O1129" s="4"/>
    </row>
    <row r="1130" spans="15:15" x14ac:dyDescent="0.15">
      <c r="O1130" s="4"/>
    </row>
    <row r="1131" spans="15:15" x14ac:dyDescent="0.15">
      <c r="O1131" s="4"/>
    </row>
    <row r="1132" spans="15:15" x14ac:dyDescent="0.15">
      <c r="O1132" s="4"/>
    </row>
    <row r="1133" spans="15:15" x14ac:dyDescent="0.15">
      <c r="O1133" s="4"/>
    </row>
    <row r="1134" spans="15:15" x14ac:dyDescent="0.15">
      <c r="O1134" s="4"/>
    </row>
    <row r="1135" spans="15:15" x14ac:dyDescent="0.15">
      <c r="O1135" s="4"/>
    </row>
    <row r="1136" spans="15:15" x14ac:dyDescent="0.15">
      <c r="O1136" s="4"/>
    </row>
    <row r="1137" spans="15:15" x14ac:dyDescent="0.15">
      <c r="O1137" s="4"/>
    </row>
    <row r="1138" spans="15:15" x14ac:dyDescent="0.15">
      <c r="O1138" s="4"/>
    </row>
    <row r="1139" spans="15:15" x14ac:dyDescent="0.15">
      <c r="O1139" s="4"/>
    </row>
    <row r="1140" spans="15:15" x14ac:dyDescent="0.15">
      <c r="O1140" s="4"/>
    </row>
    <row r="1141" spans="15:15" x14ac:dyDescent="0.15">
      <c r="O1141" s="4"/>
    </row>
    <row r="1142" spans="15:15" x14ac:dyDescent="0.15">
      <c r="O1142" s="4"/>
    </row>
    <row r="1143" spans="15:15" x14ac:dyDescent="0.15">
      <c r="O1143" s="4"/>
    </row>
    <row r="1144" spans="15:15" x14ac:dyDescent="0.15">
      <c r="O1144" s="4"/>
    </row>
    <row r="1145" spans="15:15" x14ac:dyDescent="0.15">
      <c r="O1145" s="4"/>
    </row>
    <row r="1146" spans="15:15" x14ac:dyDescent="0.15">
      <c r="O1146" s="4"/>
    </row>
    <row r="1147" spans="15:15" x14ac:dyDescent="0.15">
      <c r="O1147" s="4"/>
    </row>
    <row r="1148" spans="15:15" x14ac:dyDescent="0.15">
      <c r="O1148" s="4"/>
    </row>
    <row r="1149" spans="15:15" x14ac:dyDescent="0.15">
      <c r="O1149" s="4"/>
    </row>
    <row r="1150" spans="15:15" x14ac:dyDescent="0.15">
      <c r="O1150" s="4"/>
    </row>
    <row r="1151" spans="15:15" x14ac:dyDescent="0.15">
      <c r="O1151" s="4"/>
    </row>
    <row r="1152" spans="15:15" x14ac:dyDescent="0.15">
      <c r="O1152" s="4"/>
    </row>
    <row r="1153" spans="15:15" x14ac:dyDescent="0.15">
      <c r="O1153" s="4"/>
    </row>
    <row r="1154" spans="15:15" x14ac:dyDescent="0.15">
      <c r="O1154" s="4"/>
    </row>
    <row r="1155" spans="15:15" x14ac:dyDescent="0.15">
      <c r="O1155" s="4"/>
    </row>
    <row r="1156" spans="15:15" x14ac:dyDescent="0.15">
      <c r="O1156" s="4"/>
    </row>
    <row r="1157" spans="15:15" x14ac:dyDescent="0.15">
      <c r="O1157" s="4"/>
    </row>
    <row r="1158" spans="15:15" x14ac:dyDescent="0.15">
      <c r="O1158" s="4"/>
    </row>
    <row r="1159" spans="15:15" x14ac:dyDescent="0.15">
      <c r="O1159" s="4"/>
    </row>
    <row r="1160" spans="15:15" x14ac:dyDescent="0.15">
      <c r="O1160" s="4"/>
    </row>
    <row r="1161" spans="15:15" x14ac:dyDescent="0.15">
      <c r="O1161" s="4"/>
    </row>
    <row r="1162" spans="15:15" x14ac:dyDescent="0.15">
      <c r="O1162" s="4"/>
    </row>
    <row r="1163" spans="15:15" x14ac:dyDescent="0.15">
      <c r="O1163" s="4"/>
    </row>
    <row r="1164" spans="15:15" x14ac:dyDescent="0.15">
      <c r="O1164" s="4"/>
    </row>
    <row r="1165" spans="15:15" x14ac:dyDescent="0.15">
      <c r="O1165" s="4"/>
    </row>
    <row r="1166" spans="15:15" x14ac:dyDescent="0.15">
      <c r="O1166" s="4"/>
    </row>
    <row r="1167" spans="15:15" x14ac:dyDescent="0.15">
      <c r="O1167" s="4"/>
    </row>
    <row r="1168" spans="15:15" x14ac:dyDescent="0.15">
      <c r="O1168" s="4"/>
    </row>
    <row r="1169" spans="15:15" x14ac:dyDescent="0.15">
      <c r="O1169" s="4"/>
    </row>
    <row r="1170" spans="15:15" x14ac:dyDescent="0.15">
      <c r="O1170" s="4"/>
    </row>
    <row r="1171" spans="15:15" x14ac:dyDescent="0.15">
      <c r="O1171" s="4"/>
    </row>
    <row r="1172" spans="15:15" x14ac:dyDescent="0.15">
      <c r="O1172" s="4"/>
    </row>
    <row r="1173" spans="15:15" x14ac:dyDescent="0.15">
      <c r="O1173" s="4"/>
    </row>
    <row r="1174" spans="15:15" x14ac:dyDescent="0.15">
      <c r="O1174" s="4"/>
    </row>
    <row r="1175" spans="15:15" x14ac:dyDescent="0.15">
      <c r="O1175" s="4"/>
    </row>
    <row r="1176" spans="15:15" x14ac:dyDescent="0.15">
      <c r="O1176" s="4"/>
    </row>
    <row r="1177" spans="15:15" x14ac:dyDescent="0.15">
      <c r="O1177" s="4"/>
    </row>
    <row r="1178" spans="15:15" x14ac:dyDescent="0.15">
      <c r="O1178" s="4"/>
    </row>
    <row r="1179" spans="15:15" x14ac:dyDescent="0.15">
      <c r="O1179" s="4"/>
    </row>
    <row r="1180" spans="15:15" x14ac:dyDescent="0.15">
      <c r="O1180" s="4"/>
    </row>
    <row r="1181" spans="15:15" x14ac:dyDescent="0.15">
      <c r="O1181" s="4"/>
    </row>
    <row r="1182" spans="15:15" x14ac:dyDescent="0.15">
      <c r="O1182" s="4"/>
    </row>
    <row r="1183" spans="15:15" x14ac:dyDescent="0.15">
      <c r="O1183" s="4"/>
    </row>
    <row r="1184" spans="15:15" x14ac:dyDescent="0.15">
      <c r="O1184" s="4"/>
    </row>
    <row r="1185" spans="15:15" x14ac:dyDescent="0.15">
      <c r="O1185" s="4"/>
    </row>
    <row r="1186" spans="15:15" x14ac:dyDescent="0.15">
      <c r="O1186" s="4"/>
    </row>
    <row r="1187" spans="15:15" x14ac:dyDescent="0.15">
      <c r="O1187" s="4"/>
    </row>
    <row r="1188" spans="15:15" x14ac:dyDescent="0.15">
      <c r="O1188" s="4"/>
    </row>
    <row r="1189" spans="15:15" x14ac:dyDescent="0.15">
      <c r="O1189" s="4"/>
    </row>
    <row r="1190" spans="15:15" x14ac:dyDescent="0.15">
      <c r="O1190" s="4"/>
    </row>
    <row r="1191" spans="15:15" x14ac:dyDescent="0.15">
      <c r="O1191" s="4"/>
    </row>
    <row r="1192" spans="15:15" x14ac:dyDescent="0.15">
      <c r="O1192" s="4"/>
    </row>
    <row r="1193" spans="15:15" x14ac:dyDescent="0.15">
      <c r="O1193" s="4"/>
    </row>
    <row r="1194" spans="15:15" x14ac:dyDescent="0.15">
      <c r="O1194" s="4"/>
    </row>
    <row r="1195" spans="15:15" x14ac:dyDescent="0.15">
      <c r="O1195" s="4"/>
    </row>
    <row r="1196" spans="15:15" x14ac:dyDescent="0.15">
      <c r="O1196" s="4"/>
    </row>
    <row r="1197" spans="15:15" x14ac:dyDescent="0.15">
      <c r="O1197" s="4"/>
    </row>
    <row r="1198" spans="15:15" x14ac:dyDescent="0.15">
      <c r="O1198" s="4"/>
    </row>
    <row r="1199" spans="15:15" x14ac:dyDescent="0.15">
      <c r="O1199" s="4"/>
    </row>
    <row r="1200" spans="15:15" x14ac:dyDescent="0.15">
      <c r="O1200" s="4"/>
    </row>
    <row r="1201" spans="15:15" x14ac:dyDescent="0.15">
      <c r="O1201" s="4"/>
    </row>
    <row r="1202" spans="15:15" x14ac:dyDescent="0.15">
      <c r="O1202" s="4"/>
    </row>
    <row r="1203" spans="15:15" x14ac:dyDescent="0.15">
      <c r="O1203" s="4"/>
    </row>
    <row r="1204" spans="15:15" x14ac:dyDescent="0.15">
      <c r="O1204" s="4"/>
    </row>
    <row r="1205" spans="15:15" x14ac:dyDescent="0.15">
      <c r="O1205" s="4"/>
    </row>
    <row r="1206" spans="15:15" x14ac:dyDescent="0.15">
      <c r="O1206" s="4"/>
    </row>
    <row r="1207" spans="15:15" x14ac:dyDescent="0.15">
      <c r="O1207" s="4"/>
    </row>
    <row r="1208" spans="15:15" x14ac:dyDescent="0.15">
      <c r="O1208" s="4"/>
    </row>
    <row r="1209" spans="15:15" x14ac:dyDescent="0.15">
      <c r="O1209" s="4"/>
    </row>
    <row r="1210" spans="15:15" x14ac:dyDescent="0.15">
      <c r="O1210" s="4"/>
    </row>
    <row r="1211" spans="15:15" x14ac:dyDescent="0.15">
      <c r="O1211" s="4"/>
    </row>
    <row r="1212" spans="15:15" x14ac:dyDescent="0.15">
      <c r="O1212" s="4"/>
    </row>
    <row r="1213" spans="15:15" x14ac:dyDescent="0.15">
      <c r="O1213" s="4"/>
    </row>
    <row r="1214" spans="15:15" x14ac:dyDescent="0.15">
      <c r="O1214" s="4"/>
    </row>
    <row r="1215" spans="15:15" x14ac:dyDescent="0.15">
      <c r="O1215" s="4"/>
    </row>
    <row r="1216" spans="15:15" x14ac:dyDescent="0.15">
      <c r="O1216" s="4"/>
    </row>
    <row r="1217" spans="15:15" x14ac:dyDescent="0.15">
      <c r="O1217" s="4"/>
    </row>
    <row r="1218" spans="15:15" x14ac:dyDescent="0.15">
      <c r="O1218" s="4"/>
    </row>
    <row r="1219" spans="15:15" x14ac:dyDescent="0.15">
      <c r="O1219" s="4"/>
    </row>
    <row r="1220" spans="15:15" x14ac:dyDescent="0.15">
      <c r="O1220" s="4"/>
    </row>
    <row r="1221" spans="15:15" x14ac:dyDescent="0.15">
      <c r="O1221" s="4"/>
    </row>
    <row r="1222" spans="15:15" x14ac:dyDescent="0.15">
      <c r="O1222" s="4"/>
    </row>
    <row r="1223" spans="15:15" x14ac:dyDescent="0.15">
      <c r="O1223" s="4"/>
    </row>
    <row r="1224" spans="15:15" x14ac:dyDescent="0.15">
      <c r="O1224" s="4"/>
    </row>
    <row r="1225" spans="15:15" x14ac:dyDescent="0.15">
      <c r="O1225" s="4"/>
    </row>
    <row r="1226" spans="15:15" x14ac:dyDescent="0.15">
      <c r="O1226" s="4"/>
    </row>
    <row r="1227" spans="15:15" x14ac:dyDescent="0.15">
      <c r="O1227" s="4"/>
    </row>
    <row r="1228" spans="15:15" x14ac:dyDescent="0.15">
      <c r="O1228" s="4"/>
    </row>
    <row r="1229" spans="15:15" x14ac:dyDescent="0.15">
      <c r="O1229" s="4"/>
    </row>
    <row r="1230" spans="15:15" x14ac:dyDescent="0.15">
      <c r="O1230" s="4"/>
    </row>
    <row r="1231" spans="15:15" x14ac:dyDescent="0.15">
      <c r="O1231" s="4"/>
    </row>
    <row r="1232" spans="15:15" x14ac:dyDescent="0.15">
      <c r="O1232" s="4"/>
    </row>
    <row r="1233" spans="15:15" x14ac:dyDescent="0.15">
      <c r="O1233" s="4"/>
    </row>
    <row r="1234" spans="15:15" x14ac:dyDescent="0.15">
      <c r="O1234" s="4"/>
    </row>
    <row r="1235" spans="15:15" x14ac:dyDescent="0.15">
      <c r="O1235" s="4"/>
    </row>
    <row r="1236" spans="15:15" x14ac:dyDescent="0.15">
      <c r="O1236" s="4"/>
    </row>
    <row r="1237" spans="15:15" x14ac:dyDescent="0.15">
      <c r="O1237" s="4"/>
    </row>
    <row r="1238" spans="15:15" x14ac:dyDescent="0.15">
      <c r="O1238" s="4"/>
    </row>
    <row r="1239" spans="15:15" x14ac:dyDescent="0.15">
      <c r="O1239" s="4"/>
    </row>
    <row r="1240" spans="15:15" x14ac:dyDescent="0.15">
      <c r="O1240" s="4"/>
    </row>
    <row r="1241" spans="15:15" x14ac:dyDescent="0.15">
      <c r="O1241" s="4"/>
    </row>
    <row r="1242" spans="15:15" x14ac:dyDescent="0.15">
      <c r="O1242" s="4"/>
    </row>
    <row r="1243" spans="15:15" x14ac:dyDescent="0.15">
      <c r="O1243" s="4"/>
    </row>
    <row r="1244" spans="15:15" x14ac:dyDescent="0.15">
      <c r="O1244" s="4"/>
    </row>
    <row r="1245" spans="15:15" x14ac:dyDescent="0.15">
      <c r="O1245" s="4"/>
    </row>
    <row r="1246" spans="15:15" x14ac:dyDescent="0.15">
      <c r="O1246" s="4"/>
    </row>
    <row r="1247" spans="15:15" x14ac:dyDescent="0.15">
      <c r="O1247" s="4"/>
    </row>
    <row r="1248" spans="15:15" x14ac:dyDescent="0.15">
      <c r="O1248" s="4"/>
    </row>
    <row r="1249" spans="15:15" x14ac:dyDescent="0.15">
      <c r="O1249" s="4"/>
    </row>
    <row r="1250" spans="15:15" x14ac:dyDescent="0.15">
      <c r="O1250" s="4"/>
    </row>
    <row r="1251" spans="15:15" x14ac:dyDescent="0.15">
      <c r="O1251" s="4"/>
    </row>
    <row r="1252" spans="15:15" x14ac:dyDescent="0.15">
      <c r="O1252" s="4"/>
    </row>
    <row r="1253" spans="15:15" x14ac:dyDescent="0.15">
      <c r="O1253" s="4"/>
    </row>
    <row r="1254" spans="15:15" x14ac:dyDescent="0.15">
      <c r="O1254" s="4"/>
    </row>
    <row r="1255" spans="15:15" x14ac:dyDescent="0.15">
      <c r="O1255" s="4"/>
    </row>
    <row r="1256" spans="15:15" x14ac:dyDescent="0.15">
      <c r="O1256" s="4"/>
    </row>
    <row r="1257" spans="15:15" x14ac:dyDescent="0.15">
      <c r="O1257" s="4"/>
    </row>
    <row r="1258" spans="15:15" x14ac:dyDescent="0.15">
      <c r="O1258" s="4"/>
    </row>
    <row r="1259" spans="15:15" x14ac:dyDescent="0.15">
      <c r="O1259" s="4"/>
    </row>
    <row r="1260" spans="15:15" x14ac:dyDescent="0.15">
      <c r="O1260" s="4"/>
    </row>
    <row r="1261" spans="15:15" x14ac:dyDescent="0.15">
      <c r="O1261" s="4"/>
    </row>
    <row r="1262" spans="15:15" x14ac:dyDescent="0.15">
      <c r="O1262" s="4"/>
    </row>
    <row r="1263" spans="15:15" x14ac:dyDescent="0.15">
      <c r="O1263" s="4"/>
    </row>
    <row r="1264" spans="15:15" x14ac:dyDescent="0.15">
      <c r="O1264" s="4"/>
    </row>
    <row r="1265" spans="15:15" x14ac:dyDescent="0.15">
      <c r="O1265" s="4"/>
    </row>
    <row r="1266" spans="15:15" x14ac:dyDescent="0.15">
      <c r="O1266" s="4"/>
    </row>
    <row r="1267" spans="15:15" x14ac:dyDescent="0.15">
      <c r="O1267" s="4"/>
    </row>
    <row r="1268" spans="15:15" x14ac:dyDescent="0.15">
      <c r="O1268" s="4"/>
    </row>
    <row r="1269" spans="15:15" x14ac:dyDescent="0.15">
      <c r="O1269" s="4"/>
    </row>
    <row r="1270" spans="15:15" x14ac:dyDescent="0.15">
      <c r="O1270" s="4"/>
    </row>
    <row r="1271" spans="15:15" x14ac:dyDescent="0.15">
      <c r="O1271" s="4"/>
    </row>
    <row r="1272" spans="15:15" x14ac:dyDescent="0.15">
      <c r="O1272" s="4"/>
    </row>
    <row r="1273" spans="15:15" x14ac:dyDescent="0.15">
      <c r="O1273" s="4"/>
    </row>
    <row r="1274" spans="15:15" x14ac:dyDescent="0.15">
      <c r="O1274" s="4"/>
    </row>
    <row r="1275" spans="15:15" x14ac:dyDescent="0.15">
      <c r="O1275" s="4"/>
    </row>
    <row r="1276" spans="15:15" x14ac:dyDescent="0.15">
      <c r="O1276" s="4"/>
    </row>
    <row r="1277" spans="15:15" x14ac:dyDescent="0.15">
      <c r="O1277" s="4"/>
    </row>
    <row r="1278" spans="15:15" x14ac:dyDescent="0.15">
      <c r="O1278" s="4"/>
    </row>
    <row r="1279" spans="15:15" x14ac:dyDescent="0.15">
      <c r="O1279" s="4"/>
    </row>
    <row r="1280" spans="15:15" x14ac:dyDescent="0.15">
      <c r="O1280" s="4"/>
    </row>
    <row r="1281" spans="15:15" x14ac:dyDescent="0.15">
      <c r="O1281" s="4"/>
    </row>
    <row r="1282" spans="15:15" x14ac:dyDescent="0.15">
      <c r="O1282" s="4"/>
    </row>
    <row r="1283" spans="15:15" x14ac:dyDescent="0.15">
      <c r="O1283" s="4"/>
    </row>
    <row r="1284" spans="15:15" x14ac:dyDescent="0.15">
      <c r="O1284" s="4"/>
    </row>
    <row r="1285" spans="15:15" x14ac:dyDescent="0.15">
      <c r="O1285" s="4"/>
    </row>
    <row r="1286" spans="15:15" x14ac:dyDescent="0.15">
      <c r="O1286" s="4"/>
    </row>
    <row r="1287" spans="15:15" x14ac:dyDescent="0.15">
      <c r="O1287" s="4"/>
    </row>
    <row r="1288" spans="15:15" x14ac:dyDescent="0.15">
      <c r="O1288" s="4"/>
    </row>
    <row r="1289" spans="15:15" x14ac:dyDescent="0.15">
      <c r="O1289" s="4"/>
    </row>
    <row r="1290" spans="15:15" x14ac:dyDescent="0.15">
      <c r="O1290" s="4"/>
    </row>
    <row r="1291" spans="15:15" x14ac:dyDescent="0.15">
      <c r="O1291" s="4"/>
    </row>
    <row r="1292" spans="15:15" x14ac:dyDescent="0.15">
      <c r="O1292" s="4"/>
    </row>
    <row r="1293" spans="15:15" x14ac:dyDescent="0.15">
      <c r="O1293" s="4"/>
    </row>
    <row r="1294" spans="15:15" x14ac:dyDescent="0.15">
      <c r="O1294" s="4"/>
    </row>
    <row r="1295" spans="15:15" x14ac:dyDescent="0.15">
      <c r="O1295" s="4"/>
    </row>
    <row r="1296" spans="15:15" x14ac:dyDescent="0.15">
      <c r="O1296" s="4"/>
    </row>
    <row r="1297" spans="15:15" x14ac:dyDescent="0.15">
      <c r="O1297" s="4"/>
    </row>
    <row r="1298" spans="15:15" x14ac:dyDescent="0.15">
      <c r="O1298" s="4"/>
    </row>
    <row r="1299" spans="15:15" x14ac:dyDescent="0.15">
      <c r="O1299" s="4"/>
    </row>
    <row r="1300" spans="15:15" x14ac:dyDescent="0.15">
      <c r="O1300" s="4"/>
    </row>
    <row r="1301" spans="15:15" x14ac:dyDescent="0.15">
      <c r="O1301" s="4"/>
    </row>
    <row r="1302" spans="15:15" x14ac:dyDescent="0.15">
      <c r="O1302" s="4"/>
    </row>
    <row r="1303" spans="15:15" x14ac:dyDescent="0.15">
      <c r="O1303" s="4"/>
    </row>
    <row r="1304" spans="15:15" x14ac:dyDescent="0.15">
      <c r="O1304" s="4"/>
    </row>
    <row r="1305" spans="15:15" x14ac:dyDescent="0.15">
      <c r="O1305" s="4"/>
    </row>
    <row r="1306" spans="15:15" x14ac:dyDescent="0.15">
      <c r="O1306" s="4"/>
    </row>
    <row r="1307" spans="15:15" x14ac:dyDescent="0.15">
      <c r="O1307" s="4"/>
    </row>
    <row r="1308" spans="15:15" x14ac:dyDescent="0.15">
      <c r="O1308" s="4"/>
    </row>
    <row r="1309" spans="15:15" x14ac:dyDescent="0.15">
      <c r="O1309" s="4"/>
    </row>
    <row r="1310" spans="15:15" x14ac:dyDescent="0.15">
      <c r="O1310" s="4"/>
    </row>
    <row r="1311" spans="15:15" x14ac:dyDescent="0.15">
      <c r="O1311" s="4"/>
    </row>
    <row r="1312" spans="15:15" x14ac:dyDescent="0.15">
      <c r="O1312" s="4"/>
    </row>
    <row r="1313" spans="15:15" x14ac:dyDescent="0.15">
      <c r="O1313" s="4"/>
    </row>
    <row r="1314" spans="15:15" x14ac:dyDescent="0.15">
      <c r="O1314" s="4"/>
    </row>
    <row r="1315" spans="15:15" x14ac:dyDescent="0.15">
      <c r="O1315" s="4"/>
    </row>
    <row r="1316" spans="15:15" x14ac:dyDescent="0.15">
      <c r="O1316" s="4"/>
    </row>
    <row r="1317" spans="15:15" x14ac:dyDescent="0.15">
      <c r="O1317" s="4"/>
    </row>
    <row r="1318" spans="15:15" x14ac:dyDescent="0.15">
      <c r="O1318" s="4"/>
    </row>
    <row r="1319" spans="15:15" x14ac:dyDescent="0.15">
      <c r="O1319" s="4"/>
    </row>
    <row r="1320" spans="15:15" x14ac:dyDescent="0.15">
      <c r="O1320" s="4"/>
    </row>
    <row r="1321" spans="15:15" x14ac:dyDescent="0.15">
      <c r="O1321" s="4"/>
    </row>
    <row r="1322" spans="15:15" x14ac:dyDescent="0.15">
      <c r="O1322" s="4"/>
    </row>
    <row r="1323" spans="15:15" x14ac:dyDescent="0.15">
      <c r="O1323" s="4"/>
    </row>
    <row r="1324" spans="15:15" x14ac:dyDescent="0.15">
      <c r="O1324" s="4"/>
    </row>
    <row r="1325" spans="15:15" x14ac:dyDescent="0.15">
      <c r="O1325" s="4"/>
    </row>
    <row r="1326" spans="15:15" x14ac:dyDescent="0.15">
      <c r="O1326" s="4"/>
    </row>
    <row r="1327" spans="15:15" x14ac:dyDescent="0.15">
      <c r="O1327" s="4"/>
    </row>
    <row r="1328" spans="15:15" x14ac:dyDescent="0.15">
      <c r="O1328" s="4"/>
    </row>
    <row r="1329" spans="15:15" x14ac:dyDescent="0.15">
      <c r="O1329" s="4"/>
    </row>
    <row r="1330" spans="15:15" x14ac:dyDescent="0.15">
      <c r="O1330" s="4"/>
    </row>
    <row r="1331" spans="15:15" x14ac:dyDescent="0.15">
      <c r="O1331" s="4"/>
    </row>
    <row r="1332" spans="15:15" x14ac:dyDescent="0.15">
      <c r="O1332" s="4"/>
    </row>
    <row r="1333" spans="15:15" x14ac:dyDescent="0.15">
      <c r="O1333" s="4"/>
    </row>
    <row r="1334" spans="15:15" x14ac:dyDescent="0.15">
      <c r="O1334" s="4"/>
    </row>
    <row r="1335" spans="15:15" x14ac:dyDescent="0.15">
      <c r="O1335" s="4"/>
    </row>
    <row r="1336" spans="15:15" x14ac:dyDescent="0.15">
      <c r="O1336" s="4"/>
    </row>
    <row r="1337" spans="15:15" x14ac:dyDescent="0.15">
      <c r="O1337" s="4"/>
    </row>
    <row r="1338" spans="15:15" x14ac:dyDescent="0.15">
      <c r="O1338" s="4"/>
    </row>
    <row r="1339" spans="15:15" x14ac:dyDescent="0.15">
      <c r="O1339" s="4"/>
    </row>
    <row r="1340" spans="15:15" x14ac:dyDescent="0.15">
      <c r="O1340" s="4"/>
    </row>
    <row r="1341" spans="15:15" x14ac:dyDescent="0.15">
      <c r="O1341" s="4"/>
    </row>
    <row r="1342" spans="15:15" x14ac:dyDescent="0.15">
      <c r="O1342" s="4"/>
    </row>
    <row r="1343" spans="15:15" x14ac:dyDescent="0.15">
      <c r="O1343" s="4"/>
    </row>
    <row r="1344" spans="15:15" x14ac:dyDescent="0.15">
      <c r="O1344" s="4"/>
    </row>
    <row r="1345" spans="15:15" x14ac:dyDescent="0.15">
      <c r="O1345" s="4"/>
    </row>
    <row r="1346" spans="15:15" x14ac:dyDescent="0.15">
      <c r="O1346" s="4"/>
    </row>
    <row r="1347" spans="15:15" x14ac:dyDescent="0.15">
      <c r="O1347" s="4"/>
    </row>
    <row r="1348" spans="15:15" x14ac:dyDescent="0.15">
      <c r="O1348" s="4"/>
    </row>
    <row r="1349" spans="15:15" x14ac:dyDescent="0.15">
      <c r="O1349" s="4"/>
    </row>
    <row r="1350" spans="15:15" x14ac:dyDescent="0.15">
      <c r="O1350" s="4"/>
    </row>
    <row r="1351" spans="15:15" x14ac:dyDescent="0.15">
      <c r="O1351" s="4"/>
    </row>
    <row r="1352" spans="15:15" x14ac:dyDescent="0.15">
      <c r="O1352" s="4"/>
    </row>
    <row r="1353" spans="15:15" x14ac:dyDescent="0.15">
      <c r="O1353" s="4"/>
    </row>
    <row r="1354" spans="15:15" x14ac:dyDescent="0.15">
      <c r="O1354" s="4"/>
    </row>
    <row r="1355" spans="15:15" x14ac:dyDescent="0.15">
      <c r="O1355" s="4"/>
    </row>
    <row r="1356" spans="15:15" x14ac:dyDescent="0.15">
      <c r="O1356" s="4"/>
    </row>
    <row r="1357" spans="15:15" x14ac:dyDescent="0.15">
      <c r="O1357" s="4"/>
    </row>
    <row r="1358" spans="15:15" x14ac:dyDescent="0.15">
      <c r="O1358" s="4"/>
    </row>
    <row r="1359" spans="15:15" x14ac:dyDescent="0.15">
      <c r="O1359" s="4"/>
    </row>
    <row r="1360" spans="15:15" x14ac:dyDescent="0.15">
      <c r="O1360" s="4"/>
    </row>
    <row r="1361" spans="15:15" x14ac:dyDescent="0.15">
      <c r="O1361" s="4"/>
    </row>
    <row r="1362" spans="15:15" x14ac:dyDescent="0.15">
      <c r="O1362" s="4"/>
    </row>
    <row r="1363" spans="15:15" x14ac:dyDescent="0.15">
      <c r="O1363" s="4"/>
    </row>
    <row r="1364" spans="15:15" x14ac:dyDescent="0.15">
      <c r="O1364" s="4"/>
    </row>
    <row r="1365" spans="15:15" x14ac:dyDescent="0.15">
      <c r="O1365" s="4"/>
    </row>
    <row r="1366" spans="15:15" x14ac:dyDescent="0.15">
      <c r="O1366" s="4"/>
    </row>
    <row r="1367" spans="15:15" x14ac:dyDescent="0.15">
      <c r="O1367" s="4"/>
    </row>
    <row r="1368" spans="15:15" x14ac:dyDescent="0.15">
      <c r="O1368" s="4"/>
    </row>
    <row r="1369" spans="15:15" x14ac:dyDescent="0.15">
      <c r="O1369" s="4"/>
    </row>
    <row r="1370" spans="15:15" x14ac:dyDescent="0.15">
      <c r="O1370" s="4"/>
    </row>
    <row r="1371" spans="15:15" x14ac:dyDescent="0.15">
      <c r="O1371" s="4"/>
    </row>
    <row r="1372" spans="15:15" x14ac:dyDescent="0.15">
      <c r="O1372" s="4"/>
    </row>
    <row r="1373" spans="15:15" x14ac:dyDescent="0.15">
      <c r="O1373" s="4"/>
    </row>
    <row r="1374" spans="15:15" x14ac:dyDescent="0.15">
      <c r="O1374" s="4"/>
    </row>
    <row r="1375" spans="15:15" x14ac:dyDescent="0.15">
      <c r="O1375" s="4"/>
    </row>
    <row r="1376" spans="15:15" x14ac:dyDescent="0.15">
      <c r="O1376" s="4"/>
    </row>
    <row r="1377" spans="15:15" x14ac:dyDescent="0.15">
      <c r="O1377" s="4"/>
    </row>
    <row r="1378" spans="15:15" x14ac:dyDescent="0.15">
      <c r="O1378" s="4"/>
    </row>
    <row r="1379" spans="15:15" x14ac:dyDescent="0.15">
      <c r="O1379" s="4"/>
    </row>
    <row r="1380" spans="15:15" x14ac:dyDescent="0.15">
      <c r="O1380" s="4"/>
    </row>
    <row r="1381" spans="15:15" x14ac:dyDescent="0.15">
      <c r="O1381" s="4"/>
    </row>
    <row r="1382" spans="15:15" x14ac:dyDescent="0.15">
      <c r="O1382" s="4"/>
    </row>
    <row r="1383" spans="15:15" x14ac:dyDescent="0.15">
      <c r="O1383" s="4"/>
    </row>
    <row r="1384" spans="15:15" x14ac:dyDescent="0.15">
      <c r="O1384" s="4"/>
    </row>
    <row r="1385" spans="15:15" x14ac:dyDescent="0.15">
      <c r="O1385" s="4"/>
    </row>
    <row r="1386" spans="15:15" x14ac:dyDescent="0.15">
      <c r="O1386" s="4"/>
    </row>
    <row r="1387" spans="15:15" x14ac:dyDescent="0.15">
      <c r="O1387" s="4"/>
    </row>
    <row r="1388" spans="15:15" x14ac:dyDescent="0.15">
      <c r="O1388" s="4"/>
    </row>
    <row r="1389" spans="15:15" x14ac:dyDescent="0.15">
      <c r="O1389" s="4"/>
    </row>
    <row r="1390" spans="15:15" x14ac:dyDescent="0.15">
      <c r="O1390" s="4"/>
    </row>
    <row r="1391" spans="15:15" x14ac:dyDescent="0.15">
      <c r="O1391" s="4"/>
    </row>
    <row r="1392" spans="15:15" x14ac:dyDescent="0.15">
      <c r="O1392" s="4"/>
    </row>
    <row r="1393" spans="15:15" x14ac:dyDescent="0.15">
      <c r="O1393" s="4"/>
    </row>
    <row r="1394" spans="15:15" x14ac:dyDescent="0.15">
      <c r="O1394" s="4"/>
    </row>
    <row r="1395" spans="15:15" x14ac:dyDescent="0.15">
      <c r="O1395" s="4"/>
    </row>
    <row r="1396" spans="15:15" x14ac:dyDescent="0.15">
      <c r="O1396" s="4"/>
    </row>
    <row r="1397" spans="15:15" x14ac:dyDescent="0.15">
      <c r="O1397" s="4"/>
    </row>
    <row r="1398" spans="15:15" x14ac:dyDescent="0.15">
      <c r="O1398" s="4"/>
    </row>
    <row r="1399" spans="15:15" x14ac:dyDescent="0.15">
      <c r="O1399" s="4"/>
    </row>
    <row r="1400" spans="15:15" x14ac:dyDescent="0.15">
      <c r="O1400" s="4"/>
    </row>
    <row r="1401" spans="15:15" x14ac:dyDescent="0.15">
      <c r="O1401" s="4"/>
    </row>
    <row r="1402" spans="15:15" x14ac:dyDescent="0.15">
      <c r="O1402" s="4"/>
    </row>
    <row r="1403" spans="15:15" x14ac:dyDescent="0.15">
      <c r="O1403" s="4"/>
    </row>
    <row r="1404" spans="15:15" x14ac:dyDescent="0.15">
      <c r="O1404" s="4"/>
    </row>
    <row r="1405" spans="15:15" x14ac:dyDescent="0.15">
      <c r="O1405" s="4"/>
    </row>
    <row r="1406" spans="15:15" x14ac:dyDescent="0.15">
      <c r="O1406" s="4"/>
    </row>
    <row r="1407" spans="15:15" x14ac:dyDescent="0.15">
      <c r="O1407" s="4"/>
    </row>
    <row r="1408" spans="15:15" x14ac:dyDescent="0.15">
      <c r="O1408" s="4"/>
    </row>
    <row r="1409" spans="15:15" x14ac:dyDescent="0.15">
      <c r="O1409" s="4"/>
    </row>
    <row r="1410" spans="15:15" x14ac:dyDescent="0.15">
      <c r="O1410" s="4"/>
    </row>
    <row r="1411" spans="15:15" x14ac:dyDescent="0.15">
      <c r="O1411" s="4"/>
    </row>
    <row r="1412" spans="15:15" x14ac:dyDescent="0.15">
      <c r="O1412" s="4"/>
    </row>
    <row r="1413" spans="15:15" x14ac:dyDescent="0.15">
      <c r="O1413" s="4"/>
    </row>
    <row r="1414" spans="15:15" x14ac:dyDescent="0.15">
      <c r="O1414" s="4"/>
    </row>
    <row r="1415" spans="15:15" x14ac:dyDescent="0.15">
      <c r="O1415" s="4"/>
    </row>
    <row r="1416" spans="15:15" x14ac:dyDescent="0.15">
      <c r="O1416" s="4"/>
    </row>
    <row r="1417" spans="15:15" x14ac:dyDescent="0.15">
      <c r="O1417" s="4"/>
    </row>
    <row r="1418" spans="15:15" x14ac:dyDescent="0.15">
      <c r="O1418" s="4"/>
    </row>
    <row r="1419" spans="15:15" x14ac:dyDescent="0.15">
      <c r="O1419" s="4"/>
    </row>
    <row r="1420" spans="15:15" x14ac:dyDescent="0.15">
      <c r="O1420" s="4"/>
    </row>
    <row r="1421" spans="15:15" x14ac:dyDescent="0.15">
      <c r="O1421" s="4"/>
    </row>
    <row r="1422" spans="15:15" x14ac:dyDescent="0.15">
      <c r="O1422" s="4"/>
    </row>
    <row r="1423" spans="15:15" x14ac:dyDescent="0.15">
      <c r="O1423" s="4"/>
    </row>
    <row r="1424" spans="15:15" x14ac:dyDescent="0.15">
      <c r="O1424" s="4"/>
    </row>
    <row r="1425" spans="15:15" x14ac:dyDescent="0.15">
      <c r="O1425" s="4"/>
    </row>
    <row r="1426" spans="15:15" x14ac:dyDescent="0.15">
      <c r="O1426" s="4"/>
    </row>
    <row r="1427" spans="15:15" x14ac:dyDescent="0.15">
      <c r="O1427" s="4"/>
    </row>
    <row r="1428" spans="15:15" x14ac:dyDescent="0.15">
      <c r="O1428" s="4"/>
    </row>
    <row r="1429" spans="15:15" x14ac:dyDescent="0.15">
      <c r="O1429" s="4"/>
    </row>
    <row r="1430" spans="15:15" x14ac:dyDescent="0.15">
      <c r="O1430" s="4"/>
    </row>
    <row r="1431" spans="15:15" x14ac:dyDescent="0.15">
      <c r="O1431" s="4"/>
    </row>
    <row r="1432" spans="15:15" x14ac:dyDescent="0.15">
      <c r="O1432" s="4"/>
    </row>
    <row r="1433" spans="15:15" x14ac:dyDescent="0.15">
      <c r="O1433" s="4"/>
    </row>
    <row r="1434" spans="15:15" x14ac:dyDescent="0.15">
      <c r="O1434" s="4"/>
    </row>
    <row r="1435" spans="15:15" x14ac:dyDescent="0.15">
      <c r="O1435" s="4"/>
    </row>
    <row r="1436" spans="15:15" x14ac:dyDescent="0.15">
      <c r="O1436" s="4"/>
    </row>
    <row r="1437" spans="15:15" x14ac:dyDescent="0.15">
      <c r="O1437" s="4"/>
    </row>
    <row r="1438" spans="15:15" x14ac:dyDescent="0.15">
      <c r="O1438" s="4"/>
    </row>
    <row r="1439" spans="15:15" x14ac:dyDescent="0.15">
      <c r="O1439" s="4"/>
    </row>
    <row r="1440" spans="15:15" x14ac:dyDescent="0.15">
      <c r="O1440" s="4"/>
    </row>
    <row r="1441" spans="15:15" x14ac:dyDescent="0.15">
      <c r="O1441" s="4"/>
    </row>
    <row r="1442" spans="15:15" x14ac:dyDescent="0.15">
      <c r="O1442" s="4"/>
    </row>
    <row r="1443" spans="15:15" x14ac:dyDescent="0.15">
      <c r="O1443" s="4"/>
    </row>
    <row r="1444" spans="15:15" x14ac:dyDescent="0.15">
      <c r="O1444" s="4"/>
    </row>
    <row r="1445" spans="15:15" x14ac:dyDescent="0.15">
      <c r="O1445" s="4"/>
    </row>
    <row r="1446" spans="15:15" x14ac:dyDescent="0.15">
      <c r="O1446" s="4"/>
    </row>
    <row r="1447" spans="15:15" x14ac:dyDescent="0.15">
      <c r="O1447" s="4"/>
    </row>
    <row r="1448" spans="15:15" x14ac:dyDescent="0.15">
      <c r="O1448" s="4"/>
    </row>
    <row r="1449" spans="15:15" x14ac:dyDescent="0.15">
      <c r="O1449" s="4"/>
    </row>
    <row r="1450" spans="15:15" x14ac:dyDescent="0.15">
      <c r="O1450" s="4"/>
    </row>
    <row r="1451" spans="15:15" x14ac:dyDescent="0.15">
      <c r="O1451" s="4"/>
    </row>
    <row r="1452" spans="15:15" x14ac:dyDescent="0.15">
      <c r="O1452" s="4"/>
    </row>
    <row r="1453" spans="15:15" x14ac:dyDescent="0.15">
      <c r="O1453" s="4"/>
    </row>
    <row r="1454" spans="15:15" x14ac:dyDescent="0.15">
      <c r="O1454" s="4"/>
    </row>
    <row r="1455" spans="15:15" x14ac:dyDescent="0.15">
      <c r="O1455" s="4"/>
    </row>
    <row r="1456" spans="15:15" x14ac:dyDescent="0.15">
      <c r="O1456" s="4"/>
    </row>
    <row r="1457" spans="15:15" x14ac:dyDescent="0.15">
      <c r="O1457" s="4"/>
    </row>
    <row r="1458" spans="15:15" x14ac:dyDescent="0.15">
      <c r="O1458" s="4"/>
    </row>
    <row r="1459" spans="15:15" x14ac:dyDescent="0.15">
      <c r="O1459" s="4"/>
    </row>
    <row r="1460" spans="15:15" x14ac:dyDescent="0.15">
      <c r="O1460" s="4"/>
    </row>
    <row r="1461" spans="15:15" x14ac:dyDescent="0.15">
      <c r="O1461" s="4"/>
    </row>
    <row r="1462" spans="15:15" x14ac:dyDescent="0.15">
      <c r="O1462" s="4"/>
    </row>
    <row r="1463" spans="15:15" x14ac:dyDescent="0.15">
      <c r="O1463" s="4"/>
    </row>
    <row r="1464" spans="15:15" x14ac:dyDescent="0.15">
      <c r="O1464" s="4"/>
    </row>
    <row r="1465" spans="15:15" x14ac:dyDescent="0.15">
      <c r="O1465" s="4"/>
    </row>
    <row r="1466" spans="15:15" x14ac:dyDescent="0.15">
      <c r="O1466" s="4"/>
    </row>
    <row r="1467" spans="15:15" x14ac:dyDescent="0.15">
      <c r="O1467" s="4"/>
    </row>
    <row r="1468" spans="15:15" x14ac:dyDescent="0.15">
      <c r="O1468" s="4"/>
    </row>
    <row r="1469" spans="15:15" x14ac:dyDescent="0.15">
      <c r="O1469" s="4"/>
    </row>
    <row r="1470" spans="15:15" x14ac:dyDescent="0.15">
      <c r="O1470" s="4"/>
    </row>
    <row r="1471" spans="15:15" x14ac:dyDescent="0.15">
      <c r="O1471" s="4"/>
    </row>
    <row r="1472" spans="15:15" x14ac:dyDescent="0.15">
      <c r="O1472" s="4"/>
    </row>
    <row r="1473" spans="15:15" x14ac:dyDescent="0.15">
      <c r="O1473" s="4"/>
    </row>
    <row r="1474" spans="15:15" x14ac:dyDescent="0.15">
      <c r="O1474" s="4"/>
    </row>
    <row r="1475" spans="15:15" x14ac:dyDescent="0.15">
      <c r="O1475" s="4"/>
    </row>
    <row r="1476" spans="15:15" x14ac:dyDescent="0.15">
      <c r="O1476" s="4"/>
    </row>
    <row r="1477" spans="15:15" x14ac:dyDescent="0.15">
      <c r="O1477" s="4"/>
    </row>
    <row r="1478" spans="15:15" x14ac:dyDescent="0.15">
      <c r="O1478" s="4"/>
    </row>
    <row r="1479" spans="15:15" x14ac:dyDescent="0.15">
      <c r="O1479" s="4"/>
    </row>
    <row r="1480" spans="15:15" x14ac:dyDescent="0.15">
      <c r="O1480" s="4"/>
    </row>
    <row r="1481" spans="15:15" x14ac:dyDescent="0.15">
      <c r="O1481" s="4"/>
    </row>
    <row r="1482" spans="15:15" x14ac:dyDescent="0.15">
      <c r="O1482" s="4"/>
    </row>
    <row r="1483" spans="15:15" x14ac:dyDescent="0.15">
      <c r="O1483" s="4"/>
    </row>
    <row r="1484" spans="15:15" x14ac:dyDescent="0.15">
      <c r="O1484" s="4"/>
    </row>
    <row r="1485" spans="15:15" x14ac:dyDescent="0.15">
      <c r="O1485" s="4"/>
    </row>
    <row r="1486" spans="15:15" x14ac:dyDescent="0.15">
      <c r="O1486" s="4"/>
    </row>
    <row r="1487" spans="15:15" x14ac:dyDescent="0.15">
      <c r="O1487" s="4"/>
    </row>
    <row r="1488" spans="15:15" x14ac:dyDescent="0.15">
      <c r="O1488" s="4"/>
    </row>
    <row r="1489" spans="15:15" x14ac:dyDescent="0.15">
      <c r="O1489" s="4"/>
    </row>
    <row r="1490" spans="15:15" x14ac:dyDescent="0.15">
      <c r="O1490" s="4"/>
    </row>
    <row r="1491" spans="15:15" x14ac:dyDescent="0.15">
      <c r="O1491" s="4"/>
    </row>
    <row r="1492" spans="15:15" x14ac:dyDescent="0.15">
      <c r="O1492" s="4"/>
    </row>
    <row r="1493" spans="15:15" x14ac:dyDescent="0.15">
      <c r="O1493" s="4"/>
    </row>
    <row r="1494" spans="15:15" x14ac:dyDescent="0.15">
      <c r="O1494" s="4"/>
    </row>
    <row r="1495" spans="15:15" x14ac:dyDescent="0.15">
      <c r="O1495" s="4"/>
    </row>
    <row r="1496" spans="15:15" x14ac:dyDescent="0.15">
      <c r="O1496" s="4"/>
    </row>
    <row r="1497" spans="15:15" x14ac:dyDescent="0.15">
      <c r="O1497" s="4"/>
    </row>
    <row r="1498" spans="15:15" x14ac:dyDescent="0.15">
      <c r="O1498" s="4"/>
    </row>
    <row r="1499" spans="15:15" x14ac:dyDescent="0.15">
      <c r="O1499" s="4"/>
    </row>
    <row r="1500" spans="15:15" x14ac:dyDescent="0.15">
      <c r="O1500" s="4"/>
    </row>
    <row r="1501" spans="15:15" x14ac:dyDescent="0.15">
      <c r="O1501" s="4"/>
    </row>
    <row r="1502" spans="15:15" x14ac:dyDescent="0.15">
      <c r="O1502" s="4"/>
    </row>
    <row r="1503" spans="15:15" x14ac:dyDescent="0.15">
      <c r="O1503" s="4"/>
    </row>
    <row r="1504" spans="15:15" x14ac:dyDescent="0.15">
      <c r="O1504" s="4"/>
    </row>
    <row r="1505" spans="15:15" x14ac:dyDescent="0.15">
      <c r="O1505" s="4"/>
    </row>
    <row r="1506" spans="15:15" x14ac:dyDescent="0.15">
      <c r="O1506" s="4"/>
    </row>
    <row r="1507" spans="15:15" x14ac:dyDescent="0.15">
      <c r="O1507" s="4"/>
    </row>
    <row r="1508" spans="15:15" x14ac:dyDescent="0.15">
      <c r="O1508" s="4"/>
    </row>
    <row r="1509" spans="15:15" x14ac:dyDescent="0.15">
      <c r="O1509" s="4"/>
    </row>
    <row r="1510" spans="15:15" x14ac:dyDescent="0.15">
      <c r="O1510" s="4"/>
    </row>
    <row r="1511" spans="15:15" x14ac:dyDescent="0.15">
      <c r="O1511" s="4"/>
    </row>
    <row r="1512" spans="15:15" x14ac:dyDescent="0.15">
      <c r="O1512" s="4"/>
    </row>
    <row r="1513" spans="15:15" x14ac:dyDescent="0.15">
      <c r="O1513" s="4"/>
    </row>
    <row r="1514" spans="15:15" x14ac:dyDescent="0.15">
      <c r="O1514" s="4"/>
    </row>
    <row r="1515" spans="15:15" x14ac:dyDescent="0.15">
      <c r="O1515" s="4"/>
    </row>
    <row r="1516" spans="15:15" x14ac:dyDescent="0.15">
      <c r="O1516" s="4"/>
    </row>
    <row r="1517" spans="15:15" x14ac:dyDescent="0.15">
      <c r="O1517" s="4"/>
    </row>
    <row r="1518" spans="15:15" x14ac:dyDescent="0.15">
      <c r="O1518" s="4"/>
    </row>
    <row r="1519" spans="15:15" x14ac:dyDescent="0.15">
      <c r="O1519" s="4"/>
    </row>
    <row r="1520" spans="15:15" x14ac:dyDescent="0.15">
      <c r="O1520" s="4"/>
    </row>
    <row r="1521" spans="15:15" x14ac:dyDescent="0.15">
      <c r="O1521" s="4"/>
    </row>
    <row r="1522" spans="15:15" x14ac:dyDescent="0.15">
      <c r="O1522" s="4"/>
    </row>
    <row r="1523" spans="15:15" x14ac:dyDescent="0.15">
      <c r="O1523" s="4"/>
    </row>
    <row r="1524" spans="15:15" x14ac:dyDescent="0.15">
      <c r="O1524" s="4"/>
    </row>
    <row r="1525" spans="15:15" x14ac:dyDescent="0.15">
      <c r="O1525" s="4"/>
    </row>
    <row r="1526" spans="15:15" x14ac:dyDescent="0.15">
      <c r="O1526" s="4"/>
    </row>
    <row r="1527" spans="15:15" x14ac:dyDescent="0.15">
      <c r="O1527" s="4"/>
    </row>
    <row r="1528" spans="15:15" x14ac:dyDescent="0.15">
      <c r="O1528" s="4"/>
    </row>
    <row r="1529" spans="15:15" x14ac:dyDescent="0.15">
      <c r="O1529" s="4"/>
    </row>
    <row r="1530" spans="15:15" x14ac:dyDescent="0.15">
      <c r="O1530" s="4"/>
    </row>
    <row r="1531" spans="15:15" x14ac:dyDescent="0.15">
      <c r="O1531" s="4"/>
    </row>
    <row r="1532" spans="15:15" x14ac:dyDescent="0.15">
      <c r="O1532" s="4"/>
    </row>
    <row r="1533" spans="15:15" x14ac:dyDescent="0.15">
      <c r="O1533" s="4"/>
    </row>
    <row r="1534" spans="15:15" x14ac:dyDescent="0.15">
      <c r="O1534" s="4"/>
    </row>
    <row r="1535" spans="15:15" x14ac:dyDescent="0.15">
      <c r="O1535" s="4"/>
    </row>
    <row r="1536" spans="15:15" x14ac:dyDescent="0.15">
      <c r="O1536" s="4"/>
    </row>
    <row r="1537" spans="15:15" x14ac:dyDescent="0.15">
      <c r="O1537" s="4"/>
    </row>
    <row r="1538" spans="15:15" x14ac:dyDescent="0.15">
      <c r="O1538" s="4"/>
    </row>
    <row r="1539" spans="15:15" x14ac:dyDescent="0.15">
      <c r="O1539" s="4"/>
    </row>
    <row r="1540" spans="15:15" x14ac:dyDescent="0.15">
      <c r="O1540" s="4"/>
    </row>
    <row r="1541" spans="15:15" x14ac:dyDescent="0.15">
      <c r="O1541" s="4"/>
    </row>
    <row r="1542" spans="15:15" x14ac:dyDescent="0.15">
      <c r="O1542" s="4"/>
    </row>
    <row r="1543" spans="15:15" x14ac:dyDescent="0.15">
      <c r="O1543" s="4"/>
    </row>
    <row r="1544" spans="15:15" x14ac:dyDescent="0.15">
      <c r="O1544" s="4"/>
    </row>
    <row r="1545" spans="15:15" x14ac:dyDescent="0.15">
      <c r="O1545" s="4"/>
    </row>
    <row r="1546" spans="15:15" x14ac:dyDescent="0.15">
      <c r="O1546" s="4"/>
    </row>
    <row r="1547" spans="15:15" x14ac:dyDescent="0.15">
      <c r="O1547" s="4"/>
    </row>
    <row r="1548" spans="15:15" x14ac:dyDescent="0.15">
      <c r="O1548" s="4"/>
    </row>
    <row r="1549" spans="15:15" x14ac:dyDescent="0.15">
      <c r="O1549" s="4"/>
    </row>
    <row r="1550" spans="15:15" x14ac:dyDescent="0.15">
      <c r="O1550" s="4"/>
    </row>
    <row r="1551" spans="15:15" x14ac:dyDescent="0.15">
      <c r="O1551" s="4"/>
    </row>
    <row r="1552" spans="15:15" x14ac:dyDescent="0.15">
      <c r="O1552" s="4"/>
    </row>
    <row r="1553" spans="15:15" x14ac:dyDescent="0.15">
      <c r="O1553" s="4"/>
    </row>
    <row r="1554" spans="15:15" x14ac:dyDescent="0.15">
      <c r="O1554" s="4"/>
    </row>
    <row r="1555" spans="15:15" x14ac:dyDescent="0.15">
      <c r="O1555" s="4"/>
    </row>
    <row r="1556" spans="15:15" x14ac:dyDescent="0.15">
      <c r="O1556" s="4"/>
    </row>
    <row r="1557" spans="15:15" x14ac:dyDescent="0.15">
      <c r="O1557" s="4"/>
    </row>
    <row r="1558" spans="15:15" x14ac:dyDescent="0.15">
      <c r="O1558" s="4"/>
    </row>
    <row r="1559" spans="15:15" x14ac:dyDescent="0.15">
      <c r="O1559" s="4"/>
    </row>
    <row r="1560" spans="15:15" x14ac:dyDescent="0.15">
      <c r="O1560" s="4"/>
    </row>
    <row r="1561" spans="15:15" x14ac:dyDescent="0.15">
      <c r="O1561" s="4"/>
    </row>
    <row r="1562" spans="15:15" x14ac:dyDescent="0.15">
      <c r="O1562" s="4"/>
    </row>
    <row r="1563" spans="15:15" x14ac:dyDescent="0.15">
      <c r="O1563" s="4"/>
    </row>
    <row r="1564" spans="15:15" x14ac:dyDescent="0.15">
      <c r="O1564" s="4"/>
    </row>
    <row r="1565" spans="15:15" x14ac:dyDescent="0.15">
      <c r="O1565" s="4"/>
    </row>
    <row r="1566" spans="15:15" x14ac:dyDescent="0.15">
      <c r="O1566" s="4"/>
    </row>
    <row r="1567" spans="15:15" x14ac:dyDescent="0.15">
      <c r="O1567" s="4"/>
    </row>
    <row r="1568" spans="15:15" x14ac:dyDescent="0.15">
      <c r="O1568" s="4"/>
    </row>
    <row r="1569" spans="15:15" x14ac:dyDescent="0.15">
      <c r="O1569" s="4"/>
    </row>
    <row r="1570" spans="15:15" x14ac:dyDescent="0.15">
      <c r="O1570" s="4"/>
    </row>
    <row r="1571" spans="15:15" x14ac:dyDescent="0.15">
      <c r="O1571" s="4"/>
    </row>
    <row r="1572" spans="15:15" x14ac:dyDescent="0.15">
      <c r="O1572" s="4"/>
    </row>
    <row r="1573" spans="15:15" x14ac:dyDescent="0.15">
      <c r="O1573" s="4"/>
    </row>
    <row r="1574" spans="15:15" x14ac:dyDescent="0.15">
      <c r="O1574" s="4"/>
    </row>
    <row r="1575" spans="15:15" x14ac:dyDescent="0.15">
      <c r="O1575" s="4"/>
    </row>
    <row r="1576" spans="15:15" x14ac:dyDescent="0.15">
      <c r="O1576" s="4"/>
    </row>
    <row r="1577" spans="15:15" x14ac:dyDescent="0.15">
      <c r="O1577" s="4"/>
    </row>
    <row r="1578" spans="15:15" x14ac:dyDescent="0.15">
      <c r="O1578" s="4"/>
    </row>
    <row r="1579" spans="15:15" x14ac:dyDescent="0.15">
      <c r="O1579" s="4"/>
    </row>
    <row r="1580" spans="15:15" x14ac:dyDescent="0.15">
      <c r="O1580" s="4"/>
    </row>
    <row r="1581" spans="15:15" x14ac:dyDescent="0.15">
      <c r="O1581" s="4"/>
    </row>
    <row r="1582" spans="15:15" x14ac:dyDescent="0.15">
      <c r="O1582" s="4"/>
    </row>
    <row r="1583" spans="15:15" x14ac:dyDescent="0.15">
      <c r="O1583" s="4"/>
    </row>
    <row r="1584" spans="15:15" x14ac:dyDescent="0.15">
      <c r="O1584" s="4"/>
    </row>
    <row r="1585" spans="15:15" x14ac:dyDescent="0.15">
      <c r="O1585" s="4"/>
    </row>
    <row r="1586" spans="15:15" x14ac:dyDescent="0.15">
      <c r="O1586" s="4"/>
    </row>
  </sheetData>
  <mergeCells count="26">
    <mergeCell ref="B1:C1"/>
    <mergeCell ref="D1:G1"/>
    <mergeCell ref="I1:N1"/>
    <mergeCell ref="E5:E6"/>
    <mergeCell ref="G5:G6"/>
    <mergeCell ref="J5:J6"/>
    <mergeCell ref="L5:L6"/>
    <mergeCell ref="B80:C85"/>
    <mergeCell ref="B7:D7"/>
    <mergeCell ref="B8:D8"/>
    <mergeCell ref="B9:D9"/>
    <mergeCell ref="B10:D10"/>
    <mergeCell ref="C11:C16"/>
    <mergeCell ref="C17:C24"/>
    <mergeCell ref="C25:C40"/>
    <mergeCell ref="B41:C41"/>
    <mergeCell ref="B42:D42"/>
    <mergeCell ref="B43:C78"/>
    <mergeCell ref="B79:D79"/>
    <mergeCell ref="B95:D95"/>
    <mergeCell ref="B86:C89"/>
    <mergeCell ref="B90:D90"/>
    <mergeCell ref="B91:D91"/>
    <mergeCell ref="B92:D92"/>
    <mergeCell ref="B93:D93"/>
    <mergeCell ref="B94:D94"/>
  </mergeCells>
  <phoneticPr fontId="2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全社</vt:lpstr>
      <vt:lpstr>東大阪工場</vt:lpstr>
      <vt:lpstr>松原工場</vt:lpstr>
      <vt:lpstr>松原工場!Print_Area</vt:lpstr>
      <vt:lpstr>全社!Print_Area</vt:lpstr>
      <vt:lpstr>東大阪工場!Print_Area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ws017</dc:creator>
  <cp:lastModifiedBy>伊藤 大貴</cp:lastModifiedBy>
  <cp:lastPrinted>2022-07-13T00:20:31Z</cp:lastPrinted>
  <dcterms:created xsi:type="dcterms:W3CDTF">2016-07-11T09:45:43Z</dcterms:created>
  <dcterms:modified xsi:type="dcterms:W3CDTF">2026-03-12T06:56:35Z</dcterms:modified>
</cp:coreProperties>
</file>